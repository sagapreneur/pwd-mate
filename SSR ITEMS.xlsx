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defaultThemeVersion="124226"/>
  <mc:AlternateContent xmlns:mc="http://schemas.openxmlformats.org/markup-compatibility/2006">
    <mc:Choice Requires="x15">
      <x15ac:absPath xmlns:x15ac="http://schemas.microsoft.com/office/spreadsheetml/2010/11/ac" url="D:\E PARTETION\ESTIMATE KETAN JADHAV\"/>
    </mc:Choice>
  </mc:AlternateContent>
  <xr:revisionPtr revIDLastSave="0" documentId="13_ncr:1_{9B03C9BB-05F8-41D6-BABE-C68D66BFEDB2}" xr6:coauthVersionLast="47" xr6:coauthVersionMax="47" xr10:uidLastSave="{00000000-0000-0000-0000-000000000000}"/>
  <bookViews>
    <workbookView xWindow="-110" yWindow="-110" windowWidth="19420" windowHeight="10300" xr2:uid="{00000000-000D-0000-FFFF-FFFF00000000}"/>
  </bookViews>
  <sheets>
    <sheet name="SSR 2022-23 (w.e.f.25-07-023)"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s>
  <definedNames>
    <definedName name="_________________________sum9">'[1]MS V'!#REF!</definedName>
    <definedName name="________________________sum9">'[1]MS V'!#REF!</definedName>
    <definedName name="_______________________sum9">'[2]MS V'!#REF!</definedName>
    <definedName name="______________________sum9">'[1]MS V'!#REF!</definedName>
    <definedName name="_____________________sum9">'[1]MS V'!#REF!</definedName>
    <definedName name="____________________sum9">'[1]MS V'!#REF!</definedName>
    <definedName name="___________________sum9">'[1]MS V'!#REF!</definedName>
    <definedName name="__________________sum9">'[1]MS V'!#REF!</definedName>
    <definedName name="_________________sum9">'[1]MS V'!#REF!</definedName>
    <definedName name="________________sum9">'[1]MS V'!#REF!</definedName>
    <definedName name="_______________sum9">'[1]MS V'!#REF!</definedName>
    <definedName name="______________sum9">'[1]MS V'!#REF!</definedName>
    <definedName name="_____________sum9">'[1]MS V'!#REF!</definedName>
    <definedName name="____________sum9">'[1]MS V'!#REF!</definedName>
    <definedName name="___________sum9">'[1]MS V'!#REF!</definedName>
    <definedName name="__________sum9">'[1]MS V'!#REF!</definedName>
    <definedName name="_________sum9">'[1]MS V'!#REF!</definedName>
    <definedName name="________sum9">'[1]MS V'!#REF!</definedName>
    <definedName name="_______sum9">'[1]MS V'!#REF!</definedName>
    <definedName name="______sum9">'[1]MS V'!#REF!</definedName>
    <definedName name="_____sum9">'[1]MS V'!#REF!</definedName>
    <definedName name="____sum9">'[1]MS V'!#REF!</definedName>
    <definedName name="___rcd4">[3]rcd!#REF!</definedName>
    <definedName name="___ROY10">[3]ROY!#REF!</definedName>
    <definedName name="___ROY11">[3]ROY!#REF!</definedName>
    <definedName name="___ROY12">[3]ROY!#REF!</definedName>
    <definedName name="___ROY3">[3]ROY!#REF!</definedName>
    <definedName name="___ROY4">[3]ROY!#REF!</definedName>
    <definedName name="___ROY5">[3]ROY!#REF!</definedName>
    <definedName name="___ROY6">[3]ROY!#REF!</definedName>
    <definedName name="___ROY8">[3]ROY!#REF!</definedName>
    <definedName name="___ROY9">[3]ROY!#REF!</definedName>
    <definedName name="___ST2">#REF!</definedName>
    <definedName name="___st3">#REF!</definedName>
    <definedName name="___st4">#REF!</definedName>
    <definedName name="___st5">#REF!</definedName>
    <definedName name="___st6">#REF!</definedName>
    <definedName name="___sum9">'[1]MS V'!#REF!</definedName>
    <definedName name="__rcd4">[3]rcd!#REF!</definedName>
    <definedName name="__ROY10">[3]ROY!#REF!</definedName>
    <definedName name="__ROY11">[3]ROY!#REF!</definedName>
    <definedName name="__ROY12">[3]ROY!#REF!</definedName>
    <definedName name="__ROY3">[3]ROY!#REF!</definedName>
    <definedName name="__ROY4">[3]ROY!#REF!</definedName>
    <definedName name="__ROY5">[3]ROY!#REF!</definedName>
    <definedName name="__ROY6">[3]ROY!#REF!</definedName>
    <definedName name="__ROY8">[3]ROY!#REF!</definedName>
    <definedName name="__ROY9">[3]ROY!#REF!</definedName>
    <definedName name="__SBB1">[3]ROY!#REF!</definedName>
    <definedName name="__ST1">#REF!</definedName>
    <definedName name="__ST2">#REF!</definedName>
    <definedName name="__st3">#REF!</definedName>
    <definedName name="__st4">#REF!</definedName>
    <definedName name="__st5">#REF!</definedName>
    <definedName name="__st6">#REF!</definedName>
    <definedName name="__sum9">'[1]MS V'!#REF!</definedName>
    <definedName name="_a1">#REF!</definedName>
    <definedName name="_a16435">'[4]Letter-space-5(12)'!#REF!</definedName>
    <definedName name="_a2">#REF!</definedName>
    <definedName name="_cir">[5]Cover!$E$27</definedName>
    <definedName name="_div">[5]Cover!$E$28</definedName>
    <definedName name="_E02">[6]mlead!$C$8</definedName>
    <definedName name="_E04">[7]mlead!$C$10</definedName>
    <definedName name="_E05">[7]mlead!$C$11</definedName>
    <definedName name="_E12">[6]mlead!$C$18</definedName>
    <definedName name="_E22">[7]mlead!$C$28</definedName>
    <definedName name="_E32">[7]mlead!$C$38</definedName>
    <definedName name="_Fill" hidden="1">#REF!</definedName>
    <definedName name="_jl1">'[8]MES '!#REF!</definedName>
    <definedName name="_LEAD">[9]RMR!$E$33</definedName>
    <definedName name="_M15">[7]mlead!$D$21</definedName>
    <definedName name="_M17">[6]mlead!$D$23</definedName>
    <definedName name="_M23">[7]mlead!$D$29</definedName>
    <definedName name="_M27">[7]mlead!$D$33</definedName>
    <definedName name="_M32">[7]mlead!$D$38</definedName>
    <definedName name="_M38">[6]mlead!$D$44</definedName>
    <definedName name="_M40">[7]mlead!$D$46</definedName>
    <definedName name="_M67">[10]mlead!$D$73</definedName>
    <definedName name="_NW">[11]Cover!$C$8</definedName>
    <definedName name="_pashajak">'[12]Road data'!#REF!</definedName>
    <definedName name="_pipe_con_1100">[7]mlead!#REF!</definedName>
    <definedName name="_pipe_con_500">[7]mlead!#REF!</definedName>
    <definedName name="_pipe_con_700">[7]mlead!#REF!</definedName>
    <definedName name="_pipe_ic_1100">[7]mlead!#REF!</definedName>
    <definedName name="_pipe_ic_500">[7]mlead!#REF!</definedName>
    <definedName name="_pipe_ic_700">[7]mlead!#REF!</definedName>
    <definedName name="_rcd4">[3]rcd!#REF!</definedName>
    <definedName name="_ROY10">[3]ROY!#REF!</definedName>
    <definedName name="_ROY11">[3]ROY!#REF!</definedName>
    <definedName name="_ROY12">[3]ROY!#REF!</definedName>
    <definedName name="_ROY3">[3]ROY!#REF!</definedName>
    <definedName name="_ROY4">[3]ROY!#REF!</definedName>
    <definedName name="_ROY5">[3]ROY!#REF!</definedName>
    <definedName name="_ROY6">[3]ROY!#REF!</definedName>
    <definedName name="_ROY8">[3]ROY!#REF!</definedName>
    <definedName name="_ROY9">[3]ROY!#REF!</definedName>
    <definedName name="_ST1">#REF!</definedName>
    <definedName name="_ST2">#REF!</definedName>
    <definedName name="_st3">#REF!</definedName>
    <definedName name="_st4">#REF!</definedName>
    <definedName name="_st5">#REF!</definedName>
    <definedName name="_st6">#REF!</definedName>
    <definedName name="_sum9">'[1]MS V'!#REF!</definedName>
    <definedName name="a">#REF!</definedName>
    <definedName name="A000">'[13]sorna-lanjera'!#REF!</definedName>
    <definedName name="aa" hidden="1">{#N/A,#N/A,FALSE,"no"}</definedName>
    <definedName name="AAAAA">#REF!</definedName>
    <definedName name="AB">'[14]Back_Cal_for OMC'!$A$15:$B$40</definedName>
    <definedName name="ABC">[15]Reconst!#REF!</definedName>
    <definedName name="abcd">'[1]MS V'!#REF!</definedName>
    <definedName name="Abs">[16]ABS1!#REF!</definedName>
    <definedName name="abs.11">'[13]sorna-lanjera'!#REF!</definedName>
    <definedName name="acb">#REF!</definedName>
    <definedName name="ACD_1000X1">'[17]C.D.Abs.Est.'!#REF!</definedName>
    <definedName name="acd_2">'[17]C.D.Abs.Est.'!#REF!</definedName>
    <definedName name="acd_3">'[17]C.D.Abs.Est.'!#REF!</definedName>
    <definedName name="acd_4">'[17]C.D.Abs.Est.'!#REF!</definedName>
    <definedName name="acd_5">'[17]C.D.Abs.Est.'!#REF!</definedName>
    <definedName name="acd_6">'[17]C.D.Abs.Est.'!#REF!</definedName>
    <definedName name="ACD_600X4">'[17]C.D.Abs.Est.'!#REF!</definedName>
    <definedName name="AERERG">'[18]IV(R)'!#REF!</definedName>
    <definedName name="AEW_FOR">'[19]abs road'!#REF!</definedName>
    <definedName name="AEW_SIDE">'[19]abs road'!#REF!</definedName>
    <definedName name="AGRA_SHOULDERS">'[7]abs road'!#REF!</definedName>
    <definedName name="AGSB">'[7]abs road'!$H$13</definedName>
    <definedName name="an">#REF!</definedName>
    <definedName name="Analysis">#REF!</definedName>
    <definedName name="anu">#REF!</definedName>
    <definedName name="Arial">#REF!</definedName>
    <definedName name="ARVI">'[1]MS V'!#REF!</definedName>
    <definedName name="as">'[14]Back_Cal_for OMC'!#REF!</definedName>
    <definedName name="ASCSD">'[7]abs road'!$H$25</definedName>
    <definedName name="ASDBC">'[7]abs road'!$H$33</definedName>
    <definedName name="ATACK">'[7]abs road'!$H$29</definedName>
    <definedName name="atul">[20]MS1!#REF!</definedName>
    <definedName name="AWBM2">#REF!</definedName>
    <definedName name="AWBM3">#REF!</definedName>
    <definedName name="b1732.">[21]Mesurement!$G$1335</definedName>
    <definedName name="Barkedasalam">#REF!</definedName>
    <definedName name="Barkhedabondar">#REF!</definedName>
    <definedName name="BENEFIT_BRIDGE">#REF!</definedName>
    <definedName name="BENEFIT_ROAD">#REF!</definedName>
    <definedName name="Bhatal">#REF!</definedName>
    <definedName name="bisen">#REF!</definedName>
    <definedName name="BOQ">#REF!</definedName>
    <definedName name="Boxes">[22]Sheet2!$A$4:$R$23</definedName>
    <definedName name="Bsalam">#REF!</definedName>
    <definedName name="C.C.Road">'[23]Gen Info'!$B$34:$B$57</definedName>
    <definedName name="CARTING">[24]carting!$A$3:$F$445</definedName>
    <definedName name="ccir">#REF!</definedName>
    <definedName name="CDECV">[7]Abs_CD_2!$K$51</definedName>
    <definedName name="CDNO">'[25]1V800'!$C$10</definedName>
    <definedName name="cdno_600">#REF!</definedName>
    <definedName name="CEMENT">[7]RMR!$F$30</definedName>
    <definedName name="CIR">[7]coverpage!$E$27</definedName>
    <definedName name="COMP.R.A.">[16]MS1!#REF!</definedName>
    <definedName name="crf">[26]Sheet1!$D$50:$F$75</definedName>
    <definedName name="CS">[27]ABS1!#REF!</definedName>
    <definedName name="CSR">#REF!</definedName>
    <definedName name="D19a">#REF!</definedName>
    <definedName name="Damkheda">#REF!</definedName>
    <definedName name="DD">'[13]sorna-lanjera'!#REF!</definedName>
    <definedName name="DDD">'[13]sorna-lanjera'!#REF!</definedName>
    <definedName name="ddfdfdf">#REF!</definedName>
    <definedName name="div">[7]coverpage!$E$28</definedName>
    <definedName name="ds">#REF!</definedName>
    <definedName name="DUST">[7]RMR!$L$15</definedName>
    <definedName name="eightymm">[15]Reconst!#REF!</definedName>
    <definedName name="END">#REF!</definedName>
    <definedName name="ex">"Freeform 74"</definedName>
    <definedName name="Excel_BuiltIn_Print_Area_2_1_1_1">#REF!</definedName>
    <definedName name="Excel_BuiltIn_Print_Titles_1">#REF!</definedName>
    <definedName name="FACESHET">#REF!</definedName>
    <definedName name="FRONT_PAGE">#REF!</definedName>
    <definedName name="Garhakala">#REF!</definedName>
    <definedName name="GRA">[7]RMR!$L$18</definedName>
    <definedName name="gsb" hidden="1">{#N/A,#N/A,FALSE,"no"}</definedName>
    <definedName name="gunga">#REF!</definedName>
    <definedName name="gungakalara">#REF!</definedName>
    <definedName name="h">#REF!</definedName>
    <definedName name="hhh">'[28]road est'!$H$28</definedName>
    <definedName name="I_10">[7]RMR!$L$12</definedName>
    <definedName name="I_2">[7]RMR!$L$14</definedName>
    <definedName name="I_20">[7]RMR!$L$10</definedName>
    <definedName name="I_6">[7]RMR!$L$13</definedName>
    <definedName name="I_60">[7]RMR!$L$5</definedName>
    <definedName name="I_H40">[7]RMR!$L$7</definedName>
    <definedName name="jjj">'[29]IV(R)'!#REF!</definedName>
    <definedName name="khamkheda">#REF!</definedName>
    <definedName name="kolukhedi">#REF!</definedName>
    <definedName name="l">'[30]Letter-space-5(12)'!#REF!</definedName>
    <definedName name="L_Bhisti">[31]Labour!$D$3</definedName>
    <definedName name="L_BitumenSprayer">[31]Labour!$D$4</definedName>
    <definedName name="L_Blacksmith">[31]Labour!$D$5</definedName>
    <definedName name="L_Blaster">[31]Labour!$D$6</definedName>
    <definedName name="L_Carpenter_1stClass">[31]Labour!$D$7</definedName>
    <definedName name="L_ChipsSpreader">[31]Labour!$D$8</definedName>
    <definedName name="L_Chiseller">[31]Labour!$D$9</definedName>
    <definedName name="L_Dresser_Skilled">[31]Labour!$D$10</definedName>
    <definedName name="L_Driller">[31]Labour!$D$11</definedName>
    <definedName name="L_Electrician_Lineman">[31]Labour!$D$12</definedName>
    <definedName name="L_Fitter">[31]Labour!$D$13</definedName>
    <definedName name="L_Mason_1stClass">[31]Labour!$D$14</definedName>
    <definedName name="L_Mason_2ndClass">[31]Labour!$D$15</definedName>
    <definedName name="L_Mate">[31]Labour!$D$16</definedName>
    <definedName name="L_Mazdoor">[31]Labour!$D$17</definedName>
    <definedName name="L_Mazdoor_Semi">[31]Labour!$D$18</definedName>
    <definedName name="L_Mazdoor_Skilled">[31]Labour!$D$19</definedName>
    <definedName name="L_Painter_1stClass">[31]Labour!$D$20</definedName>
    <definedName name="L_Plumber">[31]Labour!$D$21</definedName>
    <definedName name="L_Surveyor">[31]Labour!$D$22</definedName>
    <definedName name="L_WhiteWasher">[31]Labour!$D$23</definedName>
    <definedName name="Last">#REF!</definedName>
    <definedName name="LEAD">[32]Sheet2!$B$3:$F$200</definedName>
    <definedName name="len">#REF!</definedName>
    <definedName name="leng">[3]RD!#REF!</definedName>
    <definedName name="ll">'[33]IV(R)'!#REF!</definedName>
    <definedName name="LS_ROAD">'[34]abs road'!#REF!</definedName>
    <definedName name="LTB">[35]Sheet1!$A$1:$B$99</definedName>
    <definedName name="M">'[1]MS V'!#REF!</definedName>
    <definedName name="M_25_box_Culvert">#REF!</definedName>
    <definedName name="M_ACPipe_100">[31]Material!$D$3</definedName>
    <definedName name="M_Aggregate_10">[31]Material!$D$17</definedName>
    <definedName name="M_Aggregate_20">[31]Material!$D$18</definedName>
    <definedName name="M_Aggregate_224_236m_WMM">[31]Material!$D$26</definedName>
    <definedName name="M_Aggregate_375mmMaximum_224_56mm">[31]Material!$D$4</definedName>
    <definedName name="M_Aggregate_375mmMaximum_45_225mm">[31]Material!$D$5</definedName>
    <definedName name="M_Aggregate_375mmMaximum_Below_56mm">[31]Material!$D$6</definedName>
    <definedName name="M_Aggregate_40">[31]Material!$D$19</definedName>
    <definedName name="M_Aggregate_45_224m_WMM">[31]Material!$D$27</definedName>
    <definedName name="M_Aggregate_53mmMaximum_225_56mm">[31]Material!$D$7</definedName>
    <definedName name="M_Aggregate_53mmMaximum_63_45mm">[31]Material!$D$8</definedName>
    <definedName name="M_Aggregate_53mmMaximum_below_56mm">[31]Material!$D$9</definedName>
    <definedName name="M_Aggregate_Crushable_GradeI">[31]Material!$D$20</definedName>
    <definedName name="M_Aggregate_Crushable_GradeII">[31]Material!$D$21</definedName>
    <definedName name="M_Aggregate_Crushable_GradeIII">[31]Material!$D$22</definedName>
    <definedName name="M_Aggregate_GradeI_40mmNominal_10_5mm">[31]Material!$D$10</definedName>
    <definedName name="M_Aggregate_GradeI_40mmNominal_25_10mm">[31]Material!$D$11</definedName>
    <definedName name="M_Aggregate_GradeI_40mmNominal_3725_25mm">[31]Material!$D$12</definedName>
    <definedName name="M_Aggregate_GradeI_40mmNominal_5mm">[31]Material!$D$13</definedName>
    <definedName name="M_Aggregate_GradeI_90_45mm">[31]Material!$D$23</definedName>
    <definedName name="M_Aggregate_GradeII_19mmNominal_10_5mm">[31]Material!$D$14</definedName>
    <definedName name="M_Aggregate_GradeII_19mmNominal_25_10mm">[31]Material!$D$15</definedName>
    <definedName name="M_Aggregate_GradeII_19mmNominal_5mm_below">[31]Material!$D$16</definedName>
    <definedName name="M_Aggregate_GradeII_63_45mm">[31]Material!$D$24</definedName>
    <definedName name="M_Aggregate_GradeIII_53_224mm">[31]Material!$D$25</definedName>
    <definedName name="M_AluminiumSheeting_15mm">[31]Material!$D$28</definedName>
    <definedName name="M_AluminiumStuds_100_100_Lense">[31]Material!$D$29</definedName>
    <definedName name="M_Bamboo_1stClass_85_100mm_25m_long">[31]Material!$D$31</definedName>
    <definedName name="M_Bamboo_1stClass_85_100mm_2m_long">[31]Material!$D$30</definedName>
    <definedName name="M_Bamboo_1stClass_85_100mm_3m_long">[31]Material!$D$32</definedName>
    <definedName name="M_Bamboo_1stClass_85_100mm_45_55m_long">[31]Material!$D$33</definedName>
    <definedName name="M_Bamboo_2ndClass_75mm_18_25m_long">[31]Material!$D$34</definedName>
    <definedName name="M_Bamboo_2ndClass_75mm_21_30m_long">[31]Material!$D$35</definedName>
    <definedName name="M_BarbedWire">[31]Material!$D$36</definedName>
    <definedName name="M_BindingMaterial">[31]Material!$D$37</definedName>
    <definedName name="M_BindingWire">[31]Material!$D$38</definedName>
    <definedName name="M_Bitumen_CRM">[31]Material!$D$39</definedName>
    <definedName name="M_Bitumen_NRM">[31]Material!$D$40</definedName>
    <definedName name="M_Bitumen_PM">[31]Material!$D$41</definedName>
    <definedName name="M_Bitumen_S65">[31]Material!$D$42</definedName>
    <definedName name="M_Bitumen_S90">[31]Material!$D$43</definedName>
    <definedName name="M_BitumenEmulsion_RS1">[31]Material!$D$44</definedName>
    <definedName name="M_BitumenEmulsion_SS1">[31]Material!$D$45</definedName>
    <definedName name="M_BitumenSealant">[31]Material!$D$46</definedName>
    <definedName name="M_Blasted_Rubble">[31]Material!$D$47</definedName>
    <definedName name="M_BlastingMaterial">[31]Material!$D$48</definedName>
    <definedName name="M_BondStone_400_150_150mm">[31]Material!$D$49</definedName>
    <definedName name="M_Brick_1stClass">[31]Material!$D$50</definedName>
    <definedName name="M_Cement">[31]Material!$D$51</definedName>
    <definedName name="M_CementPrimer">[31]Material!$D$52</definedName>
    <definedName name="M_ChlorpreneElastomer_OR_ClosedCellFoamSealingElement">[31]Material!$D$53</definedName>
    <definedName name="M_CompensationForEarthTakenFromPrivateLand">[31]Material!$D$54</definedName>
    <definedName name="M_CompressibleFibreBoard">[31]Material!$D$55</definedName>
    <definedName name="M_CopperPlate">[31]Material!$D$56</definedName>
    <definedName name="M_CorbellingStones_300_150_150mm">[31]Material!$D$57</definedName>
    <definedName name="M_CorrosionResistantStructuralSteelGrating">[31]Material!$D$58</definedName>
    <definedName name="M_CreditForExcavatedRock">[31]Material!$D$59</definedName>
    <definedName name="M_CrowBars_40mm">[31]Material!$D$60</definedName>
    <definedName name="M_CrushedSand_OR_Grit">[31]Material!$D$61</definedName>
    <definedName name="M_CrushedSlag">[31]Material!$D$62</definedName>
    <definedName name="M_CrushedStoneAggregate_265_75">[31]Material!$D$63</definedName>
    <definedName name="M_CrushedStoneChipping_132">[31]Material!$D$64</definedName>
    <definedName name="M_CrushedStoneChipping_67mm_100Passing_112mm">[31]Material!$D$65</definedName>
    <definedName name="M_CrushedStoneChipping_67mm_100Passing_95mm">[31]Material!$D$66</definedName>
    <definedName name="M_CrushedStoneChipping_95">[31]Material!$D$67</definedName>
    <definedName name="M_CrushedStoneCoarseAggregatePassing_53mm">[31]Material!$D$68</definedName>
    <definedName name="M_CuringCompound">[31]Material!$D$69</definedName>
    <definedName name="M_DebondingStrips">[31]Material!$D$70</definedName>
    <definedName name="M_EdgeStone_450_350_100mm">[31]Material!$D$71</definedName>
    <definedName name="M_EdgeStone_450_350_200mm">[31]Material!$D$72</definedName>
    <definedName name="M_ElastomericBearingAssembly">[31]Material!$D$73</definedName>
    <definedName name="M_ElectricDetonator">[31]Material!$D$74</definedName>
    <definedName name="M_EpoxyPaint">[31]Material!$D$75</definedName>
    <definedName name="M_FarmyardManure">[31]Material!$D$77</definedName>
    <definedName name="M_FevicolAdhesive">[31]Material!$D$78</definedName>
    <definedName name="M_FilterMedia">[31]Material!$D$79</definedName>
    <definedName name="M_FineAggregate_CrushedSand">[31]Material!$D$80</definedName>
    <definedName name="M_GalvanisedAngle">[31]Material!$D$81</definedName>
    <definedName name="M_Gelatine_80">[31]Material!$D$83</definedName>
    <definedName name="M_GIPipe_100mm">[31]Material!$D$84</definedName>
    <definedName name="M_GIPipe_50mm">[31]Material!$D$85</definedName>
    <definedName name="M_GIWires">[31]Material!$D$86</definedName>
    <definedName name="M_GradedStoneAggregate">[31]Material!$D$87</definedName>
    <definedName name="M_GranularMaterial">[31]Material!$D$88</definedName>
    <definedName name="M_HandBrokenMetal_40mm">[31]Material!$D$89</definedName>
    <definedName name="M_Indigo">[31]Material!$D$90</definedName>
    <definedName name="M_InterlockingBlocks_60mm">[31]Material!$D$91</definedName>
    <definedName name="M_InterlockingBlocks_80mm">[31]Material!$D$92</definedName>
    <definedName name="M_JointFillerBoard">[31]Material!$D$93</definedName>
    <definedName name="M_JuteNetting_OpenWeave_25mm">[31]Material!$D$94</definedName>
    <definedName name="M_JuteRope_12mm">[31]Material!$D$95</definedName>
    <definedName name="M_KeyAggregatesPassing_224mm">[31]Material!$D$96</definedName>
    <definedName name="M_Lime">[31]Material!$D$97</definedName>
    <definedName name="M_LocalWoodPiles_1stClass">[31]Material!$D$99</definedName>
    <definedName name="M_LocalWoodPiles_1stClass_100_75mm">[31]Material!$D$100</definedName>
    <definedName name="M_LooseStone">[31]Material!$D$101</definedName>
    <definedName name="M_MS_Sheet_15mm">[31]Material!$D$105</definedName>
    <definedName name="M_MS_Sheet_2mm">[31]Material!$D$106</definedName>
    <definedName name="M_MSClamps">[31]Material!$D$102</definedName>
    <definedName name="M_MSFlat_StructuralSteel">[31]Material!$D$103</definedName>
    <definedName name="M_MSSheetTube_47_47mm_12_SWG">[31]Material!$D$104</definedName>
    <definedName name="M_Nuts_Bolts_Rivets">[31]Material!$D$107</definedName>
    <definedName name="M_Paint_SyntheticEnamel">[31]Material!$D$108</definedName>
    <definedName name="M_Plasticizer">[31]Material!$D$109</definedName>
    <definedName name="M_PolytheneSheet_125">[31]Material!$D$110</definedName>
    <definedName name="M_PolytheneSheething">[31]Material!$D$111</definedName>
    <definedName name="M_QuarriedStone_150_200mm">[31]Material!$D$112</definedName>
    <definedName name="M_RCCPipeNP3_1000mm">[31]Material!$D$114</definedName>
    <definedName name="M_RCCPipeNP3_1200mm">[31]Material!$D$113</definedName>
    <definedName name="M_RCCPipeNP3_500mm">[31]Material!$D$117</definedName>
    <definedName name="M_RCCPipeNP3_750mm">[31]Material!$D$115</definedName>
    <definedName name="M_RCCPipeNP4_1000mm">[31]Material!$D$119</definedName>
    <definedName name="M_RCCPipeNP4_1200mm">[31]Material!$D$118</definedName>
    <definedName name="M_RCCPipeNP4_500mm">[31]Material!$D$122</definedName>
    <definedName name="M_RCCPipeNP4_750mm">[31]Material!$D$120</definedName>
    <definedName name="M_RedOxidePrimer">[31]Material!$D$123</definedName>
    <definedName name="M_RoadMarkingPaint">[31]Material!$D$124</definedName>
    <definedName name="M_Sand_Coarse">[31]Material!$D$125</definedName>
    <definedName name="M_Sand_Fine">[31]Material!$D$126</definedName>
    <definedName name="M_Seeds">[31]Material!$D$127</definedName>
    <definedName name="M_SteelPipe_500mm">[31]Material!$D$128</definedName>
    <definedName name="M_SteelReinforcement_HYSDBars">[31]Material!$D$129</definedName>
    <definedName name="M_SteelReinforcement_MSRoundBars">[31]Material!$D$130</definedName>
    <definedName name="M_SteelReinforcement_TMTBars">[31]Material!$D$131</definedName>
    <definedName name="M_StoneBoulder_150mm_below">[31]Material!$D$132</definedName>
    <definedName name="M_StoneChips_12mm">[31]Material!$D$133</definedName>
    <definedName name="M_StoneCrushedAggregate_112_009mm">[31]Material!$D$135</definedName>
    <definedName name="M_StoneForCoarseRubbleMasonry_1stSort">[31]Material!$D$136</definedName>
    <definedName name="M_StoneForCoarseRubbleMasonry_2ndSort">[31]Material!$D$137</definedName>
    <definedName name="M_StoneForRandomRubbleMasonry">[31]Material!$D$138</definedName>
    <definedName name="M_StoneForStoneSetPavement">[31]Material!$D$139</definedName>
    <definedName name="M_StoneScreening_TypeA_132mm_Grade1">[31]Material!$D$140</definedName>
    <definedName name="M_StoneScreening_TypeB_112mm_Grade2">[31]Material!$D$142</definedName>
    <definedName name="M_StoneScreening_TypeB_112mm_Grade3">[31]Material!$D$143</definedName>
    <definedName name="M_StoneSpalls">[31]Material!$D$144</definedName>
    <definedName name="M_TrafficCones">[31]Material!$D$145</definedName>
    <definedName name="M_Water">[31]Material!$D$146</definedName>
    <definedName name="M_WellGradedGranularBaseMaterial_GradeA_236mm">[31]Material!$D$147</definedName>
    <definedName name="M_WellGradedGranularBaseMaterial_GradeA_265_475mm">[31]Material!$D$148</definedName>
    <definedName name="M_WellGradedGranularBaseMaterial_GradeA_53_265mm">[31]Material!$D$149</definedName>
    <definedName name="M_WellGradedGranularBaseMaterial_GradeB_236mm_below">[31]Material!$D$150</definedName>
    <definedName name="M_WellGradedGranularBaseMaterial_GradeB_265_475mm">[31]Material!$D$151</definedName>
    <definedName name="M_WellGradedGranularBaseMaterial_GradeC_236mm_below">[31]Material!$D$152</definedName>
    <definedName name="M_WellGradedGranularBaseMaterial_GradeC_95_475mm">[31]Material!$D$153</definedName>
    <definedName name="M_WellGradedMateralForSubbase_GradeI_236mm_below">[31]Material!$D$154</definedName>
    <definedName name="M_WellGradedMateralForSubbase_GradeI_53_95mm">[31]Material!$D$155</definedName>
    <definedName name="M_WellGradedMateralForSubbase_GradeI_95_236mm">[31]Material!$D$156</definedName>
    <definedName name="M_WellGradedMateralForSubbase_GradeII_236mm_below">[31]Material!$D$157</definedName>
    <definedName name="M_WellGradedMateralForSubbase_GradeII_265_95mm">[31]Material!$D$158</definedName>
    <definedName name="M_WellGradedMateralForSubbase_GradeII_95_236mm">[31]Material!$D$159</definedName>
    <definedName name="M_WellGradedMateralForSubbase_GradeIII_236mm_below">[31]Material!$D$160</definedName>
    <definedName name="M_WellGradedMateralForSubbase_GradeIII_475_236mm">[31]Material!$D$161</definedName>
    <definedName name="M_WellGradedMateralForSubbase_GradeIII_95_475mm">[31]Material!$D$162</definedName>
    <definedName name="M_WoodenSleepers">[31]Material!$D$163</definedName>
    <definedName name="Mera">#REF!</definedName>
    <definedName name="Metal">#REF!</definedName>
    <definedName name="mmmm">#REF!</definedName>
    <definedName name="MTS">[36]MEASURMENT!$B$7:$K$922</definedName>
    <definedName name="Mugaliyahat">#REF!</definedName>
    <definedName name="Nalkheda">#REF!</definedName>
    <definedName name="name">#REF!</definedName>
    <definedName name="NNN">#REF!</definedName>
    <definedName name="NO_1000">[7]Abs_CD_2!$C$8</definedName>
    <definedName name="NO_800">[7]Abs_CD_2!$C$7</definedName>
    <definedName name="nw">'[25]Road data'!$E$3</definedName>
    <definedName name="open">#REF!</definedName>
    <definedName name="pawan">'[33]IV(R)'!#REF!</definedName>
    <definedName name="PHYSICAL_BRIDGE">#REF!</definedName>
    <definedName name="PHYSICAL_ROAD">#REF!</definedName>
    <definedName name="PM_AirCompressor_210cfm">'[31]Plant &amp;  Machinery'!$G$4</definedName>
    <definedName name="PM_BatchMixHMP_46_60THP">'[31]Plant &amp;  Machinery'!$G$5</definedName>
    <definedName name="PM_BatchTypeHMP_30_40">'[31]Plant &amp;  Machinery'!$G$6</definedName>
    <definedName name="PM_BitumenBoilerOilFired_1000">'[31]Plant &amp;  Machinery'!$G$9</definedName>
    <definedName name="PM_BitumenBoilerOilFired_200">'[31]Plant &amp;  Machinery'!$G$8</definedName>
    <definedName name="PM_BitumenEmulsionPressureDistributor">'[31]Plant &amp;  Machinery'!$G$10</definedName>
    <definedName name="PM_ConcreteMixer">'[31]Plant &amp;  Machinery'!$G$11</definedName>
    <definedName name="PM_Crane">'[31]Plant &amp;  Machinery'!$G$12</definedName>
    <definedName name="PM_Dozer_D50">'[31]Plant &amp;  Machinery'!$G$13</definedName>
    <definedName name="PM_ElectricGeneratorSet_125">'[31]Plant &amp;  Machinery'!$G$15</definedName>
    <definedName name="PM_FrontEndLoader_1cum">'[31]Plant &amp;  Machinery'!$G$17</definedName>
    <definedName name="PM_HydraulicBroom">'[31]Plant &amp;  Machinery'!$G$19</definedName>
    <definedName name="PM_HydraulicExcavator_09cum">'[31]Plant &amp;  Machinery'!$G$20</definedName>
    <definedName name="PM_HydraulicSelfPropelledChipSpreader">'[31]Plant &amp;  Machinery'!$G$21</definedName>
    <definedName name="PM_JackHammer">'[31]Plant &amp;  Machinery'!$G$22</definedName>
    <definedName name="PM_JointCuttingMachine">'[31]Plant &amp;  Machinery'!$G$23</definedName>
    <definedName name="PM_Mixall_6_10t">'[31]Plant &amp;  Machinery'!$G$24</definedName>
    <definedName name="PM_MotorGrader">'[31]Plant &amp;  Machinery'!$G$25</definedName>
    <definedName name="PM_NeedleVibrator">'[31]Plant &amp;  Machinery'!$G$27</definedName>
    <definedName name="PM_PaverFinisher">'[31]Plant &amp;  Machinery'!$G$28</definedName>
    <definedName name="PM_PlateCompactor">'[31]Plant &amp;  Machinery'!$G$29</definedName>
    <definedName name="PM_PlateVibrator">'[31]Plant &amp;  Machinery'!$G$30</definedName>
    <definedName name="PM_ScreedVibrator">'[31]Plant &amp;  Machinery'!$G$31</definedName>
    <definedName name="PM_StoneCrusher_200TPH">'[31]Plant &amp;  Machinery'!$G$33</definedName>
    <definedName name="PM_ThreeWheeled_80_100kN_StaticRoller">'[31]Plant &amp;  Machinery'!$G$34</definedName>
    <definedName name="PM_Tipper_55">'[31]Plant &amp;  Machinery'!$G$45</definedName>
    <definedName name="PM_Tractor_DiscHarrows">'[31]Plant &amp;  Machinery'!$G$46</definedName>
    <definedName name="PM_Tractor_Ripper">'[31]Plant &amp;  Machinery'!$G$47</definedName>
    <definedName name="PM_Tractor_Rotavator">'[31]Plant &amp;  Machinery'!$G$49</definedName>
    <definedName name="PM_Tractor_Trolley">'[31]Plant &amp;  Machinery'!$G$48</definedName>
    <definedName name="PM_Truck">'[31]Plant &amp;  Machinery'!$G$50</definedName>
    <definedName name="PM_VibratoryRoller_80_100kN">'[31]Plant &amp;  Machinery'!$G$51</definedName>
    <definedName name="PM_WaterTanker_6kl">'[31]Plant &amp;  Machinery'!$G$53</definedName>
    <definedName name="PM_WetMixPlant_or_PugMill">'[31]Plant &amp;  Machinery'!$G$54</definedName>
    <definedName name="pp">#REF!</definedName>
    <definedName name="PPP">'[37]IV(R)'!#REF!</definedName>
    <definedName name="pppp">#REF!</definedName>
    <definedName name="ppppp">#REF!</definedName>
    <definedName name="_xlnm.Print_Area">#REF!</definedName>
    <definedName name="Print_Area_MI">#REF!</definedName>
    <definedName name="Print_Title">#REF!</definedName>
    <definedName name="_xlnm.Print_Titles">#N/A</definedName>
    <definedName name="PROJECT_BRIDGE">#REF!</definedName>
    <definedName name="PROJECT_ROAD">#REF!</definedName>
    <definedName name="Q_CD_EW">#REF!</definedName>
    <definedName name="Q_CD_M10_BODY">#REF!</definedName>
    <definedName name="Q_CD_M10_FOUN">#REF!</definedName>
    <definedName name="Q_EW_F">'[7]road est'!$H$11</definedName>
    <definedName name="Q_EW_S">'[7]road est'!$H$7</definedName>
    <definedName name="Q_GRAVEL_SHOLDERS">'[7]road est'!#REF!</definedName>
    <definedName name="Q_GSB">'[7]road est'!$H$15</definedName>
    <definedName name="q_pick">'[7]road est'!#REF!</definedName>
    <definedName name="Q_SCSD">'[7]road est'!$H$28</definedName>
    <definedName name="Q_SDBC">'[7]road est'!$H$36</definedName>
    <definedName name="Q_TACK">'[7]road est'!$H$32</definedName>
    <definedName name="Q_WBM2">'[7]road est'!$H$20</definedName>
    <definedName name="Q_WBM3">'[7]road est'!$H$24</definedName>
    <definedName name="R_BM">'[7]Road data'!#REF!</definedName>
    <definedName name="R_Diversion_Road">'[7]Road data'!#REF!</definedName>
    <definedName name="R_EW_Car">'[7]Road data'!#REF!</definedName>
    <definedName name="R_EW_FMC_Car">'[7]Road data'!$K$37</definedName>
    <definedName name="R_EW_FMC_Side">'[7]Road data'!$K$18</definedName>
    <definedName name="R_EW_Man">'[7]Road data'!$K$281</definedName>
    <definedName name="R_EW_OMC_Car">'[7]Road data'!#REF!</definedName>
    <definedName name="R_EW_OMC_Side">'[7]Road data'!#REF!</definedName>
    <definedName name="R_EW_Trench">'[7]Road data'!#REF!</definedName>
    <definedName name="R_Gravel_between">'[7]Road data'!$K$364</definedName>
    <definedName name="R_Gravel_Pipebedding">'[7]Road data'!$K$330</definedName>
    <definedName name="R_Gravel_Quardrent">'[7]Road data'!#REF!</definedName>
    <definedName name="R_GravelShoulders">'[7]Road data'!$K$273</definedName>
    <definedName name="R_GSB">'[7]Road data'!$K$68</definedName>
    <definedName name="R_HP_600">'[7]Road data'!$K$341</definedName>
    <definedName name="R_HP_800">'[7]Road data'!#REF!</definedName>
    <definedName name="R_HPL_600">'[7]Road data'!$K$353</definedName>
    <definedName name="R_HPL_800">'[7]Road data'!#REF!</definedName>
    <definedName name="R_HYSD_Super">'[7]Road data'!#REF!</definedName>
    <definedName name="R_M10_base">'[7]Road data'!#REF!</definedName>
    <definedName name="R_M10_bCC">'[7]Road data'!#REF!</definedName>
    <definedName name="R_M10_bodywalls">'[7]Road data'!$K$317</definedName>
    <definedName name="R_M10_drains">'[7]Road data'!#REF!</definedName>
    <definedName name="R_M10_found">'[7]Road data'!$K$306</definedName>
    <definedName name="R_M15_dividers">'[7]Road data'!#REF!</definedName>
    <definedName name="R_M15_footing">'[7]Road data'!#REF!</definedName>
    <definedName name="R_M15_SUB">'[7]Road data'!#REF!</definedName>
    <definedName name="R_M20_BedBack">'[7]Road data'!#REF!</definedName>
    <definedName name="R_M20_COVER">'[7]Road data'!#REF!</definedName>
    <definedName name="R_M20_DECKSLAB">'[7]Road data'!#REF!</definedName>
    <definedName name="R_M25_ApproachSlab">'[7]Road data'!#REF!</definedName>
    <definedName name="R_M30_WC">'[7]Road data'!#REF!</definedName>
    <definedName name="R_M35_CC">'[7]Road data'!#REF!</definedName>
    <definedName name="R_M35_FlyAsh">'[7]Road data'!#REF!</definedName>
    <definedName name="R_Mild">'[7]Road data'!#REF!</definedName>
    <definedName name="R_Painting">'[7]Road data'!#REF!</definedName>
    <definedName name="R_Pick">'[34]Road data'!$K$88</definedName>
    <definedName name="R_Plastering">'[7]Road data'!#REF!</definedName>
    <definedName name="R_Rev_A300">'[7]Road data'!#REF!</definedName>
    <definedName name="R_Rev_Q300">'[7]Road data'!#REF!</definedName>
    <definedName name="R_SandFILLING">'[7]Road data'!#REF!</definedName>
    <definedName name="R_Scar_BT">'[7]Road data'!#REF!</definedName>
    <definedName name="R_Scar_GSB">'[7]Road data'!#REF!</definedName>
    <definedName name="R_SCSD_6070">'[7]Road data'!$K$194</definedName>
    <definedName name="R_SCSD_80100">'[34]Road data'!#REF!</definedName>
    <definedName name="R_SDBC">'[7]Road data'!$K$256</definedName>
    <definedName name="R_Tack">'[7]Road data'!$K$218</definedName>
    <definedName name="R_WBM2">'[7]Road data'!#REF!</definedName>
    <definedName name="R_WBM2_HS">'[7]Road data'!$K$106</definedName>
    <definedName name="R_WBM2_HVR">'[7]Road data'!#REF!</definedName>
    <definedName name="R_WBM2_MCS">'[7]Road data'!#REF!</definedName>
    <definedName name="R_WBM3">'[7]Road data'!#REF!</definedName>
    <definedName name="R_WBM3_HS">'[7]Road data'!$K$132</definedName>
    <definedName name="R_WBM3_HVR">'[7]Road data'!#REF!</definedName>
    <definedName name="R_WBM3_MCS">'[7]Road data'!#REF!</definedName>
    <definedName name="R_Weepholes">'[7]Road data'!#REF!</definedName>
    <definedName name="R_WMM">'[7]Road data'!#REF!</definedName>
    <definedName name="Rampura">#REF!</definedName>
    <definedName name="RATE">#REF!</definedName>
    <definedName name="RATES">#REF!</definedName>
    <definedName name="Ravi">[16]MS1!#REF!</definedName>
    <definedName name="RBLBD">#REF!</definedName>
    <definedName name="RECV">'[7]abs road'!$K$39</definedName>
    <definedName name="REGION">#REF!</definedName>
    <definedName name="Resorvior">'[38]RT Short'!#REF!</definedName>
    <definedName name="rt">#REF!</definedName>
    <definedName name="S_40">[7]RMR!$L$20</definedName>
    <definedName name="SAND_M">[7]RMR!$L$26</definedName>
    <definedName name="sarkna">#REF!</definedName>
    <definedName name="sav">#REF!</definedName>
    <definedName name="sch.1">#REF!</definedName>
    <definedName name="sd" hidden="1">{#N/A,#N/A,FALSE,"no"}</definedName>
    <definedName name="sheet">'[39]Sent NHO'!#REF!</definedName>
    <definedName name="sheet2">#REF!</definedName>
    <definedName name="SP_BM">'[7]Road data'!#REF!</definedName>
    <definedName name="SP_Diversion_Road">'[7]Road data'!#REF!</definedName>
    <definedName name="SP_EW_Car">'[7]Road data'!#REF!</definedName>
    <definedName name="SP_EW_FMC_Side">'[7]Road data'!$C$3</definedName>
    <definedName name="SP_EW_Man">'[34]Road data'!#REF!</definedName>
    <definedName name="SP_EW_OMC_Car">'[7]Road data'!#REF!</definedName>
    <definedName name="SP_EW_OMC_Side">'[7]Road data'!#REF!</definedName>
    <definedName name="SP_EW_Treckactr">'[40]Road data'!#REF!</definedName>
    <definedName name="SP_EW_Trench">'[7]Road data'!#REF!</definedName>
    <definedName name="SP_Gravel_Quardrent">'[7]Road data'!#REF!</definedName>
    <definedName name="SP_HP_800">'[7]Road data'!#REF!</definedName>
    <definedName name="SP_HPL_800">'[7]Road data'!#REF!</definedName>
    <definedName name="SP_HYSD_Super">'[7]Road data'!#REF!</definedName>
    <definedName name="SP_M10_base">'[7]Road data'!#REF!</definedName>
    <definedName name="sp_M10_bCC">'[7]Road data'!#REF!</definedName>
    <definedName name="SP_M10_drainS">'[7]Road data'!#REF!</definedName>
    <definedName name="SP_M15_deviders">'[7]Road data'!#REF!</definedName>
    <definedName name="SP_M15_footing">'[7]Road data'!#REF!</definedName>
    <definedName name="SP_M15_SUB">'[7]Road data'!#REF!</definedName>
    <definedName name="SP_M20_BedBack">'[7]Road data'!#REF!</definedName>
    <definedName name="SP_M20_COVER">'[7]Road data'!#REF!</definedName>
    <definedName name="SP_M20_Slab">'[7]Road data'!#REF!</definedName>
    <definedName name="SP_M25_ApproachSlab">'[7]Road data'!#REF!</definedName>
    <definedName name="SP_M30_WC">'[7]Road data'!#REF!</definedName>
    <definedName name="SP_M35_CC">'[7]Road data'!#REF!</definedName>
    <definedName name="SP_M35_FlyAsh">'[7]Road data'!#REF!</definedName>
    <definedName name="SP_Mild">'[7]Road data'!#REF!</definedName>
    <definedName name="SP_Painting">'[7]Road data'!#REF!</definedName>
    <definedName name="SP_Pick">'[34]Road data'!$C$79</definedName>
    <definedName name="SP_Plastering">'[7]Road data'!#REF!</definedName>
    <definedName name="SP_Rev_A300">'[7]Road data'!#REF!</definedName>
    <definedName name="SP_Rev_Q300">'[7]Road data'!#REF!</definedName>
    <definedName name="SP_Sandfilling">'[7]Road data'!#REF!</definedName>
    <definedName name="SP_Scar_BT">'[7]Road data'!#REF!</definedName>
    <definedName name="SP_Scar_GSB">'[7]Road data'!#REF!</definedName>
    <definedName name="SP_SCSD_80100">'[34]Road data'!#REF!</definedName>
    <definedName name="SP_WBM2">'[7]Road data'!#REF!</definedName>
    <definedName name="SP_WBM2_HS">'[7]Road data'!$C$81</definedName>
    <definedName name="SP_WBM2_HVR">'[7]Road data'!#REF!</definedName>
    <definedName name="SP_WBM2_MCS">'[7]Road data'!#REF!</definedName>
    <definedName name="SP_WBM2_MVR">'[7]Road data'!#REF!</definedName>
    <definedName name="SP_WBM3">'[7]Road data'!#REF!</definedName>
    <definedName name="SP_WBM3_HS">'[7]Road data'!$C$108</definedName>
    <definedName name="SP_WBM3_HVR">'[7]Road data'!#REF!</definedName>
    <definedName name="SP_WBM3_MCS">'[7]Road data'!#REF!</definedName>
    <definedName name="SP_Weepholes">'[7]Road data'!#REF!</definedName>
    <definedName name="SP_WMM">'[7]Road data'!#REF!</definedName>
    <definedName name="ss" hidden="1">{#N/A,#N/A,FALSE,"no"}</definedName>
    <definedName name="sss">#REF!</definedName>
    <definedName name="sumana">#REF!</definedName>
    <definedName name="table">'[39]Sent NHO'!#REF!</definedName>
    <definedName name="Table_Md">'[14]Back_Cal_for OMC'!$G$7:$J$7</definedName>
    <definedName name="Table_Wt">'[14]Back_Cal_for OMC'!#REF!</definedName>
    <definedName name="TABLES">#REF!</definedName>
    <definedName name="TAEW">'[7]abs road'!$J$6</definedName>
    <definedName name="TAWBM">'[7]abs road'!$J$17</definedName>
    <definedName name="TECV">[7]ECV!$B$10</definedName>
    <definedName name="Total">#REF!</definedName>
    <definedName name="TQEW">'[7]road est'!$J$7</definedName>
    <definedName name="TQWBM">'[7]road est'!$J$15</definedName>
    <definedName name="ty">#REF!</definedName>
    <definedName name="uday">#REF!</definedName>
    <definedName name="wardhac">'[41]Letter-space-5(12)'!#REF!</definedName>
    <definedName name="wrn.detailed." hidden="1">{#N/A,#N/A,FALSE,"no"}</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L2479" i="1" l="1"/>
  <c r="AL2478" i="1"/>
  <c r="AL2477" i="1"/>
  <c r="AL2476" i="1"/>
  <c r="AL2475" i="1"/>
  <c r="AL2474" i="1"/>
  <c r="AL2473" i="1"/>
  <c r="AL2472" i="1"/>
  <c r="AL2471" i="1"/>
  <c r="AL2470" i="1"/>
  <c r="AL2469" i="1"/>
  <c r="AL2468" i="1"/>
  <c r="AL2467" i="1"/>
  <c r="AL2466" i="1"/>
  <c r="AL2465" i="1"/>
  <c r="AL2464" i="1"/>
  <c r="AL2463" i="1"/>
  <c r="AL2462" i="1"/>
  <c r="AL2461" i="1"/>
  <c r="AL2460" i="1"/>
  <c r="D2460" i="1"/>
  <c r="AL2459" i="1"/>
  <c r="AL2458" i="1"/>
  <c r="R2458" i="1"/>
  <c r="AL2457" i="1"/>
  <c r="AL2456" i="1"/>
  <c r="R2456" i="1"/>
  <c r="AL2455" i="1"/>
  <c r="AL2454" i="1"/>
  <c r="R2454" i="1"/>
  <c r="AL2453" i="1"/>
  <c r="AL2452" i="1"/>
  <c r="AL2451" i="1"/>
  <c r="AL2450" i="1"/>
  <c r="AL2449" i="1"/>
  <c r="AL2448" i="1"/>
  <c r="AL2447" i="1"/>
  <c r="AL2446" i="1"/>
  <c r="AL2445" i="1"/>
  <c r="AL2444" i="1"/>
  <c r="AL2443" i="1"/>
  <c r="AL2442" i="1"/>
  <c r="AL2441" i="1"/>
  <c r="AL2440" i="1"/>
  <c r="AL2439" i="1"/>
  <c r="AL2438" i="1"/>
  <c r="AL2437" i="1"/>
  <c r="AL2436" i="1"/>
  <c r="AL2435" i="1"/>
  <c r="AL2434" i="1"/>
  <c r="AL2433" i="1"/>
  <c r="AL2432" i="1"/>
  <c r="AL2431" i="1"/>
  <c r="AL2430" i="1"/>
  <c r="AL2429" i="1"/>
  <c r="AL2428" i="1"/>
  <c r="AL2427" i="1"/>
  <c r="AL2426" i="1"/>
  <c r="AL2425" i="1"/>
  <c r="AL2424" i="1"/>
  <c r="AL2423" i="1"/>
  <c r="AL2422" i="1"/>
  <c r="AL2421" i="1"/>
  <c r="AL2420" i="1"/>
  <c r="AL2419" i="1"/>
  <c r="AL2418" i="1"/>
  <c r="AL2417" i="1"/>
  <c r="AL2416" i="1"/>
  <c r="AL2415" i="1"/>
  <c r="AL2414" i="1"/>
  <c r="AL2413" i="1"/>
  <c r="AL2412" i="1"/>
  <c r="AL2411" i="1"/>
  <c r="AL2410" i="1"/>
  <c r="AL2409" i="1"/>
  <c r="AL2408" i="1"/>
  <c r="AL2407" i="1"/>
  <c r="AL2406" i="1"/>
  <c r="AL2405" i="1"/>
  <c r="AL2404" i="1"/>
  <c r="AL2403" i="1"/>
  <c r="AL2402" i="1"/>
  <c r="AL2401" i="1"/>
  <c r="AL2400" i="1"/>
  <c r="AL2399" i="1"/>
  <c r="AL2398" i="1"/>
  <c r="AL2397" i="1"/>
  <c r="AL2396" i="1"/>
  <c r="AL2395" i="1"/>
  <c r="AL2394" i="1"/>
  <c r="AL2393" i="1"/>
  <c r="AL2392" i="1"/>
  <c r="AL2391" i="1"/>
  <c r="AL2390" i="1"/>
  <c r="AL2389" i="1"/>
  <c r="AL2388" i="1"/>
  <c r="AL2387" i="1"/>
  <c r="AL2386" i="1"/>
  <c r="AL2385" i="1"/>
  <c r="AL2384" i="1"/>
  <c r="AL2383" i="1"/>
  <c r="AL2382" i="1"/>
  <c r="AL2381" i="1"/>
  <c r="AL2380" i="1"/>
  <c r="AL2379" i="1"/>
  <c r="AL2378" i="1"/>
  <c r="AL2377" i="1"/>
  <c r="AL2376" i="1"/>
  <c r="AL2375" i="1"/>
  <c r="AL2374" i="1"/>
  <c r="AL2373" i="1"/>
  <c r="AL2372" i="1"/>
  <c r="AL2371" i="1"/>
  <c r="AL2370" i="1"/>
  <c r="AL2369" i="1"/>
  <c r="AL2368" i="1"/>
  <c r="AL2367" i="1"/>
  <c r="AL2366" i="1"/>
  <c r="AL2365" i="1"/>
  <c r="AL2364" i="1"/>
  <c r="AL2363" i="1"/>
  <c r="AL2362" i="1"/>
  <c r="AL2361" i="1"/>
  <c r="AL2360" i="1"/>
  <c r="AL2359" i="1"/>
  <c r="AL2358" i="1"/>
  <c r="AL2357" i="1"/>
  <c r="AL2356" i="1"/>
  <c r="AL2355" i="1"/>
  <c r="AL2354" i="1"/>
  <c r="AL2353" i="1"/>
  <c r="AL2352" i="1"/>
  <c r="AL2351" i="1"/>
  <c r="AL2350" i="1"/>
  <c r="AL2349" i="1"/>
  <c r="AL2348" i="1"/>
  <c r="AL2347" i="1"/>
  <c r="AL2346" i="1"/>
  <c r="AL2345" i="1"/>
  <c r="AL2344" i="1"/>
  <c r="AL2343" i="1"/>
  <c r="AL2342" i="1"/>
  <c r="AL2341" i="1"/>
  <c r="AL2340" i="1"/>
  <c r="AL2339" i="1"/>
  <c r="AL2338" i="1"/>
  <c r="AL2337" i="1"/>
  <c r="AL2336" i="1"/>
  <c r="AL2335" i="1"/>
  <c r="AL2334" i="1"/>
  <c r="AL2333" i="1"/>
  <c r="AL2332" i="1"/>
  <c r="AL2331" i="1"/>
  <c r="AL2330" i="1"/>
  <c r="AL2329" i="1"/>
  <c r="AL2328" i="1"/>
  <c r="AL2327" i="1"/>
  <c r="AL2326" i="1"/>
  <c r="AL2325" i="1"/>
  <c r="AL2324" i="1"/>
  <c r="AL2323" i="1"/>
  <c r="AL2322" i="1"/>
  <c r="AL2321" i="1"/>
  <c r="AL2320" i="1"/>
  <c r="AL2319" i="1"/>
  <c r="AL2318" i="1"/>
  <c r="AL2317" i="1"/>
  <c r="AL2316" i="1"/>
  <c r="AL2315" i="1"/>
  <c r="AL2314" i="1"/>
  <c r="AL2313" i="1"/>
  <c r="AL2312" i="1"/>
  <c r="AL2311" i="1"/>
  <c r="AL2310" i="1"/>
  <c r="AL2309" i="1"/>
  <c r="AL2308" i="1"/>
  <c r="AL2307" i="1"/>
  <c r="AL2306" i="1"/>
  <c r="AL2305" i="1"/>
  <c r="AL2304" i="1"/>
  <c r="AL2303" i="1"/>
  <c r="AL2302" i="1"/>
  <c r="AL2301" i="1"/>
  <c r="AL2300" i="1"/>
  <c r="AL2299" i="1"/>
  <c r="AL2298" i="1"/>
  <c r="AL2297" i="1"/>
  <c r="AL2296" i="1"/>
  <c r="AL2295" i="1"/>
  <c r="AL2294" i="1"/>
  <c r="AL2293" i="1"/>
  <c r="AL2292" i="1"/>
  <c r="AL2291" i="1"/>
  <c r="AL2290" i="1"/>
  <c r="AL2289" i="1"/>
  <c r="AL2288" i="1"/>
  <c r="AL2287" i="1"/>
  <c r="AL2286" i="1"/>
  <c r="AL2285" i="1"/>
  <c r="AL2284" i="1"/>
  <c r="AL2283" i="1"/>
  <c r="AL2282" i="1"/>
  <c r="AL2281" i="1"/>
  <c r="AL2280" i="1"/>
  <c r="AL2279" i="1"/>
  <c r="AL2278" i="1"/>
  <c r="AL2277" i="1"/>
  <c r="AL2276" i="1"/>
  <c r="AL2275" i="1"/>
  <c r="AL2274" i="1"/>
  <c r="AL2273" i="1"/>
  <c r="AL2272" i="1"/>
  <c r="AL2271" i="1"/>
  <c r="AL2270" i="1"/>
  <c r="AL2269" i="1"/>
  <c r="AL2268" i="1"/>
  <c r="AL2267" i="1"/>
  <c r="AL2266" i="1"/>
  <c r="AL2265" i="1"/>
  <c r="AL2264" i="1"/>
  <c r="P2264" i="1"/>
  <c r="J2264" i="1"/>
  <c r="AL2263" i="1"/>
  <c r="AL2262" i="1"/>
  <c r="AL2261" i="1"/>
  <c r="AL2260" i="1"/>
  <c r="AL2259" i="1"/>
  <c r="AL2258" i="1"/>
  <c r="AL2257" i="1"/>
  <c r="AL2256" i="1"/>
  <c r="AL2255" i="1"/>
  <c r="AL2254" i="1"/>
  <c r="AL2253" i="1"/>
  <c r="AL2252" i="1"/>
  <c r="AL2251" i="1"/>
  <c r="AL2250" i="1"/>
  <c r="AL2249" i="1"/>
  <c r="AL2248" i="1"/>
  <c r="AL2247" i="1"/>
  <c r="AL2246" i="1"/>
  <c r="AL2245" i="1"/>
  <c r="AL2244" i="1"/>
  <c r="AL2243" i="1"/>
  <c r="AL2242" i="1"/>
  <c r="AL2241" i="1"/>
  <c r="AL2240" i="1"/>
  <c r="AL2239" i="1"/>
  <c r="AL2238" i="1"/>
  <c r="AL2237" i="1"/>
  <c r="AL2236" i="1"/>
  <c r="AL2235" i="1"/>
  <c r="AL2234" i="1"/>
  <c r="AL2233" i="1"/>
  <c r="AL2232" i="1"/>
  <c r="AL2231" i="1"/>
  <c r="AL2230" i="1"/>
  <c r="AL2229" i="1"/>
  <c r="AL2228" i="1"/>
  <c r="AL2227" i="1"/>
  <c r="AL2226" i="1"/>
  <c r="AL2225" i="1"/>
  <c r="AL2224" i="1"/>
  <c r="AL2223" i="1"/>
  <c r="AL2222" i="1"/>
  <c r="AL2221" i="1"/>
  <c r="AL2220" i="1"/>
  <c r="AL2219" i="1"/>
  <c r="AL2218" i="1"/>
  <c r="AL2217" i="1"/>
  <c r="AL2216" i="1"/>
  <c r="AL2215" i="1"/>
  <c r="AL2214" i="1"/>
  <c r="AL2213" i="1"/>
  <c r="AL2212" i="1"/>
  <c r="AL2211" i="1"/>
  <c r="AL2210" i="1"/>
  <c r="AL2209" i="1"/>
  <c r="AL2208" i="1"/>
  <c r="AL2207" i="1"/>
  <c r="AL2206" i="1"/>
  <c r="AL2205" i="1"/>
  <c r="AL2204" i="1"/>
  <c r="AL2203" i="1"/>
  <c r="AL2202" i="1"/>
  <c r="AL2201" i="1"/>
  <c r="AL2200" i="1"/>
  <c r="AL2199" i="1"/>
  <c r="AL2198" i="1"/>
  <c r="AL2197" i="1"/>
  <c r="AL2196" i="1"/>
  <c r="AL2195" i="1"/>
  <c r="AL2194" i="1"/>
  <c r="AL2193" i="1"/>
  <c r="AL2192" i="1"/>
  <c r="AL2191" i="1"/>
  <c r="AL2190" i="1"/>
  <c r="AL2189" i="1"/>
  <c r="AL2188" i="1"/>
  <c r="AL2187" i="1"/>
  <c r="AL2186" i="1"/>
  <c r="AL2185" i="1"/>
  <c r="AL2184" i="1"/>
  <c r="AL2183" i="1"/>
  <c r="AL2182" i="1"/>
  <c r="AL2181" i="1"/>
  <c r="AL2180" i="1"/>
  <c r="AL2179" i="1"/>
  <c r="AL2178" i="1"/>
  <c r="AL2177" i="1"/>
  <c r="AL2176" i="1"/>
  <c r="AL2175" i="1"/>
  <c r="AL2174" i="1"/>
  <c r="AL2173" i="1"/>
  <c r="AL2172" i="1"/>
  <c r="AL2171" i="1"/>
  <c r="AL2170" i="1"/>
  <c r="AL2169" i="1"/>
  <c r="AL2168" i="1"/>
  <c r="AL2167" i="1"/>
  <c r="AL2166" i="1"/>
  <c r="AL2165" i="1"/>
  <c r="AL2164" i="1"/>
  <c r="AL2163" i="1"/>
  <c r="AL2162" i="1"/>
  <c r="AL2161" i="1"/>
  <c r="AL2160" i="1"/>
  <c r="AL2159" i="1"/>
  <c r="AL2158" i="1"/>
  <c r="AL2157" i="1"/>
  <c r="AL2156" i="1"/>
  <c r="AL2155" i="1"/>
  <c r="AL2154" i="1"/>
  <c r="AL2153" i="1"/>
  <c r="AL2152" i="1"/>
  <c r="AL2151" i="1"/>
  <c r="AL2150" i="1"/>
  <c r="AL2149" i="1"/>
  <c r="AL2148" i="1"/>
  <c r="AL2147" i="1"/>
  <c r="AL2146" i="1"/>
  <c r="AL2145" i="1"/>
  <c r="AL2144" i="1"/>
  <c r="AL2143" i="1"/>
  <c r="AL2142" i="1"/>
  <c r="AL2141" i="1"/>
  <c r="AL2140" i="1"/>
  <c r="AL2139" i="1"/>
  <c r="AL2138" i="1"/>
  <c r="AL2137" i="1"/>
  <c r="AL2136" i="1"/>
  <c r="AL2135" i="1"/>
  <c r="AL2134" i="1"/>
  <c r="AL2133" i="1"/>
  <c r="AL2132" i="1"/>
  <c r="AL2131" i="1"/>
  <c r="AL2130" i="1"/>
  <c r="AL2129" i="1"/>
  <c r="AL2128" i="1"/>
  <c r="AL2127" i="1"/>
  <c r="AL2126" i="1"/>
  <c r="AL2125" i="1"/>
  <c r="AL2124" i="1"/>
  <c r="AL2123" i="1"/>
  <c r="AL2122" i="1"/>
  <c r="AL2121" i="1"/>
  <c r="AL2120" i="1"/>
  <c r="AL2119" i="1"/>
  <c r="AL2118" i="1"/>
  <c r="AL2117" i="1"/>
  <c r="AL2116" i="1"/>
  <c r="AL2115" i="1"/>
  <c r="AL2114" i="1"/>
  <c r="AL2113" i="1"/>
  <c r="AL2112" i="1"/>
  <c r="AL2111" i="1"/>
  <c r="AL2110" i="1"/>
  <c r="AL2109" i="1"/>
  <c r="AL2108" i="1"/>
  <c r="AL2107" i="1"/>
  <c r="AL2106" i="1"/>
  <c r="AL2105" i="1"/>
  <c r="AL2104" i="1"/>
  <c r="AL2103" i="1"/>
  <c r="AL2102" i="1"/>
  <c r="AL2101" i="1"/>
  <c r="AL2100" i="1"/>
  <c r="AL2099" i="1"/>
  <c r="AL2098" i="1"/>
  <c r="AL2097" i="1"/>
  <c r="AL2096" i="1"/>
  <c r="AL2095" i="1"/>
  <c r="AL2094" i="1"/>
  <c r="AL2093" i="1"/>
  <c r="AL2092" i="1"/>
  <c r="AL2091" i="1"/>
  <c r="AL2090" i="1"/>
  <c r="AL2089" i="1"/>
  <c r="AL2088" i="1"/>
  <c r="AL2087" i="1"/>
  <c r="AL2086" i="1"/>
  <c r="AL2085" i="1"/>
  <c r="AL2084" i="1"/>
  <c r="AL2083" i="1"/>
  <c r="AL2082" i="1"/>
  <c r="AL2081" i="1"/>
  <c r="AL2080" i="1"/>
  <c r="AL2079" i="1"/>
  <c r="AL2078" i="1"/>
  <c r="AL2077" i="1"/>
  <c r="AL2076" i="1"/>
  <c r="AL2075" i="1"/>
  <c r="AL2074" i="1"/>
  <c r="AL2073" i="1"/>
  <c r="AL2072" i="1"/>
  <c r="AL2071" i="1"/>
  <c r="AL2070" i="1"/>
  <c r="AL2069" i="1"/>
  <c r="AL2068" i="1"/>
  <c r="AL2067" i="1"/>
  <c r="AL2066" i="1"/>
  <c r="AL2065" i="1"/>
  <c r="AL2064" i="1"/>
  <c r="AL2063" i="1"/>
  <c r="AL2062" i="1"/>
  <c r="AL2061" i="1"/>
  <c r="AL2060" i="1"/>
  <c r="AL2059" i="1"/>
  <c r="AL2058" i="1"/>
  <c r="AL2057" i="1"/>
  <c r="AL2056" i="1"/>
  <c r="AL2055" i="1"/>
  <c r="AL2054" i="1"/>
  <c r="AL2053" i="1"/>
  <c r="AL2052" i="1"/>
  <c r="AL2051" i="1"/>
  <c r="AL2050" i="1"/>
  <c r="AL2049" i="1"/>
  <c r="AL2048" i="1"/>
  <c r="AL2047" i="1"/>
  <c r="AL2046" i="1"/>
  <c r="AL2045" i="1"/>
  <c r="AL2044" i="1"/>
  <c r="AL2043" i="1"/>
  <c r="AL2042" i="1"/>
  <c r="AL2041" i="1"/>
  <c r="AL2040" i="1"/>
  <c r="AL2039" i="1"/>
  <c r="AL2038" i="1"/>
  <c r="AL2037" i="1"/>
  <c r="AL2036" i="1"/>
  <c r="AL2035" i="1"/>
  <c r="AL2034" i="1"/>
  <c r="AL2033" i="1"/>
  <c r="AL2032" i="1"/>
  <c r="AL2031" i="1"/>
  <c r="AL2030" i="1"/>
  <c r="AL2029" i="1"/>
  <c r="AL2028" i="1"/>
  <c r="AL2027" i="1"/>
  <c r="AL2026" i="1"/>
  <c r="AL2025" i="1"/>
  <c r="AL2024" i="1"/>
  <c r="AL2023" i="1"/>
  <c r="AL2022" i="1"/>
  <c r="AL2021" i="1"/>
  <c r="AL2020" i="1"/>
  <c r="AL2019" i="1"/>
  <c r="AL2018" i="1"/>
  <c r="AL2017" i="1"/>
  <c r="AL2016" i="1"/>
  <c r="AL2015" i="1"/>
  <c r="AL2014" i="1"/>
  <c r="AL2013" i="1"/>
  <c r="AL2012" i="1"/>
  <c r="AL2011" i="1"/>
  <c r="AL2010" i="1"/>
  <c r="AL2009" i="1"/>
  <c r="AL2008" i="1"/>
  <c r="AL2007" i="1"/>
  <c r="AL2006" i="1"/>
  <c r="AL2005" i="1"/>
  <c r="AL2004" i="1"/>
  <c r="AL2003" i="1"/>
  <c r="AL2002" i="1"/>
  <c r="AL2001" i="1"/>
  <c r="AL2000" i="1"/>
  <c r="AL1999" i="1"/>
  <c r="AL1998" i="1"/>
  <c r="AL1997" i="1"/>
  <c r="AL1996" i="1"/>
  <c r="AL1995" i="1"/>
  <c r="AL1994" i="1"/>
  <c r="AL1993" i="1"/>
  <c r="AL1992" i="1"/>
  <c r="AL1991" i="1"/>
  <c r="AL1990" i="1"/>
  <c r="AL1989" i="1"/>
  <c r="AL1988" i="1"/>
  <c r="AL1987" i="1"/>
  <c r="AL1986" i="1"/>
  <c r="AL1985" i="1"/>
  <c r="AL1984" i="1"/>
  <c r="AL1983" i="1"/>
  <c r="AL1982" i="1"/>
  <c r="AL1981" i="1"/>
  <c r="AL1980" i="1"/>
  <c r="AL1979" i="1"/>
  <c r="AL1978" i="1"/>
  <c r="AL1977" i="1"/>
  <c r="AL1976" i="1"/>
  <c r="AL1975" i="1"/>
  <c r="AL1974" i="1"/>
  <c r="AL1973" i="1"/>
  <c r="AL1972" i="1"/>
  <c r="AL1971" i="1"/>
  <c r="AL1970" i="1"/>
  <c r="AL1969" i="1"/>
  <c r="AL1968" i="1"/>
  <c r="AL1967" i="1"/>
  <c r="AL1966" i="1"/>
  <c r="AL1965" i="1"/>
  <c r="AL1964" i="1"/>
  <c r="AL1963" i="1"/>
  <c r="AL1962" i="1"/>
  <c r="AL1961" i="1"/>
  <c r="AL1960" i="1"/>
  <c r="AL1959" i="1"/>
  <c r="AL1958" i="1"/>
  <c r="AL1957" i="1"/>
  <c r="AL1956" i="1"/>
  <c r="AL1955" i="1"/>
  <c r="AL1954" i="1"/>
  <c r="AL1953" i="1"/>
  <c r="AL1952" i="1"/>
  <c r="AL1951" i="1"/>
  <c r="AL1950" i="1"/>
  <c r="AL1949" i="1"/>
  <c r="AL1948" i="1"/>
  <c r="AL1947" i="1"/>
  <c r="AL1946" i="1"/>
  <c r="AL1945" i="1"/>
  <c r="AL1944" i="1"/>
  <c r="AL1943" i="1"/>
  <c r="AL1942" i="1"/>
  <c r="AL1941" i="1"/>
  <c r="AL1940" i="1"/>
  <c r="AL1939" i="1"/>
  <c r="AL1938" i="1"/>
  <c r="AL1937" i="1"/>
  <c r="AL1936" i="1"/>
  <c r="AL1935" i="1"/>
  <c r="AL1934" i="1"/>
  <c r="AL1933" i="1"/>
  <c r="AL1932" i="1"/>
  <c r="AL1931" i="1"/>
  <c r="AL1930" i="1"/>
  <c r="AL1929" i="1"/>
  <c r="AL1928" i="1"/>
  <c r="AL1927" i="1"/>
  <c r="AL1926" i="1"/>
  <c r="AL1925" i="1"/>
  <c r="AL1924" i="1"/>
  <c r="AL1923" i="1"/>
  <c r="AL1922" i="1"/>
  <c r="AL1921" i="1"/>
  <c r="AL1920" i="1"/>
  <c r="AL1919" i="1"/>
  <c r="AL1918" i="1"/>
  <c r="AL1917" i="1"/>
  <c r="AL1916" i="1"/>
  <c r="AL1915" i="1"/>
  <c r="AL1914" i="1"/>
  <c r="AL1913" i="1"/>
  <c r="AL1912" i="1"/>
  <c r="AL1911" i="1"/>
  <c r="AL1910" i="1"/>
  <c r="AL1909" i="1"/>
  <c r="AL1908" i="1"/>
  <c r="AL1907" i="1"/>
  <c r="AL1906" i="1"/>
  <c r="AL1905" i="1"/>
  <c r="AL1904" i="1"/>
  <c r="AL1903" i="1"/>
  <c r="AL1902" i="1"/>
  <c r="AL1901" i="1"/>
  <c r="AL1900" i="1"/>
  <c r="AL1899" i="1"/>
  <c r="J1899" i="1"/>
  <c r="AL1898" i="1"/>
  <c r="AL1897" i="1"/>
  <c r="AL1896" i="1"/>
  <c r="AL1895" i="1"/>
  <c r="AL1894" i="1"/>
  <c r="AL1893" i="1"/>
  <c r="AL1892" i="1"/>
  <c r="AL1891" i="1"/>
  <c r="AL1890" i="1"/>
  <c r="AL1889" i="1"/>
  <c r="AL1888" i="1"/>
  <c r="AL1887" i="1"/>
  <c r="AL1886" i="1"/>
  <c r="AL1885" i="1"/>
  <c r="AL1884" i="1"/>
  <c r="AL1883" i="1"/>
  <c r="AL1882" i="1"/>
  <c r="AL1881" i="1"/>
  <c r="AL1880" i="1"/>
  <c r="AL1879" i="1"/>
  <c r="AL1878" i="1"/>
  <c r="AL1877" i="1"/>
  <c r="AL1876" i="1"/>
  <c r="AL1875" i="1"/>
  <c r="AL1874" i="1"/>
  <c r="AL1873" i="1"/>
  <c r="AL1872" i="1"/>
  <c r="AL1871" i="1"/>
  <c r="AL1870" i="1"/>
  <c r="AL1869" i="1"/>
  <c r="AL1868" i="1"/>
  <c r="AL1867" i="1"/>
  <c r="AL1866" i="1"/>
  <c r="AL1865" i="1"/>
  <c r="AL1864" i="1"/>
  <c r="AL1863" i="1"/>
  <c r="AL1862" i="1"/>
  <c r="AL1861" i="1"/>
  <c r="AL1860" i="1"/>
  <c r="AL1859" i="1"/>
  <c r="AL1858" i="1"/>
  <c r="AL1857" i="1"/>
  <c r="AL1856" i="1"/>
  <c r="AL1855" i="1"/>
  <c r="AL1854" i="1"/>
  <c r="AL1853" i="1"/>
  <c r="AL1852" i="1"/>
  <c r="AL1851" i="1"/>
  <c r="AL1850" i="1"/>
  <c r="AL1849" i="1"/>
  <c r="AL1848" i="1"/>
  <c r="AL1847" i="1"/>
  <c r="AL1846" i="1"/>
  <c r="AL1845" i="1"/>
  <c r="AL1844" i="1"/>
  <c r="AL1843" i="1"/>
  <c r="AL1842" i="1"/>
  <c r="AL1841" i="1"/>
  <c r="AL1840" i="1"/>
  <c r="AL1839" i="1"/>
  <c r="AL1838" i="1"/>
  <c r="AL1837" i="1"/>
  <c r="AL1836" i="1"/>
  <c r="AL1835" i="1"/>
  <c r="AL1834" i="1"/>
  <c r="AL1833" i="1"/>
  <c r="AL1832" i="1"/>
  <c r="AL1831" i="1"/>
  <c r="AL1830" i="1"/>
  <c r="AL1829" i="1"/>
  <c r="AL1828" i="1"/>
  <c r="AL1827" i="1"/>
  <c r="AL1826" i="1"/>
  <c r="AL1825" i="1"/>
  <c r="AL1824" i="1"/>
  <c r="AL1823" i="1"/>
  <c r="AL1822" i="1"/>
  <c r="AL1821" i="1"/>
  <c r="AL1820" i="1"/>
  <c r="AL1819" i="1"/>
  <c r="AL1818" i="1"/>
  <c r="AL1817" i="1"/>
  <c r="AL1816" i="1"/>
  <c r="AL1815" i="1"/>
  <c r="AL1814" i="1"/>
  <c r="AL1813" i="1"/>
  <c r="AL1812" i="1"/>
  <c r="AL1811" i="1"/>
  <c r="AL1810" i="1"/>
  <c r="AL1809" i="1"/>
  <c r="AL1808" i="1"/>
  <c r="AL1807" i="1"/>
  <c r="AL1806" i="1"/>
  <c r="AL1805" i="1"/>
  <c r="AL1804" i="1"/>
  <c r="AL1803" i="1"/>
  <c r="AL1802" i="1"/>
  <c r="AL1801" i="1"/>
  <c r="AL1800" i="1"/>
  <c r="J1800" i="1"/>
  <c r="AL1799" i="1"/>
  <c r="AL1798" i="1"/>
  <c r="AL1797" i="1"/>
  <c r="AL1796" i="1"/>
  <c r="AL1795" i="1"/>
  <c r="AL1794" i="1"/>
  <c r="AL1793" i="1"/>
  <c r="AL1792" i="1"/>
  <c r="J1792" i="1"/>
  <c r="AL1791" i="1"/>
  <c r="AL1790" i="1"/>
  <c r="AL1789" i="1"/>
  <c r="AL1788" i="1"/>
  <c r="AL1787" i="1"/>
  <c r="AL1786" i="1"/>
  <c r="AL1785" i="1"/>
  <c r="AL1784" i="1"/>
  <c r="AL1783" i="1"/>
  <c r="AL1782" i="1"/>
  <c r="AL1781" i="1"/>
  <c r="AL1780" i="1"/>
  <c r="AL1779" i="1"/>
  <c r="AL1778" i="1"/>
  <c r="AL1777" i="1"/>
  <c r="AL1776" i="1"/>
  <c r="AL1775" i="1"/>
  <c r="AL1774" i="1"/>
  <c r="AL1773" i="1"/>
  <c r="AL1772" i="1"/>
  <c r="AL1771" i="1"/>
  <c r="AL1770" i="1"/>
  <c r="AL1769" i="1"/>
  <c r="AL1768" i="1"/>
  <c r="AL1767" i="1"/>
  <c r="AL1766" i="1"/>
  <c r="AL1765" i="1"/>
  <c r="AL1764" i="1"/>
  <c r="AL1763" i="1"/>
  <c r="AL1762" i="1"/>
  <c r="AL1761" i="1"/>
  <c r="AL1760" i="1"/>
  <c r="AL1759" i="1"/>
  <c r="AL1758" i="1"/>
  <c r="AL1757" i="1"/>
  <c r="AL1756" i="1"/>
  <c r="AL1755" i="1"/>
  <c r="AL1754" i="1"/>
  <c r="AL1753" i="1"/>
  <c r="AL1752" i="1"/>
  <c r="AL1751" i="1"/>
  <c r="AL1750" i="1"/>
  <c r="AL1749" i="1"/>
  <c r="AL1748" i="1"/>
  <c r="AL1747" i="1"/>
  <c r="AL1746" i="1"/>
  <c r="AL1745" i="1"/>
  <c r="AL1744" i="1"/>
  <c r="AL1743" i="1"/>
  <c r="AL1742" i="1"/>
  <c r="AL1741" i="1"/>
  <c r="AL1740" i="1"/>
  <c r="AL1739" i="1"/>
  <c r="AL1738" i="1"/>
  <c r="AL1737" i="1"/>
  <c r="AL1736" i="1"/>
  <c r="AL1735" i="1"/>
  <c r="AL1734" i="1"/>
  <c r="AL1733" i="1"/>
  <c r="AL1732" i="1"/>
  <c r="AL1731" i="1"/>
  <c r="AL1730" i="1"/>
  <c r="AL1729" i="1"/>
  <c r="AL1728" i="1"/>
  <c r="AL1727" i="1"/>
  <c r="AL1726" i="1"/>
  <c r="AL1725" i="1"/>
  <c r="AL1724" i="1"/>
  <c r="AL1723" i="1"/>
  <c r="AL1722" i="1"/>
  <c r="AL1721" i="1"/>
  <c r="AL1720" i="1"/>
  <c r="AL1719" i="1"/>
  <c r="AL1718" i="1"/>
  <c r="AL1717" i="1"/>
  <c r="AL1716" i="1"/>
  <c r="AL1715" i="1"/>
  <c r="AL1714" i="1"/>
  <c r="AL1713" i="1"/>
  <c r="AL1712" i="1"/>
  <c r="AL1711" i="1"/>
  <c r="AL1710" i="1"/>
  <c r="AL1709" i="1"/>
  <c r="AL1708" i="1"/>
  <c r="AL1707" i="1"/>
  <c r="AL1706" i="1"/>
  <c r="AL1705" i="1"/>
  <c r="AL1704" i="1"/>
  <c r="AL1703" i="1"/>
  <c r="AL1702" i="1"/>
  <c r="AL1701" i="1"/>
  <c r="AL1700" i="1"/>
  <c r="AL1699" i="1"/>
  <c r="AL1698" i="1"/>
  <c r="AL1697" i="1"/>
  <c r="AL1696" i="1"/>
  <c r="AL1695" i="1"/>
  <c r="AL1694" i="1"/>
  <c r="AL1693" i="1"/>
  <c r="AL1692" i="1"/>
  <c r="AL1691" i="1"/>
  <c r="AL1690" i="1"/>
  <c r="AL1689" i="1"/>
  <c r="AL1688" i="1"/>
  <c r="AL1687" i="1"/>
  <c r="AL1686" i="1"/>
  <c r="AL1685" i="1"/>
  <c r="AL1684" i="1"/>
  <c r="AL1683" i="1"/>
  <c r="AL1682" i="1"/>
  <c r="AL1681" i="1"/>
  <c r="AL1680" i="1"/>
  <c r="AL1679" i="1"/>
  <c r="AL1678" i="1"/>
  <c r="AL1677" i="1"/>
  <c r="AL1676" i="1"/>
  <c r="AL1675" i="1"/>
  <c r="AL1674" i="1"/>
  <c r="AL1673" i="1"/>
  <c r="AL1672" i="1"/>
  <c r="AL1671" i="1"/>
  <c r="AL1670" i="1"/>
  <c r="AL1669" i="1"/>
  <c r="AL1668" i="1"/>
  <c r="AL1667" i="1"/>
  <c r="AL1666" i="1"/>
  <c r="AL1665" i="1"/>
  <c r="AL1664" i="1"/>
  <c r="AL1663" i="1"/>
  <c r="AL1662" i="1"/>
  <c r="AL1661" i="1"/>
  <c r="AL1660" i="1"/>
  <c r="AL1659" i="1"/>
  <c r="AL1658" i="1"/>
  <c r="AL1657" i="1"/>
  <c r="AL1656" i="1"/>
  <c r="AL1655" i="1"/>
  <c r="AL1654" i="1"/>
  <c r="AL1653" i="1"/>
  <c r="AL1652" i="1"/>
  <c r="AL1651" i="1"/>
  <c r="AL1650" i="1"/>
  <c r="AL1649" i="1"/>
  <c r="AL1648" i="1"/>
  <c r="AL1647" i="1"/>
  <c r="AL1646" i="1"/>
  <c r="J1646" i="1"/>
  <c r="AL1645" i="1"/>
  <c r="AL1644" i="1"/>
  <c r="AL1643" i="1"/>
  <c r="AL1642" i="1"/>
  <c r="AL1641" i="1"/>
  <c r="AL1640" i="1"/>
  <c r="AL1639" i="1"/>
  <c r="J1639" i="1"/>
  <c r="AL1638" i="1"/>
  <c r="J1638" i="1"/>
  <c r="AL1637" i="1"/>
  <c r="J1637" i="1"/>
  <c r="AL1636" i="1"/>
  <c r="J1636" i="1"/>
  <c r="AL1635" i="1"/>
  <c r="J1635" i="1"/>
  <c r="AL1634" i="1"/>
  <c r="AL1633" i="1"/>
  <c r="AL1632" i="1"/>
  <c r="AL1631" i="1"/>
  <c r="AL1630" i="1"/>
  <c r="AL1629" i="1"/>
  <c r="AL1628" i="1"/>
  <c r="AL1627" i="1"/>
  <c r="AL1626" i="1"/>
  <c r="AL1625" i="1"/>
  <c r="AL1624" i="1"/>
  <c r="AL1623" i="1"/>
  <c r="AL1622" i="1"/>
  <c r="AL1621" i="1"/>
  <c r="J1621" i="1"/>
  <c r="AL1620" i="1"/>
  <c r="J1620" i="1"/>
  <c r="AL1619" i="1"/>
  <c r="AL1618" i="1"/>
  <c r="AL1617" i="1"/>
  <c r="AL1616" i="1"/>
  <c r="AL1615" i="1"/>
  <c r="AL1614" i="1"/>
  <c r="AL1613" i="1"/>
  <c r="AL1612" i="1"/>
  <c r="AL1611" i="1"/>
  <c r="AL1610" i="1"/>
  <c r="AL1609" i="1"/>
  <c r="AL1608" i="1"/>
  <c r="AL1607" i="1"/>
  <c r="AL1606" i="1"/>
  <c r="AL1605" i="1"/>
  <c r="AL1604" i="1"/>
  <c r="J1604" i="1"/>
  <c r="AL1603" i="1"/>
  <c r="AL1602" i="1"/>
  <c r="AL1601" i="1"/>
  <c r="AL1600" i="1"/>
  <c r="AL1599" i="1"/>
  <c r="AL1598" i="1"/>
  <c r="AL1597" i="1"/>
  <c r="AL1596" i="1"/>
  <c r="AL1595" i="1"/>
  <c r="AL1594" i="1"/>
  <c r="AL1593" i="1"/>
  <c r="AL1592" i="1"/>
  <c r="AL1591" i="1"/>
  <c r="AL1590" i="1"/>
  <c r="AL1589" i="1"/>
  <c r="AL1588" i="1"/>
  <c r="AL1587" i="1"/>
  <c r="AL1586" i="1"/>
  <c r="AL1585" i="1"/>
  <c r="AL1584" i="1"/>
  <c r="AL1583" i="1"/>
  <c r="AL1582" i="1"/>
  <c r="AL1581" i="1"/>
  <c r="AL1580" i="1"/>
  <c r="AL1579" i="1"/>
  <c r="AL1578" i="1"/>
  <c r="AL1577" i="1"/>
  <c r="AL1576" i="1"/>
  <c r="AL1575" i="1"/>
  <c r="AL1574" i="1"/>
  <c r="AL1573" i="1"/>
  <c r="AL1572" i="1"/>
  <c r="AL1571" i="1"/>
  <c r="AL1570" i="1"/>
  <c r="AL1569" i="1"/>
  <c r="AL1568" i="1"/>
  <c r="AL1567" i="1"/>
  <c r="AL1566" i="1"/>
  <c r="AL1565" i="1"/>
  <c r="AL1564" i="1"/>
  <c r="AL1563" i="1"/>
  <c r="AL1562" i="1"/>
  <c r="AL1561" i="1"/>
  <c r="AL1560" i="1"/>
  <c r="AL1559" i="1"/>
  <c r="AL1558" i="1"/>
  <c r="AL1557" i="1"/>
  <c r="AL1556" i="1"/>
  <c r="AL1555" i="1"/>
  <c r="AL1554" i="1"/>
  <c r="AL1553" i="1"/>
  <c r="AL1552" i="1"/>
  <c r="AL1551" i="1"/>
  <c r="AL1550" i="1"/>
  <c r="J1550" i="1"/>
  <c r="AL1549" i="1"/>
  <c r="J1549" i="1"/>
  <c r="AL1548" i="1"/>
  <c r="J1548" i="1"/>
  <c r="AL1547" i="1"/>
  <c r="AL1546" i="1"/>
  <c r="AL1545" i="1"/>
  <c r="J1545" i="1"/>
  <c r="AL1544" i="1"/>
  <c r="J1544" i="1"/>
  <c r="AL1543" i="1"/>
  <c r="AL1542" i="1"/>
  <c r="AL1541" i="1"/>
  <c r="AL1540" i="1"/>
  <c r="AL1539" i="1"/>
  <c r="AL1538" i="1"/>
  <c r="AL1537" i="1"/>
  <c r="AL1536" i="1"/>
  <c r="AL1535" i="1"/>
  <c r="AL1534" i="1"/>
  <c r="AL1533" i="1"/>
  <c r="J1533" i="1"/>
  <c r="AL1532" i="1"/>
  <c r="J1532" i="1"/>
  <c r="AL1531" i="1"/>
  <c r="J1531" i="1"/>
  <c r="AL1530" i="1"/>
  <c r="J1530" i="1"/>
  <c r="AL1529" i="1"/>
  <c r="J1529" i="1"/>
  <c r="AL1528" i="1"/>
  <c r="J1528" i="1"/>
  <c r="AL1527" i="1"/>
  <c r="J1527" i="1"/>
  <c r="AL1526" i="1"/>
  <c r="J1526" i="1"/>
  <c r="AL1525" i="1"/>
  <c r="AL1524" i="1"/>
  <c r="AL1523" i="1"/>
  <c r="AL1522" i="1"/>
  <c r="AL1521" i="1"/>
  <c r="AL1520" i="1"/>
  <c r="J1520" i="1"/>
  <c r="AL1519" i="1"/>
  <c r="J1519" i="1"/>
  <c r="AL1518" i="1"/>
  <c r="J1518" i="1"/>
  <c r="AL1517" i="1"/>
  <c r="J1517" i="1"/>
  <c r="AL1516" i="1"/>
  <c r="J1516" i="1"/>
  <c r="AL1515" i="1"/>
  <c r="J1515" i="1"/>
  <c r="AL1514" i="1"/>
  <c r="J1514" i="1"/>
  <c r="AL1513" i="1"/>
  <c r="J1513" i="1"/>
  <c r="AL1512" i="1"/>
  <c r="AL1511" i="1"/>
  <c r="J1511" i="1"/>
  <c r="AL1510" i="1"/>
  <c r="J1510" i="1"/>
  <c r="AL1509" i="1"/>
  <c r="J1509" i="1"/>
  <c r="AL1508" i="1"/>
  <c r="J1508" i="1"/>
  <c r="AL1507" i="1"/>
  <c r="J1507" i="1"/>
  <c r="AL1506" i="1"/>
  <c r="J1506" i="1"/>
  <c r="AL1505" i="1"/>
  <c r="J1505" i="1"/>
  <c r="AL1504" i="1"/>
  <c r="J1504" i="1"/>
  <c r="AL1503" i="1"/>
  <c r="J1503" i="1"/>
  <c r="AL1502" i="1"/>
  <c r="J1502" i="1"/>
  <c r="AL1501" i="1"/>
  <c r="J1501" i="1"/>
  <c r="AL1500" i="1"/>
  <c r="J1500" i="1"/>
  <c r="AL1499" i="1"/>
  <c r="J1499" i="1"/>
  <c r="AL1498" i="1"/>
  <c r="J1498" i="1"/>
  <c r="AL1497" i="1"/>
  <c r="J1497" i="1"/>
  <c r="AL1496" i="1"/>
  <c r="J1496" i="1"/>
  <c r="AL1495" i="1"/>
  <c r="J1495" i="1"/>
  <c r="AL1494" i="1"/>
  <c r="AL1493" i="1"/>
  <c r="AL1492" i="1"/>
  <c r="AL1491" i="1"/>
  <c r="AL1490" i="1"/>
  <c r="AL1489" i="1"/>
  <c r="AL1488" i="1"/>
  <c r="AL1487" i="1"/>
  <c r="AL1486" i="1"/>
  <c r="AL1485" i="1"/>
  <c r="AL1484" i="1"/>
  <c r="AL1483" i="1"/>
  <c r="AL1482" i="1"/>
  <c r="AL1481" i="1"/>
  <c r="AL1480" i="1"/>
  <c r="AL1479" i="1"/>
  <c r="AL1478" i="1"/>
  <c r="AL1477" i="1"/>
  <c r="AL1476" i="1"/>
  <c r="AL1475" i="1"/>
  <c r="AL1474" i="1"/>
  <c r="AL1473" i="1"/>
  <c r="AL1472" i="1"/>
  <c r="AL1471" i="1"/>
  <c r="AL1470" i="1"/>
  <c r="AL1469" i="1"/>
  <c r="AL1468" i="1"/>
  <c r="AL1467" i="1"/>
  <c r="AL1466" i="1"/>
  <c r="AL1465" i="1"/>
  <c r="AL1464" i="1"/>
  <c r="AL1463" i="1"/>
  <c r="AL1462" i="1"/>
  <c r="AL1461" i="1"/>
  <c r="AL1460" i="1"/>
  <c r="AL1459" i="1"/>
  <c r="AL1458" i="1"/>
  <c r="AL1457" i="1"/>
  <c r="AL1456" i="1"/>
  <c r="AL1455" i="1"/>
  <c r="AL1454" i="1"/>
  <c r="AL1453" i="1"/>
  <c r="AL1452" i="1"/>
  <c r="AL1451" i="1"/>
  <c r="AL1450" i="1"/>
  <c r="AL1449" i="1"/>
  <c r="AL1448" i="1"/>
  <c r="AL1447" i="1"/>
  <c r="AL1446" i="1"/>
  <c r="AL1445" i="1"/>
  <c r="AL1444" i="1"/>
  <c r="AL1443" i="1"/>
  <c r="AL1442" i="1"/>
  <c r="AL1441" i="1"/>
  <c r="AL1440" i="1"/>
  <c r="AL1439" i="1"/>
  <c r="AL1438" i="1"/>
  <c r="AL1437" i="1"/>
  <c r="AL1436" i="1"/>
  <c r="AL1435" i="1"/>
  <c r="AL1434" i="1"/>
  <c r="AL1433" i="1"/>
  <c r="AL1432" i="1"/>
  <c r="AL1431" i="1"/>
  <c r="AL1430" i="1"/>
  <c r="AL1429" i="1"/>
  <c r="AL1428" i="1"/>
  <c r="AL1427" i="1"/>
  <c r="AL1426" i="1"/>
  <c r="AL1425" i="1"/>
  <c r="AL1424" i="1"/>
  <c r="AL1423" i="1"/>
  <c r="AL1422" i="1"/>
  <c r="AL1421" i="1"/>
  <c r="AL1420" i="1"/>
  <c r="AL1419" i="1"/>
  <c r="AL1418" i="1"/>
  <c r="AL1417" i="1"/>
  <c r="AL1416" i="1"/>
  <c r="AL1415" i="1"/>
  <c r="AL1414" i="1"/>
  <c r="AL1413" i="1"/>
  <c r="AL1412" i="1"/>
  <c r="AL1411" i="1"/>
  <c r="AL1410" i="1"/>
  <c r="AL1409" i="1"/>
  <c r="AL1408" i="1"/>
  <c r="AL1407" i="1"/>
  <c r="AL1406" i="1"/>
  <c r="AL1405" i="1"/>
  <c r="AL1404" i="1"/>
  <c r="AL1403" i="1"/>
  <c r="AL1402" i="1"/>
  <c r="AL1401" i="1"/>
  <c r="AL1400" i="1"/>
  <c r="AL1399" i="1"/>
  <c r="AL1398" i="1"/>
  <c r="AL1397" i="1"/>
  <c r="AL1396" i="1"/>
  <c r="AL1395" i="1"/>
  <c r="AL1394" i="1"/>
  <c r="AL1393" i="1"/>
  <c r="AL1392" i="1"/>
  <c r="AL1391" i="1"/>
  <c r="AL1390" i="1"/>
  <c r="AL1389" i="1"/>
  <c r="AL1388" i="1"/>
  <c r="AL1387" i="1"/>
  <c r="AL1386" i="1"/>
  <c r="AL1385" i="1"/>
  <c r="AL1384" i="1"/>
  <c r="AL1383" i="1"/>
  <c r="AL1382" i="1"/>
  <c r="AL1381" i="1"/>
  <c r="AL1380" i="1"/>
  <c r="AL1379" i="1"/>
  <c r="AL1378" i="1"/>
  <c r="AL1377" i="1"/>
  <c r="AL1376" i="1"/>
  <c r="AL1375" i="1"/>
  <c r="AL1374" i="1"/>
  <c r="AL1373" i="1"/>
  <c r="AL1372" i="1"/>
  <c r="AL1371" i="1"/>
  <c r="AL1370" i="1"/>
  <c r="AL1369" i="1"/>
  <c r="AL1368" i="1"/>
  <c r="AL1367" i="1"/>
  <c r="AL1366" i="1"/>
  <c r="AL1365" i="1"/>
  <c r="AL1364" i="1"/>
  <c r="AL1363" i="1"/>
  <c r="AL1362" i="1"/>
  <c r="AL1361" i="1"/>
  <c r="AL1360" i="1"/>
  <c r="AL1359" i="1"/>
  <c r="AL1358" i="1"/>
  <c r="AL1357" i="1"/>
  <c r="AL1356" i="1"/>
  <c r="AL1355" i="1"/>
  <c r="AL1354" i="1"/>
  <c r="AL1353" i="1"/>
  <c r="AL1352" i="1"/>
  <c r="AL1351" i="1"/>
  <c r="AL1350" i="1"/>
  <c r="AL1349" i="1"/>
  <c r="AL1348" i="1"/>
  <c r="AL1347" i="1"/>
  <c r="AL1346" i="1"/>
  <c r="AL1345" i="1"/>
  <c r="AL1344" i="1"/>
  <c r="AL1343" i="1"/>
  <c r="AL1342" i="1"/>
  <c r="AL1341" i="1"/>
  <c r="AL1340" i="1"/>
  <c r="AL1339" i="1"/>
  <c r="AL1338" i="1"/>
  <c r="AL1337" i="1"/>
  <c r="AL1336" i="1"/>
  <c r="AL1335" i="1"/>
  <c r="AL1334" i="1"/>
  <c r="AL1333" i="1"/>
  <c r="AL1332" i="1"/>
  <c r="AL1331" i="1"/>
  <c r="AL1330" i="1"/>
  <c r="AL1329" i="1"/>
  <c r="AL1328" i="1"/>
  <c r="AL1327" i="1"/>
  <c r="AL1326" i="1"/>
  <c r="AL1325" i="1"/>
  <c r="AL1324" i="1"/>
  <c r="AL1323" i="1"/>
  <c r="AL1322" i="1"/>
  <c r="AL1321" i="1"/>
  <c r="AL1320" i="1"/>
  <c r="AL1319" i="1"/>
  <c r="AL1318" i="1"/>
  <c r="AL1317" i="1"/>
  <c r="AL1316" i="1"/>
  <c r="AL1315" i="1"/>
  <c r="AL1314" i="1"/>
  <c r="AL1313" i="1"/>
  <c r="AL1312" i="1"/>
  <c r="AL1311" i="1"/>
  <c r="AL1310" i="1"/>
  <c r="AL1309" i="1"/>
  <c r="AL1308" i="1"/>
  <c r="AL1307" i="1"/>
  <c r="AL1306" i="1"/>
  <c r="AL1305" i="1"/>
  <c r="AL1304" i="1"/>
  <c r="AL1303" i="1"/>
  <c r="AL1302" i="1"/>
  <c r="AL1301" i="1"/>
  <c r="AL1300" i="1"/>
  <c r="AL1299" i="1"/>
  <c r="AL1298" i="1"/>
  <c r="AL1297" i="1"/>
  <c r="AL1296" i="1"/>
  <c r="AL1295" i="1"/>
  <c r="AL1294" i="1"/>
  <c r="AL1293" i="1"/>
  <c r="AL1292" i="1"/>
  <c r="AL1291" i="1"/>
  <c r="AL1290" i="1"/>
  <c r="AL1289" i="1"/>
  <c r="AL1288" i="1"/>
  <c r="AL1287" i="1"/>
  <c r="AL1286" i="1"/>
  <c r="AL1285" i="1"/>
  <c r="AL1284" i="1"/>
  <c r="AL1283" i="1"/>
  <c r="AL1282" i="1"/>
  <c r="AL1281" i="1"/>
  <c r="AL1280" i="1"/>
  <c r="AL1279" i="1"/>
  <c r="AL1278" i="1"/>
  <c r="AL1277" i="1"/>
  <c r="AL1276" i="1"/>
  <c r="AL1275" i="1"/>
  <c r="AL1274" i="1"/>
  <c r="AL1273" i="1"/>
  <c r="AL1272" i="1"/>
  <c r="AL1271" i="1"/>
  <c r="AL1270" i="1"/>
  <c r="AL1269" i="1"/>
  <c r="AL1268" i="1"/>
  <c r="AL1267" i="1"/>
  <c r="AL1266" i="1"/>
  <c r="AL1265" i="1"/>
  <c r="AL1264" i="1"/>
  <c r="AL1263" i="1"/>
  <c r="AL1262" i="1"/>
  <c r="AL1261" i="1"/>
  <c r="AL1260" i="1"/>
  <c r="AL1259" i="1"/>
  <c r="AL1258" i="1"/>
  <c r="AL1257" i="1"/>
  <c r="AL1256" i="1"/>
  <c r="AL1255" i="1"/>
  <c r="AL1254" i="1"/>
  <c r="AL1253" i="1"/>
  <c r="AL1252" i="1"/>
  <c r="AL1251" i="1"/>
  <c r="AL1250" i="1"/>
  <c r="AL1249" i="1"/>
  <c r="AL1248" i="1"/>
  <c r="AL1247" i="1"/>
  <c r="AL1246" i="1"/>
  <c r="AL1245" i="1"/>
  <c r="AL1244" i="1"/>
  <c r="AL1243" i="1"/>
  <c r="AL1242" i="1"/>
  <c r="AL1241" i="1"/>
  <c r="AL1240" i="1"/>
  <c r="AL1239" i="1"/>
  <c r="AL1238" i="1"/>
  <c r="AL1237" i="1"/>
  <c r="AL1236" i="1"/>
  <c r="AL1235" i="1"/>
  <c r="AL1234" i="1"/>
  <c r="AL1233" i="1"/>
  <c r="AL1232" i="1"/>
  <c r="AL1231" i="1"/>
  <c r="AL1230" i="1"/>
  <c r="AL1229" i="1"/>
  <c r="AL1228" i="1"/>
  <c r="AL1227" i="1"/>
  <c r="AL1226" i="1"/>
  <c r="AL1225" i="1"/>
  <c r="AL1224" i="1"/>
  <c r="AL1223" i="1"/>
  <c r="AL1222" i="1"/>
  <c r="AL1221" i="1"/>
  <c r="AL1220" i="1"/>
  <c r="AL1219" i="1"/>
  <c r="AL1218" i="1"/>
  <c r="AL1217" i="1"/>
  <c r="AL1216" i="1"/>
  <c r="AL1215" i="1"/>
  <c r="AL1214" i="1"/>
  <c r="AL1213" i="1"/>
  <c r="AL1212" i="1"/>
  <c r="AL1211" i="1"/>
  <c r="AL1210" i="1"/>
  <c r="AL1209" i="1"/>
  <c r="AL1208" i="1"/>
  <c r="AL1207" i="1"/>
  <c r="AL1206" i="1"/>
  <c r="AL1205" i="1"/>
  <c r="AL1204" i="1"/>
  <c r="AL1203" i="1"/>
  <c r="AL1202" i="1"/>
  <c r="AL1201" i="1"/>
  <c r="AL1200" i="1"/>
  <c r="AL1199" i="1"/>
  <c r="AL1198" i="1"/>
  <c r="AL1197" i="1"/>
  <c r="AL1196" i="1"/>
  <c r="AL1195" i="1"/>
  <c r="AL1194" i="1"/>
  <c r="AL1193" i="1"/>
  <c r="J1193" i="1"/>
  <c r="AL1192" i="1"/>
  <c r="AL1191" i="1"/>
  <c r="AL1190" i="1"/>
  <c r="AL1189" i="1"/>
  <c r="J1189" i="1"/>
  <c r="AL1188" i="1"/>
  <c r="J1188" i="1"/>
  <c r="AL1187" i="1"/>
  <c r="J1187" i="1"/>
  <c r="AL1186" i="1"/>
  <c r="J1186" i="1"/>
  <c r="AL1185" i="1"/>
  <c r="J1185" i="1"/>
  <c r="AL1184" i="1"/>
  <c r="J1184" i="1"/>
  <c r="AL1183" i="1"/>
  <c r="J1183" i="1"/>
  <c r="AL1182" i="1"/>
  <c r="J1182" i="1"/>
  <c r="AL1181" i="1"/>
  <c r="J1181" i="1"/>
  <c r="AL1180" i="1"/>
  <c r="J1180" i="1"/>
  <c r="AL1179" i="1"/>
  <c r="J1179" i="1"/>
  <c r="AL1178" i="1"/>
  <c r="AL1177" i="1"/>
  <c r="AL1176" i="1"/>
  <c r="AL1175" i="1"/>
  <c r="AL1174" i="1"/>
  <c r="AL1173" i="1"/>
  <c r="AL1172" i="1"/>
  <c r="AL1171" i="1"/>
  <c r="AL1170" i="1"/>
  <c r="AL1169" i="1"/>
  <c r="J1169" i="1"/>
  <c r="AL1168" i="1"/>
  <c r="J1168" i="1"/>
  <c r="AL1167" i="1"/>
  <c r="J1167" i="1"/>
  <c r="AL1166" i="1"/>
  <c r="J1166" i="1"/>
  <c r="AL1165" i="1"/>
  <c r="J1165" i="1"/>
  <c r="AL1164" i="1"/>
  <c r="J1164" i="1"/>
  <c r="AL1163" i="1"/>
  <c r="J1163" i="1"/>
  <c r="AL1162" i="1"/>
  <c r="J1162" i="1"/>
  <c r="AL1161" i="1"/>
  <c r="J1161" i="1"/>
  <c r="AL1160" i="1"/>
  <c r="AL1159" i="1"/>
  <c r="J1159" i="1"/>
  <c r="AL1158" i="1"/>
  <c r="J1158" i="1"/>
  <c r="AL1157" i="1"/>
  <c r="J1157" i="1"/>
  <c r="AL1156" i="1"/>
  <c r="J1156" i="1"/>
  <c r="AL1155" i="1"/>
  <c r="J1155" i="1"/>
  <c r="AL1154" i="1"/>
  <c r="J1154" i="1"/>
  <c r="AL1153" i="1"/>
  <c r="J1153" i="1"/>
  <c r="AL1152" i="1"/>
  <c r="P1152" i="1"/>
  <c r="L1152" i="1"/>
  <c r="J1152" i="1"/>
  <c r="AL1151" i="1"/>
  <c r="P1151" i="1"/>
  <c r="L1151" i="1"/>
  <c r="J1151" i="1"/>
  <c r="AL1150" i="1"/>
  <c r="AL1149" i="1"/>
  <c r="AL1148" i="1"/>
  <c r="J1148" i="1"/>
  <c r="AL1147" i="1"/>
  <c r="J1147" i="1"/>
  <c r="AL1146" i="1"/>
  <c r="J1146" i="1"/>
  <c r="AL1145" i="1"/>
  <c r="J1145" i="1"/>
  <c r="AL1144" i="1"/>
  <c r="J1144" i="1"/>
  <c r="AL1143" i="1"/>
  <c r="J1143" i="1"/>
  <c r="AL1142" i="1"/>
  <c r="J1142" i="1"/>
  <c r="AL1141" i="1"/>
  <c r="J1141" i="1"/>
  <c r="AL1140" i="1"/>
  <c r="J1140" i="1"/>
  <c r="AL1139" i="1"/>
  <c r="J1139" i="1"/>
  <c r="AL1138" i="1"/>
  <c r="J1138" i="1"/>
  <c r="AL1137" i="1"/>
  <c r="L1137" i="1"/>
  <c r="J1137" i="1"/>
  <c r="AL1136" i="1"/>
  <c r="L1136" i="1"/>
  <c r="J1136" i="1"/>
  <c r="AL1135" i="1"/>
  <c r="L1135" i="1"/>
  <c r="J1135" i="1"/>
  <c r="AL1134" i="1"/>
  <c r="L1134" i="1"/>
  <c r="J1134" i="1"/>
  <c r="AL1133" i="1"/>
  <c r="L1133" i="1"/>
  <c r="J1133" i="1"/>
  <c r="AL1132" i="1"/>
  <c r="L1132" i="1"/>
  <c r="J1132" i="1"/>
  <c r="AL1131" i="1"/>
  <c r="L1131" i="1"/>
  <c r="J1131" i="1"/>
  <c r="AL1130" i="1"/>
  <c r="L1130" i="1"/>
  <c r="J1130" i="1"/>
  <c r="AL1129" i="1"/>
  <c r="J1129" i="1"/>
  <c r="AL1128" i="1"/>
  <c r="J1128" i="1"/>
  <c r="AL1127" i="1"/>
  <c r="J1127" i="1"/>
  <c r="AL1126" i="1"/>
  <c r="J1126" i="1"/>
  <c r="AL1125" i="1"/>
  <c r="J1125" i="1"/>
  <c r="AL1124" i="1"/>
  <c r="J1124" i="1"/>
  <c r="AL1123" i="1"/>
  <c r="J1123" i="1"/>
  <c r="AL1122" i="1"/>
  <c r="J1122" i="1"/>
  <c r="AL1121" i="1"/>
  <c r="AL1120" i="1"/>
  <c r="AL1119" i="1"/>
  <c r="AL1118" i="1"/>
  <c r="AL1117" i="1"/>
  <c r="AL1116" i="1"/>
  <c r="AL1115" i="1"/>
  <c r="AL1114" i="1"/>
  <c r="AL1113" i="1"/>
  <c r="AL1112" i="1"/>
  <c r="AL1111" i="1"/>
  <c r="AL1110" i="1"/>
  <c r="AL1109" i="1"/>
  <c r="J1109" i="1"/>
  <c r="AL1108" i="1"/>
  <c r="J1108" i="1"/>
  <c r="AL1107" i="1"/>
  <c r="J1107" i="1"/>
  <c r="AL1106" i="1"/>
  <c r="AL1105" i="1"/>
  <c r="J1105" i="1"/>
  <c r="AL1104" i="1"/>
  <c r="J1104" i="1"/>
  <c r="AL1103" i="1"/>
  <c r="J1103" i="1"/>
  <c r="AL1102" i="1"/>
  <c r="J1102" i="1"/>
  <c r="AL1101" i="1"/>
  <c r="J1101" i="1"/>
  <c r="AL1100" i="1"/>
  <c r="J1100" i="1"/>
  <c r="AL1099" i="1"/>
  <c r="AL1098" i="1"/>
  <c r="P1098" i="1"/>
  <c r="J1098" i="1"/>
  <c r="AL1097" i="1"/>
  <c r="P1097" i="1"/>
  <c r="J1097" i="1"/>
  <c r="AL1096" i="1"/>
  <c r="J1096" i="1"/>
  <c r="AL1095" i="1"/>
  <c r="J1095" i="1"/>
  <c r="AL1094" i="1"/>
  <c r="J1094" i="1"/>
  <c r="AL1093" i="1"/>
  <c r="J1093" i="1"/>
  <c r="AL1092" i="1"/>
  <c r="J1092" i="1"/>
  <c r="AL1091" i="1"/>
  <c r="J1091" i="1"/>
  <c r="AL1090" i="1"/>
  <c r="J1090" i="1"/>
  <c r="AL1089" i="1"/>
  <c r="J1089" i="1"/>
  <c r="AL1088" i="1"/>
  <c r="J1088" i="1"/>
  <c r="AL1087" i="1"/>
  <c r="AL1086" i="1"/>
  <c r="AL1085" i="1"/>
  <c r="AL1084" i="1"/>
  <c r="AL1083" i="1"/>
  <c r="AL1082" i="1"/>
  <c r="AL1081" i="1"/>
  <c r="J1081" i="1"/>
  <c r="AL1080" i="1"/>
  <c r="J1080" i="1"/>
  <c r="AL1079" i="1"/>
  <c r="AL1078" i="1"/>
  <c r="J1078" i="1"/>
  <c r="AL1077" i="1"/>
  <c r="AL1076" i="1"/>
  <c r="AL1075" i="1"/>
  <c r="J1075" i="1"/>
  <c r="AL1074" i="1"/>
  <c r="J1074" i="1"/>
  <c r="AL1073" i="1"/>
  <c r="J1073" i="1"/>
  <c r="AL1072" i="1"/>
  <c r="AL1071" i="1"/>
  <c r="AL1070" i="1"/>
  <c r="AL1069" i="1"/>
  <c r="L1069" i="1"/>
  <c r="J1069" i="1"/>
  <c r="AL1068" i="1"/>
  <c r="AL1067" i="1"/>
  <c r="AL1066" i="1"/>
  <c r="AL1065" i="1"/>
  <c r="AL1064" i="1"/>
  <c r="AL1063" i="1"/>
  <c r="AL1062" i="1"/>
  <c r="AL1061" i="1"/>
  <c r="AL1060" i="1"/>
  <c r="AL1059" i="1"/>
  <c r="AL1058" i="1"/>
  <c r="AL1057" i="1"/>
  <c r="AL1056" i="1"/>
  <c r="AL1055" i="1"/>
  <c r="AL1054" i="1"/>
  <c r="AL1053" i="1"/>
  <c r="AL1052" i="1"/>
  <c r="AL1051" i="1"/>
  <c r="AL1050" i="1"/>
  <c r="AL1049" i="1"/>
  <c r="AL1048" i="1"/>
  <c r="AL1047" i="1"/>
  <c r="AL1046" i="1"/>
  <c r="AL1045" i="1"/>
  <c r="AL1044" i="1"/>
  <c r="AL1043" i="1"/>
  <c r="AL1042" i="1"/>
  <c r="AL1041" i="1"/>
  <c r="AL1040" i="1"/>
  <c r="AL1039" i="1"/>
  <c r="AL1038" i="1"/>
  <c r="AL1037" i="1"/>
  <c r="AL1036" i="1"/>
  <c r="AL1035" i="1"/>
  <c r="AL1034" i="1"/>
  <c r="AL1033" i="1"/>
  <c r="AL1032" i="1"/>
  <c r="AL1031" i="1"/>
  <c r="AL1030" i="1"/>
  <c r="AL1029" i="1"/>
  <c r="J1029" i="1"/>
  <c r="AL1028" i="1"/>
  <c r="J1028" i="1"/>
  <c r="AL1027" i="1"/>
  <c r="J1027" i="1"/>
  <c r="AL1026" i="1"/>
  <c r="J1026" i="1"/>
  <c r="AL1025" i="1"/>
  <c r="J1025" i="1"/>
  <c r="AL1024" i="1"/>
  <c r="J1024" i="1"/>
  <c r="AL1023" i="1"/>
  <c r="J1023" i="1"/>
  <c r="AL1022" i="1"/>
  <c r="J1022" i="1"/>
  <c r="AL1021" i="1"/>
  <c r="J1021" i="1"/>
  <c r="AL1020" i="1"/>
  <c r="J1020" i="1"/>
  <c r="AL1019" i="1"/>
  <c r="J1019" i="1"/>
  <c r="AL1018" i="1"/>
  <c r="J1018" i="1"/>
  <c r="AL1017" i="1"/>
  <c r="J1017" i="1"/>
  <c r="AL1016" i="1"/>
  <c r="AL1015" i="1"/>
  <c r="AL1014" i="1"/>
  <c r="L1014" i="1"/>
  <c r="J1014" i="1"/>
  <c r="AL1013" i="1"/>
  <c r="L1013" i="1"/>
  <c r="J1013" i="1"/>
  <c r="AL1012" i="1"/>
  <c r="L1012" i="1"/>
  <c r="J1012" i="1"/>
  <c r="AL1011" i="1"/>
  <c r="L1011" i="1"/>
  <c r="J1011" i="1"/>
  <c r="AL1010" i="1"/>
  <c r="L1010" i="1"/>
  <c r="J1010" i="1"/>
  <c r="AL1009" i="1"/>
  <c r="AL1008" i="1"/>
  <c r="AL1007" i="1"/>
  <c r="AL1006" i="1"/>
  <c r="AL1005" i="1"/>
  <c r="AL1004" i="1"/>
  <c r="AL1003" i="1"/>
  <c r="AL1002" i="1"/>
  <c r="AL1001" i="1"/>
  <c r="AL1000" i="1"/>
  <c r="AL999" i="1"/>
  <c r="AL998" i="1"/>
  <c r="AL997" i="1"/>
  <c r="L997" i="1"/>
  <c r="J997" i="1"/>
  <c r="AL996" i="1"/>
  <c r="L996" i="1"/>
  <c r="J996" i="1"/>
  <c r="AL995" i="1"/>
  <c r="L995" i="1"/>
  <c r="J995" i="1"/>
  <c r="AL994" i="1"/>
  <c r="L994" i="1"/>
  <c r="J994" i="1"/>
  <c r="AL993" i="1"/>
  <c r="L993" i="1"/>
  <c r="J993" i="1"/>
  <c r="AL992" i="1"/>
  <c r="L992" i="1"/>
  <c r="J992" i="1"/>
  <c r="AL991" i="1"/>
  <c r="L991" i="1"/>
  <c r="J991" i="1"/>
  <c r="AL990" i="1"/>
  <c r="L990" i="1"/>
  <c r="J990" i="1"/>
  <c r="AL989" i="1"/>
  <c r="L989" i="1"/>
  <c r="J989" i="1"/>
  <c r="AL988" i="1"/>
  <c r="L988" i="1"/>
  <c r="J988" i="1"/>
  <c r="AL987" i="1"/>
  <c r="L987" i="1"/>
  <c r="J987" i="1"/>
  <c r="AL986" i="1"/>
  <c r="L986" i="1"/>
  <c r="J986" i="1"/>
  <c r="AL985" i="1"/>
  <c r="L985" i="1"/>
  <c r="J985" i="1"/>
  <c r="AL984" i="1"/>
  <c r="L984" i="1"/>
  <c r="J984" i="1"/>
  <c r="AL983" i="1"/>
  <c r="L983" i="1"/>
  <c r="J983" i="1"/>
  <c r="AL982" i="1"/>
  <c r="L982" i="1"/>
  <c r="J982" i="1"/>
  <c r="AL981" i="1"/>
  <c r="L981" i="1"/>
  <c r="J981" i="1"/>
  <c r="AL980" i="1"/>
  <c r="L980" i="1"/>
  <c r="J980" i="1"/>
  <c r="AL979" i="1"/>
  <c r="L979" i="1"/>
  <c r="J979" i="1"/>
  <c r="AL978" i="1"/>
  <c r="L978" i="1"/>
  <c r="J978" i="1"/>
  <c r="AL977" i="1"/>
  <c r="L977" i="1"/>
  <c r="J977" i="1"/>
  <c r="AL976" i="1"/>
  <c r="L976" i="1"/>
  <c r="J976" i="1"/>
  <c r="AL975" i="1"/>
  <c r="L975" i="1"/>
  <c r="J975" i="1"/>
  <c r="AL974" i="1"/>
  <c r="L974" i="1"/>
  <c r="J974" i="1"/>
  <c r="AL973" i="1"/>
  <c r="L973" i="1"/>
  <c r="J973" i="1"/>
  <c r="AL972" i="1"/>
  <c r="L972" i="1"/>
  <c r="J972" i="1"/>
  <c r="AL971" i="1"/>
  <c r="L971" i="1"/>
  <c r="J971" i="1"/>
  <c r="AL970" i="1"/>
  <c r="L970" i="1"/>
  <c r="J970" i="1"/>
  <c r="AL969" i="1"/>
  <c r="L969" i="1"/>
  <c r="J969" i="1"/>
  <c r="AL968" i="1"/>
  <c r="L968" i="1"/>
  <c r="J968" i="1"/>
  <c r="AL967" i="1"/>
  <c r="L967" i="1"/>
  <c r="J967" i="1"/>
  <c r="AL966" i="1"/>
  <c r="L966" i="1"/>
  <c r="J966" i="1"/>
  <c r="AL965" i="1"/>
  <c r="L965" i="1"/>
  <c r="J965" i="1"/>
  <c r="AL964" i="1"/>
  <c r="L964" i="1"/>
  <c r="J964" i="1"/>
  <c r="AL963" i="1"/>
  <c r="L963" i="1"/>
  <c r="J963" i="1"/>
  <c r="AL962" i="1"/>
  <c r="AL961" i="1"/>
  <c r="J961" i="1"/>
  <c r="AL960" i="1"/>
  <c r="L960" i="1"/>
  <c r="J960" i="1"/>
  <c r="AL959" i="1"/>
  <c r="L959" i="1"/>
  <c r="J959" i="1"/>
  <c r="AL958" i="1"/>
  <c r="L958" i="1"/>
  <c r="J958" i="1"/>
  <c r="AL957" i="1"/>
  <c r="L957" i="1"/>
  <c r="J957" i="1"/>
  <c r="AL956" i="1"/>
  <c r="L956" i="1"/>
  <c r="J956" i="1"/>
  <c r="AL955" i="1"/>
  <c r="L955" i="1"/>
  <c r="J955" i="1"/>
  <c r="AL954" i="1"/>
  <c r="L954" i="1"/>
  <c r="J954" i="1"/>
  <c r="AL953" i="1"/>
  <c r="L953" i="1"/>
  <c r="J953" i="1"/>
  <c r="AL952" i="1"/>
  <c r="AL951" i="1"/>
  <c r="AL950" i="1"/>
  <c r="AL949" i="1"/>
  <c r="AL948" i="1"/>
  <c r="AL947" i="1"/>
  <c r="AL946" i="1"/>
  <c r="AL945" i="1"/>
  <c r="AL944" i="1"/>
  <c r="AL943" i="1"/>
  <c r="AL942" i="1"/>
  <c r="AL941" i="1"/>
  <c r="AL940" i="1"/>
  <c r="AL939" i="1"/>
  <c r="J939" i="1"/>
  <c r="AL938" i="1"/>
  <c r="J938" i="1"/>
  <c r="AL937" i="1"/>
  <c r="J937" i="1"/>
  <c r="AL936" i="1"/>
  <c r="AL935" i="1"/>
  <c r="AL934" i="1"/>
  <c r="AL933" i="1"/>
  <c r="AL932" i="1"/>
  <c r="AL931" i="1"/>
  <c r="AL930" i="1"/>
  <c r="AL929" i="1"/>
  <c r="AL928" i="1"/>
  <c r="AL927" i="1"/>
  <c r="AL926" i="1"/>
  <c r="AL925" i="1"/>
  <c r="AL924" i="1"/>
  <c r="AL923" i="1"/>
  <c r="AL922" i="1"/>
  <c r="AL921" i="1"/>
  <c r="AL920" i="1"/>
  <c r="AL919" i="1"/>
  <c r="AL918" i="1"/>
  <c r="AL917" i="1"/>
  <c r="AL916" i="1"/>
  <c r="AL915" i="1"/>
  <c r="AL914" i="1"/>
  <c r="AL913" i="1"/>
  <c r="AL912" i="1"/>
  <c r="AL911" i="1"/>
  <c r="AL910" i="1"/>
  <c r="AL909" i="1"/>
  <c r="AL908" i="1"/>
  <c r="AL907" i="1"/>
  <c r="AL906" i="1"/>
  <c r="AL905" i="1"/>
  <c r="AL904" i="1"/>
  <c r="AL903" i="1"/>
  <c r="AL902" i="1"/>
  <c r="AL901" i="1"/>
  <c r="AL900" i="1"/>
  <c r="AL899" i="1"/>
  <c r="AL898" i="1"/>
  <c r="AL897" i="1"/>
  <c r="AL896" i="1"/>
  <c r="AL895" i="1"/>
  <c r="AL894" i="1"/>
  <c r="AL893" i="1"/>
  <c r="AL892" i="1"/>
  <c r="AL891" i="1"/>
  <c r="AL890" i="1"/>
  <c r="AL889" i="1"/>
  <c r="AL888" i="1"/>
  <c r="AL887" i="1"/>
  <c r="AL886" i="1"/>
  <c r="AL885" i="1"/>
  <c r="AL884" i="1"/>
  <c r="AL883" i="1"/>
  <c r="AL882" i="1"/>
  <c r="AL881" i="1"/>
  <c r="AL880" i="1"/>
  <c r="AL879" i="1"/>
  <c r="AL878" i="1"/>
  <c r="AL877" i="1"/>
  <c r="AL876" i="1"/>
  <c r="AL875" i="1"/>
  <c r="AL874" i="1"/>
  <c r="AL873" i="1"/>
  <c r="AL872" i="1"/>
  <c r="AL871" i="1"/>
  <c r="AL870" i="1"/>
  <c r="AL869" i="1"/>
  <c r="AL868" i="1"/>
  <c r="AL867" i="1"/>
  <c r="AL866" i="1"/>
  <c r="AL865" i="1"/>
  <c r="AL864" i="1"/>
  <c r="AL863" i="1"/>
  <c r="AL862" i="1"/>
  <c r="AL861" i="1"/>
  <c r="AL860" i="1"/>
  <c r="AL859" i="1"/>
  <c r="AL858" i="1"/>
  <c r="AL857" i="1"/>
  <c r="AL856" i="1"/>
  <c r="AL855" i="1"/>
  <c r="AL854" i="1"/>
  <c r="AL853" i="1"/>
  <c r="AL852" i="1"/>
  <c r="AL851" i="1"/>
  <c r="AL850" i="1"/>
  <c r="AL849" i="1"/>
  <c r="AL848" i="1"/>
  <c r="AL847" i="1"/>
  <c r="AL846" i="1"/>
  <c r="AL845" i="1"/>
  <c r="AL844" i="1"/>
  <c r="AL843" i="1"/>
  <c r="AL842" i="1"/>
  <c r="AL841" i="1"/>
  <c r="AL840" i="1"/>
  <c r="AL839" i="1"/>
  <c r="AL838" i="1"/>
  <c r="AL837" i="1"/>
  <c r="AL836" i="1"/>
  <c r="AL835" i="1"/>
  <c r="AL834" i="1"/>
  <c r="AL833" i="1"/>
  <c r="AL832" i="1"/>
  <c r="AL831" i="1"/>
  <c r="AL830" i="1"/>
  <c r="AL829" i="1"/>
  <c r="AL828" i="1"/>
  <c r="AL827" i="1"/>
  <c r="AL826" i="1"/>
  <c r="AL825" i="1"/>
  <c r="AL824" i="1"/>
  <c r="AL823" i="1"/>
  <c r="AL822" i="1"/>
  <c r="AL821" i="1"/>
  <c r="AL820" i="1"/>
  <c r="AL819" i="1"/>
  <c r="AL818" i="1"/>
  <c r="AL817" i="1"/>
  <c r="AL816" i="1"/>
  <c r="AL815" i="1"/>
  <c r="AL814" i="1"/>
  <c r="AL813" i="1"/>
  <c r="AL812" i="1"/>
  <c r="AL811" i="1"/>
  <c r="AL810" i="1"/>
  <c r="AL809" i="1"/>
  <c r="AL808" i="1"/>
  <c r="AL807" i="1"/>
  <c r="AL806" i="1"/>
  <c r="AL805" i="1"/>
  <c r="AL804" i="1"/>
  <c r="AL803" i="1"/>
  <c r="AL802" i="1"/>
  <c r="AL801" i="1"/>
  <c r="AL800" i="1"/>
  <c r="AL799" i="1"/>
  <c r="AL798" i="1"/>
  <c r="AL797" i="1"/>
  <c r="AL796" i="1"/>
  <c r="AL795" i="1"/>
  <c r="AL794" i="1"/>
  <c r="AL793" i="1"/>
  <c r="AL792" i="1"/>
  <c r="AL791" i="1"/>
  <c r="AL790" i="1"/>
  <c r="AL789" i="1"/>
  <c r="AL788" i="1"/>
  <c r="AL787" i="1"/>
  <c r="AL786" i="1"/>
  <c r="AL785" i="1"/>
  <c r="AL784" i="1"/>
  <c r="AL783" i="1"/>
  <c r="AL782" i="1"/>
  <c r="AL781" i="1"/>
  <c r="AL780" i="1"/>
  <c r="AL779" i="1"/>
  <c r="AL778" i="1"/>
  <c r="AL777" i="1"/>
  <c r="AL776" i="1"/>
  <c r="AL775" i="1"/>
  <c r="AL773" i="1"/>
  <c r="AL772" i="1"/>
  <c r="J772" i="1"/>
  <c r="AL771" i="1"/>
  <c r="J771" i="1"/>
  <c r="AL770" i="1"/>
  <c r="J770" i="1"/>
  <c r="AL769" i="1"/>
  <c r="J769" i="1"/>
  <c r="AL768" i="1"/>
  <c r="J768" i="1"/>
  <c r="AL767" i="1"/>
  <c r="J767" i="1"/>
  <c r="AL766" i="1"/>
  <c r="J766" i="1"/>
  <c r="AL764" i="1"/>
  <c r="AK764" i="1"/>
  <c r="AL763" i="1"/>
  <c r="AK763" i="1"/>
  <c r="AL762" i="1"/>
  <c r="J762" i="1"/>
  <c r="AL761" i="1"/>
  <c r="J761" i="1"/>
  <c r="AL760" i="1"/>
  <c r="J760" i="1"/>
  <c r="AL759" i="1"/>
  <c r="J759" i="1"/>
  <c r="AL758" i="1"/>
  <c r="AL757" i="1"/>
  <c r="J757" i="1"/>
  <c r="AL756" i="1"/>
  <c r="J756" i="1"/>
  <c r="AL755" i="1"/>
  <c r="J755" i="1"/>
  <c r="AL754" i="1"/>
  <c r="J754" i="1"/>
  <c r="AL753" i="1"/>
  <c r="J753" i="1"/>
  <c r="AL752" i="1"/>
  <c r="J752" i="1"/>
  <c r="AL751" i="1"/>
  <c r="J751" i="1"/>
  <c r="AL750" i="1"/>
  <c r="J750" i="1"/>
  <c r="AL749" i="1"/>
  <c r="L749" i="1"/>
  <c r="AL748" i="1"/>
  <c r="L748" i="1"/>
  <c r="AL747" i="1"/>
  <c r="L747" i="1"/>
  <c r="J747" i="1"/>
  <c r="AL746" i="1"/>
  <c r="L746" i="1"/>
  <c r="AL745" i="1"/>
  <c r="L745" i="1"/>
  <c r="AL744" i="1"/>
  <c r="AL743" i="1"/>
  <c r="AL742" i="1"/>
  <c r="J742" i="1"/>
  <c r="AL741" i="1"/>
  <c r="J741" i="1"/>
  <c r="AL740" i="1"/>
  <c r="J740" i="1"/>
  <c r="AL739" i="1"/>
  <c r="J739" i="1"/>
  <c r="AL738" i="1"/>
  <c r="J738" i="1"/>
  <c r="AL737" i="1"/>
  <c r="J737" i="1"/>
  <c r="AL736" i="1"/>
  <c r="J736" i="1"/>
  <c r="AL735" i="1"/>
  <c r="J735" i="1"/>
  <c r="AL733" i="1"/>
  <c r="AL732" i="1"/>
  <c r="AL731" i="1"/>
  <c r="J731" i="1"/>
  <c r="AL730" i="1"/>
  <c r="J730" i="1"/>
  <c r="AL729" i="1"/>
  <c r="J729" i="1"/>
  <c r="AL728" i="1"/>
  <c r="J728" i="1"/>
  <c r="AL727" i="1"/>
  <c r="L727" i="1"/>
  <c r="J727" i="1"/>
  <c r="AL726" i="1"/>
  <c r="L726" i="1"/>
  <c r="J726" i="1"/>
  <c r="AL725" i="1"/>
  <c r="L725" i="1"/>
  <c r="J725" i="1"/>
  <c r="AL724" i="1"/>
  <c r="L724" i="1"/>
  <c r="J724" i="1"/>
  <c r="AL723" i="1"/>
  <c r="L723" i="1"/>
  <c r="J723" i="1"/>
  <c r="AL722" i="1"/>
  <c r="J722" i="1"/>
  <c r="AL721" i="1"/>
  <c r="J721" i="1"/>
  <c r="AL720" i="1"/>
  <c r="J720" i="1"/>
  <c r="AL719" i="1"/>
  <c r="AL718" i="1"/>
  <c r="AL717" i="1"/>
  <c r="AL716" i="1"/>
  <c r="AL715" i="1"/>
  <c r="AL714" i="1"/>
  <c r="AL713" i="1"/>
  <c r="AL712" i="1"/>
  <c r="AL711" i="1"/>
  <c r="AL710" i="1"/>
  <c r="AL709" i="1"/>
  <c r="AL708" i="1"/>
  <c r="AL707" i="1"/>
  <c r="AL706" i="1"/>
  <c r="AL705" i="1"/>
  <c r="AL704" i="1"/>
  <c r="J704" i="1"/>
  <c r="AL703" i="1"/>
  <c r="AL702" i="1"/>
  <c r="AL701" i="1"/>
  <c r="AL700" i="1"/>
  <c r="AL699" i="1"/>
  <c r="AL698" i="1"/>
  <c r="AL697" i="1"/>
  <c r="AL696" i="1"/>
  <c r="AL695" i="1"/>
  <c r="AL694" i="1"/>
  <c r="AL693" i="1"/>
  <c r="AL692" i="1"/>
  <c r="AL691" i="1"/>
  <c r="AL690" i="1"/>
  <c r="AL689" i="1"/>
  <c r="AL688" i="1"/>
  <c r="J688" i="1"/>
  <c r="AL687" i="1"/>
  <c r="J687" i="1"/>
  <c r="AL686" i="1"/>
  <c r="J686" i="1"/>
  <c r="AL685" i="1"/>
  <c r="J685" i="1"/>
  <c r="AL684" i="1"/>
  <c r="AL683" i="1"/>
  <c r="J683" i="1"/>
  <c r="AL682" i="1"/>
  <c r="J682" i="1"/>
  <c r="AL681" i="1"/>
  <c r="AL680" i="1"/>
  <c r="AL679" i="1"/>
  <c r="AL678" i="1"/>
  <c r="AL677" i="1"/>
  <c r="AL676" i="1"/>
  <c r="J676" i="1"/>
  <c r="AL675" i="1"/>
  <c r="AL674" i="1"/>
  <c r="J674" i="1"/>
  <c r="AL673" i="1"/>
  <c r="J673" i="1"/>
  <c r="AL672" i="1"/>
  <c r="AL671" i="1"/>
  <c r="AL670" i="1"/>
  <c r="AL669" i="1"/>
  <c r="AL668" i="1"/>
  <c r="J668" i="1"/>
  <c r="AL667" i="1"/>
  <c r="AL666" i="1"/>
  <c r="AL665" i="1"/>
  <c r="AL664" i="1"/>
  <c r="AL663" i="1"/>
  <c r="AL662" i="1"/>
  <c r="AL661" i="1"/>
  <c r="AL660" i="1"/>
  <c r="AL659" i="1"/>
  <c r="AL658" i="1"/>
  <c r="AL657" i="1"/>
  <c r="AL656" i="1"/>
  <c r="Y656" i="1"/>
  <c r="J656" i="1"/>
  <c r="AL655" i="1"/>
  <c r="J655" i="1"/>
  <c r="AL654" i="1"/>
  <c r="L654" i="1"/>
  <c r="J654" i="1"/>
  <c r="AL653" i="1"/>
  <c r="AL652" i="1"/>
  <c r="AD652" i="1"/>
  <c r="AL651" i="1"/>
  <c r="AD651" i="1"/>
  <c r="AL650" i="1"/>
  <c r="AL649" i="1"/>
  <c r="L649" i="1"/>
  <c r="J649" i="1"/>
  <c r="AL648" i="1"/>
  <c r="AL647" i="1"/>
  <c r="L647" i="1"/>
  <c r="J647" i="1"/>
  <c r="AL646" i="1"/>
  <c r="J646" i="1"/>
  <c r="AL645" i="1"/>
  <c r="J645" i="1"/>
  <c r="AL644" i="1"/>
  <c r="J644" i="1"/>
  <c r="AL643" i="1"/>
  <c r="AL642" i="1"/>
  <c r="AL641" i="1"/>
  <c r="J641" i="1"/>
  <c r="AL640" i="1"/>
  <c r="J640" i="1"/>
  <c r="AL639" i="1"/>
  <c r="J639" i="1"/>
  <c r="AL638" i="1"/>
  <c r="AL637" i="1"/>
  <c r="J637" i="1"/>
  <c r="AL636" i="1"/>
  <c r="AL635" i="1"/>
  <c r="L635" i="1"/>
  <c r="AL634" i="1"/>
  <c r="L634" i="1"/>
  <c r="AL633" i="1"/>
  <c r="L633" i="1"/>
  <c r="AL632" i="1"/>
  <c r="L632" i="1"/>
  <c r="AL631" i="1"/>
  <c r="AL630" i="1"/>
  <c r="L630" i="1"/>
  <c r="J630" i="1"/>
  <c r="AL629" i="1"/>
  <c r="L629" i="1"/>
  <c r="J629" i="1"/>
  <c r="AL628" i="1"/>
  <c r="AL627" i="1"/>
  <c r="AL626" i="1"/>
  <c r="AL625" i="1"/>
  <c r="AL624" i="1"/>
  <c r="AL623" i="1"/>
  <c r="J623" i="1"/>
  <c r="AL622" i="1"/>
  <c r="AL621" i="1"/>
  <c r="J621" i="1"/>
  <c r="AL620" i="1"/>
  <c r="J620" i="1"/>
  <c r="AL619" i="1"/>
  <c r="AL618" i="1"/>
  <c r="AL617" i="1"/>
  <c r="AL616" i="1"/>
  <c r="AL615" i="1"/>
  <c r="J615" i="1"/>
  <c r="AL614" i="1"/>
  <c r="AL613" i="1"/>
  <c r="AL612" i="1"/>
  <c r="AL611" i="1"/>
  <c r="AL610" i="1"/>
  <c r="AL609" i="1"/>
  <c r="AL608" i="1"/>
  <c r="AL607" i="1"/>
  <c r="AL606" i="1"/>
  <c r="AL605" i="1"/>
  <c r="AL604" i="1"/>
  <c r="AL603" i="1"/>
  <c r="L603" i="1"/>
  <c r="J603" i="1"/>
  <c r="AL602" i="1"/>
  <c r="L602" i="1"/>
  <c r="AL601" i="1"/>
  <c r="L601" i="1"/>
  <c r="J601" i="1"/>
  <c r="AL600" i="1"/>
  <c r="L600" i="1"/>
  <c r="AL599" i="1"/>
  <c r="AD599" i="1"/>
  <c r="AL598" i="1"/>
  <c r="AD598" i="1"/>
  <c r="AL597" i="1"/>
  <c r="AL596" i="1"/>
  <c r="L596" i="1"/>
  <c r="J596" i="1"/>
  <c r="AL595" i="1"/>
  <c r="AL594" i="1"/>
  <c r="L594" i="1"/>
  <c r="J594" i="1"/>
  <c r="AL593" i="1"/>
  <c r="L593" i="1"/>
  <c r="J593" i="1"/>
  <c r="AL592" i="1"/>
  <c r="L592" i="1"/>
  <c r="J592" i="1"/>
  <c r="AL591" i="1"/>
  <c r="L591" i="1"/>
  <c r="J591" i="1"/>
  <c r="AL590" i="1"/>
  <c r="AL589" i="1"/>
  <c r="L589" i="1"/>
  <c r="J589" i="1"/>
  <c r="AL588" i="1"/>
  <c r="AL587" i="1"/>
  <c r="J587" i="1"/>
  <c r="AL586" i="1"/>
  <c r="AL585" i="1"/>
  <c r="AL584" i="1"/>
  <c r="AL583" i="1"/>
  <c r="L583" i="1"/>
  <c r="J583" i="1"/>
  <c r="AL582" i="1"/>
  <c r="L582" i="1"/>
  <c r="J582" i="1"/>
  <c r="AL581" i="1"/>
  <c r="L581" i="1"/>
  <c r="J581" i="1"/>
  <c r="AL580" i="1"/>
  <c r="L580" i="1"/>
  <c r="J580" i="1"/>
  <c r="AL579" i="1"/>
  <c r="L579" i="1"/>
  <c r="J579" i="1"/>
  <c r="AL578" i="1"/>
  <c r="L578" i="1"/>
  <c r="J578" i="1"/>
  <c r="AL577" i="1"/>
  <c r="AL576" i="1"/>
  <c r="AL575" i="1"/>
  <c r="AL574" i="1"/>
  <c r="AL573" i="1"/>
  <c r="AL572" i="1"/>
  <c r="AL571" i="1"/>
  <c r="AL570" i="1"/>
  <c r="AL569" i="1"/>
  <c r="AL568" i="1"/>
  <c r="AL567" i="1"/>
  <c r="AL566" i="1"/>
  <c r="AL565" i="1"/>
  <c r="AL564" i="1"/>
  <c r="AL563" i="1"/>
  <c r="AL562" i="1"/>
  <c r="AL561" i="1"/>
  <c r="AL560" i="1"/>
  <c r="AL559" i="1"/>
  <c r="AL558" i="1"/>
  <c r="AL557" i="1"/>
  <c r="AL556" i="1"/>
  <c r="AL555" i="1"/>
  <c r="AL554" i="1"/>
  <c r="J554" i="1"/>
  <c r="AL553" i="1"/>
  <c r="J553" i="1"/>
  <c r="AL552" i="1"/>
  <c r="L552" i="1"/>
  <c r="AL551" i="1"/>
  <c r="L551" i="1"/>
  <c r="AL550" i="1"/>
  <c r="L550" i="1"/>
  <c r="AL549" i="1"/>
  <c r="AL548" i="1"/>
  <c r="AL547" i="1"/>
  <c r="AL546" i="1"/>
  <c r="AL545" i="1"/>
  <c r="AL544" i="1"/>
  <c r="AL543" i="1"/>
  <c r="AL542" i="1"/>
  <c r="AL541" i="1"/>
  <c r="AL540" i="1"/>
  <c r="L540" i="1"/>
  <c r="P540" i="1" s="1"/>
  <c r="J540" i="1"/>
  <c r="AL539" i="1"/>
  <c r="L539" i="1"/>
  <c r="P539" i="1" s="1"/>
  <c r="J539" i="1"/>
  <c r="AL538" i="1"/>
  <c r="L538" i="1"/>
  <c r="P538" i="1" s="1"/>
  <c r="J538" i="1"/>
  <c r="AL537" i="1"/>
  <c r="L537" i="1"/>
  <c r="P537" i="1" s="1"/>
  <c r="J537" i="1"/>
  <c r="AL536" i="1"/>
  <c r="AL535" i="1"/>
  <c r="L535" i="1"/>
  <c r="J535" i="1"/>
  <c r="AL534" i="1"/>
  <c r="AL533" i="1"/>
  <c r="AL532" i="1"/>
  <c r="L532" i="1"/>
  <c r="J532" i="1"/>
  <c r="AL531" i="1"/>
  <c r="AL530" i="1"/>
  <c r="AL529" i="1"/>
  <c r="AL528" i="1"/>
  <c r="I526" i="1"/>
  <c r="H526" i="1"/>
  <c r="I525" i="1"/>
  <c r="H525" i="1"/>
  <c r="I524" i="1"/>
  <c r="H524" i="1"/>
  <c r="AL523" i="1"/>
  <c r="I521" i="1"/>
  <c r="H521" i="1"/>
  <c r="I520" i="1"/>
  <c r="H520" i="1"/>
  <c r="I519" i="1"/>
  <c r="H519" i="1"/>
  <c r="AL518" i="1"/>
  <c r="I517" i="1"/>
  <c r="H517" i="1"/>
  <c r="I516" i="1"/>
  <c r="H516" i="1"/>
  <c r="I515" i="1"/>
  <c r="H515" i="1"/>
  <c r="AL514" i="1"/>
  <c r="I513" i="1"/>
  <c r="H513" i="1"/>
  <c r="I512" i="1"/>
  <c r="H512" i="1"/>
  <c r="I511" i="1"/>
  <c r="H511" i="1"/>
  <c r="AL510" i="1"/>
  <c r="I508" i="1"/>
  <c r="H508" i="1"/>
  <c r="I507" i="1"/>
  <c r="H507" i="1"/>
  <c r="I506" i="1"/>
  <c r="H506" i="1"/>
  <c r="AL505" i="1"/>
  <c r="AL503" i="1"/>
  <c r="I503" i="1"/>
  <c r="H503" i="1"/>
  <c r="AL502" i="1"/>
  <c r="I502" i="1"/>
  <c r="H502" i="1"/>
  <c r="AL501" i="1"/>
  <c r="I501" i="1"/>
  <c r="H501" i="1"/>
  <c r="AL500" i="1"/>
  <c r="I499" i="1"/>
  <c r="H499" i="1"/>
  <c r="I498" i="1"/>
  <c r="H498" i="1"/>
  <c r="I497" i="1"/>
  <c r="H497" i="1"/>
  <c r="AL496" i="1"/>
  <c r="AL494" i="1"/>
  <c r="I494" i="1"/>
  <c r="H494" i="1"/>
  <c r="AL493" i="1"/>
  <c r="I493" i="1"/>
  <c r="H493" i="1"/>
  <c r="AL492" i="1"/>
  <c r="I492" i="1"/>
  <c r="H492" i="1"/>
  <c r="AL491" i="1"/>
  <c r="AL490" i="1"/>
  <c r="I490" i="1"/>
  <c r="H490" i="1"/>
  <c r="AL489" i="1"/>
  <c r="I489" i="1"/>
  <c r="H489" i="1"/>
  <c r="AL488" i="1"/>
  <c r="I488" i="1"/>
  <c r="H488" i="1"/>
  <c r="AL487" i="1"/>
  <c r="AL486" i="1"/>
  <c r="AL485" i="1"/>
  <c r="L485" i="1"/>
  <c r="J485" i="1"/>
  <c r="AL484" i="1"/>
  <c r="L484" i="1"/>
  <c r="J484" i="1"/>
  <c r="AL483" i="1"/>
  <c r="L483" i="1"/>
  <c r="J483" i="1"/>
  <c r="AL482" i="1"/>
  <c r="L482" i="1"/>
  <c r="J482" i="1"/>
  <c r="AL481" i="1"/>
  <c r="AL480" i="1"/>
  <c r="L480" i="1"/>
  <c r="J480" i="1"/>
  <c r="AL479" i="1"/>
  <c r="AL478" i="1"/>
  <c r="L478" i="1"/>
  <c r="J478" i="1"/>
  <c r="AL477" i="1"/>
  <c r="AL476" i="1"/>
  <c r="AL475" i="1"/>
  <c r="AL474" i="1"/>
  <c r="AL473" i="1"/>
  <c r="AL472" i="1"/>
  <c r="AL471" i="1"/>
  <c r="AL470" i="1"/>
  <c r="AL469" i="1"/>
  <c r="AL468" i="1"/>
  <c r="AL467" i="1"/>
  <c r="AL466" i="1"/>
  <c r="AL465" i="1"/>
  <c r="AL464" i="1"/>
  <c r="AL463" i="1"/>
  <c r="J463" i="1"/>
  <c r="AL462" i="1"/>
  <c r="J462" i="1"/>
  <c r="AL461" i="1"/>
  <c r="J461" i="1"/>
  <c r="AL460" i="1"/>
  <c r="J460" i="1"/>
  <c r="AL459" i="1"/>
  <c r="J459" i="1"/>
  <c r="AL458" i="1"/>
  <c r="AL457" i="1"/>
  <c r="AL456" i="1"/>
  <c r="AD456" i="1"/>
  <c r="AB456" i="1"/>
  <c r="O456" i="1"/>
  <c r="AL455" i="1"/>
  <c r="AD455" i="1"/>
  <c r="AB455" i="1"/>
  <c r="O455" i="1"/>
  <c r="AL454" i="1"/>
  <c r="AL453" i="1"/>
  <c r="AL452" i="1"/>
  <c r="AL451" i="1"/>
  <c r="AL450" i="1"/>
  <c r="AL449" i="1"/>
  <c r="AL448" i="1"/>
  <c r="AL447" i="1"/>
  <c r="AE447" i="1"/>
  <c r="AD447" i="1"/>
  <c r="AB447" i="1"/>
  <c r="AA447" i="1"/>
  <c r="AL446" i="1"/>
  <c r="AE446" i="1"/>
  <c r="AD446" i="1"/>
  <c r="AB446" i="1"/>
  <c r="AA446" i="1"/>
  <c r="AL445" i="1"/>
  <c r="AL444" i="1"/>
  <c r="AL443" i="1"/>
  <c r="AL442" i="1"/>
  <c r="AL441" i="1"/>
  <c r="AL440" i="1"/>
  <c r="AL439" i="1"/>
  <c r="AL438" i="1"/>
  <c r="AL437" i="1"/>
  <c r="AL436" i="1"/>
  <c r="AL435" i="1"/>
  <c r="AL434" i="1"/>
  <c r="AL433" i="1"/>
  <c r="AL432" i="1"/>
  <c r="AL431" i="1"/>
  <c r="L431" i="1"/>
  <c r="AL430" i="1"/>
  <c r="AL429" i="1"/>
  <c r="AE429" i="1"/>
  <c r="AD429" i="1"/>
  <c r="AB429" i="1"/>
  <c r="AA429" i="1"/>
  <c r="Z429" i="1"/>
  <c r="AL428" i="1"/>
  <c r="AD428" i="1"/>
  <c r="AA428" i="1"/>
  <c r="Z428" i="1"/>
  <c r="AL427" i="1"/>
  <c r="AL426" i="1"/>
  <c r="AL425" i="1"/>
  <c r="AL424" i="1"/>
  <c r="AL423" i="1"/>
  <c r="R423" i="1"/>
  <c r="AL422" i="1"/>
  <c r="AL421" i="1"/>
  <c r="AL420" i="1"/>
  <c r="AL419" i="1"/>
  <c r="AL418" i="1"/>
  <c r="AL417" i="1"/>
  <c r="AL416" i="1"/>
  <c r="AL415" i="1"/>
  <c r="AL414" i="1"/>
  <c r="AL413" i="1"/>
  <c r="AL412" i="1"/>
  <c r="AL411" i="1"/>
  <c r="AL410" i="1"/>
  <c r="AL409" i="1"/>
  <c r="AL408" i="1"/>
  <c r="AL407" i="1"/>
  <c r="AL406" i="1"/>
  <c r="AL405" i="1"/>
  <c r="AL404" i="1"/>
  <c r="AL403" i="1"/>
  <c r="AL402" i="1"/>
  <c r="AL401" i="1"/>
  <c r="AL400" i="1"/>
  <c r="AL399" i="1"/>
  <c r="AL398" i="1"/>
  <c r="AL397" i="1"/>
  <c r="AL396" i="1"/>
  <c r="AL395" i="1"/>
  <c r="AL394" i="1"/>
  <c r="AL393" i="1"/>
  <c r="AL392" i="1"/>
  <c r="AL391" i="1"/>
  <c r="AL390" i="1"/>
  <c r="AL389" i="1"/>
  <c r="AL388" i="1"/>
  <c r="AL387" i="1"/>
  <c r="AL386" i="1"/>
  <c r="AL385" i="1"/>
  <c r="AL384" i="1"/>
  <c r="AL383" i="1"/>
  <c r="AL382" i="1"/>
  <c r="AL381" i="1"/>
  <c r="AL380" i="1"/>
  <c r="AL379" i="1"/>
  <c r="AL378" i="1"/>
  <c r="AL377" i="1"/>
  <c r="AL376" i="1"/>
  <c r="AL375" i="1"/>
  <c r="AL374" i="1"/>
  <c r="AL373" i="1"/>
  <c r="AL372" i="1"/>
  <c r="AL371" i="1"/>
  <c r="AL370" i="1"/>
  <c r="AL369" i="1"/>
  <c r="AL368" i="1"/>
  <c r="AL367" i="1"/>
  <c r="AL366" i="1"/>
  <c r="AL365" i="1"/>
  <c r="AL364" i="1"/>
  <c r="AL363" i="1"/>
  <c r="AL362" i="1"/>
  <c r="AL361" i="1"/>
  <c r="AL360" i="1"/>
  <c r="AL359" i="1"/>
  <c r="AL358" i="1"/>
  <c r="AL357" i="1"/>
  <c r="AL356" i="1"/>
  <c r="AL355" i="1"/>
  <c r="AL354" i="1"/>
  <c r="AL353" i="1"/>
  <c r="AL352" i="1"/>
  <c r="AL351" i="1"/>
  <c r="AL350" i="1"/>
  <c r="AL349" i="1"/>
  <c r="AL348" i="1"/>
  <c r="AL347" i="1"/>
  <c r="AL346" i="1"/>
  <c r="AL345" i="1"/>
  <c r="AL344" i="1"/>
  <c r="AL343" i="1"/>
  <c r="AL342" i="1"/>
  <c r="AL341" i="1"/>
  <c r="AL340" i="1"/>
  <c r="AL339" i="1"/>
  <c r="AL338" i="1"/>
  <c r="AL337" i="1"/>
  <c r="AL336" i="1"/>
  <c r="AL335" i="1"/>
  <c r="AL334" i="1"/>
  <c r="AL333" i="1"/>
  <c r="AL332" i="1"/>
  <c r="AL331" i="1"/>
  <c r="AL330" i="1"/>
  <c r="AL329" i="1"/>
  <c r="AL328" i="1"/>
  <c r="AL327" i="1"/>
  <c r="AL326" i="1"/>
  <c r="AL325" i="1"/>
  <c r="AL324" i="1"/>
  <c r="AL323" i="1"/>
  <c r="AL322" i="1"/>
  <c r="AL321" i="1"/>
  <c r="AL320" i="1"/>
  <c r="AL319" i="1"/>
  <c r="AL318" i="1"/>
  <c r="AL317" i="1"/>
  <c r="AL316" i="1"/>
  <c r="AL315" i="1"/>
  <c r="AL314" i="1"/>
  <c r="AL313" i="1"/>
  <c r="AL312" i="1"/>
  <c r="AL311" i="1"/>
  <c r="AL310" i="1"/>
  <c r="AL309" i="1"/>
  <c r="AL308" i="1"/>
  <c r="AL307" i="1"/>
  <c r="AL306" i="1"/>
  <c r="AL305" i="1"/>
  <c r="AL304" i="1"/>
  <c r="AL303" i="1"/>
  <c r="AL302" i="1"/>
  <c r="AL301" i="1"/>
  <c r="AL300" i="1"/>
  <c r="AL299" i="1"/>
  <c r="AL298" i="1"/>
  <c r="AL297" i="1"/>
  <c r="AL296" i="1"/>
  <c r="AL295" i="1"/>
  <c r="AL294" i="1"/>
  <c r="AL293" i="1"/>
  <c r="AL292" i="1"/>
  <c r="AL291" i="1"/>
  <c r="AL290" i="1"/>
  <c r="AL289" i="1"/>
  <c r="AL288" i="1"/>
  <c r="AL287" i="1"/>
  <c r="AL286" i="1"/>
  <c r="AL285" i="1"/>
  <c r="AL284" i="1"/>
  <c r="AL283" i="1"/>
  <c r="AL282" i="1"/>
  <c r="AL281" i="1"/>
  <c r="AL280" i="1"/>
  <c r="AL279" i="1"/>
  <c r="AL278" i="1"/>
  <c r="AL277" i="1"/>
  <c r="AL276" i="1"/>
  <c r="AL275" i="1"/>
  <c r="AL274" i="1"/>
  <c r="AL273" i="1"/>
  <c r="AL272" i="1"/>
  <c r="AL271" i="1"/>
  <c r="AL270" i="1"/>
  <c r="AL269" i="1"/>
  <c r="AL268" i="1"/>
  <c r="AL267" i="1"/>
  <c r="AL266" i="1"/>
  <c r="AL265" i="1"/>
  <c r="AL264" i="1"/>
  <c r="AL263" i="1"/>
  <c r="AL262" i="1"/>
  <c r="AL261" i="1"/>
  <c r="AL260" i="1"/>
  <c r="AL259" i="1"/>
  <c r="AL258" i="1"/>
  <c r="AL257" i="1"/>
  <c r="AL256" i="1"/>
  <c r="AL255" i="1"/>
  <c r="AL254" i="1"/>
  <c r="AL253" i="1"/>
  <c r="AL252" i="1"/>
  <c r="AL251" i="1"/>
  <c r="AL250" i="1"/>
  <c r="AL249" i="1"/>
  <c r="AL248" i="1"/>
  <c r="AL247" i="1"/>
  <c r="AL246" i="1"/>
  <c r="AL245" i="1"/>
  <c r="AL244" i="1"/>
  <c r="AL243" i="1"/>
  <c r="AL242" i="1"/>
  <c r="AL241" i="1"/>
  <c r="AL240" i="1"/>
  <c r="AL239" i="1"/>
  <c r="AL238" i="1"/>
  <c r="AL237" i="1"/>
  <c r="AL236" i="1"/>
  <c r="AL235" i="1"/>
  <c r="AL234" i="1"/>
  <c r="AL233" i="1"/>
  <c r="AL232" i="1"/>
  <c r="AL231" i="1"/>
  <c r="AL230" i="1"/>
  <c r="AL229" i="1"/>
  <c r="AL228" i="1"/>
  <c r="AL227" i="1"/>
  <c r="AL226" i="1"/>
  <c r="AL225" i="1"/>
  <c r="AL224" i="1"/>
  <c r="AL223" i="1"/>
  <c r="AL222" i="1"/>
  <c r="AL221" i="1"/>
  <c r="AL220" i="1"/>
  <c r="AL219" i="1"/>
  <c r="AL218" i="1"/>
  <c r="AL217" i="1"/>
  <c r="AL216" i="1"/>
  <c r="AL215" i="1"/>
  <c r="AL214" i="1"/>
  <c r="AL213" i="1"/>
  <c r="AL212" i="1"/>
  <c r="AL211" i="1"/>
  <c r="AL210" i="1"/>
  <c r="AL209" i="1"/>
  <c r="AL208" i="1"/>
  <c r="AL207" i="1"/>
  <c r="AL206" i="1"/>
  <c r="AL205" i="1"/>
  <c r="AL204" i="1"/>
  <c r="J204" i="1"/>
  <c r="AL203" i="1"/>
  <c r="J203" i="1"/>
  <c r="AL202" i="1"/>
  <c r="AL201" i="1"/>
  <c r="AL200" i="1"/>
  <c r="AL199" i="1"/>
  <c r="AL198" i="1"/>
  <c r="AL197" i="1"/>
  <c r="K197" i="1"/>
  <c r="AL196" i="1"/>
  <c r="K196" i="1"/>
  <c r="AL195" i="1"/>
  <c r="K195" i="1"/>
  <c r="AL194" i="1"/>
  <c r="J194" i="1"/>
  <c r="AL193" i="1"/>
  <c r="L193" i="1"/>
  <c r="J193" i="1"/>
  <c r="AL192" i="1"/>
  <c r="L192" i="1"/>
  <c r="J192" i="1"/>
  <c r="AL191" i="1"/>
  <c r="L191" i="1"/>
  <c r="J191" i="1"/>
  <c r="AL190" i="1"/>
  <c r="L190" i="1"/>
  <c r="J190" i="1"/>
  <c r="AL189" i="1"/>
  <c r="L189" i="1"/>
  <c r="J189" i="1"/>
  <c r="AL188" i="1"/>
  <c r="L188" i="1"/>
  <c r="J188" i="1"/>
  <c r="AL187" i="1"/>
  <c r="L187" i="1"/>
  <c r="J187" i="1"/>
  <c r="AL186" i="1"/>
  <c r="L186" i="1"/>
  <c r="J186" i="1"/>
  <c r="AL185" i="1"/>
  <c r="L185" i="1"/>
  <c r="J185" i="1"/>
  <c r="AL184" i="1"/>
  <c r="L184" i="1"/>
  <c r="J184" i="1"/>
  <c r="AL183" i="1"/>
  <c r="L183" i="1"/>
  <c r="J183" i="1"/>
  <c r="AL182" i="1"/>
  <c r="L182" i="1"/>
  <c r="J182" i="1"/>
  <c r="AL181" i="1"/>
  <c r="AL180" i="1"/>
  <c r="AE180" i="1"/>
  <c r="AD180" i="1"/>
  <c r="AB180" i="1"/>
  <c r="AA180" i="1"/>
  <c r="O180" i="1"/>
  <c r="AL179" i="1"/>
  <c r="AE179" i="1"/>
  <c r="AD179" i="1"/>
  <c r="AB179" i="1"/>
  <c r="AA179" i="1"/>
  <c r="AL178" i="1"/>
  <c r="AE178" i="1"/>
  <c r="AD178" i="1"/>
  <c r="AB178" i="1"/>
  <c r="AA178" i="1"/>
  <c r="AL177" i="1"/>
  <c r="AD177" i="1"/>
  <c r="AB177" i="1"/>
  <c r="O177" i="1"/>
  <c r="AL176" i="1"/>
  <c r="AD176" i="1"/>
  <c r="AB176" i="1"/>
  <c r="O176" i="1"/>
  <c r="AL175" i="1"/>
  <c r="AD175" i="1"/>
  <c r="AB175" i="1"/>
  <c r="O175" i="1"/>
  <c r="AL174" i="1"/>
  <c r="AD174" i="1"/>
  <c r="AB174" i="1"/>
  <c r="O174" i="1"/>
  <c r="AL173" i="1"/>
  <c r="AA173" i="1"/>
  <c r="Z173" i="1"/>
  <c r="AF173" i="1" s="1"/>
  <c r="AL172" i="1"/>
  <c r="AB172" i="1"/>
  <c r="AL171" i="1"/>
  <c r="AL170" i="1"/>
  <c r="AG170" i="1"/>
  <c r="AB170" i="1" s="1"/>
  <c r="AA170" i="1"/>
  <c r="AD170" i="1" s="1"/>
  <c r="Z170" i="1"/>
  <c r="AF170" i="1" s="1"/>
  <c r="AL169" i="1"/>
  <c r="AG169" i="1"/>
  <c r="AB169" i="1" s="1"/>
  <c r="AA169" i="1"/>
  <c r="AD169" i="1" s="1"/>
  <c r="Z169" i="1"/>
  <c r="AF169" i="1" s="1"/>
  <c r="J169" i="1"/>
  <c r="AL168" i="1"/>
  <c r="AG168" i="1"/>
  <c r="AB168" i="1" s="1"/>
  <c r="AA168" i="1"/>
  <c r="Z168" i="1"/>
  <c r="AF168" i="1" s="1"/>
  <c r="AL167" i="1"/>
  <c r="AG167" i="1"/>
  <c r="AB167" i="1" s="1"/>
  <c r="AA167" i="1"/>
  <c r="Z167" i="1"/>
  <c r="AF167" i="1" s="1"/>
  <c r="AL166" i="1"/>
  <c r="AG166" i="1"/>
  <c r="AF166" i="1"/>
  <c r="AB166" i="1"/>
  <c r="AA166" i="1"/>
  <c r="AL165" i="1"/>
  <c r="AF165" i="1"/>
  <c r="AB165" i="1"/>
  <c r="AD165" i="1" s="1"/>
  <c r="AA165" i="1"/>
  <c r="AL164" i="1"/>
  <c r="AD164" i="1"/>
  <c r="AB164" i="1"/>
  <c r="AL163" i="1"/>
  <c r="AD163" i="1"/>
  <c r="AB163" i="1"/>
  <c r="O163" i="1"/>
  <c r="L163" i="1"/>
  <c r="AL162" i="1"/>
  <c r="AD162" i="1"/>
  <c r="AB162" i="1"/>
  <c r="O162" i="1"/>
  <c r="AL161" i="1"/>
  <c r="AD161" i="1"/>
  <c r="AB161" i="1"/>
  <c r="O161" i="1"/>
  <c r="L161" i="1"/>
  <c r="AL160" i="1"/>
  <c r="AD160" i="1"/>
  <c r="AB160" i="1"/>
  <c r="O160" i="1"/>
  <c r="AL159" i="1"/>
  <c r="AD159" i="1"/>
  <c r="AB159" i="1"/>
  <c r="O159" i="1"/>
  <c r="L159" i="1"/>
  <c r="AL158" i="1"/>
  <c r="AD158" i="1"/>
  <c r="AB158" i="1"/>
  <c r="O158" i="1"/>
  <c r="AL157" i="1"/>
  <c r="AD157" i="1"/>
  <c r="AB157" i="1"/>
  <c r="O157" i="1"/>
  <c r="L157" i="1"/>
  <c r="AL156" i="1"/>
  <c r="AD156" i="1"/>
  <c r="AB156" i="1"/>
  <c r="O156" i="1"/>
  <c r="AL155" i="1"/>
  <c r="AL154" i="1"/>
  <c r="AL153" i="1"/>
  <c r="AL152" i="1"/>
  <c r="AL151" i="1"/>
  <c r="AL150" i="1"/>
  <c r="AB150" i="1"/>
  <c r="AL149" i="1"/>
  <c r="AL148" i="1"/>
  <c r="AL147" i="1"/>
  <c r="AL146" i="1"/>
  <c r="AL145" i="1"/>
  <c r="AL144" i="1"/>
  <c r="AL143" i="1"/>
  <c r="AL142" i="1"/>
  <c r="AL141" i="1"/>
  <c r="AL140" i="1"/>
  <c r="AL139" i="1"/>
  <c r="AL138" i="1"/>
  <c r="AL137" i="1"/>
  <c r="AL136" i="1"/>
  <c r="AL135" i="1"/>
  <c r="AL134" i="1"/>
  <c r="AL133" i="1"/>
  <c r="AL132" i="1"/>
  <c r="AL131" i="1"/>
  <c r="AL130" i="1"/>
  <c r="AL129" i="1"/>
  <c r="AL128" i="1"/>
  <c r="AL127" i="1"/>
  <c r="AL126" i="1"/>
  <c r="AL125" i="1"/>
  <c r="AL124" i="1"/>
  <c r="AL123" i="1"/>
  <c r="AL122" i="1"/>
  <c r="AL121" i="1"/>
  <c r="AL120" i="1"/>
  <c r="AL119" i="1"/>
  <c r="AL118" i="1"/>
  <c r="AL117" i="1"/>
  <c r="AL116" i="1"/>
  <c r="AL115" i="1"/>
  <c r="AL114" i="1"/>
  <c r="AL113" i="1"/>
  <c r="AL112" i="1"/>
  <c r="AL111" i="1"/>
  <c r="AL110" i="1"/>
  <c r="AL109" i="1"/>
  <c r="AL108" i="1"/>
  <c r="AL107" i="1"/>
  <c r="AL106" i="1"/>
  <c r="AL105" i="1"/>
  <c r="AL104" i="1"/>
  <c r="AL103" i="1"/>
  <c r="AL102" i="1"/>
  <c r="AL101" i="1"/>
  <c r="AL100" i="1"/>
  <c r="AL99" i="1"/>
  <c r="AL98" i="1"/>
  <c r="AL97" i="1"/>
  <c r="AL96" i="1"/>
  <c r="AL95" i="1"/>
  <c r="AL94" i="1"/>
  <c r="AL93" i="1"/>
  <c r="AL92" i="1"/>
  <c r="AL91" i="1"/>
  <c r="AL90" i="1"/>
  <c r="AL89" i="1"/>
  <c r="AL88" i="1"/>
  <c r="AL87" i="1"/>
  <c r="AL86" i="1"/>
  <c r="AL85" i="1"/>
  <c r="AL84" i="1"/>
  <c r="AL83" i="1"/>
  <c r="AL82" i="1"/>
  <c r="AL81" i="1"/>
  <c r="AL80" i="1"/>
  <c r="AL79" i="1"/>
  <c r="AL78" i="1"/>
  <c r="AL77" i="1"/>
  <c r="AL76" i="1"/>
  <c r="AL75" i="1"/>
  <c r="AL74" i="1"/>
  <c r="AL73" i="1"/>
  <c r="AL72" i="1"/>
  <c r="AL71" i="1"/>
  <c r="AL70" i="1"/>
  <c r="AL69" i="1"/>
  <c r="AL68" i="1"/>
  <c r="AL67" i="1"/>
  <c r="AL66" i="1"/>
  <c r="AL65" i="1"/>
  <c r="AL64" i="1"/>
  <c r="AL63" i="1"/>
  <c r="AL62" i="1"/>
  <c r="AL61" i="1"/>
  <c r="AL60" i="1"/>
  <c r="AL59" i="1"/>
  <c r="AL58" i="1"/>
  <c r="AL57" i="1"/>
  <c r="AL56" i="1"/>
  <c r="AL55" i="1"/>
  <c r="AL54" i="1"/>
  <c r="AL53" i="1"/>
  <c r="AL52" i="1"/>
  <c r="AL51" i="1"/>
  <c r="AL50" i="1"/>
  <c r="AL49" i="1"/>
  <c r="AL48" i="1"/>
  <c r="AL47" i="1"/>
  <c r="AL46" i="1"/>
  <c r="AL45" i="1"/>
  <c r="AL44" i="1"/>
  <c r="AL43" i="1"/>
  <c r="AL42" i="1"/>
  <c r="AL41" i="1"/>
  <c r="AL40" i="1"/>
  <c r="AL39" i="1"/>
  <c r="AL38" i="1"/>
  <c r="AL37" i="1"/>
  <c r="AL36" i="1"/>
  <c r="AL35" i="1"/>
  <c r="AL34" i="1"/>
  <c r="AL33" i="1"/>
  <c r="AL32" i="1"/>
  <c r="AL31" i="1"/>
  <c r="AL30" i="1"/>
  <c r="AL29" i="1"/>
  <c r="AL28" i="1"/>
  <c r="AL27" i="1"/>
  <c r="AL26" i="1"/>
  <c r="AL25" i="1"/>
  <c r="AL24" i="1"/>
  <c r="AL23" i="1"/>
  <c r="AL22" i="1"/>
  <c r="AL21" i="1"/>
  <c r="AL20" i="1"/>
  <c r="AL19" i="1"/>
  <c r="AL18" i="1"/>
  <c r="AL17" i="1"/>
  <c r="AL16" i="1"/>
  <c r="AL15" i="1"/>
  <c r="AL14" i="1"/>
  <c r="AL13" i="1"/>
  <c r="AL12" i="1"/>
  <c r="AL11" i="1"/>
  <c r="AL10" i="1"/>
  <c r="AL9" i="1"/>
  <c r="AL8" i="1"/>
  <c r="AL7" i="1"/>
  <c r="AL6" i="1"/>
  <c r="AL5" i="1"/>
  <c r="AD166" i="1" l="1"/>
  <c r="J170" i="1"/>
  <c r="AD167" i="1"/>
  <c r="AD168" i="1"/>
</calcChain>
</file>

<file path=xl/sharedStrings.xml><?xml version="1.0" encoding="utf-8"?>
<sst xmlns="http://schemas.openxmlformats.org/spreadsheetml/2006/main" count="12018" uniqueCount="3800">
  <si>
    <t>As Per Draft Send</t>
  </si>
  <si>
    <t>SSR 2022-23 w.e.f. 25/07/2022</t>
  </si>
  <si>
    <t>Sr. Number</t>
  </si>
  <si>
    <t>Chapter</t>
  </si>
  <si>
    <t>SSR Item Number</t>
  </si>
  <si>
    <t>Reference Number</t>
  </si>
  <si>
    <t>Description of the item</t>
  </si>
  <si>
    <t>Additional Specification</t>
  </si>
  <si>
    <t>Unit</t>
  </si>
  <si>
    <r>
      <rPr>
        <b/>
        <sz val="10"/>
        <rFont val="Times New Roman"/>
        <family val="1"/>
      </rPr>
      <t>Proposed Completed Rate for 2020-
21 excluding GST
In Rs.</t>
    </r>
  </si>
  <si>
    <r>
      <rPr>
        <b/>
        <sz val="10"/>
        <rFont val="Times New Roman"/>
        <family val="1"/>
      </rPr>
      <t>Proposed Labour Rate for 2020-21
excluding
GST</t>
    </r>
  </si>
  <si>
    <t>CEMENT</t>
  </si>
  <si>
    <t>STEEL</t>
  </si>
  <si>
    <t xml:space="preserve"> METAL Below 40 mm</t>
  </si>
  <si>
    <t xml:space="preserve"> METAL 40 mm &amp; Above</t>
  </si>
  <si>
    <t>RUBBLE</t>
  </si>
  <si>
    <t>Screening metal</t>
  </si>
  <si>
    <t>FINE SAND</t>
  </si>
  <si>
    <t>LOCAL SAND</t>
  </si>
  <si>
    <t>MURRUM</t>
  </si>
  <si>
    <t>STONE DUST</t>
  </si>
  <si>
    <t xml:space="preserve"> B.B. bricks</t>
  </si>
  <si>
    <t>Fly Ash Brk./ Block Masonary</t>
  </si>
  <si>
    <t>Brick Bats</t>
  </si>
  <si>
    <t>Tiles</t>
  </si>
  <si>
    <t>Paver  Blocks</t>
  </si>
  <si>
    <t>Half Round / Roof Tiles</t>
  </si>
  <si>
    <t>CRUSHER BROKEN METAL at plant</t>
  </si>
  <si>
    <t>BITUMEN BULK AT PLANT</t>
  </si>
  <si>
    <t>BITUMEN BULK AT SITE</t>
  </si>
  <si>
    <t>BITUMEN PACK TIN</t>
  </si>
  <si>
    <t>Cost Diff. in Bitumen BULK 60/70</t>
  </si>
  <si>
    <t>Cost Diff. in Bitumen BUlk 80/100</t>
  </si>
  <si>
    <t>BITUMINOUS MIX</t>
  </si>
  <si>
    <t>Add forTack Coat (Item No.3.31) for  Sqm</t>
  </si>
  <si>
    <t>Cost Diff. in Pack tin Bitumen  60/70</t>
  </si>
  <si>
    <t>Cost Diff. in Pack tin Bitumen  80/100</t>
  </si>
  <si>
    <t>DEDUCT FOR  SCADA</t>
  </si>
  <si>
    <t>R.C.C. PIPES</t>
  </si>
  <si>
    <t>Unit in Short</t>
  </si>
  <si>
    <t>Short Discription</t>
  </si>
  <si>
    <t>SSR 2021-22  ROAD WORKS</t>
  </si>
  <si>
    <t>Road Survey and DPR</t>
  </si>
  <si>
    <t>Fixing chainage Stone /Bench mark Stone / Center Stone / Apex Stone in earth and all sorts  of  soil  and  soft  murum  including  conveying  excavated  material,   fixing  stone, including paintaining lettering One Numbers and back filling etc. complete.</t>
  </si>
  <si>
    <t>As directed by Engineer in charge</t>
  </si>
  <si>
    <t>One Number</t>
  </si>
  <si>
    <t>Taking the trial pit for roads, alignment, C.D. Works in earth soil of all sorts, sands gravel or soft murum, including stacking the excavated material including all lifts and necessary back filling upto depth 1.5 meters</t>
  </si>
  <si>
    <t>One Cubic Metre</t>
  </si>
  <si>
    <t>Taking  the  trial  pit  for  roads,  alignment,  C.D.  Works  in  earth  soil  of  all  sorts,  sands gravel,  or  soft  murum,  including  stacking  the  excavated  material  including  all lifts  and necessary back filling upto depth 3.0 meters</t>
  </si>
  <si>
    <t>Taking the trial pit for roads, alignment, C.D. Works in Hard murum, including stacking the excavated material including all lifts and necessary back filling upto depth 1.5 meters</t>
  </si>
  <si>
    <t>Taking the trial pit for roads, alignment, C.D. Works in Hard murum, including stacking the excavated material including all lifts and necessary back filling upto depth 3.0 meters</t>
  </si>
  <si>
    <r>
      <rPr>
        <sz val="11"/>
        <rFont val="Times New Roman"/>
        <family val="1"/>
      </rPr>
      <t>Taking  the  trial  pit  for  roads,  alignment,  C.D.  Works  in  Hard  murum,  and  Boulders including  stacking  the  excavated  material  including  all  lifts  and  necessary  back  filling
upto depth 1.5 meters</t>
    </r>
  </si>
  <si>
    <t>Taking  the  trial  pit  for  roads,  alignment,  C.D.  Works  in  Hard  murum,  and  Boulders including  stacking  the  excavated  material  including  all  lifts  and  necessary  back  filling upto depth 3.0 meters</t>
  </si>
  <si>
    <t>Fixing survey pegs in earth and all sorts Soil, Sand, Gravel, Soft Murum, etc. including conveying, fixing etc. complete.</t>
  </si>
  <si>
    <r>
      <rPr>
        <sz val="11"/>
        <rFont val="Times New Roman"/>
        <family val="1"/>
      </rPr>
      <t>Reconnaisance  Survey  of  Road  alignment  in  plain   country  including  taking  three
dimensions  of  apexes,  verification  of  type  of  land  etc.  alongwith  the  alignment  etc. complete (Without Chaining).</t>
    </r>
  </si>
  <si>
    <t>One  Kilometre</t>
  </si>
  <si>
    <t>Reconnaisance  Survey  of  Road  alignment  in  plain   country  including  taking  three dimensions  of  apexes,  verification  of  type  of  land  etc.  alongwith  the  alignment  etc. complete (With Chaining).</t>
  </si>
  <si>
    <t>Reconnaissance Survey of a  road alignment for new hilly road utilising exsisting forest cart tracks with use of ghat tracer (if found necessary), taking three dimensions of apexes including verification of type of land etc. complete. (Without Chaining)</t>
  </si>
  <si>
    <t>One Kilometre</t>
  </si>
  <si>
    <t>Reconnaissance  Survey of    road  alignment  for  new  hilly road  utilising  exsisting  forest cart tracks with use of ghat tracer (if found necessary), taking three dimensions of apexes including verification of type of land etc. complete. (With Chaining)</t>
  </si>
  <si>
    <t>Reconnaissance  Survey  of   road  alignment  in  hilly  road  utilising  exsisting  forest  cart tracks  with  use  of  ghat  tracer  (if  found  necessary),  taking  three  dimensions  of  apexes including verification of type of land etc. complete. (Without Chaining) .</t>
  </si>
  <si>
    <t>Reconnaissance Survey of  road alignment in hilly road utilising existing forest cart tracks with use of ghat tracer (if found necessary), taking three dimensions of apexes including verification of type of land etc. complete. (With Chaining) .</t>
  </si>
  <si>
    <r>
      <rPr>
        <sz val="11"/>
        <rFont val="Times New Roman"/>
        <family val="1"/>
      </rPr>
      <t>Road Survey
and DPR</t>
    </r>
  </si>
  <si>
    <r>
      <rPr>
        <sz val="11"/>
        <rFont val="Times New Roman"/>
        <family val="1"/>
      </rPr>
      <t>Detailed  survey  of  road  in  plain  country  including  chaining  and  levelling  with  cross
sections at every two chains inclusive of closing of survey each day.</t>
    </r>
  </si>
  <si>
    <r>
      <rPr>
        <sz val="11"/>
        <rFont val="Times New Roman"/>
        <family val="1"/>
      </rPr>
      <t>As directed by
Engineer in charge</t>
    </r>
  </si>
  <si>
    <t>Detailed  survey  of  road  length  where  earthwork  is  partly  done  including  chaining  and levelling with cross sections at every two chains inclusive of closing survey each day.</t>
  </si>
  <si>
    <t>Detailed survey  of road through  hilly country taking cross section at every chains or as required including chaining , levelling and closing survey each day.</t>
  </si>
  <si>
    <r>
      <rPr>
        <sz val="11"/>
        <rFont val="Times New Roman"/>
        <family val="1"/>
      </rPr>
      <t>Detailed  survey  of  road  through  hilly  country  taking  cross  section  at  every  chains  as
desired  including  chaining  ,levelling  and  closing  survey each  day utilising  existing  cart track.</t>
    </r>
  </si>
  <si>
    <t>Providing and Fixing Wooden survey pegs including White washing etc. complete.</t>
  </si>
  <si>
    <r>
      <rPr>
        <sz val="11"/>
        <rFont val="Times New Roman"/>
        <family val="1"/>
      </rPr>
      <t>Carrying out catchment area traverse survey of minor stream (not traceable in toposheet)
below 100 acres</t>
    </r>
  </si>
  <si>
    <r>
      <rPr>
        <sz val="11"/>
        <rFont val="Times New Roman"/>
        <family val="1"/>
      </rPr>
      <t>Cutting down branches of trees , bushes etc. stacking the material neatly as directed (For
Motarable Road)</t>
    </r>
  </si>
  <si>
    <r>
      <rPr>
        <sz val="11"/>
        <rFont val="Times New Roman"/>
        <family val="1"/>
      </rPr>
      <t>Providing detailed layout plan of area in scale 1:500 including carrying out contour survey and detailed  Engineering plane table Survey with the help of 24 Alidade. The  dolomite area  measurement  of  the  plot  and  structures,  trees,  over  head  line  and  under  ground service  amenities  within  the  area,  with  triangular  method  and  giving  detailes  of  the structures, such as total area, type of building and distance from all corners taking trial pit 0.5x0.5x2.00  m.-2Nos.  per  acre  and  collection  of  record  from  city  survey  /  D.I.L.R. authorities  and  authentication.  The  plan  shall be  traced  on  75  micron  polyster  film and shall be submitted along with three Amonia prints. The contour levels shall be marked at
0.5  Meter  intervals.  Note:-  The  items  includes-  1)Traversing  work  with  theodolite  and steel  tape.  2)  Levelling  Grid  Work  of  the  terrain.   3)Detailed  Engineering  Survey  and contouring  work of the terrain.     4)Plotting work.     5)Collection  of Record.   a)  up to  1
Acre</t>
    </r>
  </si>
  <si>
    <t>MORTH</t>
  </si>
  <si>
    <t>One Acre</t>
  </si>
  <si>
    <r>
      <rPr>
        <sz val="11"/>
        <rFont val="Times New Roman"/>
        <family val="1"/>
      </rPr>
      <t>Providing detailed layout plan of area in scale 1:500 including carrying out contour survey and detailed Engineering plane table Survey with the help of 24' Alidade. The dolomite area  measurement  of  the  plot  and  structures,  trees,  over  head  line  and  under  ground service  amenities  within  the  area,  with  triagular  method  and  giving  detailes  of  the structures, such as total area, type of building and distance from all corners taking trial pit 0.5x0.5x2.00  m.-2Nos.  per  acre  and  collection  of  record  from  city  survey  /  D.I.L.R. authorities  and  authentication.  The  plan  shall be  traced  on  75  micron  polyster  film and shall be submitted along with three Amonia prints. The contour levels shall be marked at
0.5  Meter  intervals.  Note:-  The  items  includes-  1)Traversing  work  with  theodolite  and steel  tape.  2)  Levelling  Grid  Work  of  the  terrain.   3)Detailed  Engineering  Survey  and contouring work of the terrain.    4)Plotting work.    5)Collection of Record.  b) Above 1 Acre</t>
    </r>
  </si>
  <si>
    <t>Reconnaisance  survey  including  study  of  sheets,  maps  etc.  for  alignment  including  3 dimension of apexes, fixing pegs, chain and compass or cross staff survey with L-Section and cross section of alignment at every 30 m or at every change of deviation whichever is less   including   fly  levels   at  closing   of  day,  fixing  apex   and  B.M.   stones  of  size 0.20*0.20*0.75 m  in  1:2:4 C.C. at every 200 m and preparation of alignment plans and all type of compliance if required from department.</t>
  </si>
  <si>
    <t>Preparation of detailed Plans and Estimates of road including typing in 5 copies, ammonia prints,  with colouring of plans, proper filing, indexing and paging etc. complete and all types of compliance, if required from Department.</t>
  </si>
  <si>
    <r>
      <rPr>
        <sz val="11"/>
        <rFont val="Times New Roman"/>
        <family val="2"/>
      </rPr>
      <t>Survey  of  C.D.  works  including  taking  L-section  of  Road,  catchment  area  plan  by Traverse method and taking  trial pits of size 1.00x1.00x1.50 m including preparation of detailed Plans and Estimates in 5 copies and all types of compliance if required from the
Department.</t>
    </r>
  </si>
  <si>
    <r>
      <rPr>
        <sz val="11"/>
        <rFont val="Times New Roman"/>
        <family val="2"/>
      </rPr>
      <t>Survey of Minor bridge including taking L section of existing road and two defined cross sections ,one of U/s and one of D/s, one vergin cross section on alternate  proposed cross sections and bed slope of stream upto sufficient long distance as required with chain and compass.  Taking  three  trial  pits  of  size  1.00x1.00x3.0  m  and  collecting  samples  of materials  at  site  for  ascertaining  the  silt  factor,  unit  weight  test,  specific  gravity  from Govt. approved laboratories( testing charges to be borne by the agency)  and preparation of  detailed  survey  data,  submission  of  the  project  duly  typed  and  colouring  of  the ammonia  prints,  site  plan  and  other  drawings  etc.   complete  if  required  from  the
Department.</t>
    </r>
  </si>
  <si>
    <t>Survey  of  major  bridge  including  taking  L-section  of  existing  road  two  defined  cross  - sections (one at U/S and one at D/s) and one vergin cross section on alternate  proposed cross sections and bed slope of stream upto sufficient long distance as required with chain and compass.Taking 5 trial pits, three in bed, two on banks of size 2.00x2.00x3.00 m for collecting  samples   of   materials  at  site  for  ascertaining  the  silt  factor,  unit  weight  test, specific  gravity  from  Govt.  approved  laboratories  (testing  charges  to  be  borne  by  the agency) and preparation of detailed survey data, submission of the project duly typed and colouring of ammonia prints, site plan and other drawings etc.complete. And all types of compliance if required from Department. (Excluding taking trial bores and contouring)</t>
  </si>
  <si>
    <t>One Running Metre</t>
  </si>
  <si>
    <r>
      <rPr>
        <sz val="11"/>
        <rFont val="Times New Roman"/>
        <family val="2"/>
      </rPr>
      <t>Road Survey
and DPR</t>
    </r>
  </si>
  <si>
    <t>Deleted</t>
  </si>
  <si>
    <t>Survey of raised Causeway including reconnaissance,   taking L section of existing  road one  defined  one  vergin  one  alternate  proposed  cross  section  and  stream upto  sufficient lengths with chain and compass taking two trial pits of size 2.00x2.00x3.00 m. collecting samples at site ascertaining silt factor and preparation of detailed survey data,submission of  the  project  duly  typed  colouring  of  the  ammonia  prints,site  plan  and  other  drawing etc.complete if required from Deparetment.</t>
  </si>
  <si>
    <t>Preparation  of  detailed  plans  and  estimates  of  Raise  Causeway  on  the  basis  of  the approved  detailed  survey  data  by  competent  authority  including  typing  in  5  copies ammonia prints site plan other drawings with colouring of plans proper filling indexing and paging etc.complete and all types of compliance if required from Department.</t>
  </si>
  <si>
    <r>
      <rPr>
        <sz val="11"/>
        <rFont val="Times New Roman"/>
        <family val="2"/>
      </rPr>
      <t>Complete  survey of  stream  having  catchment  area  upto  1  sq.  mile  including  catchment
survey taking necessary L.S./C.S. and other details etc. complete.</t>
    </r>
  </si>
  <si>
    <r>
      <rPr>
        <sz val="11"/>
        <rFont val="Times New Roman"/>
        <family val="2"/>
      </rPr>
      <t>As directed by
Engineer in charge</t>
    </r>
  </si>
  <si>
    <r>
      <rPr>
        <sz val="11"/>
        <rFont val="Times New Roman"/>
        <family val="2"/>
      </rPr>
      <t>Complete survey of stream having catchment area above 1 sq. Mile and upto 5 sq. Miles
including taking necessary L.S./C.S. and other details etc. complete.</t>
    </r>
  </si>
  <si>
    <r>
      <rPr>
        <sz val="11"/>
        <rFont val="Times New Roman"/>
        <family val="2"/>
      </rPr>
      <t>Reconnaissance  survey  of  alignment  in  plain  country  for  approaches  to  the  bridge
including taking three dimensions of apexes. ( Without chaining )</t>
    </r>
  </si>
  <si>
    <t>Fly levelling for carrying out bench mark.</t>
  </si>
  <si>
    <r>
      <rPr>
        <sz val="11"/>
        <rFont val="Times New Roman"/>
        <family val="2"/>
      </rPr>
      <t>Detailed  survey  of  approaches  including  Chain  and  Compass  survey  along  bridge
alignment  and approaches including closing each day work.</t>
    </r>
  </si>
  <si>
    <r>
      <rPr>
        <sz val="11"/>
        <rFont val="Times New Roman"/>
        <family val="2"/>
      </rPr>
      <t>Taking  longitudinal section of streams extending upstream and downstream side of the bridge  site,  requisite  One  Number  of  cross  section  of  the  stream  on  either  sides  block contouring and other details etc. complete. (Length of L.S. and C.S. for contouring to be
worked out)</t>
    </r>
  </si>
  <si>
    <t>Demarcation of right of way (ROW) as per design using total station including calculation of co-ordinates of 30 Meter interval on both sides of road.</t>
  </si>
  <si>
    <t>Preparation of Land Acquisition proposal  including collection of 7/12 and 8/A documents marking   alignment   on   village   maps   ,   area   calculation,   preparation   of   proposal, printing,binding,  etc.  complete  and  submission  of  5   sets  more  ever  liasoning   and coordination  with revenue authorities  with compliance if any until finalisation of award including  Joint measurement of the alignment.  For new alignment.</t>
  </si>
  <si>
    <t>Preparation of Land Acquisition proposal  including collection of 7/12 and 8/A documents marking   alignment   on   village   maps   ,   area   calculation,   preparation   of   proposal, printing,bindind,  etc.  complete  and  submission  of  5   sets  more  ever  liasoning   and coordination  with revenue authorities  with compliance if any until finalisation of award including  Joint measurement of the alignment.  For existing alignment.</t>
  </si>
  <si>
    <t>Carrying of  detailed topographic survey by using  total station along the  existing  or new road including taking L-section and  cross section at every 30 meter ROW ,taking at least 10  spot  levels  per  cross   section,  picking   up  all  existing  details   inside  the  Row  like electric  telephone  line  , encroachments,  structures etc.   connecting  all the primary  total station control points  by G.I.S.Bench marks level or whichever available with department using auto level and preparing Auto  CAD plan by using above data taking out 1 set of black and white printout on 50 micron polyster film sheet A2 size and 2 sets of coloured printout on  A2 size submitting soft copy all data on CD. Plain Terrain New Alignment</t>
  </si>
  <si>
    <r>
      <rPr>
        <sz val="11"/>
        <rFont val="Times New Roman"/>
        <family val="2"/>
      </rPr>
      <t>Carrying of  detailed topographic survey by using  total station along the  existing  or new road including taking L-section and  cross section at every 30 meter ROW ,taking at least 10  spot  levels  per  cross   section,  picking   up  all  existing  details   inside  the  Row  like electric  telephone  line  , encroachments,  structures etc.   connecting  all the primary  total station control points  by G.I.S.Bench marks level or whichever available with department using auto level and preparing Auto  CAD plan by using above data taking out 1 set of black and white printout on 50 micron polyster film sheet A2 size and 2 sets of coloured printout  on   A2  size  submitting  soft  copy  all  data  on  CD.  Plain  Terrain  Existing
Alignment.</t>
    </r>
  </si>
  <si>
    <t>Carrying of  detailed topographic survey by using  total station along the  existing  or new road including taking L-section and  cross section at every 30 meter ROW ,taking at least 10  spot  levels  per  cross   section,  picking   up  all  existing  details   inside  the  Row  like electric  telephone  line  , encroachments,  structures etc.   connecting  all the primary  total station control points  by G.I.S.Bench marks level or whichever available with department using auto level and preparing Auto  CAD plan by using above data taking out 1 set of black and white printout on 50 micron polyster film sheet A2 size and 2 sets of coloured printout on  A2 size submitting soft copy all data on CD. Hilly Terrain New Alignment</t>
  </si>
  <si>
    <r>
      <rPr>
        <sz val="11"/>
        <rFont val="Times New Roman"/>
        <family val="2"/>
      </rPr>
      <t>Demarcation  of  Road  boundry (ROW)  including  fixing  the  boundry stones  of  standard size  and shape including fixing in block of standard size of C.C. of 1:4:8 white washing
at 30 M interval on both sides</t>
    </r>
  </si>
  <si>
    <r>
      <rPr>
        <sz val="11"/>
        <rFont val="Times New Roman"/>
        <family val="2"/>
      </rPr>
      <t>Taking trial bores 75 to 100 mm for 53.0 to 88.9 mm core dia over burden ( by diamond drilling machine ) such as soil of all sorts, soft murum,hard murum and boulders and in soft  rock  including  all materials  such  as  casing  pipes  and  accessories  oil,  grease,  steel, rods,  and  such  other  materials  as  required  (including  conveying  the  material  to  site  of work) . Preserving the loose sample in glass jar and core sample serially on site of work and conveying the same to HQ of concernring office as directed.    a) over burden 0 to 50
meter.</t>
    </r>
  </si>
  <si>
    <t>Taking trial bores 75 to 100 mm for 53.0 to 88.9 mm core dia in rocks as specified below including all necessary materials such as oil,grease,steel boostan and such other materials as  required  (including  conveying  the  material  to  site  of  work)  and  Preserving  the  core sample serially on site of work and conveying the same to HQ of concernring office as directed. Quartzite with diamond drill with Nx Bit 0 to 50 metre</t>
  </si>
  <si>
    <t>Taking trial bores 75 to 100 mm for 53.0 to 88.9 mm core dia in rocks as specified below including all necessary materials such as oil,grease,steel boostan and such other materials as  required  (including  conveying  the  material  to  site  of  work)  and  Preserving  the   core sample serially on site of work and conveying the same to HQ of concernring office as directed.  Quartzite with diamond drill with Ax Bit  0 to 50 metre</t>
  </si>
  <si>
    <t>Taking trial bores 75 to 100 mm for 53.0 to 88.9 mm core dia in rocks as specified below including all necessary materials such as oil,grease,steel boostan and such other materials as  required  (including  conveying  the  material  to  site  of  work)  and  Preserving  the  core sample serially on site of work and conveying the same to HQ of concernring office as directed.    Other Rock  with diamond drill. 0 to 50 metre</t>
  </si>
  <si>
    <r>
      <rPr>
        <sz val="11"/>
        <rFont val="Times New Roman"/>
        <family val="2"/>
      </rPr>
      <t>Providing  tun  tappa  core  boxes  of  jungle   wood  of  size1.25mx  0.35x  0.15m   for preserving   core  sample   with   all  fixtures  and   fastening   handles  including   locking
arrangment etc . complete.</t>
    </r>
  </si>
  <si>
    <r>
      <rPr>
        <sz val="11"/>
        <rFont val="Times New Roman"/>
        <family val="2"/>
      </rPr>
      <t>Providing and maintaining temparory platform of bore location in river bed in upto 1M of standing  water  and  of  size  3.50  x  4.00  M  by  using  sand  bags  in  layer  for  platform
including all  required materials labours etc. complete.</t>
    </r>
  </si>
  <si>
    <r>
      <rPr>
        <sz val="11"/>
        <rFont val="Times New Roman"/>
        <family val="2"/>
      </rPr>
      <t>Providing and maintaining temporary platform for erecting boring machined in river bed to the depth of standing water 1m to 2m  and of size 3.50 x 4.00 M by using 20 Nos. of
M.S.  empty  barrels  in  M.S.  frame  made  of  M.S.  angle  size  50  x  50  x  5  mm  with fabrication and over it a jungle wood planks platform of size 3.50 x 4.00 x 0.03 M size including  supplying  of  nylon  rope  24  mm  dia.  for  anchoring  platform  include  passage
platform and enganging a labour etc. complete.  1 m to 2 m</t>
    </r>
  </si>
  <si>
    <t>Providing and maintaining temparory platform for erecting boring machined in river bed to the depth of standing water 2 m and above  and of size 3.50 x 4.00 M by using 20 Nos. of  M.S.  empty  barrels  in  M.S.  frame  made  of  M.S.  angle  size  50  x  50  x  5  mm  with fabrication and over it a jungle wood planks platform of size 3.50 x 4.00 x 0.03 M size including  supplying  of  nylon  rope  24  mm  dia.   for  anchoring  platform include  passage platform and enganging a labour etc. complete.  2 m  and Above.</t>
  </si>
  <si>
    <t>Providing  and  maintaining  temparory platform for inspection  from one  bank to  another bank of bore location in river bed in all depth of standing water of size 1.30 x 2.00 M by using 4 Nos. of M.S. empty barrels in M.S. frame made  of  M.S. angle size 50 x 50 x 5 mm with fabrication and over it a jungle wood planks platform of size 1.30 x 2.00 x 0.03 M size including supplying of nylon rope 24 mm dia. and 300 M length of movement of platform enganging a labour on inspection days etc. complete.</t>
  </si>
  <si>
    <r>
      <rPr>
        <sz val="11"/>
        <rFont val="Times New Roman"/>
        <family val="2"/>
      </rPr>
      <t>Conveying  the  boring  machine  and  engine  and  all its  accessories  etc.  to  the  site  of  the work  and  back  including  loading  unloading  etc.  complete.   (  Note  -  Distance  to  be measured from the station of boring machine engine etc. of district head quarters to site of
the work by short route ).</t>
    </r>
  </si>
  <si>
    <r>
      <rPr>
        <sz val="11"/>
        <rFont val="Times New Roman"/>
        <family val="2"/>
      </rPr>
      <t>Shifting  boring  plant  with  all  its  components  and  reinstalling  the  same  at  the  directed
place including all its charges etc. complete.</t>
    </r>
  </si>
  <si>
    <t>Shift</t>
  </si>
  <si>
    <r>
      <rPr>
        <sz val="11"/>
        <rFont val="Times New Roman"/>
        <family val="2"/>
      </rPr>
      <t>Providing  detailed  reports  of  the  inspection  logging  of  drilled  hole  by observing  visual description  of  data  as  per  depth,  thickness  of  layer,  type  of  sample,  wash  sample,  bore
recovery type of drill etc. complete.</t>
    </r>
  </si>
  <si>
    <r>
      <rPr>
        <sz val="11"/>
        <rFont val="Times New Roman"/>
        <family val="2"/>
      </rPr>
      <t>Providing  detailed  geological  reports  of  proposed  site  by  maintaining  geotechnical investigation of structure stratification collecting soil, rock and ground water samples for laboratory tests to arrive the foundation design parameters . Rock properties such as type of  rock,  jointing  fractures,  etc.  complete  with  suggestion  about  the  site  foundation  and
remedies.</t>
    </r>
  </si>
  <si>
    <t>Report</t>
  </si>
  <si>
    <t>Preparing  land  plans  and  land  schedule  including  carrying  out  plane  table  survey  for Private / Forest land on both side of road in Rural and Urban areas. The work of plotting and  certificate  from  T.I.L.R.  or  other  authorities  shall  be  obtained  from  correctness  of prepared  plans.  Tracing  ang  taking  out  prints  and  preparing  the  requisite  booklets  duly bounds and printing with all materials etc. Three land plan booklets along with original tracing shall be supplied including procurement of village maps / forest land plans from concern authorities.Note : The item plane table includes following points 1 ) Carrying out plane table survey. 2) Plotting of duly surveyed area . 3) Collection of data  from  D.I.L.R. authorities   and  verification  of  survey maps  by D.I.L.R.  authorities  .  4)  Preparing  three booklets  of  survey  maps  including  taking  out  prints  of  survey  maps,  binding  etc.  5) Carrying out plane table survey of the Private / Forest land along the road upto 30 meters on either side from the road centre.</t>
  </si>
  <si>
    <t>Geometrical design of road horizontal and vertical curves for design speed specified by IRC including carrying out trail for optimising of civil cost  minimising land acquisition and maximum use of existing facility and preparation of widening arrangement drawing for  insisting  structures  stake  out  date  for  horizontal  alignment  and  working  levels including super elevation effect etc. complete.</t>
  </si>
  <si>
    <t>Transfering  and  taking  out design  on coordinates  of baseline  on ground  using nails  for exsisting  road  surfaces  and  survey  pegs  for  new  alignments   including  taking   out coordinates for horizontal curves at  required interval of 50 meters  etc. complete. ( Extra line  such as right of way median edges to toe line not included).</t>
  </si>
  <si>
    <r>
      <rPr>
        <sz val="11"/>
        <rFont val="Times New Roman"/>
        <family val="2"/>
      </rPr>
      <t>Preparation  of roadway, drawing (Plan  And Profile  ) on  computer by using Autocad  of required scale showing all topo feature and proposed construction details such as carriage way  ,  median  service  road,  toe  line,  retaining  walls,  cross  drainage  works,  major structures,  etc.  complete.  Including  indexing,  level  tables,  legend,  basic  information  of
project and design details etc.</t>
    </r>
  </si>
  <si>
    <r>
      <rPr>
        <sz val="11"/>
        <rFont val="Times New Roman"/>
        <family val="2"/>
      </rPr>
      <t>Preparation  of  Engineering  drawing  as  strip  plan,  widening  scheme,  index  /  key  map, typical cross section, retaining walls, road furniture, general arrangement drawings for bus bays / truck lay-bays / rest areas / toll plaza / booths / and type drawing of pipe/ slab drains
etc. on computer using Auto CAD.</t>
    </r>
  </si>
  <si>
    <r>
      <rPr>
        <sz val="11"/>
        <rFont val="Times New Roman"/>
        <family val="2"/>
      </rPr>
      <t>Survey of C.D. works including taking L-Section of road, catchment area plan by Traverse method  and  taking  trial  pits  of  size  1.50M  x  1.50M  x  1.50M  including  preparation  of detailed plans and estimates in 5 copies and all types of compliance if required from the
department.</t>
    </r>
  </si>
  <si>
    <t>Design  of  junctions  including  detail  layout  of  traffic  signs,  informatory  boards  traffic islands.  Breaks  in  median  verge  including  working  levels  at  junctions  as  per  IRC standards etc. complete. a) Major Junction</t>
  </si>
  <si>
    <t>Design  of  junctions  including  detail  layout  of  traffic  signs,  informatory  boards  traffic islands.  Breaks  in  median  verge  including  working  levels  at  junctions  as  per  IRC standards etc. complete.  b) Minor Junction</t>
  </si>
  <si>
    <t>Preparaion of initial design of flyovers with preparing General Arrangement drawing with dimensions  etc. complete and preparation of rough estimate for all components of bridge. Including  supplying  four  copies  of  coloured  drawings  and  copy  of  drawing  on  C.D.  ( excluding geotechnical and structural design part.)</t>
  </si>
  <si>
    <t>Preparation of draft / Final Report comprising of technical, financial economic feasibility and  environmental  aspects  of  the  project  including  executive  summary  and  detailed chapters  on  necessity  and  introduction  of  project  existing  and  future  traffic,  design philosophy  scope  of  work,  summary  of  available  cost  estimates  justification  for  rates adopted, key points of execution, salient features of the project, location of toll plaza, toll rate / policy to be adopted and specification of major construction items etc. in 8 copies having attractive cover and binding s directed by engineer in charge etc. complete.</t>
  </si>
  <si>
    <t>Preparation of Autocad drawing with colour print for Building / Bridge / Road/ CD Works in required size etc. complete. - A-0 Size</t>
  </si>
  <si>
    <t>Preparation of Autocad drawing with colour print for Building / Bridge / Road/ CD Works in required size etc. complete. A-1 Size</t>
  </si>
  <si>
    <r>
      <rPr>
        <sz val="7.5"/>
        <rFont val="Times New Roman"/>
        <family val="1"/>
      </rPr>
      <t>Road Survey and DPR</t>
    </r>
  </si>
  <si>
    <r>
      <rPr>
        <sz val="7.5"/>
        <rFont val="Times New Roman"/>
        <family val="1"/>
      </rPr>
      <t>Preparation of Autocad drawing with colour print for Building / Bridge / Road/ CD Works in required size etc. complete. A-2 Size</t>
    </r>
  </si>
  <si>
    <r>
      <rPr>
        <sz val="7.5"/>
        <rFont val="Times New Roman"/>
        <family val="1"/>
      </rPr>
      <t>As directed by Engineer in charge</t>
    </r>
  </si>
  <si>
    <r>
      <rPr>
        <sz val="7.5"/>
        <rFont val="Times New Roman"/>
        <family val="1"/>
      </rPr>
      <t>One Number</t>
    </r>
  </si>
  <si>
    <r>
      <rPr>
        <sz val="7.5"/>
        <rFont val="Times New Roman"/>
        <family val="1"/>
      </rPr>
      <t>Autocad  drawing  with  colour  print  out  for   Building  /  Bridge  /  Road/  CD  Works  in required size etc. complete. A-0 Size</t>
    </r>
  </si>
  <si>
    <r>
      <rPr>
        <sz val="7.5"/>
        <rFont val="Times New Roman"/>
        <family val="1"/>
      </rPr>
      <t>Autocad  drawing  with  colour  print  out  for   Building  /  Bridge  /  Road/  CD  Works  in required size etc. complete. A-1 Size</t>
    </r>
  </si>
  <si>
    <r>
      <rPr>
        <sz val="7.5"/>
        <rFont val="Times New Roman"/>
        <family val="1"/>
      </rPr>
      <t>Autocad  drawing  with  colour  print  out  for   Building  /  Bridge  /  Road/  CD  Works  in required size etc. complete. A-2 Size</t>
    </r>
  </si>
  <si>
    <r>
      <rPr>
        <sz val="7.5"/>
        <rFont val="Times New Roman"/>
        <family val="1"/>
      </rPr>
      <t>Autocad  drawing  with  colour  print  out  for   Building  /  Bridge  /  Road/  CD  Works  in required size etc. complete. A-3 Size</t>
    </r>
  </si>
  <si>
    <r>
      <rPr>
        <sz val="7.5"/>
        <rFont val="Times New Roman"/>
        <family val="1"/>
      </rPr>
      <t>Autocad  drawing  with  colour  print  out  for   Building  /  Bridge  /  Road/  CD  Works  in required size etc. complete. A-4 Size</t>
    </r>
  </si>
  <si>
    <r>
      <rPr>
        <sz val="7.5"/>
        <rFont val="Times New Roman"/>
        <family val="1"/>
      </rPr>
      <t xml:space="preserve">Deploying  Automated  Traffic  Count  and  classification  system  on  Road  (Two  Lane)  in both    direction    at    designated    traffic    count    post    by    using    High    Definition Cameras..Collecting the Non Editable Data In DVR System with necessary electronic and electrical  arrangements  or  inventor  of  required  capacity  Classification  of  data  as  per vehicle category as required with the help of software and submitting the the reports to the concerned  department  in  hard copies  as well as in  soft copy,  including using  necessary technical manpower etc. complete.
</t>
    </r>
    <r>
      <rPr>
        <sz val="7.5"/>
        <rFont val="Times New Roman"/>
        <family val="1"/>
      </rPr>
      <t>A) Up to 7 Days  (Two Lane)</t>
    </r>
  </si>
  <si>
    <r>
      <rPr>
        <sz val="7.5"/>
        <rFont val="Times New Roman"/>
        <family val="1"/>
      </rPr>
      <t>Per Day</t>
    </r>
  </si>
  <si>
    <r>
      <rPr>
        <sz val="7.5"/>
        <rFont val="Times New Roman"/>
        <family val="1"/>
      </rPr>
      <t xml:space="preserve">Deploying  Automated  Traffic  Count  and  classification  system  on  Road  (One  Lane)  in both    direction    at    designated    traffic    count    post    by    using    High    Definition Cameras..Collecting the Non Editable Data In DVR System with necessary electronic and electrical  arrangements  or  inventor  of  required  capacity  Classification  of  data  as  per vehicle category as required with the help of software and submitting the the reports to the concerned  department  in  hard copies  as well as in  soft copy,  including using  necessary technical manpower etc. complete.
</t>
    </r>
    <r>
      <rPr>
        <sz val="7.5"/>
        <rFont val="Times New Roman"/>
        <family val="1"/>
      </rPr>
      <t>B) Extra charges for every additional lane (If required)</t>
    </r>
  </si>
  <si>
    <r>
      <rPr>
        <sz val="7.5"/>
        <rFont val="Times New Roman"/>
        <family val="1"/>
      </rPr>
      <t xml:space="preserve">Road Survey
</t>
    </r>
    <r>
      <rPr>
        <sz val="7.5"/>
        <rFont val="Times New Roman"/>
        <family val="1"/>
      </rPr>
      <t>and DPR</t>
    </r>
  </si>
  <si>
    <r>
      <rPr>
        <sz val="7.5"/>
        <rFont val="Times New Roman"/>
        <family val="1"/>
      </rPr>
      <t xml:space="preserve">As directed by
</t>
    </r>
    <r>
      <rPr>
        <sz val="7.5"/>
        <rFont val="Times New Roman"/>
        <family val="1"/>
      </rPr>
      <t>Engineer in charge</t>
    </r>
  </si>
  <si>
    <r>
      <rPr>
        <sz val="7.5"/>
        <rFont val="Times New Roman"/>
        <family val="1"/>
      </rPr>
      <t>Providing of Jeep/vehicle for conveying surey material, Engineers, labours etc. complete</t>
    </r>
  </si>
  <si>
    <t>SSR 2022-23 :- Road Sub Grade</t>
  </si>
  <si>
    <t>Road Sub grade</t>
  </si>
  <si>
    <t>MORTH 201</t>
  </si>
  <si>
    <r>
      <rPr>
        <sz val="11"/>
        <rFont val="Times New Roman"/>
        <family val="1"/>
      </rPr>
      <t>Cutting  down trees including trunks and branches with girths  above 30cm to 60cm and stacking the materials neatly with all lifts and lead of 1000m as directed and earth filling
in the depression / pit if any.</t>
    </r>
  </si>
  <si>
    <r>
      <rPr>
        <sz val="10"/>
        <rFont val="Arial"/>
        <family val="2"/>
      </rPr>
      <t>MORTH 201</t>
    </r>
  </si>
  <si>
    <r>
      <rPr>
        <sz val="11"/>
        <rFont val="Times New Roman"/>
        <family val="1"/>
      </rPr>
      <t>Cutting  down trees including trunks and branches with girths  above 60cm to 90cm and stacking the materials neatly with all lifts and lead of 1000m. as directed and earth filling
in the depression/pit if any.</t>
    </r>
  </si>
  <si>
    <r>
      <rPr>
        <sz val="11"/>
        <rFont val="Times New Roman"/>
        <family val="1"/>
      </rPr>
      <t>Cutting down trees including trunks and branches with girths above 90cm to 180cm and stacking the materials neatly with all lifts and lead of 1000m. as directed and earth filling
in the depression/pit if any.</t>
    </r>
  </si>
  <si>
    <r>
      <rPr>
        <sz val="11"/>
        <rFont val="Times New Roman"/>
        <family val="1"/>
      </rPr>
      <t>Cutting down trees including trunks and branches with girths above 180cm to 270cm and stacking the materials neatly with all lifts and lead of 1000m. as directed and earth filling
in the depression/pit if any.</t>
    </r>
  </si>
  <si>
    <r>
      <rPr>
        <sz val="11"/>
        <rFont val="Times New Roman"/>
        <family val="1"/>
      </rPr>
      <t>Cutting down trees including trunks and branches with girths above 270cm to 450cm and stacking the materials neatly with all lifts and lead of 1000m. as directed and earth filling
in the depression/pit if any.</t>
    </r>
  </si>
  <si>
    <r>
      <rPr>
        <sz val="11"/>
        <rFont val="Times New Roman"/>
        <family val="1"/>
      </rPr>
      <t>Cutting down trees including trunks and branches with girths above 450cm and stacking the materials  neatly with all lifts and lead of 1000m. as directed  and earth filling in the
depression/pit if any.</t>
    </r>
  </si>
  <si>
    <r>
      <rPr>
        <sz val="11"/>
        <rFont val="Times New Roman"/>
        <family val="1"/>
      </rPr>
      <t>One Square
Metre</t>
    </r>
  </si>
  <si>
    <t>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1000 metres including removal and disposal of top organic soil not exceeding 150 mm in thickness.</t>
  </si>
  <si>
    <t>MORTH 301</t>
  </si>
  <si>
    <r>
      <rPr>
        <sz val="11"/>
        <rFont val="Times New Roman"/>
        <family val="1"/>
      </rPr>
      <t>Excavation  for roadway in earth, soil of all sorts, sand,  gravel or  soft murum including dressing  section  to  the  required  grade,  camber  and  side  slopes  and  conveying  the excavated  materials with all lifts upto a lead of 50m. and spreading for embankment or stacking  as  directed.  By  Manual  Means.  (  Item  used  only  when  Quantity  is  below  10
Cu.m.)</t>
    </r>
  </si>
  <si>
    <r>
      <rPr>
        <sz val="10"/>
        <rFont val="Arial"/>
        <family val="2"/>
      </rPr>
      <t>MORTH 301</t>
    </r>
  </si>
  <si>
    <r>
      <rPr>
        <sz val="11"/>
        <rFont val="Times New Roman"/>
        <family val="1"/>
      </rPr>
      <t>Excavation  for roadway in earth, soil of all sorts, sand,  gravel or  soft murum including dressing  section  to  the  required  grade,  camber  and  side  slopes  and  conveying  the excavated  materials with all lifts upto a lead of 50m. and spreading for embankment or
stacking as directed.</t>
    </r>
  </si>
  <si>
    <t>Excavation  for  roadway  in  hard  murum  and  boulder  including  dressing  section  to  the required grade, camber and side slopes and conveying the excavated materials with all lifts upto a lead of 50m.and spreading for embankment or stacking as directed.</t>
  </si>
  <si>
    <t>Excavation  for  roadway  in  soft  rock,  including  dressing  section  to  the  required  grade, camber and side slopes and conveying the excavated materials with all lifts upto a lead of 50m. and spreading or stacking as directed.</t>
  </si>
  <si>
    <t>Excavation for roadway in hard rock by controlled blasting including dressing section to the required grade, camber and side slopes and conveying the excavated materials with all lifts upto a lead of 50m. and spreading for embankment or stocking as directed.(Inculding 50% Utilisation of useable Excavated material)</t>
  </si>
  <si>
    <r>
      <rPr>
        <sz val="11"/>
        <rFont val="Times New Roman"/>
        <family val="1"/>
      </rPr>
      <t>Excavation for roadway in hard rock by wedging and chiselling or line drilling including dressing  section  to  the  required  grade,  camber  and  side  slopes  and  conveying  the excavated  materials with all lifts upto a lead of 50m. and spreading for embankment or
stacking as directed.</t>
    </r>
  </si>
  <si>
    <t>MORTH 309</t>
  </si>
  <si>
    <r>
      <rPr>
        <sz val="11"/>
        <rFont val="Times New Roman"/>
        <family val="1"/>
      </rPr>
      <t>Excavation  for  catch  /  side  water  gutter  in  all  sorts  of  soils  to  the  specified  section including  stacking  the  excavated  stuff  in  a  regular  bund  and disposing  of unsuitable  or
excess stuff as directed all sorts of soils.</t>
    </r>
  </si>
  <si>
    <r>
      <rPr>
        <sz val="10"/>
        <rFont val="Arial"/>
        <family val="2"/>
      </rPr>
      <t>MORTH 309</t>
    </r>
  </si>
  <si>
    <r>
      <rPr>
        <sz val="11"/>
        <rFont val="Times New Roman"/>
        <family val="1"/>
      </rPr>
      <t>Excavation for catch / side water gutter in Hard murum and boulder strata to the specified section  including  stacking  the  excavated  stuff  in  a  regular  bund  and  disposing  of
unsuitable or excess stuff as directed.</t>
    </r>
  </si>
  <si>
    <r>
      <rPr>
        <sz val="11"/>
        <rFont val="Times New Roman"/>
        <family val="1"/>
      </rPr>
      <t>Excavation  for  catch  /  side  water  gutter  in  Soft  rock  strata  to  the  specified  section including  stacking  the  excavated  stuff  in  a  regular  bund  and disposing  of unsuitable  or
excess stuff as directed.</t>
    </r>
  </si>
  <si>
    <r>
      <rPr>
        <sz val="11"/>
        <rFont val="Times New Roman"/>
        <family val="1"/>
      </rPr>
      <t>Excavation  for  catch  /  side  water  gutters  in   Hard  rock  strata  to  the  specified  section including  stacking the excavated stuff in a  regular bund  by chiselling  and wedging  and
disposing of unsuitable or excess stuff as directed.</t>
    </r>
  </si>
  <si>
    <t>MORTH 305</t>
  </si>
  <si>
    <r>
      <rPr>
        <sz val="11"/>
        <rFont val="Times New Roman"/>
        <family val="1"/>
      </rPr>
      <t>Watering  and  compacting  of  embankment  formed  of  materials  obtained  from  the  road
cutting within a lead of 50 m, not less than 97 % of standard Proctor density after laying them in layers of 20 cm. to 30 cm. with vibratory roller.</t>
    </r>
  </si>
  <si>
    <r>
      <rPr>
        <sz val="10"/>
        <rFont val="Arial"/>
        <family val="2"/>
      </rPr>
      <t>MORTH 305</t>
    </r>
  </si>
  <si>
    <r>
      <rPr>
        <sz val="11"/>
        <rFont val="Times New Roman"/>
        <family val="1"/>
      </rPr>
      <t>Watering  and  compacting  of  embankment  formed  of  materials  obtained  from  the  road cutting within a lead of 50 m, not less than 97% of standard Proctor density after laying
them in layers of 20 cm. to 30 cm. with Power roller.</t>
    </r>
  </si>
  <si>
    <r>
      <rPr>
        <sz val="11"/>
        <rFont val="Times New Roman"/>
        <family val="1"/>
      </rPr>
      <t>Conveying  materials  obtained  from  road  cutting  including  all  lifts,  laying  in  layers  of 20cm to 30cm. breaking clods, dressing to the required lines, curves, grades and section, watering  and compacting to not less than 97% of standard Proctor density for a lead of over  50m.  to  300m.  inclusive  from  the  site  of  excavation  to  the  site  of  deposition  as
directed.</t>
    </r>
  </si>
  <si>
    <t>Conveying  materials  obtained  from  road  cutting  including  all  lifts,  laying  in  layers  of 20cm. to 30cm. breaking clods, dressing to the required lines, curves, grades and section, watering  and compacting to not less than 97% of standard proctor density for a lead of 300m. to 500m. inclusive, from the site of excavation to the site of deposition as directed.</t>
  </si>
  <si>
    <t>Providing earth work in embankment with approved materials obtained from departmental land  upto  lead  of  50m.  including  all lifts,  laying  in  layers  of  20cm.  to  30cm.  thickness breaking  clods,  dressing  to  the  required  lines,  curves,  grades  &amp;  section,  watering  and compaction with vibratory roller to achieve not less than 97 % of standard proctor density etc. complete ( Material obtained from departmental Land)</t>
  </si>
  <si>
    <t>Providing  earth  work  in  embankment  with  approved  materials  obtained  from  other sources upto lead of 50m. including all lifts, laying in layers of 20cm. to 30cm. thickness breaking  clods,  dressing  to  the  required  lines,  curves,  grades  &amp;  section,  watering  and compaction with vibratory roller with V-Sat attachment to achieve not less than 97 % of standard proctor density etc. complete  ( Material obtained from Other sources)</t>
  </si>
  <si>
    <t>Murum</t>
  </si>
  <si>
    <t>2.29a</t>
  </si>
  <si>
    <t>Supplying  hard  murum/  kankar  at  the  road  site,  including  conveying  and  stacking
complete.</t>
  </si>
  <si>
    <r>
      <rPr>
        <sz val="10"/>
        <rFont val="Arial"/>
        <family val="2"/>
      </rPr>
      <t>One Cubic Metre</t>
    </r>
  </si>
  <si>
    <t>Hard Murum</t>
  </si>
  <si>
    <t>2.29b</t>
  </si>
  <si>
    <r>
      <rPr>
        <sz val="10"/>
        <rFont val="Arial"/>
        <family val="2"/>
      </rPr>
      <t>Supplying soft murum at the road site, including conveying and stacking complete.</t>
    </r>
  </si>
  <si>
    <t>Soft Murum</t>
  </si>
  <si>
    <r>
      <rPr>
        <sz val="10"/>
        <rFont val="Arial"/>
        <family val="2"/>
      </rPr>
      <t>Spreading hard murum/ soft murrum/ gravel or kankar for side width complete</t>
    </r>
  </si>
  <si>
    <t>Compacting  the  hard  murum  side  widths  including  laying  in  layers  on  each  side  with
vibratory roller including artificial watering etc. complete.</t>
  </si>
  <si>
    <r>
      <rPr>
        <sz val="7.5"/>
        <rFont val="Times New Roman"/>
        <family val="1"/>
      </rPr>
      <t xml:space="preserve">One Square
</t>
    </r>
    <r>
      <rPr>
        <sz val="7.5"/>
        <rFont val="Times New Roman"/>
        <family val="1"/>
      </rPr>
      <t>Metre</t>
    </r>
  </si>
  <si>
    <r>
      <rPr>
        <sz val="10"/>
        <rFont val="Arial"/>
        <family val="2"/>
      </rPr>
      <t>Picking the road surface including sectioning etc. complete (WBM surface.)</t>
    </r>
  </si>
  <si>
    <r>
      <rPr>
        <sz val="10"/>
        <rFont val="Arial"/>
        <family val="2"/>
      </rPr>
      <t>Picking the road surface including sectioning etc. complete (BT surface.)</t>
    </r>
  </si>
  <si>
    <t>Providing dry rubble stone  pitching 23 cm (about 9 ) thick including all material, quarry
spalls, labour etc. complete.</t>
  </si>
  <si>
    <t>MORTH 402</t>
  </si>
  <si>
    <t>Providing,  laying  and  spreading  soil  on  a  prepared  sub  grade,  pulverizing,  mixing  the spread soil in place with rotavator with 3 per cent slaked lime with minimum content of 70  per  cent  of  CaO,  grading  with  motor  grader  and  compacting  with  the  road  roller  at OMC to achieve atleast 98 per cent of the max dry density to form a layer of sub base.</t>
  </si>
  <si>
    <t>Providing,  laying  and  spreading  soil  on  a  prepared  sub  grade,  pulverizing,  adding  the designed  quantity of  cement  to  the  spread  soil,  mixing  in  place  with  rotavator,  grading with the motor grader and compacting with the road roller at OMC to achieve the desired unconfined compressive strength and to form a layer of sub-base/base.</t>
  </si>
  <si>
    <t>Laying and spreading available soil in the sub-grade on a prepared surface, pulverizing, mixing the spread soil in place with rotavator with 3 per cent slaked lime having minimum content of 70 per cent of CaO, grading with motor grader and compacting with the road roller at OMC to the desired density to form a layer of improved sub grade.</t>
  </si>
  <si>
    <r>
      <rPr>
        <sz val="11"/>
        <rFont val="Times New Roman"/>
        <family val="1"/>
      </rPr>
      <t>Construction  of  embankment  with  Flyash conforming  to table  1 of  IRC: SP: 58 - 2001 obtained from coal or lignite burning thermal power stations as waste material, spread and compacted  in  layer  of  200mm  thickness  each  at  OMC,  all  as  specified  in  IRC:  SP:  58-
2001 and as per approved plans.</t>
    </r>
  </si>
  <si>
    <t>Road Sub Base and Base Course</t>
  </si>
  <si>
    <t>MORTH 401</t>
  </si>
  <si>
    <r>
      <rPr>
        <sz val="11"/>
        <rFont val="Times New Roman"/>
        <family val="1"/>
      </rPr>
      <t>Construction  of  granular  sub-base  by  providing  close  graded  Material,  mixing  in  a mechanical  mix  plant  at  OMC,  carriage  of  mixed  Material  to  work  site,  spreading  in uniform  layers  with  motor  grader/  Paver  on  prepared  surface  and  compacting  with vibratory roller  to  achieve  the  desired  density,  complete  as  per  clause 401  -- Plant  Mix
Method and Grading - I Material</t>
    </r>
  </si>
  <si>
    <t>GSB - Gr-I</t>
  </si>
  <si>
    <r>
      <rPr>
        <sz val="11"/>
        <rFont val="Times New Roman"/>
        <family val="1"/>
      </rPr>
      <t>Construction  of  granular  sub-base  by  providing  close  graded  Material,  mixing  in  a mechanical  mix  plant  at  OMC,  carriage  of  mixed  Material  to  work  site,  spreading  in uniform  layers  with  motor  grader  /  Paver  on  prepared  surface  and  compacting  with vibratory roller  to  achieve  the  desired  density,  complete  as  per  clause 401  -- Plant  Mix
Method and Grading - II Material</t>
    </r>
  </si>
  <si>
    <t>GSB - Gr-II</t>
  </si>
  <si>
    <r>
      <rPr>
        <sz val="11"/>
        <rFont val="Times New Roman"/>
        <family val="1"/>
      </rPr>
      <t>Construction  of  granular  sub-base  by  providing  close  graded  Material,  mixing  in  a mechanical  mix  plant  at  OMC,  carriage  of  mixed  Material  to  work  site,  spreading  in uniform  layers  with  motor  grader  /  Paver  on  prepared  surface  and  compacting  with vibratory  roller  to  achieve  the  desired  density,  complete  as  per  clause  401--  Plant  Mix
Method and Grading - III Material</t>
    </r>
  </si>
  <si>
    <t>GSB - Gr-III</t>
  </si>
  <si>
    <r>
      <rPr>
        <sz val="11"/>
        <rFont val="Times New Roman"/>
        <family val="1"/>
      </rPr>
      <t>Construction  of  granular  sub-base  by  providing  close  graded  material,  spreading  in uniform  layers  with  motor  grader  /  Paver   on  prepared surface,  mixing by mix in  place method  with  rotavator  at  OMC,  and  compacting  with  vibratory  roller  to  achieve  the desired density, complete as per clause 401 -- By Mix in Place Method and Grading - I
Material</t>
    </r>
  </si>
  <si>
    <r>
      <rPr>
        <sz val="11"/>
        <rFont val="Times New Roman"/>
        <family val="1"/>
      </rPr>
      <t>Construction  of  granular  sub-base  by  providing  close  graded  material,  spreading  in uniform  layers  with  motor  grader  /  Paver  on  prepared  surface,  mixing  by mix  in  place method  with  rotavator  at  OMC,  and  compacting  with  vibratory  roller  to  achieve  the desired density, complete as per clause 401 -- By Mix in Place Method and Grading - II
Material</t>
    </r>
  </si>
  <si>
    <r>
      <rPr>
        <sz val="11"/>
        <rFont val="Times New Roman"/>
        <family val="1"/>
      </rPr>
      <t>Construction  of  granular  sub-base  by  providing  close  graded  material,  spreading  in uniform  layers  with  motor  grader/  Paver  on  prepared  surface,  mixing  by  mix  in  place method  with  rotavator  at  OMC,  and  compacting  with  vibratory  roller  to  achieve  the desired density, complete as per clause 401 -- By Mix in Place Method and Grading - III
Material</t>
    </r>
  </si>
  <si>
    <t>MORTH 403</t>
  </si>
  <si>
    <t>Lime, Fly ash Stabilized Soil Sub-Base -- Construction of Sub-base using lime - Fly ash admixture with granular soil, free from organic matter/ deleterious material or clayey silts and  low  plasticity clays  having  PI  between  5  and  20  and  liquid  limit  less  than  25  and commercial dry lime, slaked at site or pre-slaked with CaO content not less than 50 per cent, Fly ash to conform to gradation as per clause 4.3 of IRC: 88-1984, lime + Fly ash content  ranging  between  10  to  30  per  cent,  the  minimum  un-confined  compressive strength and CBR value after 28 days curing and 4 days soaking to be 7.5kg/sq, cm and 25 per cent respectively, all as specified in IRC: 88-1984.</t>
  </si>
  <si>
    <t>Lime, Fly ash Stabilized Soil</t>
  </si>
  <si>
    <t>MORTH 404</t>
  </si>
  <si>
    <t>Cement Treated Crushed Rock or combination as per clause 403.2 and table 400.4 in Sub base/ Base --Providing, laying and spreading Material on a prepared sub grade, adding the designed  quantity  of  cement  to  the  spread  Material,  mixing  in  place  with  rotavator, grading with the motor grader and compacting with the road roller at OMC to achieve the desired unconfined compressive strength and to form a layer of sub-base/base course.</t>
  </si>
  <si>
    <t>3.08a</t>
  </si>
  <si>
    <t>A) For Sub-base Course</t>
  </si>
  <si>
    <t>3.08b</t>
  </si>
  <si>
    <t>B) For Base Course</t>
  </si>
  <si>
    <t>MORTH 305.4.3</t>
  </si>
  <si>
    <t>Scarifying  the  existing  granular  road  surface  to  a  depth  of  50  mm   and  disposal  of scarified material within all lifts and leads upto 1000 metres.</t>
  </si>
  <si>
    <t>MORTH 501.8.2.1</t>
  </si>
  <si>
    <t>One Square Metre</t>
  </si>
  <si>
    <t>MORTH 202</t>
  </si>
  <si>
    <t>Dismantling  of flexible  pavements and  disposal of  dismantled materials  up to  a lead  of 1000 metres, stacking serviceable and unserviceable materials separately etc. complete.</t>
  </si>
  <si>
    <t>Dismantling  of  cement concrete  pavement by mechanical means  using pneumatic  tools, breaking  to  pieces  not  exceeding  0.02  cum  in  volume  and  stock  piling  at  designated locations  and  disposal  of  dismantled  materials  up  to  a  lead  of  1000  metres,  stacking serviceable and unserviceable materials separately etc. complete.</t>
  </si>
  <si>
    <t>MORTH 501.8</t>
  </si>
  <si>
    <t>Making 50 mm x 25 mm furrows, 45 degree to the center line of the road and at one metre interval in the existing thin bituminous wearing coarse including sweeping and disposal of excavated material within 1000 metres lead</t>
  </si>
  <si>
    <t>Making 50 mm x 50 mm furrows, 45 degree to the center line of the road and at one metre interval in the existing thin bituminous wearing coarse including sweeping and disposal of excavated material within 1000 metres lead</t>
  </si>
  <si>
    <r>
      <rPr>
        <sz val="11"/>
        <rFont val="Times New Roman"/>
        <family val="1"/>
      </rPr>
      <t>Brooming the W.B.M. surface by wire Brushes, coir brushers, dusting, cleaning etc. for receiving  the  bituminous  treatment  complete.  Brooming  the  water  Bound  Macadam
surface by wire.</t>
    </r>
  </si>
  <si>
    <t>Providing,  laying, spreading and compacting stone aggregates  of specific sizes to water bound macadam specification including spreading in uniform thickness, hand packing to proper  grade  and  camber,  applying  and  brooming  requisite  type  of  screening/  binding Materials  to  fill  up  the  interstices  of  coarse  aggregate,  watering  and  compacting  with Vibratory  roller.  to  the  required  density.  By  Mechanical  Means  -  Grading  I   (Using Screening Type A (13.2) mm Aggregate)</t>
  </si>
  <si>
    <t>Providing,  laying, spreading and compacting stone aggregates  of specific sizes to water bound macadam specification including spreading in uniform thickness, hand packing to proper  grade  and  camber,  applying  and  brooming  requisite  type  of  screening/  binding Materials  to  fill  up  the  interstices  of  coarse  aggregate,  watering  and  compacting  with vibratory  roller  to  the  required  density.  By  Mechanical  Means  -Grading   I   (Using Screening Type B (11.2 mm) Aggregate)</t>
  </si>
  <si>
    <t>Gr-I Metal , (Screening Type A (13.2) mm Aggregate)</t>
  </si>
  <si>
    <t>Providing,  laying, spreading and compacting stone aggregates  of specific sizes to water bound macadam specification including spreading in uniform thickness, hand packing to proper  grade  and  camber,  applying  and  brooming  requisite  type  of  screening/  binding Materials  to  fill  up  the  interstices  of  coarse  aggregate,  watering  and  compacting  with vibratory  roller  to  the  required  density.  By  Mechanical  Means  -  Grading  II   (Using Screening Type B (11.2 mm) Aggregate)</t>
  </si>
  <si>
    <t>Gr-I Metal,(Screening Type B (11.2 mm) Aggregate)</t>
  </si>
  <si>
    <t>MORTH 405</t>
  </si>
  <si>
    <t>Crushed Cement Concrete Sub-base / Base - Breaking and crushing of material obtained by  breaking  damaged  cement  concrete  slabs  to  size  range  not  exceeding  75  mm  as specified  in  table  400.7  transporting  the  aggregates  obtained  from  breaking  of  cement concrete  slabs  at  a  lead  of   1  km.,  laying  and  compacting  the  same  as  sub  base/  base course, constructed as WBM to clause 404 except the use of screening or binding material.</t>
  </si>
  <si>
    <t>Grading II  ( Screening Type B (11.2 mm) Aggregate)</t>
  </si>
  <si>
    <t>MORTH 405.2</t>
  </si>
  <si>
    <t>Penetration  Coat  Over  Top  Layer  of  Crushed  Cement  Concrete  Base  --  Spraying  of bitumen over cleaned dry surface of crushed cement concrete base at the rate of 25 kg per 10 sqm by a bitumen pressure distributor, spreading of key aggregates at the rate of 0.13 cum per 10 sqm by a mechanical gritter and rolling the surface as per clause 506.3.8</t>
  </si>
  <si>
    <t>MORTH 406</t>
  </si>
  <si>
    <t>Wet   Mix   Macadam   --  Providing,   laying,   spreading   and   compacting   graded   stone aggregate to wet mix macadam specification including premixing the Material with water at OMC  in mechanical mix plant carriage of mixed Material by tipper to site, laying in uniform  layers  with  paver  in  sub-  base  /  base  course  on  well  prepared  surface  and compacting with vibratory roller to achieve the desired density. Laying By Grader/Paver.</t>
  </si>
  <si>
    <t>Wet Mix Macadam</t>
  </si>
  <si>
    <t>MORTH 407</t>
  </si>
  <si>
    <r>
      <rPr>
        <sz val="11"/>
        <rFont val="Times New Roman"/>
        <family val="1"/>
      </rPr>
      <t>Crusher  Run  Macadam  Base  --  Providing  crushed  stone  aggregate,  depositing  on  a prepared surface by hauling vehicles, spreading and mixing with a motor grader, watering and compacting with a vibratory roller to clause 410 to form a layer of sub-base/Base --
By Mix in Place Method for 53 mm maximum size</t>
    </r>
  </si>
  <si>
    <t>Crusher  Run  Macadam  Base  --  Providing  crushed  stone  aggregate,  depositing  on  a prepared surface by hauling vehicles, spreading and mixing with a motor grader, watering and compacting with a vibratory roller to clause 410 to form a layer of sub-base/Base -- By Mix in Place Method for 45 mm maximum size</t>
  </si>
  <si>
    <r>
      <rPr>
        <sz val="11"/>
        <rFont val="Times New Roman"/>
        <family val="1"/>
      </rPr>
      <t>Crusher  Run  Macadam  Base  --  Providing  crushed  stone  aggregate,  depositing  on  a prepared surface by hauling vehicles, spreading and mixing with a motor grader, watering and compacting with a vibratory roller to clause 410 to form a layer of sub-base/Base --
By Mixing Plant Method for 53 mm maximum size</t>
    </r>
  </si>
  <si>
    <t>Crusher  Run  Macadam  Base  --  Providing  crushed  stone  aggregate,  depositing  on  a prepared surface by hauling vehicles, spreading and mixing with a motor grader, watering and compacting with a vibratory roller to clause 410 to form a layer of sub-base/Base -- By Mixing Plant Method for 45 mm maximum size</t>
  </si>
  <si>
    <t>Dismantling of existing B.T. Surface (flexible Pavement) to a depth of 50 mm. manually including loading of dismantled material to transport vehicle at site excluding lead charges</t>
  </si>
  <si>
    <t>MORTH 502</t>
  </si>
  <si>
    <t>Prime  coat  -  Providing  and  applying  primer  coat  with  bitumen  emulsion  on  prepared surface of granular Base including cleaning of  road surface and spraying, primer at the rate of 0.60 kg/sqm using mechanical means.</t>
  </si>
  <si>
    <t>Prime coat</t>
  </si>
  <si>
    <t>MORTH 503</t>
  </si>
  <si>
    <t>Providing and applying tack coat on the prepared surface heating by fames in Boiler and spraying bitumen set footed in bitumen boller on B.T. surface 2.5 kg/10 sqm.(VG-30 bulk bitumen rates are considered to arrive at rates)</t>
  </si>
  <si>
    <t>Tack coat 2.5 kg/10 sqm VG-30 bulk bitumen</t>
  </si>
  <si>
    <t>Providing and applying tack coat on the prepared surface heating by fames in Boiler and spraying bitumen with sprayer on Dry / Hungry B.T. surface 3 kg/10 sqm. (VG-30 bulk bitumen rates are considered to arrive at rates)</t>
  </si>
  <si>
    <t>Tack coat 3.0 kg/10 sqm VG-30 bulk bitumen</t>
  </si>
  <si>
    <t>Providing and applying tack coat on the prepared surface heating by flames in Boiler and spraying  bitumen  with  sprayer  on    Granular  surface  treated  with  primer  @  2.75  kg/10 sqm(VG-30 bulk bitumen rates are considered to arrive at rates)</t>
  </si>
  <si>
    <t xml:space="preserve">Tack coat on Granular surface </t>
  </si>
  <si>
    <t>Providing and applying tack coat on the prepared surface heating by flames in Boiler and spraying bitumen with sprayer on Concrete surface treated with primer @ 3.25 kg/10 sqm (VG-30 bulk bitumen rates are considered to arrive at rates)</t>
  </si>
  <si>
    <t xml:space="preserve">Tack coat on Concrete surface </t>
  </si>
  <si>
    <r>
      <rPr>
        <sz val="11"/>
        <rFont val="Times New Roman"/>
        <family val="1"/>
      </rPr>
      <t>Providing and applying tack coat with bitumen emulsion (RS1) using emulsion pressure distributer  at  the  rate  of  0.20  kg  per  Sq.M.  on  the  prepared  bituminous  cleaned  with
mechanical broom</t>
    </r>
  </si>
  <si>
    <t xml:space="preserve">Tack coat with bitumen emulsion (RS1) </t>
  </si>
  <si>
    <t>3.35a</t>
  </si>
  <si>
    <t>MORTH  505</t>
  </si>
  <si>
    <t>Providing  and  constructing  75  mm. thick  Modified   Penetration  Macadam (MPM)  road surface  including  all  materials,  preparing  the  existing  road  surface,  spreading  40  mm. stone  metal layers  30% crusher  broken metal + 70%  Hand broken  (by breaking  rubble obtained by blasting) heating and spraying the  bitumen of specified grade @ 2 Kg/sqm, spreading 12 mm.size chips compacting with three wheel static roller having weight 8 to 10 MT. to achive the desired degree of compaction as per Technical Specification Clause 506  etc.  complete.   Including  picking  of  existing  WBM  surface.  (VG-30  bulk  bitumen rates are considered to arrive at rates)</t>
  </si>
  <si>
    <r>
      <rPr>
        <sz val="11"/>
        <rFont val="Times New Roman"/>
        <family val="1"/>
      </rPr>
      <t>IRC-SP-20, 2002
Clause No. 8.7.3</t>
    </r>
  </si>
  <si>
    <t>75 mm MPM on WBM</t>
  </si>
  <si>
    <t>3.35b</t>
  </si>
  <si>
    <r>
      <rPr>
        <sz val="11"/>
        <rFont val="Times New Roman"/>
        <family val="1"/>
      </rPr>
      <t>Providing  and  constructing  75  mm. thick  Modified   Penetration  Macadam (MPM)  road surface  including  all  materials,  preparing  the  existing  road  surface,  spreading  40  mm. stone  metal  layers  100%  crusher  broken  metal  with  conical  crusher  plant  heating  and spraying  the   bitumen  of  specified  grade  @  2  Kg/sqm,  spreading  12  mm.size  chips compacting with three wheel static roller having weight 8 to 10 MT. to achive the desired degree of compaction as per Technical Specification Clause 506 etc. complete.  Including picking of existing WBM surface. (VG-30 bulk bitumen rates are considered to arrive at
rates)</t>
    </r>
  </si>
  <si>
    <t>3.36a</t>
  </si>
  <si>
    <t>Providing and constructing 75 mm. thick Modified  Penetraction Macadam (MPM)  road surface  including  all  materials,  preparing  the  existing  road  surface,  spreading  40  mm. stone  layers  metal 30%   crusher  broken  metal  +  70%  Hand  broken  metal (By breaking Rubble obtained by blasting) , heating and spraying the  bitumen of specified grade @ 2 kg  / sqm  , spreading  12mm.size chips  compacting with  three wheel static roller  having weight  8  to  10  MT.  to  achive  the  desired  degree  of  compaction  as  per  Technical Specification Clause 506 etc.complete, including applying tack coat of specified grade of bitumen at the rate of 0.30 Kg Sqm. on existing bitumen surface. (VG-30 bulk bitumen rates are considered to arrive at rates)</t>
  </si>
  <si>
    <t>75 mm MPM on B.T.</t>
  </si>
  <si>
    <t>3.36b</t>
  </si>
  <si>
    <t>Providing and constructing 75 mm. thick Modified  Penetraction Macadam (MPM)  road surface  including  all  materials,  preparing  the  existing  road  surface,  spreading  40  mm. stone layers metal 100%  crusher broken metal with conical crusher plant   , heating and spraying  the   bitumen  of  specified  grade  @  2  kg  /  sqm  ,  spreading  12mm.size  chips compacting with three wheel static roller having weight 8 to 10 MT. to achive the desired degree of compaction as per Technical Specification Clause 506 etc.complete, including applying tack coat of specified grade of bitumen at the rate of 0.30 Kg Sqm. on existing bitumen surface. (VG-30 bulk bitumen rates are considered to arrive at rates)</t>
  </si>
  <si>
    <t>3.37a</t>
  </si>
  <si>
    <t>Providing and constructing 50 mm. thick Modified  Penetration  Macadam (MPM)  road surface  including  all  mataerials,  preparing  the  existing  road  surface,  spreading  40mm. stone  metal layers  30% crusher  broken metal + 70%  Hand broken  (by breaking  rubble obtained  by  blasting)  heating  and  spraying  the   bitumen  of  specified  grade  @  1.75 kg/sqm, spreading 12mm.size chips compacting with  static roller having weight 8 to 10 MT. to achive the desired degree of compaction as per Technical Specification Clause 506 etc.  complete.   Including  picking  of existing  WBM surface.(VG-30  bulk bitumen  rates are considered to arrive at rates)</t>
  </si>
  <si>
    <t>50 mm MPM on WBM</t>
  </si>
  <si>
    <t>3.37b</t>
  </si>
  <si>
    <t>Providing and constructing 50 mm. thick Modified  Penetration  Macadam (MPM)  road surface  including  all  mataerials,  preparing  the  existing  road  surface,  spreading  40mm. stone  metal  layers  100%  crusher  broken  metal  with  conical  crusher  plant  heating  and spraying  the   bitumen  of  specified  grade  @  1.75  kg/sqm,  spreading  12mm.size  chips compacting with  static roller having weight 8 to 10 MT. to achive the desired degree of compaction as per Technical Specification Clause 506  etc. complete.  Including picking of existing WBM surface.(VG-30 bulk bitumen rates are considered to arrive at rates)</t>
  </si>
  <si>
    <t>3.38a</t>
  </si>
  <si>
    <t>Providing and constructing 50 mm. thick  Modified  Penetration  Macadam (MPM) road surface including all materials, preparing the existing road surface, spreading 40mm. stone layers metal 30%  crusher broken metal + 70% Hand broken metal (By breaking Rubble obtained by blasting) , heating and spraying the bitumen of specified grade @ 1.75 kg / sqm, spreading 12mm.size chips compacting with Static roller having weight 8 to 10 MT. to  achive  the  desired  degree  of  compaction  as  per  Technical  Specification  Clause  506 etc.complete, including applying tack coat of bitumen 0f specified grade at the rate of 0.30 Kg Sqm.(on existing bitumen surface.)</t>
  </si>
  <si>
    <t>50 mm MPM on B.T.</t>
  </si>
  <si>
    <t>3.38b</t>
  </si>
  <si>
    <t>Providing and constructing 50 mm. thick  Modified  Penetration  Macadam (MPM) road surface including all materials, preparing the existing road surface, spreading 40mm. stone layers metal 100%  crusher broken metal with conical crusher palnt, heating and spraying the bitumen of specified grade @ 1.75 kg / sqm, spreading 12mm.size chips compacting with Static roller having weight 8 to 10 MT. to achive the desired degree of compaction as per Technical Specification Clause 506 etc.complete, including applying tack coat at the rate  of  0.30  Kg  Sqm.on  existing  bitumen  surface.  (VG-30  bulk  bitumen  rates  are considered to arrive at rates)</t>
  </si>
  <si>
    <t>MORTH 504</t>
  </si>
  <si>
    <t>Providing, laying and compacting of Built-up-spray grout layer 75 mm thick over prepared base  consisting  of   two  layers  composite  construction  of  compacted  crushed  coarse aggregates with application of  bituminous binder of biyumen of specified Grade @ 1.520 Kg/ Sqm after each layer, ( i.e 1.520x2=3.04 say 3.00 Kg/Sqm) and with key aggregates placed on top of the second layer and compacting with static roller 8 to 10 MT. Excluding cost of tack coat and  scarifying etc. Complete.(VG-30 bulk bitumen rates are considered to arrive at rates)</t>
  </si>
  <si>
    <t>BUSG-75 mmthk</t>
  </si>
  <si>
    <r>
      <rPr>
        <sz val="11"/>
        <rFont val="Times New Roman"/>
        <family val="1"/>
      </rPr>
      <t>BITUMINOUS  MACADAM:  Proving  and  laying  bituminous  macadam  using  crushed aggregates of Grading 1,  premixed with bituminous binder, transported to site with VTS , laid over a previously prepared surface, finished to the required grade, level, alignment, and rolling to achieve the desired compaction for 80/100 mm compacted thickness with
3.3  %  using  specified  grade  of  Bitumen.  -- USING  Batch  mix  type  hot  mix  plant  with SCADA,  Sensor  Paver,  vibratory  roller.(VG-30  bulk  bitumen  rates  are  considered  to arrive at rates)</t>
    </r>
  </si>
  <si>
    <t>B.M.,Gr-1,50/75 mm,3.3%</t>
  </si>
  <si>
    <t>BITUMINOUS MACADAM:--Providing and laying bituminous macadam using crushed aggregate of Grading 1, premixed with bituminous binder, transported at site with VTS, laid   over   a   previously   prepared   surface   ,   finished   to   the   required   grade   ,level, alignment,and rolling to achieve the desired density for 80/100 mm compacted thickness with drum mix type hot mix plant with SCADA having complying essential features of Hot mix plant as per IRC-27 2009 specified conditions and attachments such as electronic load  sensor  based  belt  conveyers,automatic  synchronization  of  bitumen  and  aggregate fedder,built  in  dust  controller  system  and  PLC  for  Drum  Mix  plant  ,Sensor  paver,and Vibratory roller excluding prime/Tack coat etc. complete --Bitumen   3.30% of specified grade (VG-30 bulk bitumen rates are considered to arrive at rates)</t>
  </si>
  <si>
    <t>B.M.,Gr-I, 80/100 mm -3.4%</t>
  </si>
  <si>
    <t>MORTH 505</t>
  </si>
  <si>
    <r>
      <rPr>
        <sz val="11"/>
        <rFont val="Times New Roman"/>
        <family val="1"/>
      </rPr>
      <t>DENSE  BITUMINOUS  MACADAM:  Proving  and  laying  dense  bituminous  macadam using  crushed  aggregates  of  Grading  1,  premixed  with  bituminous  binder  of  specified grade of Bitumen @  4.50 per  cent by weight of  total mix  and filler,  transported to  site with VTS , laid over a previously prepared surface, finished to the required grade, level, alignment, and rolling to achieve the desired density for 76-100 mm compacted thickness
.USING Batch mix type hot mix plant with SCADA, Sensor Paver, Vibratory roller with Stone Dust filler.(VG-30 bulk bitumen rates are considered to arrive at rates)</t>
    </r>
  </si>
  <si>
    <t>D.B.M.,Gr-I, 76-100 mm -3.4%</t>
  </si>
  <si>
    <t>DENSE BITUMINOUS MACADAM:--Providing and laying dense bituminous macadam using  crushed  aggregate  of  grading  1,  premixed  with  bituminous  binder  Bitumen  of specified grade,@ 4.50 % by weight of total mix and filler, transported at site with VTS, laid   over   a   previously   prepared   surface   ,   finished   to   the   required   grade   ,level, alignment,and rolling to achieve the desired density for 76/100 mm compacted thickness with drum mix type hot mix plant with SCADA having complying essential features of Hot mix plant as per IRC-27-2009 specified conditions and attachments such as electronic load  sensor  based  belt  conveyers,  automatic  synchronization  of  bitumen  and  aggregate fedder,built  in  dust  controller  system  and  PLC  for  Drum  Mix  plant  ,Sensor  paver,  and Vibratory  roller  excluding  prime/Tack  coat  etc.  complete  --Bitumen  VG-30  grade  with stone dust filler (VG-30 bulk bitumen rates are considered to arrive at rates)</t>
  </si>
  <si>
    <t>D.B.M.,Gr-I, 76-100 mm -4.5%</t>
  </si>
  <si>
    <t>MORTH 507</t>
  </si>
  <si>
    <t>BITUMINOUS  CONCRETE:- Providing and  laying bituminous  concrete using  crushed aggregates of grading 1, premixed with bituminous binder @ 5.20 per cent by weight of total mix and filler, transported to site with VTS , laid over a previously prepared surface, finished  to  the  required  grade,  level,  alignment,  and  rolling  to  achieve  the  desired compaction  for 50 mm compacted thickness with specified grade of Bitumen,Excluding prime / tack coat. For Bitumen of specified grade -- USING Batch mix type hot mix plant with SCADA, Sensor Paver, Vibratory roller with Stone Dust filler. (VG-30 bulk bitumen rates are considered to arrive at rates)</t>
  </si>
  <si>
    <t>B.C.- Gr-I,50 mm,5.2%</t>
  </si>
  <si>
    <t>BITUMINOUS  CONCRETE:--Providing  and  laying  bituminous  concrete using  crushed aggregate of grading 1,  premixed with bituminous binder @5.40% by weight of total mix and filler, transported at site with VTS, laid over a previously prepared surface, finished to the required grade ,level, alignment, and rolling to achieve the desired density for 50mm compacted  thickness  with  drum  mix  plant  with  SCADA,  Sensor  paver  and  Vibratory roller  excluding  prime/Tack  coat  etc.  complete  --Bitumen  of specified  grade with  stone dust filler. (VG-30 bulk bitumen rates are considered to arrive at rates)</t>
  </si>
  <si>
    <t>MORTH 509</t>
  </si>
  <si>
    <t>B.C.- Gr-I,50 mm,5.4%</t>
  </si>
  <si>
    <t>Road Surfacing Course</t>
  </si>
  <si>
    <t>MORTH 511</t>
  </si>
  <si>
    <r>
      <rPr>
        <sz val="11"/>
        <rFont val="Times New Roman"/>
        <family val="2"/>
      </rPr>
      <t>Providing bituminous Type A liquid seal coat on bituminous surface including supplying all materials and bitumen of specified grade  preparing existing road surface, heating and applying bitumen @ 0.98 KgSqm. by mechanical means, spreading chips and rolling, by static  roller  having  weight  8  to  10  MT.  etc.  complete.  (VG-30  bulk  bitumen  rates  are
considered to arrive at rates)</t>
    </r>
  </si>
  <si>
    <t xml:space="preserve">Type A liquid seal coat </t>
  </si>
  <si>
    <r>
      <rPr>
        <sz val="11"/>
        <rFont val="Times New Roman"/>
        <family val="2"/>
      </rPr>
      <t>Providing and laying of Type - B premix seal coat with HMP of approprate  crushed stone chipping  6.70 mm size and penetration bitumen of specified grade @ 0.68 Kg / Sqm. , preparing existing road surface including mixing in suitable Batch Mix  plant and rolling by  static roller having weight 8 to 10 MT. etc. complete. (VG-30 bulk bitumen rates are
considered to arrive at rates)</t>
    </r>
  </si>
  <si>
    <t xml:space="preserve"> Type - B premix seal coat</t>
  </si>
  <si>
    <r>
      <rPr>
        <sz val="11"/>
        <rFont val="Times New Roman"/>
        <family val="2"/>
      </rPr>
      <t>Surface Dressing -- Providing and laying surface dressing as wearing course in single coat using crushed stone aggregates of specified size on a layer of bituminous binder laid on prepared surface and rolling with 8-10 tonne smooth wheeled steel roller. --
a) 19 mm nominal chippling  size (bitumen  12.00 kg/10  Sq.M.) -- Bitumen of  specified grade (VG-30 bulk bitumen rates are considered to arrive at rates)</t>
    </r>
  </si>
  <si>
    <t xml:space="preserve">Surface Dressing ,19 mm chippling size </t>
  </si>
  <si>
    <r>
      <rPr>
        <sz val="11"/>
        <rFont val="Times New Roman"/>
        <family val="2"/>
      </rPr>
      <t>Surface Dressing -- Providing and laying surface dressing as wearing course in single coat using crushed stone aggregates of specified size on a layer of bituminous binder laid on prepared surface and rolling with 8-10 tonne smooth wheeled steel roller. --
b)  13  mm  nominal  chippling  size  (bitumen  10.00  kg/10  Sq.M  --  Bitumen  of  specified grade (VG-30 bulk bitumen rates are considered to arrive at rates)</t>
    </r>
  </si>
  <si>
    <r>
      <t xml:space="preserve">Surface Dressing -13 mm </t>
    </r>
    <r>
      <rPr>
        <b/>
        <sz val="11"/>
        <color rgb="FFFF0000"/>
        <rFont val="Calibri"/>
        <family val="2"/>
        <scheme val="minor"/>
      </rPr>
      <t xml:space="preserve"> chippling size </t>
    </r>
  </si>
  <si>
    <r>
      <rPr>
        <sz val="11"/>
        <rFont val="Times New Roman"/>
        <family val="2"/>
      </rPr>
      <t>Surface Dressing -- Providing and laying surface dressing as wearing course in single coat using crushed stone aggregates of specified size on a layer of bituminous binder laid on prepared surface and rolling with 8-10 tonne smooth wheeled steel roller. --
c) 10 mm nominal chippling size (bitumen 9.0 kg/10 Sq.M -- Bitumen of specified grade (VG-30 bulk bitumen rates are considered to arrive at rates)</t>
    </r>
  </si>
  <si>
    <r>
      <t xml:space="preserve">Surface Dressing -10 mm </t>
    </r>
    <r>
      <rPr>
        <b/>
        <sz val="11"/>
        <color rgb="FFFF0000"/>
        <rFont val="Calibri"/>
        <family val="2"/>
        <scheme val="minor"/>
      </rPr>
      <t xml:space="preserve"> chippling size </t>
    </r>
  </si>
  <si>
    <r>
      <rPr>
        <sz val="11"/>
        <rFont val="Times New Roman"/>
        <family val="2"/>
      </rPr>
      <t>Surface Dressing -- Providing and laying surface dressing as wearing course in single coat using crushed stone aggregates of specified size on a layer of bituminous binder laid on prepared surface and rolling with 8-10 tonne smooth wheeled steel roller. --
d) 6 mm nominal chippling size (bitumen 7.50 kg/10 Sq.M -- Bitumen of specified grade (VG-30 bulk bitumen rates are considered to arrive at rates)</t>
    </r>
  </si>
  <si>
    <r>
      <t xml:space="preserve">Surface Dressing -6 mm </t>
    </r>
    <r>
      <rPr>
        <b/>
        <sz val="11"/>
        <color rgb="FFFF0000"/>
        <rFont val="Calibri"/>
        <family val="2"/>
        <scheme val="minor"/>
      </rPr>
      <t xml:space="preserve"> chippling size </t>
    </r>
  </si>
  <si>
    <t>MORTH 510</t>
  </si>
  <si>
    <t>Surface Dressing -- Providing and laying surface dressing as wearing course in single coat using crushed stone aggregates of specified size on a layer of bituminous binder laid on prepared surface and rolling with 8-10 tonne smooth wheeled steel roller. -</t>
  </si>
  <si>
    <t>OGP- 20 mm thk- Drum Mix type -over B.T. Surface)</t>
  </si>
  <si>
    <t>Open Graded Premix Surfacing- Providing and Laying OGC 20 mm thickness composed of  13.2  mm to  5.6  mm aggregates  premixed with  bituminous  binder  transported to  site with VTS , laid over a previously prepared surface, finished to the required grade, level, alignment, and rolling to achieve the desired compaction but excluding prime / tack and Seal  coat.  For  Bitumen  of  specified  grade--USING  drum  mix  type  hot  mix  plant  with SCADA, Paver and Vibratory roller ( Over MPM Surface) (VG-30 bulk bitumen rates are considered to arrive at rates)</t>
  </si>
  <si>
    <t>OGP- 20 mm thk- Drum Mix type-Over MPM surface)</t>
  </si>
  <si>
    <t>9 MM SEAL COAT: Providing and laying of Type A 9mm premix seal coat with HMP of apropriate  capacity  crushed  stone  chiping  6.7  mm  size  and  penetration  bitumen  of specified  grade  @  1.2kg/Sq.m,   preparing  existing  road  surface  by  mechanical  means, spreading chips and rolling, by static roller having weight 8 to 10 MT. etc. complete.(VG- 30 bulk bitumen rates are considered to arrive at rates)</t>
  </si>
  <si>
    <t>OGP- 20 mm thk- Batch Mix type,Sensor paver</t>
  </si>
  <si>
    <t>Rigid Pavement</t>
  </si>
  <si>
    <t>MORTH 602</t>
  </si>
  <si>
    <t>Providing and laying in-situ  M30 Grade unreinforced plain cement concrete  pavement over a prepared sub base with 43 grade cement , coarse and fine aggregate( natural sand/ VSI  grade  finely  washed  crushed  sand)  conforming  to  IS  383,  using  fine  and  coarse aggregates combined gradation  as per Table 600-3 of MORTH Specification 2013, mixed in a batching and mixing plant/ non tilting mixer and Weigh batcher  as per approved mix design,   admixtures,   transporting   to   site,   spreading,   laying   with   approved   make paver,compacted and finished in a continuous operation, finishing to lines and grades  as directed  by  Engineer-in-charge  and  curing   by  curing  compound  /by  providing  cement vata in cement Mortar 1:8 @0.6m X 0.6m centre to centre, admeasuring 80 mm at bottom and  40  mm  at  top  with   depth  of  75mm  and  maintaining  the  same  throughout  curing period by any other method approved by Engineer-in-charge.  with fully automatic micro processor based PLC with SCADA enabled reversible Drum Type mixer/ concrete Batch mix plant (Pan mixer) etc. complete.</t>
  </si>
  <si>
    <t>C.C. M-30 pqc</t>
  </si>
  <si>
    <t>Providing and laying in-situ  M35 Grade unreinforced plain cement concrete  pavement over a prepared sub base with 43 grade cement , coarse and fine aggregate ( natural sand/ VSI  grade  finely  washed  crushed  sand)  conforming  to  IS  383,  using  fine  and  coarse aggregates combined gradation  as per Table 600-3 of MORTH Specification 2013, mixed in a batching and mixing plant/ non tilting mixer and Weigh batcher  as per approved mix design,   admixtures,   transporting   to   site,   spreading,   laying   with   approved   make paver,compacted and finished in a continuous operation, finishing to lines and grades  as directed  by  Engineer-in-charge  and  curing   by  curing  compound  /by  providing  cement vata in cement Mortar 1:8 @0.6m X 0.6m centre to centre, admeasuring 80 mm at bottom and  40  mm  at  top  with   depth  of  75mm  and  maintaining  the  same  throughout  curing period by any other method approved by Engineer-in-charge.   with fully automatic micro processor based PLC with SCADA enabled reversible Drum Type mixer/ concrete Batch mix plant (Pan mixer) etc. complete.</t>
  </si>
  <si>
    <t>C.C. M-35 pqc</t>
  </si>
  <si>
    <t>Providing and laying in-situ  M40 Grade unreinforced plain cement concrete  pavement over a prepared sub base with 43 grade cement , coarse and fine aggregate ( natural sand/ VSI  grade  finely  washed  crushed  sand)  conforming  to  IS  383,  using  fine  and  coarse aggregates combined gradation  as per Table 600-3 of MORTH Specification 2013, mixed in a batching and mixing plant/ non tilting mixer and Weigh batcher  as per approved mix design,   admixtures,   transporting   to   site,   spreading,   laying   with   approved   make paver,compacted and finished in a continuous operation, finishing to lines and grades  as directed  by  Engineer-in-charge  and  curing   by  curing  compound  /by  providing  cement vata in cement Mortar 1:8 @0.6m X 0.6m centre to centre, admeasuring 80 mm at bottom and  40  mm  at  top  with   depth  of  75mm  and  maintaining  the  same  throughout  curing period by any other method approved by Engineer-in-charge.  with fully automatic micro processor based PLC with SCADA enabled reversible Drum Type mixer/ concrete Batch mix plant (Pan mixer) etc. complete.</t>
  </si>
  <si>
    <t>C.C. M-40 pqc</t>
  </si>
  <si>
    <t>Providing and laying in-situ  M30 Grade unreinforced plain cement concrete  pavement over a prepared sub base with 43 grade cement , coarse and fine aggregate ( natural sand/ VSI  grade  finely  washed  crushed  sand)  conforming  to  IS  383,  using  fine  and  coarse aggregates combined gradation  as per Table 600-3 of MORTH Specification 2013, mixed in  a  Tilting  type  Concrete  Mixer  as  per  approved  mix  design,  admixtures,  spreading, laying  compacting  and  finished  in  a  continuous  operation  without  paver  machine, finishing  to  lines  and  grades   as  directed  by  Engineer-in-charge  and  curing   by  curing compound  /by  providing  cement  vata  in  cement  Mortar  1:8  @0.6m  X  0.6m  centre  to centre,  admeasuring  80  mm  at  bottom  and  40  mm  at  top  with   depth  of  75mm  and maintaining  the  same  throughout  curing  period  by  any  other  method  approved  by Engineer-in-charge.   with  fully  automatic  micro  processor  based  PLC  with  SCADA enabled reversible Drum Type mixer/ concrete Batch mix plant (Pan mixer) etc. complete.</t>
  </si>
  <si>
    <t>Providing and laying in-situ  M35 Grade unreinforced plain cement concrete  pavement over a prepared sub base with 43 grade cement , coarse and fine aggregate ( natural sand/ VSI  grade  finely  washed  crushed  sand)  conforming  to  IS  383,  using  fine  and  coarse aggregates combined gradation  as per Table 600-3 of MORTH Specification 2013, mixed in  a  Tilting  type  Concrete  Mixer  as  per  approved  mix  design,  admixtures,  spreading, laying  compacting  and  finished  in  a  continuous  operation  without  paver  machine, finishing  to  lines  and  grades   as  directed  by  Engineer-in-charge  and  curing   by  curing compound  /by  providing  cement  vata  in  cement  Mortar  1:8  @0.6m  X  0.6m  centre  to centre,  admeasuring  80  mm  at  bottom  and  40  mm  at  top  with   depth  of  75mm  and maintaining  the  same  throughout  curing  period  by  any  other  method  approved  by Engineer-in-charge.    with  fully  automatic  micro  processor  based  PLC  with  SCADA enabled reversible Drum Type mixer/ concrete Batch mix plant (Pan mixer) etc. complete.</t>
  </si>
  <si>
    <t>Providing and laying in-situ  M40 Grade unreinforced plain cement concrete  pavement over a prepared sub base with 43 grade cement , coarse and fine aggregate ( natural sand/ VSI  grade  finely  washed  crushed  sand)  conforming  to  IS  383,  using  fine  and  coarse aggregates combined gradation  as per Table 600-3 of MORTH Specification 2013, mixed in  a  Tilting  type  Concrete  Mixer  as  per  approved  mix  design,  admixtures,  spreading, laying  compacting  and  finished  in  a  continuous  operation  without  paver  machine, finishing  to  lines  and  grades   as  directed  by  Engineer-in-charge  and  curing   by  curing compound  /by  providing  cement  vata  in  cement  Mortar  1:8  @0.6m  X  0.6m  centre  to centre,  admeasuring  80  mm  at  bottom  and  40  mm  at  top  with   depth  of  75mm  and maintaining  the  same  throughout  curing  period  by  any  other  method  approved  by Engineer-in-charge.   with  fully  automatic  micro  processor  based  PLC  with  SCADA enabled reversible Drum Type mixer/ concrete Batch mix plant (Pan mixer) etc. complete.</t>
  </si>
  <si>
    <t>Providing and laying in-situ  M30 Grade unreinforced plain cement concrete  pavement with max 20% fly Ash ( Fly-ash upto 20% by weight of Cement) over a prepared sub base with 43 grade cement , coarse and fine aggregate ( natural sand/ VSI grade finely washed crushed sand) conforming to IS 383, using fine and coarse aggregates combined gradation as per Table 600-3 of MORTH Specification 2013, mixed in a batching and mixing plant/ non   tilting   mixer   and   Weigh   batcher    as   per   approved   mix   design,   admixtures, transporting to site, spreading, laying with approved make paver,compacted and finished in a continuous operation, finishing to lines and grades  as directed by Engineer-in-charge and curing  by curing compound /by providing cement vata in cement Mortar 1:8 @0.6m X 0.6m centre to centre, admeasuring 80 mm at bottom and 40 mm at top with  depth of 75mm and maintaining the same throughout curing period by any other method approved by Engineer-in-charge.</t>
  </si>
  <si>
    <t>Providing and laying in-situ  M35 Grade unreinforced plain cement concrete  pavement with max 20% fly Ash ( Fly-ash upto 20% by weight of Cement) over a prepared sub base with 43 grade cement , coarse and fine aggregate ( natural sand/ VSI grade finely washed crushed sand) conforming to IS 383, using fine and coarse aggregates combined gradation as per Table 600-3 of MORTH Specification 2013, mixed in a batching and mixing plant/ non   tilting   mixer   and   Weigh   batcher    as   per   approved   mix   design,   admixtures, transporting to site, spreading, laying with approved make paver,compacted and finished in a continuous operation, finishing to lines and grades  as directed by Engineer-in-charge and curing  by curing compound /by providing cement vata in cement Mortar 1:8 @0.6m X 0.6m centre to centre, admeasuring 80 mm at bottom and 40 mm at top with  depth of 75mm and maintaining the same throughout curing period by any other method approved by Engineer-in-charge.   with  fully automatic  micro  processor  based  PLC  with  SCADA enabled reversible Drum Type mixer/ concrete Batch mix plant (Pan mixer) etc. complete.</t>
  </si>
  <si>
    <t>Providing and laying in-situ  M40 Grade unreinforced plain cement concrete  pavement with max 20% fly Ash ( Fly-ash upto 20% by weight of Cement) over a prepared sub base with 43 grade cement , coarse and fine aggregate ( natural sand/ VSI grade finely washed crushed sand) conforming to IS 383, using fine and coarse aggregates combined gradation as per Table 600-3 of MORTH Specification 2013, mixed in a batching and mixing plant/ non   tilting   mixer   and   Weigh   batcher    as   per   approved   mix   design,   admixtures, transporting to site, spreading, laying with approved make paver,compacted and finished in a continuous operation, finishing to lines and grades  as directed by Engineer-in-charge and curing  by curing compound /by providing cement vata in cement Mortar 1:8 @0.6m X 0.6m centre to centre, admeasuring 80 mm at bottom and 40 mm at top with  depth of 75mm and maintaining the same throughout curing period by any other method approved by Engineer-in-charge.</t>
  </si>
  <si>
    <t>Providing and laying in-situ  M30 Grade unreinforced plain cement concrete  pavement with max 20% fly Ash ( Fly-ash upto 20% by weight of Cement) over a prepared sub base with 43 grade cement , coarse and fine aggregate ( natural sand/ VSI grade finely washed crushed sand) conforming to IS 383, using fine and coarse aggregates combined gradation as  per  Table  600-3  of  MORTH  Specification  2013,  mixed  in  a  Tilting  type  Concrete Mixer as per approved mix design, admixtures, spreading, laying compacting and finished in a continuous operation without paver machine, finishing to lines and grades  as directed by  Engineer-in-charge  and  curing   by  curing  compound  /by  providing  cement  vata  in cement Mortar 1:8 @0.6m X 0.6m centre to centre, admeasuring 80 mm at bottom and 40 mm at  top with   depth of 75mm and maintaining the same throughout curing period by any other method approved by Engineer-in-charge.  with fully automatic micro processor based PLC with SCADA enabled reversible Drum Type mixer/ concrete Batch mix plant (Pan mixer) etc. complete.</t>
  </si>
  <si>
    <t>Providing and laying in-situ  M35 Grade unreinforced plain cement concrete  pavement with max 20% fly Ash ( Fly-ash upto 20% by weight of Cement) over a prepared sub base with 43 grade cement , coarse and fine aggregate ( natural sand/ VSI grade finely washed crushed sand) conforming to IS 383, using fine and coarse aggregates combined gradation as  per  Table  600-3  of  MORTH  Specification  2013,  mixed  in  a  Tilting  type  Concrete Mixer as per approved mix design, admixtures, spreading, laying compacting and finished in a continuous operation without paver machine, finishing to lines and grades  as directed by  Engineer-in-charge  and  curing   by  curing  compound  /by  providing  cement  vata  in cement Mortar 1:8 @0.6m X 0.6m centre to centre, admeasuring 80 mm at bottom and 40 mm at  top with   depth of 75mm and maintaining the same throughout curing period by any other method approved by Engineer-in-charge.</t>
  </si>
  <si>
    <t>Providing and laying in-situ  M40 Grade unreinforced plain cement concrete  pavement with max 20% fly Ash ( Fly-ash upto 20% by weight of Cement) over a prepared sub base with 43 grade cement , coarse and fine aggregate ( natural sand/ VSI grade finely washed crushed sand) conforming to IS 383, using fine and coarse aggregates combined gradation as  per  Table  600-3  of  MORTH  Specification  2013,  mixed  in  a  Tilting  type  Concrete Mixer as per approved mix design, admixtures, spreading, laying compacting and finished in a continuous operation without paver machine, finishing to lines and grades  as directed by  Engineer-in-charge  and  curing   by  curing  compound  /by  providing  cement  vata  in cement Mortar 1:8 @0.6m X 0.6m centre to centre, admeasuring 80 mm at bottom and 40 mm at  top with   depth of 75mm and maintaining the same throughout curing period by any other method approved by Engineer-in-charge.  with fully automatic micro processor based PLC with SCADA enabled reversible Drum Type mixer/ concrete Batch mix plant (Pan mixer) etc. complete.</t>
  </si>
  <si>
    <t>MORTH 601</t>
  </si>
  <si>
    <t>Construction  of  dry  lean  cement  concrete  Sub-  base  over  a   prepared  sub-grade   with coarse  and  fine  aggregate  (  natural  sand/  VSI  grade  finely  washed  crushed  sand) conforming  to  IS:  383,  the  size  of  coarse  aggregate  not  exceeding  25  mm,  ,  cement content  not  to  be  less  than  150  kg/  cum,  optimum  moisture  content  to  be  determined during trial length construction, concrete strength not to be less than 10 Mpa at 7 days, mixed in a batching plant/ Weigh batch mixer, transported to site with all leads and lifts, laid with a paver with electronic sensor /by suitable means as approved by  Engineer-in- charge , compacting with  vibratory roller, finishing,  curing and  including preparation of sub-grade surface if required etc. complete.  with fully automatic micro processor based PLC with SCADA enabled reversible Drum Type mixer/ concrete Batch mix plant (Pan mixer) etc. complete.</t>
  </si>
  <si>
    <t>DLC</t>
  </si>
  <si>
    <t>MORTH 602.6.5</t>
  </si>
  <si>
    <t>Providing  and  fixing  in  position  TMT  FE  500,   32  mm  dia  dowel  bars  precoated  with anticorrosive  epoxy  paint  of  required  Dia.  60  cms.  Long  and  at  30.00  cm.  C/C  and wherever directed  including handling, straightening, necessary cutting supported by TMT FE 500, chairs with proper alignment by using properly designed assembly of Bulkheads lubricating half length with bituminous paint as directed etc. complete.</t>
  </si>
  <si>
    <t>Dowel bars 32 mm</t>
  </si>
  <si>
    <t>Providing  and  fixing  in  position  TMT  FE  500,  25mm  dia  dowel  bars  precoated  with anticorrosive  epoxy  paint  of  required  Dia.  60  cms.  Long  and  at  30.00  cm.  C/C  and wherever directed  including handling, straightening, necessary cutting supported by TMT FE 500, chairs with proper alignment by using properly designed assembly of Bulkheads lubricating half length with bituminous paint as directed etc. complete.</t>
  </si>
  <si>
    <t>Dowel bars 25 mm</t>
  </si>
  <si>
    <t>MORTH 602.6.4.2</t>
  </si>
  <si>
    <t>Providing and fixing in position TMT FE 500, tie bars precoated with anticorrosive epoxy paint of 12 mm dia. 70 cms.long and at 30.00 cm. C/C  and wherever directed including handling, straightening wrapping with paper of approved quality for half length, necessary cutting,  handling,  straightening  ,  supported  by  assembly  of  TMT  FE  500,  chairs  with proper alignment etc. complete.</t>
  </si>
  <si>
    <t>Tie Bars</t>
  </si>
  <si>
    <r>
      <rPr>
        <sz val="11"/>
        <rFont val="Times New Roman"/>
        <family val="1"/>
      </rPr>
      <t>MORTH 602.6.3 &amp;
602.6.4</t>
    </r>
  </si>
  <si>
    <t>Cutting transverse contraction joints 3 to 4 mm wide and depth 60mm. .in concrete slab using concrete cutting machine with diamond studded saw within 48 hours of casting of bay / slab etc. complete including subsequent widening of the groove 8 to 10 mm. wide at top having depth of 15 mm. as directed by Engineer incharge.</t>
  </si>
  <si>
    <r>
      <rPr>
        <sz val="11"/>
        <rFont val="Times New Roman"/>
        <family val="1"/>
      </rPr>
      <t>Providing  to  contraction  joints  polysuphide  sealent  (Pouring  grade)  confirming  to  BS  : 5212 - 1989 into sawed groove widened at top for sealent reservoir of specified size and shape as per detailed drawing including fixing Polyethylene foam backer rod of required diameter  (appraox.  25%  larger  than  the  initial  3  mOne  Metric  Tonneo  4  mm.  joint) overlaid with bond breaking tape as per detailed drawing. Item includes cleaning the joints with water jet / air compressor and allowing joint to become thoroughly dry before sealent is applied and applying primer.
(A) Contraction and longitudinal joints (15 mm. deep x 8 mm.wide)</t>
    </r>
  </si>
  <si>
    <t>MORTH 602.5</t>
  </si>
  <si>
    <t>Providing and laying 125 micron Low Density Polyethylene (LDPE) sheet confirming to IS 3395 : 1997 below concrete pavement including all materials and labour complete.</t>
  </si>
  <si>
    <t>As directed by Engineer Incharge</t>
  </si>
  <si>
    <t>Providing  and  fixing  factory  made  Hydraulically  pressed  Mechanically  vibrated  and compacted  precast  inter  locking  cement  concrete  paving  blocks  80MM  thick  in  M-40 grade  of  approved  size  and  shape  for  City  streets,  small  /medium  market  roads,low volume  roads,  utility  cuts  on  arterial  roads  etc.  as  specified  and  as  per  IS  15658:2006 including cost of all materials, manufacturing, curing, transportation of blocks to work site including  loading,  unloading  and  stacking  as  directed,  laying  paving  blocks  in  position over prepared bed of natural sand / crushed sand of 50 mm thickness including necessary excavation in all stratas, spreading blindge of fine sand over the prepared bed, compacting blocks by plate vibrator  etc. complete.</t>
  </si>
  <si>
    <t>IRC-SP-63</t>
  </si>
  <si>
    <t>Paving Block 80 mm thk</t>
  </si>
  <si>
    <r>
      <rPr>
        <sz val="11"/>
        <rFont val="Times New Roman"/>
        <family val="1"/>
      </rPr>
      <t>Providing  and  fixing  factory  made  Hydraulically  pressed  Mechanically  vibrated  and compacted  precast  inter  locking  cement  concrete  paving  blocks  100MM  thick  in  M-50 grade  of  approved  size  and  shape  for  City  streets  and  roads  with  high  volume/  heavy traffice   as   specified   and   as   per   IS   15658:2006   including   cost   of   all   materials, manufacturing, curing, transportation of blocks to work site including loading, unloading and  stacking  as  directed,  laying  paving  blocks  in  position  over  prepared  bed  of  natural sand  /  crushed  sand  of  50  mm  thickness  including  necessary  excavation  in  all  stratas, spreading blindge of fine sand over the prepared bed, compacting blocks by plate vibrator
etc. complete.</t>
    </r>
  </si>
  <si>
    <t>Paving Block 100 mm thk</t>
  </si>
  <si>
    <t>Providing  and  laying  in  situ  cement  concrete M  -30 with  tremix treatment  for 200  mm thickness  for  Concrete  Road  is  including  laying  plastic  sheet  for  125  micron  thickness with groove cutting of 4 mm wide and 20 mm deep with necessary refilling with bitumen ( excluding reinforcement) with coarse and fine aggregate ( natural sand/ VSI grade finely washed crushed sand) etc. complete  with fully automatic micro processor based PLC with SCADA enabled reversible Drum Type mixer/ concrete Batch mix plant (Pan mixer) etc. complete.</t>
  </si>
  <si>
    <t>C.C. M -30 with tremix treatment for 200 mm thickness</t>
  </si>
  <si>
    <t>5.22 b</t>
  </si>
  <si>
    <t>Providing  and  laying  in  situ  cement  concrete M  -30 with  tremix treatment  for 200  mm thickness  for  Concrete  Road  is  including  laying  plastic  sheet  for  125  micron  thickness with  groove  cutting  of  4  mm  wide  and  20  mm  deep  with  necessary  refilling  with polysuphide sealent (Pouring grade) confirming to BS : 5212 - 1989 into sawed groove widened at top for sealent reservoir of specified size and shape as per detailed drawing including   fixing   Polyethylene   foam   backer   rod   of   required   diameter    (   excluding reinforcement)  with  coarsen  and  fine  aggregate  Using  V.S.I.Quality  Artifitial  Sand  etc. complete   with  fully  automatic  micro  processor  based  PLC  with  SCADA  enabled reversible Drum Type mixer/ concrete Batch mix plant (Pan mixer) etc. complete.</t>
  </si>
  <si>
    <t>Road Furniture</t>
  </si>
  <si>
    <t>MORTH 805</t>
  </si>
  <si>
    <r>
      <rPr>
        <sz val="11"/>
        <rFont val="Times New Roman"/>
        <family val="1"/>
      </rPr>
      <t xml:space="preserve">Providing  and  fixing  </t>
    </r>
    <r>
      <rPr>
        <u/>
        <sz val="11"/>
        <rFont val="Times New Roman"/>
        <family val="1"/>
      </rPr>
      <t>               </t>
    </r>
    <r>
      <rPr>
        <sz val="11"/>
        <rFont val="Times New Roman"/>
        <family val="1"/>
      </rPr>
      <t xml:space="preserve"> metre  stones  as  per  I.R.C.  standard  including  fixing  in standard size </t>
    </r>
    <r>
      <rPr>
        <u/>
        <sz val="11"/>
        <rFont val="Times New Roman"/>
        <family val="1"/>
      </rPr>
      <t>             </t>
    </r>
    <r>
      <rPr>
        <sz val="11"/>
        <rFont val="Times New Roman"/>
        <family val="1"/>
      </rPr>
      <t>block including curing, painting lettering etc. complete.</t>
    </r>
  </si>
  <si>
    <t>6.02a</t>
  </si>
  <si>
    <t>RCC 200 meter Stone in CC 1:4:8</t>
  </si>
  <si>
    <t>6.02b</t>
  </si>
  <si>
    <t>124.80 Kg/M3</t>
  </si>
  <si>
    <t>Fixing 1:2:4 ordinary km. stones in C.C. 1:4:8</t>
  </si>
  <si>
    <t>6.02c</t>
  </si>
  <si>
    <t>Fixing  R.C.C. 5th Km. stones, in  c.c. 1:4:8</t>
  </si>
  <si>
    <r>
      <rPr>
        <sz val="11"/>
        <rFont val="Times New Roman"/>
        <family val="1"/>
      </rPr>
      <t xml:space="preserve">Dismantling of </t>
    </r>
    <r>
      <rPr>
        <u/>
        <sz val="11"/>
        <rFont val="Times New Roman"/>
        <family val="1"/>
      </rPr>
      <t>                    </t>
    </r>
    <r>
      <rPr>
        <sz val="11"/>
        <rFont val="Times New Roman"/>
        <family val="1"/>
      </rPr>
      <t>Stone including cutting of earth, foundation and disposal of dismantled material with all lifts and lead upto 1000 m and back filling of pit.</t>
    </r>
  </si>
  <si>
    <t>a</t>
  </si>
  <si>
    <t>Dismantling 5th Km. Stone</t>
  </si>
  <si>
    <t>b</t>
  </si>
  <si>
    <t>Ordinary Km. Stone</t>
  </si>
  <si>
    <t>c</t>
  </si>
  <si>
    <t>Hectometer Stone</t>
  </si>
  <si>
    <t>MORTH 805.1</t>
  </si>
  <si>
    <r>
      <rPr>
        <sz val="11"/>
        <rFont val="Times New Roman"/>
        <family val="1"/>
      </rPr>
      <t>Painting with approved enamel paint in two coats including cleaning surface and lettering
for                 stone etc. complete.</t>
    </r>
  </si>
  <si>
    <t>200 Mt. Stone</t>
  </si>
  <si>
    <t>Ordinary Kilometer Stone</t>
  </si>
  <si>
    <t>Lettering of Fifth Km. Stone</t>
  </si>
  <si>
    <t>d</t>
  </si>
  <si>
    <t>Lettering of Boundary Stone</t>
  </si>
  <si>
    <t>MORTH 807</t>
  </si>
  <si>
    <t>e</t>
  </si>
  <si>
    <t>MORTH 801</t>
  </si>
  <si>
    <t>Lettering for cautionary/ mandatory sign boards and village name boards</t>
  </si>
  <si>
    <t>f</t>
  </si>
  <si>
    <t>Lettering for informatory sign boards etc. complete.</t>
  </si>
  <si>
    <t>g</t>
  </si>
  <si>
    <r>
      <rPr>
        <sz val="11"/>
        <rFont val="Times New Roman"/>
        <family val="1"/>
      </rPr>
      <t>Lettering on masonry works with nalla flow direction, span One Number and location etc.
complete.</t>
    </r>
  </si>
  <si>
    <r>
      <rPr>
        <sz val="11"/>
        <rFont val="Times New Roman"/>
        <family val="1"/>
      </rPr>
      <t>Painting  letters  upto  20  cm  height  complete  brushes,  coir  brushers,  dusting,  cleaning,
including cost of paint etc. complete.</t>
    </r>
  </si>
  <si>
    <r>
      <rPr>
        <sz val="11"/>
        <rFont val="Times New Roman"/>
        <family val="1"/>
      </rPr>
      <t>Painting  and  One  Numbering  trees  with  white  background  and  black  lettering  etc.
complete.</t>
    </r>
  </si>
  <si>
    <r>
      <rPr>
        <sz val="11"/>
        <rFont val="Times New Roman"/>
        <family val="1"/>
      </rPr>
      <t>Providing white and colour washing to road side trees in 2 coats in 2 bands of white and one  red  band  at  centre  of  30  cm  height  each  including  preparing  the  surface,  cost  of
material, conveying etc. complete.</t>
    </r>
  </si>
  <si>
    <r>
      <rPr>
        <sz val="11"/>
        <rFont val="Times New Roman"/>
        <family val="1"/>
      </rPr>
      <t>Painting Line, Dashes, Arrows etc on Roads in two coats on new work with ready mixed road marking paint confirming to I.S. 164 on Bituminous surface including cleaning the surface  of  all dirt,  dust  and  other foreign  matter, demarcation  at site  and traffic  control (Over/Upto     cm wide) (MORTH-803) --</t>
    </r>
    <r>
      <rPr>
        <u/>
        <sz val="11"/>
        <rFont val="Times New Roman"/>
        <family val="1"/>
      </rPr>
      <t>             </t>
    </r>
    <r>
      <rPr>
        <sz val="11"/>
        <rFont val="Times New Roman"/>
        <family val="1"/>
      </rPr>
      <t>Surface</t>
    </r>
  </si>
  <si>
    <t>Over 10cm Wide On New Surface</t>
  </si>
  <si>
    <t>MORTH 803</t>
  </si>
  <si>
    <t>Upto 10 cm Wide On Old Surface</t>
  </si>
  <si>
    <t>Over 10cm Wide On Old Surface</t>
  </si>
  <si>
    <t>MORTH 806</t>
  </si>
  <si>
    <r>
      <rPr>
        <sz val="11"/>
        <rFont val="Times New Roman"/>
        <family val="1"/>
      </rPr>
      <t>Supplying and Fixing of Molded Shank Raised Pavement Markers / Cat's Eye  made of polycarbonate  and  ABS  moulded  body  and  reflective  panels  with  micro  prismatic  lens capable of providing total internal reflection of the light entering the lens face and shall support a load of 16000 kg tested in accordance to ASTM D 4280 Type H and complying to Specifications of Category A of MORTH Circular No RW/NH/33023/10-97  DO III Dt
11.06. 1997. The height, width and length shall not exceed 50 mm, 100 mm and 102 +/- 2 mm and with minimum reflective area of 13 Sqcm on each side and the slope to the base shall be 35 +/- 5 degree. The strength of detachment of the integrated cylindrical shanks, (of diameter not less than 19 +/- 2 mm and height not less than 30+/- 2 mm) from the body is to be a minimum value of 500 Kg. Fixing will be by drilling holes on the road for the shanks   to  go  inside,   without   nails   and  using   epoxy  resin  based  adhesive  as   per manufacturer's recommendation and complete as directed by the engineer.The contractor shall submit a two year warranty  for satisfactory field performance including stipulated retro-reflectance of the reflecting panel, to the Engineer.</t>
    </r>
  </si>
  <si>
    <t>MORTH 804</t>
  </si>
  <si>
    <t>Providing  and  Fixing  of  Median  Marker  that  are  made  of  tough,  high  impact  resistant, injection-molded,  thermoplastic  body  with  an  isosceles  trapezoidal  structure  of  length, width and height not less than 15cm, 10cm and 10cm respectively and thickness not less than  1.8mm,  the  body structure  shall be  rounded  at  its  acute  angle,  all  the  corners  and edges. The plastic used for molding the Median Marker shall have a minimum Notched Izod  Impact  strength  value  of  600  J/m at  room temperature,  when  tested  in  accordance with ASTM D256 and shall retain at least 70% of this value when subjected to accelerated weathering  for  1000hrs  as  per  ASTM  G155  or  UL746C.  The  logo  of  the  manufacturer shall be embossed on either side of the body in the injection molding process. The Median Marker shall have rectangular-shaped, fluorescent yellow color retro-reflective sheeting of size not less than 8.5cm*8.5cm and with fully reflective micro prismatic cube corners as its retro-reflective elements as per IRC 67 2010 and  ASTM D4956 type XI specifications reflectivity values. The retro-reflective sheeting shall be one or both sides of the Median Marker and shall be edge protected with no exposed edges which will prevent edge lifting, vandalism, sheeting damage, etc. The Median Marker shall be fixed by a combination of epoxy adhesive and grouting.</t>
  </si>
  <si>
    <t>Providing and fixing reflective fluorescent tape on old road sign board by following the procedure  recommanded  by  manufacturer.Tape  shall  be  consist  of  white  or  coloured sheeting  having smooth outer surface which has the property of retro-reflection over its entire  surface.It shall be weather  resistant and  show colour  fastness.It  shall be new  and unused  and  shall  show  no  evidance  of  cracking,scaling,pitting,blisting,edge  lifting  and shall have negligible shrinkage or expansion including cleaning / scraping and painting of existing board etc. complete. (Guidance on the recommanded application of each class of tape may be taken from IRC-67)</t>
  </si>
  <si>
    <t>6.12a</t>
  </si>
  <si>
    <t>MORTH 803.4</t>
  </si>
  <si>
    <t>Providing and Laying hot applied thermoplastic road marking strip on Bituminous Surface of specified shade/ colour of 2.5 mm thick including 1.5 Refractive index reflectorizing glass  beads  @  250gm/sqm  .Thickness  of  2.5  mm  is  exclusive  of  surface  applied  glass beads  as  per  IRC  35:2015.  Initial  Dry  reflectivity  RL  shall  be  &gt;  250  mcd/sqm/lux measured in the initial 7 days and sustained reflectivity RL of 100 mcd/sqm/ lux and Qd of 100 mcd/sqm/ lux measured at the end of 2 years by means of a Standard Reflectometer of Zehntner, Easylux, Delta make capable of measuring RL &amp; QD both according to IRC 35:2015 clause 15.5. The finished surface to be level, uniform, and free from streaks and holes complete as per  direction of Engineer-in-charge and in accordance with applicable specifications.(Refer  MORTH  Clause  803  for  technical  Specification  and   Performance for IRC 35:2015).</t>
  </si>
  <si>
    <t>6.12b</t>
  </si>
  <si>
    <r>
      <rPr>
        <sz val="11"/>
        <rFont val="Times New Roman"/>
        <family val="1"/>
      </rPr>
      <t>Providing  and  applying  Cold  plastic  paint  two  component  rolled  on  surfacing  material solvent free,high build two pack seamless,tough,skid resistant,material with has property of  attaining  2.00mm  thickness  in  single  coat  application  white(or  as  required  colour
)based on glass and colour retaining acralic cross linking resin system for coloured road surfacing including surface cleaning and cost of all material etc. complete. (All inclusive on bitumen or concrete surface) work shall carried out as per IRC 35-2015 clause 2.2)</t>
    </r>
  </si>
  <si>
    <t>Providing  and  fixing  Aluminum-backed  flexible  prismatic  (AFP)  sheeting  consisting Yellow   colored   flexible   prismatic   sheeting   with   non-metallic   prismatic   lens   as Retroreflective elements and conforming to ASTM D 4956-09 Type VI specification for rebound  able  Retroreflective  sheeting.  This  flexible  prismatic  sheeting  shall  be  of  1ft width  and  laminated  at  the  back  with  a  50  micron  Aluminum  (Al)  foil  with  pressure sensitive  adhesive  and  liner.  Further,  this  flexible  prismatic  sheeting  shall  have  screen printed  arrow/slant  line  pattern  in  black  color  in a  continuous  roll format. Neither  AFP sheeting nor the flexible prismatic sheeting used in it shall crack when slowly bent in 1 second  time  around  a  1/8th  inch  mandrel after  being  conditioned  for  24hrs  at  0?C  and tested  as  per  section  S2.2.2.  of  ASTM  D  4956-09.  The  AFP  sheeting,  with  the  liner removed,  shall  be  applied  with  a  neoprene  contact  adhesive  with  a  Polychloroprene  as base, viscosity of 200-450 cps and solid content of 20-30%. Once applied, the edges of the product  shall  be  sealed  all  around  with  a  two-part  epoxy based  structural  adhesive  and shall  be  extremely  resistant  to  peel-off.  A  test  report  from  institutes  like  ARAI/CRRI confirming to above mentioned flexibility and ASTM-D4956-09 Type-VI retro reflectivity performance  of  the  flexible  prismatic  sheeting  used  in  AFP  shall  be  submitted  by  the tenderer during prequalification and supply of material.</t>
  </si>
  <si>
    <t>Providing Vertical Delineator having wide angle cube corner micro prismatic non metallic reflective  sheeting  confirming  to  Type  XI of  ASTM  D4956  -09   with  White Color  and Red Color combination and having minimum of retro reflective exposed area of 125 Sq CM  on  top  slots  and  35  Sq  CM  on  bottom  slots  and  no  edges  shall  be  exposed  for tampering. This tubular delineator shall have a core and shell construction, shell shall be made of tough, high impact resistant, injection-molded, thermoplastic outer body and the inner  core  shall  consist  of  powder  coated  or  painted  Mild  steel  of  minimum  thickness 1.0mm.and core-shell structure shall be of height not less than 800 mm above the ground and width not less than 80 mm. The metallic core of the delineator shall extend 300mm beyond  the shell length from bottom for  installing in  the ground.  The extended  portion shall have slots to insert anchoring rods for enhancing the concrete grip. The logo of the manufacturer  shall  be  embossed  on  either  side  of  the  body  in  the  injection  molding process.  The  engineering  thermoplastic  used  for  making  the  delineator  body shall  have minimum initial mechanical properties of 600J/m tested in accordance with ASTM D256 and  shall  retain  at  least  70%  of  these  minimum  initial  values  when  subjected  to accelerated weathering for 1000hrs as per ASTM G155 or UL 746C  and as per IRC 79 specifications  and  including  fixing  the  unit  in  M20  Grade  Cement  Concrete  of  Size 30x30x40 cm including excavation for pit.</t>
  </si>
  <si>
    <r>
      <rPr>
        <sz val="11"/>
        <rFont val="Times New Roman"/>
        <family val="1"/>
      </rPr>
      <t>Road Delineators:  Supplying and installation of delineators (Roadway Indicators, Hazard markers, Object markers) 80 to 100 cm high above ground level, painted black and white in   15   cm   wide   strips,   fitted   with   80x100mm   rectangular   or   75mm  dia.   Circular reflectorised panels at the top, buried or pressed into the ground and confirming to I.R.C.
79 and the drawings</t>
    </r>
  </si>
  <si>
    <t>Providing and fixing steel pipe delineators of 10 cm. in diameter and total height of 130 cm, provided with 2 strips of white retroreflective sheeting of size 5 cm. x 32.5 cm. each fixed horizontally and 2 strips of red retroreflective sheeting each having size 5 cm. x 32.5 cm. fixed horizontally at top, with M.S. round cap having diameter 11 cm. and wire mesh at top (10 guage thick) and height of wire mesh 15 cm, M.S. hold fast 6 mm thick with 35 cm. in length, fixing the delineators in C.C. 1:4:8 concrete block of size 25 cm. x 25 cm. x 45 cm. with necessary excavation etc. complete.</t>
  </si>
  <si>
    <t>Supplying precast conventional reflective delinators on four sides for road signs</t>
  </si>
  <si>
    <r>
      <rPr>
        <sz val="11"/>
        <rFont val="Times New Roman"/>
        <family val="1"/>
      </rPr>
      <t>Fixing in position Cautionary/ Mandatory sign boards in ground with C C 1:4:8 block of
60cm x 60cm x 75cm size etc. complete as directed including all leads.</t>
    </r>
  </si>
  <si>
    <r>
      <rPr>
        <sz val="11"/>
        <rFont val="Times New Roman"/>
        <family val="1"/>
      </rPr>
      <t>Fixing in position Road Junction/ Informatory Sign Board in ground with C.C.1:4:8 block
of 60cm x 60cm x 75cm size including all leads complete.</t>
    </r>
  </si>
  <si>
    <t>Providing  and  fixing including  conveyance charges  upto a  distance of  200 Km.  precast concrete post delinators, post of size 130 x 90 x 1300 milimetre consisting of 4 B.T. wires with 14,000 Kg/cm2 C.C. M-20 grade 16mm dia. hold fast, including excavation and C.C. 1:4:8 foundation block, oil painting post with 3 coats and Red fluorescent tape 75 x 75mm and  white  floursent  border  20mm  wide  around  the  red  tape  on  all  the  four  sides  with necessary adhesive and lamination etc. complete.</t>
  </si>
  <si>
    <t>Supplying rolled steel channel post of 100 x 50 mm (ISMC) drilled on top and painted with one coat of epoxy primer and two coats of epoxy finish paint having black and white bands of 25 cm last part of the post 0.75 m below ground level is painted with three coats of red lead paint with 2 nos. of high tensile G.I. bolt and nut of size 10 mm Dia. of 25 mm long  including  transportation  etc.  complete.  Spec.  No.  : As  per  IRC-67,   and  M.O.R.T. and H. Circular No. RW/NH-33023/31/88 D.O.III  Dated 2-5-1994</t>
  </si>
  <si>
    <r>
      <rPr>
        <sz val="11"/>
        <rFont val="Times New Roman"/>
        <family val="2"/>
      </rPr>
      <t>Supplying  M.S.  Angle  iron  post  of  size  65  mm  x  65  mm  x  6  mm  drilled  on  top  and painted with one coat of epoxy primer and two coats of epoxy finish paint having black and white bands of 25 cm, last part of the post 0.75 m below ground level is painted with three coats of red lead paint with 2 nos. of high tensile G.I. bolt and nut of size 10 mm dia. of 25 mm long including transportation etc. complete. Spec. No.  : As  per IRC-67,   and
M.O.R.T. and H. Circular No. RW/NH-33023/31/88 D.O.III Dated 2-5-1994</t>
    </r>
  </si>
  <si>
    <r>
      <rPr>
        <sz val="11"/>
        <rFont val="Times New Roman"/>
        <family val="2"/>
      </rPr>
      <t xml:space="preserve">Supplying M.S. Angle iron post of size </t>
    </r>
    <r>
      <rPr>
        <u/>
        <sz val="11"/>
        <rFont val="Times New Roman"/>
        <family val="2"/>
      </rPr>
      <t>                         </t>
    </r>
    <r>
      <rPr>
        <sz val="11"/>
        <rFont val="Times New Roman"/>
        <family val="2"/>
      </rPr>
      <t>duly painted with one coat of red oxide paint and two coats of synthetic enamel finish paint having black and white bands of 25 cm width including 2 nos of G.I. bolt and nut of size 10 mm dia. And 20 mm long including transportation etc. complete. Spec. No. : As per IRC-67, and M.O.R.T. and H. Circular No. RW/NH-33023/31/88 D.O.III  Dated 2-5-1994</t>
    </r>
  </si>
  <si>
    <t>Post of size 65 mm x 65 mm x 6 mm</t>
  </si>
  <si>
    <t>Post of size 50 mm x 50 mm x 5 mm</t>
  </si>
  <si>
    <t>Supplying M.S. Angle iron frame for informatory sign boards of size 35 mm x 35 mm x 3 mm welded and making neccesary holes required for fixing and painted with one coat of epoxy primer and two coats epoxy finish paint etc. complete.Spec. No. : As per IRC-67, and M.O.R.T. and H. Circular No. RW/NH-33023/31/88 D.O.III Dated 2-5-1994</t>
  </si>
  <si>
    <r>
      <rPr>
        <sz val="11"/>
        <rFont val="Times New Roman"/>
        <family val="2"/>
      </rPr>
      <t xml:space="preserve">Providing and constructing Information  Pillar of Brick Masonry in C.M. 1:6 of size 2.0 m x  0.23m  x  1.0  m  with  base  pedestal  of  size  2.3  m  x  0.35  m  x  0.45  m  (0.3  m  above ground), excavtion in ground upto 0.4 m, laying 0.15 m thick 80 mm soling,0.10 m thick
c.c. 1:3:6, finishing the pedestal and pillar in cement plaster 12 mm thick in C.M. 1:5 and finishing the pillar with neat cement finish ,applying flat oil paint of approved colour in two coats, including curing, finishing etc complete.(In Strata/Soil  </t>
    </r>
    <r>
      <rPr>
        <u/>
        <sz val="11"/>
        <rFont val="Times New Roman"/>
        <family val="2"/>
      </rPr>
      <t>                    </t>
    </r>
    <r>
      <rPr>
        <sz val="11"/>
        <rFont val="Times New Roman"/>
        <family val="2"/>
      </rPr>
      <t>) Spec. No.
:As directed by Engineer-in-charge.</t>
    </r>
  </si>
  <si>
    <t>In Strata other than B.C. Soil</t>
  </si>
  <si>
    <t>In B.C. Soil with 12 mm thick R.C.C. raft in M-15, including reinforcement e.</t>
  </si>
  <si>
    <r>
      <rPr>
        <sz val="11"/>
        <rFont val="Times New Roman"/>
        <family val="2"/>
      </rPr>
      <t xml:space="preserve">Providing and fixing Mandatory/Regulatory sign boards in circular shape of </t>
    </r>
    <r>
      <rPr>
        <u/>
        <sz val="11"/>
        <rFont val="Times New Roman"/>
        <family val="2"/>
      </rPr>
      <t>             </t>
    </r>
    <r>
      <rPr>
        <sz val="11"/>
        <rFont val="Times New Roman"/>
        <family val="2"/>
      </rPr>
      <t xml:space="preserve"> mm dia  made out of </t>
    </r>
    <r>
      <rPr>
        <u/>
        <sz val="11"/>
        <rFont val="Times New Roman"/>
        <family val="2"/>
      </rPr>
      <t>        </t>
    </r>
    <r>
      <rPr>
        <sz val="11"/>
        <rFont val="Times New Roman"/>
        <family val="2"/>
      </rPr>
      <t>mm aluminum sheet bonded with white retro reflective sheeting of Class  B  (  Type  IV  High  intensity micro-prismatic  grade  sheeting-HIP)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  B  (  Type  IV  High  intensity  micro-prismatic  grade  sheeting-HIP)  shall have 7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t>
    </r>
  </si>
  <si>
    <t>600 mm dia  made out of 1.5mm aluminum sheet</t>
  </si>
  <si>
    <t>600 mm dia  made out of 3mm aluminum composite material</t>
  </si>
  <si>
    <t>750 mm dia  made out of 2mm aluminum sheet</t>
  </si>
  <si>
    <t>750 mm dia  made out of 4mm aluminum composite material</t>
  </si>
  <si>
    <t>900 mm dia  made out of 2mm aluminum sheet</t>
  </si>
  <si>
    <t>900 mm dia  made out of 4mm aluminum composite material</t>
  </si>
  <si>
    <t>1200 mm dia  made out of 2mm aluminum sheet</t>
  </si>
  <si>
    <t>h</t>
  </si>
  <si>
    <t>1200 mm dia  made out of 4mm aluminum composite material</t>
  </si>
  <si>
    <r>
      <rPr>
        <sz val="11"/>
        <rFont val="Times New Roman"/>
        <family val="2"/>
      </rPr>
      <t xml:space="preserve">Providing and fixing Mandatory/Regulatory sign boards in circular shape of </t>
    </r>
    <r>
      <rPr>
        <u/>
        <sz val="11"/>
        <rFont val="Times New Roman"/>
        <family val="2"/>
      </rPr>
      <t>      </t>
    </r>
    <r>
      <rPr>
        <sz val="11"/>
        <rFont val="Times New Roman"/>
        <family val="2"/>
      </rPr>
      <t xml:space="preserve">mm dia made  out  of  </t>
    </r>
    <r>
      <rPr>
        <u/>
        <sz val="11"/>
        <rFont val="Times New Roman"/>
        <family val="2"/>
      </rPr>
      <t>        </t>
    </r>
    <r>
      <rPr>
        <sz val="11"/>
        <rFont val="Times New Roman"/>
        <family val="2"/>
      </rPr>
      <t>mm  aluminum  sheet  bonded  with  white  retro  reflective  sheeting  of Class  C  (  Type  XI  Micro  prismatic  grade  sheeting)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  C  ( Type XI Micro prismatic grade sheeting) shall have 10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t>
    </r>
  </si>
  <si>
    <t>600 mm dia  made out of  3mm aluminum  composite material</t>
  </si>
  <si>
    <t>750 mm dia  made out of  4mm aluminum composite material</t>
  </si>
  <si>
    <t>900 mm dia  made out of  4mm aluminum composite material</t>
  </si>
  <si>
    <t>1200 mm dia  made out of  4mm aluminum composite material</t>
  </si>
  <si>
    <r>
      <rPr>
        <sz val="11"/>
        <rFont val="Times New Roman"/>
        <family val="2"/>
      </rPr>
      <t xml:space="preserve">Providing  and  fixing  Cautionary/Warning  sign  boards  in  Equilateral  Triangle  size  of
</t>
    </r>
    <r>
      <rPr>
        <u/>
        <sz val="11"/>
        <rFont val="Times New Roman"/>
        <family val="2"/>
      </rPr>
      <t>        </t>
    </r>
    <r>
      <rPr>
        <sz val="11"/>
        <rFont val="Times New Roman"/>
        <family val="2"/>
      </rPr>
      <t xml:space="preserve">mm  made out of </t>
    </r>
    <r>
      <rPr>
        <u/>
        <sz val="11"/>
        <rFont val="Times New Roman"/>
        <family val="2"/>
      </rPr>
      <t>      </t>
    </r>
    <r>
      <rPr>
        <sz val="11"/>
        <rFont val="Times New Roman"/>
        <family val="2"/>
      </rPr>
      <t>mm aluminum sheet bonded with white retro reflective sheeting of  Class B ( Type IV High intensity micro-prismatic grade sheeting-HIP)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  B  (  Type  IV  High  intensity  micro-prismatic  grade  sheeting-HIP)  shall have 7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t>
    </r>
  </si>
  <si>
    <t>600 mm  made out of 1.5mm aluminum sheet</t>
  </si>
  <si>
    <t>600 mm  made out of 3mm aluminum composite material</t>
  </si>
  <si>
    <t>750 mm  made out of 2mm aluminum sheet</t>
  </si>
  <si>
    <t>750 mm  made out of 4mm aluminum composite material</t>
  </si>
  <si>
    <t>900 mm out of 2mm aluminum sheet</t>
  </si>
  <si>
    <t>900 mm  made out of 4mm aluminum composite material</t>
  </si>
  <si>
    <t>1200 mm  made out of 2mm aluminum sheet</t>
  </si>
  <si>
    <t>1200 mm  made out of 4mm aluminum composite material</t>
  </si>
  <si>
    <r>
      <rPr>
        <sz val="11"/>
        <rFont val="Times New Roman"/>
        <family val="2"/>
      </rPr>
      <t xml:space="preserve">Providing  and  fixing  Cautionary/Warning  sign  boards  in  Equilateral  Triangle  size  of
</t>
    </r>
    <r>
      <rPr>
        <u/>
        <sz val="11"/>
        <rFont val="Times New Roman"/>
        <family val="2"/>
      </rPr>
      <t>           </t>
    </r>
    <r>
      <rPr>
        <sz val="11"/>
        <rFont val="Times New Roman"/>
        <family val="2"/>
      </rPr>
      <t xml:space="preserve"> mm   made  out  of  </t>
    </r>
    <r>
      <rPr>
        <u/>
        <sz val="11"/>
        <rFont val="Times New Roman"/>
        <family val="2"/>
      </rPr>
      <t>        </t>
    </r>
    <r>
      <rPr>
        <sz val="11"/>
        <rFont val="Times New Roman"/>
        <family val="2"/>
      </rPr>
      <t>mm  aluminum  sheet  bonded  with  white  retro  reflective sheeting  of   Class  C  (  Type  XI  Micro  prismatic  grade  sheeting)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ClassC ( Type XI Micro prismatic grade sheeting) shall have 10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t>
    </r>
  </si>
  <si>
    <t>600 mm  made out of  3mm aluminum composite material</t>
  </si>
  <si>
    <t>750 mm  made out of  4mm aluminum composite material</t>
  </si>
  <si>
    <t>900 mm  made out of 2mm aluminum sheet</t>
  </si>
  <si>
    <t>900 mm  made out of  4mm aluminum composite material</t>
  </si>
  <si>
    <t>1200 mm  made out of  4mm aluminum composite material</t>
  </si>
  <si>
    <r>
      <rPr>
        <sz val="11"/>
        <rFont val="Times New Roman"/>
        <family val="2"/>
      </rPr>
      <t xml:space="preserve">Providing  and  fixing  Cautionary/Warning  sign  boards  in  Octagone  size  of  </t>
    </r>
    <r>
      <rPr>
        <u/>
        <sz val="11"/>
        <rFont val="Times New Roman"/>
        <family val="2"/>
      </rPr>
      <t>          </t>
    </r>
    <r>
      <rPr>
        <sz val="11"/>
        <rFont val="Times New Roman"/>
        <family val="2"/>
      </rPr>
      <t xml:space="preserve">mm made  out  of  </t>
    </r>
    <r>
      <rPr>
        <u/>
        <sz val="11"/>
        <rFont val="Times New Roman"/>
        <family val="2"/>
      </rPr>
      <t>        </t>
    </r>
    <r>
      <rPr>
        <sz val="11"/>
        <rFont val="Times New Roman"/>
        <family val="2"/>
      </rPr>
      <t>mm  aluminum  sheet  bonded  with  white  retro  reflective  sheeting  of Class  B  (  Type  IV  High  intensity micro-prismatic  grade  sheeting-HIP)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  B  (  Type  IV  High  intensity  micro-prismatic  grade  sheeting-HIP)  shall have 7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t>
    </r>
  </si>
  <si>
    <r>
      <rPr>
        <sz val="11"/>
        <rFont val="Times New Roman"/>
        <family val="2"/>
      </rPr>
      <t>One Running
Metre</t>
    </r>
  </si>
  <si>
    <t>6.27a</t>
  </si>
  <si>
    <t>6.29a</t>
  </si>
  <si>
    <t>6.29b</t>
  </si>
  <si>
    <t>6.30a</t>
  </si>
  <si>
    <t>6.30b</t>
  </si>
  <si>
    <r>
      <rPr>
        <sz val="11"/>
        <rFont val="Times New Roman"/>
        <family val="2"/>
      </rPr>
      <t xml:space="preserve">Providing  and fixing Cautionary/Warning  sign boards in Octagone size of </t>
    </r>
    <r>
      <rPr>
        <u/>
        <sz val="11"/>
        <rFont val="Times New Roman"/>
        <family val="2"/>
      </rPr>
      <t>             </t>
    </r>
    <r>
      <rPr>
        <sz val="11"/>
        <rFont val="Times New Roman"/>
        <family val="2"/>
      </rPr>
      <t xml:space="preserve"> mm made  out  of  </t>
    </r>
    <r>
      <rPr>
        <u/>
        <sz val="11"/>
        <rFont val="Times New Roman"/>
        <family val="2"/>
      </rPr>
      <t>        </t>
    </r>
    <r>
      <rPr>
        <sz val="11"/>
        <rFont val="Times New Roman"/>
        <family val="2"/>
      </rPr>
      <t>mm  aluminum  sheet  bonded  with  white  retro  reflective  sheeting  of Class  C  (  Type  XI  Micro  prismatic  grade  sheeting)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  C  ( Type XI Micro prismatic grade sheeting) shall have 10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t>
    </r>
  </si>
  <si>
    <r>
      <rPr>
        <sz val="11"/>
        <rFont val="Times New Roman"/>
        <family val="2"/>
      </rPr>
      <t xml:space="preserve">Providing and fixing of retro- reflectorised informatory sign board rectangular/Square in shape having area less than 0.9 One Square Meterr made out of  </t>
    </r>
    <r>
      <rPr>
        <u/>
        <sz val="11"/>
        <rFont val="Times New Roman"/>
        <family val="2"/>
      </rPr>
      <t>        </t>
    </r>
    <r>
      <rPr>
        <sz val="11"/>
        <rFont val="Times New Roman"/>
        <family val="2"/>
      </rPr>
      <t>mm aluminum sheet bonded with white retro reflective sheeting of  Class       ( Type IV High intensity micro- prismatic   grade   sheeting-HIP)   having   pressure   sensitive/heat   activated   adhesive retoreflective specified back ground, border and back side  retoreflctive symbols,  letters, numerals, arrow as per IRC:67-2012 Table No 8.3,  supported  with back support frame 25mm x 25mm x 3mm, duly painted on back side with two coats of grey stove enamel paint and supported on one no. mild steel angle iron post 75 mm x 75 mm x 6 mm, 3.5 mt long firmly fixed to the ground by means of properly designed foundation with M25 grade cement  concrete  45  cm  x  45  cm  x  60  cm,  60  cm  below  ground  level  as  per  approved drawing The angle iron post  shall be duly painted with one coat of epoxy primer and two coats  of  epoxy  finish  paints  having  alternate  black  and  white  bands  of  25  cm  width including  GI  fixures  and  transportation  etc.complete.The  nut  bolts  of  board  with  angle iron post/supporting structure after fixing at site has to be electrically welded. Class B ( Type IV High intensity micro-prismatic grade sheeting-HIP)  sheeting shall have 7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t>
    </r>
  </si>
  <si>
    <r>
      <rPr>
        <sz val="11"/>
        <rFont val="Times New Roman"/>
        <family val="2"/>
      </rPr>
      <t>One Square
Meter</t>
    </r>
  </si>
  <si>
    <t>6.33a</t>
  </si>
  <si>
    <t>2mm aluminum sheet Class B</t>
  </si>
  <si>
    <t>6.33b</t>
  </si>
  <si>
    <t>4mm aluminum composite material  Class B</t>
  </si>
  <si>
    <t>2mm aluminum sheet of  Class C</t>
  </si>
  <si>
    <t>4mm aluminum composite material Class C</t>
  </si>
  <si>
    <r>
      <rPr>
        <sz val="11"/>
        <rFont val="Times New Roman"/>
        <family val="2"/>
      </rPr>
      <t xml:space="preserve">Providing and fixing of retro- reflectorised  informatory sign board rectangular/Square in shape  having  area  greater  than  0.9  One  Square  Meterr  made  out  of   </t>
    </r>
    <r>
      <rPr>
        <u/>
        <sz val="11"/>
        <rFont val="Times New Roman"/>
        <family val="2"/>
      </rPr>
      <t>      </t>
    </r>
    <r>
      <rPr>
        <sz val="11"/>
        <rFont val="Times New Roman"/>
        <family val="2"/>
      </rPr>
      <t>mm  aluminum sheet  bonded with white retro reflective sheeting of  Class       ( Type IV High intensity micro-prismatic  grade  sheeting-HIP)  having  pressure  sensitive/heat  activated  adhesive retoreflective specified back ground, border and back side  retoreflctive symbols,  letters, numerals, arrow as per IRC:67-2012 Table No 8.3,  supported  with back support frame 25mm x 25mm x 3mm, duly painted on back side with two coats of grey stove enamel paint and supported on two no. mild steel angle iron post 75 mm x 75 mm x 6 mm, 3.5 mt long firmly fixed to the ground by means of properly designed foundation with M25 grade cement  concrete  45  cm  x  45  cm  x  60  cm,  60  cm  below  ground  level  as  per  approved drawing The angle iron post  shall be duly painted with one coat of epoxy primer and two coats  of  epoxy  finish  paints  having  alternate  black  and  white  bands  of  25  cm  width including  GI  fixures  and  transportation  etc.complete.The  nut  bolts  of  board  with  angle iron post/supporting structure after fixing at site has to be electrically welded. Class B ( Type IV High intensity micro-prismatic grade sheeting-HIP)  sheeting shall have 7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t>
    </r>
  </si>
  <si>
    <t>6.34a</t>
  </si>
  <si>
    <t>6.34b</t>
  </si>
  <si>
    <t>4mm aluminum composite material  of  Class B</t>
  </si>
  <si>
    <t>6.34c</t>
  </si>
  <si>
    <t>2mm aluminum sheet bonded  of  Class C</t>
  </si>
  <si>
    <t>6.34d</t>
  </si>
  <si>
    <t>4mm aluminum composite material  of  Class C</t>
  </si>
  <si>
    <r>
      <rPr>
        <sz val="11"/>
        <rFont val="Times New Roman"/>
        <family val="2"/>
      </rPr>
      <t xml:space="preserve">Providing and erecting Overhead signs made out of  </t>
    </r>
    <r>
      <rPr>
        <u/>
        <sz val="11"/>
        <rFont val="Times New Roman"/>
        <family val="2"/>
      </rPr>
      <t>      </t>
    </r>
    <r>
      <rPr>
        <sz val="11"/>
        <rFont val="Times New Roman"/>
        <family val="2"/>
      </rPr>
      <t>mm aluminum sheet bonded with white retro reflective sheeting of Class     ( Type IV High intensity micro-prismatic grade sheeting-HIP)  having  pressure  sensitive/heat  activated  adhesive  retoreflective  specified back ground, border and back side retoreflctive symbols, letters, numerals, arrow as per IRC:67-2012,  with  designed  back  support  frame  of  mild  steel  angle  with  vertical  and lateral clearance given in clause 801 and 802, duly painted on back side with two coats of grey stove enamel paint and installed as per clause 802.6 over a designed support system of structural steel work trestles and trusses of sections and type as per structural design requirements  and approved plans including painting with one coat of  epoxy primer  and two  coats  of  epoxy finish  paint.The  nut  bolts  of  board  with  angle  iron  post/supporting structure after fixing at site has to be electrically welded. Class B ( Type IV High intensity micro-prismatic grade sheeting-HIP)  sheeting shall have 7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contractor/supplier.This item does not include the cost of structural steel work required for support system.</t>
    </r>
  </si>
  <si>
    <t>2mm aluminum sheet  of Class B</t>
  </si>
  <si>
    <t>4mm aluminum composite material  of Class B</t>
  </si>
  <si>
    <t>2mm aluminum sheet  of  Class C</t>
  </si>
  <si>
    <t>4mm aluminum composite material   Class C</t>
  </si>
  <si>
    <t>Providing and fixing board displaying information, such as 'Name of work, Tender cost, Name of Contractor, Work completion and liability period etc', having rectangular shape of 1.20m x 0.90m size made out 18 gauge (1.25mm) thick mild steel sheet painted with one coat of Zinc chromate stoving primer and two coats of enamel paint on front side and grey stove enamel on back side and border / messages / symbols etc. with approved colour shade  paint  complete, on  M.S.angle of  size 35  x 35  x 3  mm frame  with properly cross braced M.S. angles of size  35mmx35mmx3mm duly painted including  Two M.S.  angle iron posts of size 65 mm x 65 mm x 6 mm, 3.65 m long painted with alternate black and white  bands  of  25  cm  width  including  all  fixtures  etc.and  fixing  the  boards  in  1:4:8 concrete  block  of  size  60  cm  x  60  cm  x  75  cm  including,  excavation,  refilling, transportation, and labour etc complete. Spec. No. As directed by Engineer in Charge</t>
  </si>
  <si>
    <t>Providing and fixing R.C.C. precast cement  concrete M-15 pedestal OF SIZE 0.75 X 0.75 X 0.20 m including cost of steel reinforcement for Km. stone as per detailed drawing and specification including transportation of pedestal Block, all lifts etc. complete.</t>
  </si>
  <si>
    <t>As directed by Engineer-in-charge.</t>
  </si>
  <si>
    <t>IRC-67 2012</t>
  </si>
  <si>
    <t>Providing  and  fixing  cautionary  /  warning  sign  board  of  size  60  cm.  having  shape  of equilateral triangle with apex point upwards. prepared on 16 gauge M.S. sheet including painting with one coat of zinc cromate stoving primer and two coats each of white back ground,  red  border  and  backside  gray  stove  enamelled,  bonded  with  cut  out  of  Retro reflective  sheet  Engineering  grade,  symbol  /  letters  /  numerals  /  border  /  arrow,  coated with  non  pealable  crystal  clear  protective  transparent  coat  retaining  100%  reflection including one One Number of M.S. Angle iron post of size 50 x 50 x 5 mm of 3.65 m. long inflated at bottom drilled on top in one piece without  joint painted with white and black bands of 30 cm. fixing board and post with 2 Nos. high strength G.I. bolts and nuts of size 10 mm dia. and 20 mm long including all taxes, conveying, fixing in ground with cement  concrete  1:4:8  block  of  60  cm  x  60  cm  x  75  cm  size  etc.complete.  60  cm. equilateral triangle M.S. sheet with Engineering grade,</t>
  </si>
  <si>
    <t>Providing and fixing Mandatory / Regulatory sign board of circular shape of size 60 cm. dia.  prepared  on  16  gauge  M.S.  sheet  including  painting  with  zinc  chromate  stoving primer  and  two  coats  each  of  white  back  ground,red  border  and  backside  gray  stove enamelled,  bonded  with  cut  out  of  Retro  reflective  sheet  Engineering  grade,  symbol  / letters  /  numerals  /  border,  coated  with  non  pealable crystal  clear protective  transparent coat retaining 100% relection including one One Number of M.S. Angle iron post of size 50 x 50 x 5 mm of 3.45 m. long inflated at bottom drilled on top in one piece without joint painted  with  white  and  black  bands  of  30  cm.  fixing  board  and  post  with  2  Nos.  high strength  G.I.  bolts  and  nuts  of  size  10  mm  dia.  and  20  mm  long  including  all  taxes, conveying, fixing in ground with cement concrete 1:4:8 block of 60 cm x 60 cm x 75 cm size etc. complete. circular shape of size 60 cm. dia. M.S. sheet with Retro reflective sheet Engineering grade</t>
  </si>
  <si>
    <r>
      <rPr>
        <sz val="11"/>
        <rFont val="Times New Roman"/>
        <family val="2"/>
      </rPr>
      <t>Providing  and  fixing  sign  boards  of  size  90cm  having  shape  of  an  equilateral  triangle made  out  of  14  gauge  sheet  with  retro  reflective  sheeting  of  Engineering  Grade  as  per
M.O.T.  specification    No.  801-3(1993)  white  reflective  back  ground,  lettering  symbol bordering of black non reflective paint including M. S. angle iron back frame of size 35 mm X 35 mm X 5 mm &amp;  M.S.angle one post of 50mm x 50mm x 5mm size 3.45 metre long duly painted with white and black bands including fixing  M.S. angle of the boards with  galvanised  nuts  and  bolts  and  washers.  The  Board  shall  be  as  per  IRC-67-1977 including conveying fixing in ground with C.C. 1:4:8 block of size 0.60 x 0.60 x 0.75 m, with 7 year guarantee for the sheeting etc. complete. Mild Steel Board with Engineering Grade</t>
    </r>
  </si>
  <si>
    <t>Providing  and  fixing  road  junction/information  sign  boards  of  size  1.80  x  0.90  Meter Prepared 16 guageM.S.sheet on frame of M.S.angle  of size 35 x 35 x 5 mm with cross bracing  of  size  35x35x5  mm  including  painting  with  one  coat  of  zinc  cromate  stoving primer  and  two  coats  each  of  green/white  back  ground  and  back  side  gray  stove enamelled,  bonded  with  red  retro  reflective  sheet  Engineering  grade,  border  /  letters  / numeral  /arrows,  coated  with  non  pealable  crystal  clear  protective  transperent  coat retaining 100% reflection including two angle iron post of size 65 x 65 x 6 mm of 3.65 m. long inflated at bottom ,drilled on top and painted in white and black bands of 30 cm. with 4 Nos. high strength G.I. bolts and nuts of size 10 mm dia. and 20 mm long. Sheet and angle iron post in one piece without joints including all taxes, conveying, fixing in ground with cement concrete 1:4:8 block of 60 cm x 60 cm x 75 cm size as directed by Engineer- in- charge etc. complete.   Mild Steel Board with Engineering Grade.</t>
  </si>
  <si>
    <r>
      <rPr>
        <sz val="11"/>
        <rFont val="Times New Roman"/>
        <family val="2"/>
      </rPr>
      <t>Providing  and  fixing  road  junction/  information  sign  boards  of  size  1.80  x  0.90  Meter Prepared 16 guage Alluminium sheet on frame of  size 35 x 35 x 5 mm with cross bracing of  size  35x35x5  mm  including  bonded  with  IRC  Specified  colour  of   retro  reflective sheeting  of  Type  IV  High  Intensity  Micro-Prismatic  Grade  Sheeting  (HIP)  having pressure sensitive / heat activated adhesive, IRC Specified colour retro reflective cutout border &amp; messages having pressure sensitive adhesive having border &amp; messages in IRC Specified colour background including two angle iron post of size 65 x 65 x 6 mm of 3.65
m. long inflated at bottom drilled on top and painted in whiteand black bands of 30 cm. with 4 Nos. high strength G.I. bolts and nuts of size 10 mm dia. and 20 mm long sheet and angle iron post in one piece without joints including all taxes, conveying, fixing in ground with cement concrete 1:4:8 block of 60 cm x 60 cm x 75 cm size as directed by Engineer- in-  charge  etc.  complete.   Alluminium  sheet  Type  IV  High  Intensity  Micro-Prismatic Grade Sheeting.</t>
    </r>
  </si>
  <si>
    <t>Providing and fixing informatory sign boards in rectangular shape of size 1.80m x 0.90m made out of 3mm aluminum composite panel bonded with IRC Specified colour of  retro reflective  sheeting  of  Type  IV  High  Intensity  Micro-Prismatic  Grade  Sheeting  (HIP) having pressure sensitive / heat activated adhesive, IRC Specified colour retro reflective cutout border &amp; messages having pressure sensitive adhesive having border &amp; messages in IRC Specified colour background including M. S. angle iron frame of size 35 mm X 35 mm X 5 mm &amp; two M.S. angle iron post of size  65 mm X 65 mm X 6 mm, 3.65 m long, duly painted   with flat oil paint having alternate black and white bands of 25 cm width including G.I. fixtures etc; fixing the boards in M-20  concrete block of size 60cm X 60cm X 75cm including transportation etc; complete.  Aluminum composite panel with Type IV High Intensity Micro-Prismatic Grade Sheeting.</t>
  </si>
  <si>
    <r>
      <rPr>
        <sz val="11"/>
        <rFont val="Times New Roman"/>
        <family val="2"/>
      </rPr>
      <t>Providing  and  fixing  road  junction/  information  sign  boards  of  size  1.80  x  1.20  Meter Prepared  16  guage  M.S.sheet  on  frame  of size  40x40x5 mm with cross  bracing of  size 35x35 x 5 mm including painting with one coat of zinc cromate stoving primer and two coats each of green/white back ground and back side gray stove enamelled, bonded with red retro reflective sheet Engineering grade, border / letters / numeral /arrows, coated with non   pealable   crystal   clear   protective   transperent   coat   retaining   100%   reflection includingtwo angle iron post of size 65 x 65 x 6 mm of 3.65 m. long inflated at bottom drilled on top and painted in whiteand black bands of 30 cm. with 4 Nos. high strength
G.I. bolts and nuts of size 10 mm dia. and 20 mm long sheet and angle iron post in one piece without joints including all taxes, conveying, fixing in ground with cement concrete 1:4:8  block  of  60  cm  x  60  cm  x  75  cm  size  as  directed  by  Engineer-in-  charge  etc. complete.  Mild Steel Board with Engineering Grade.</t>
    </r>
  </si>
  <si>
    <t>Providing  and  fixing  road  junction/  information  sign  boards  of  size  1.80  x  1.20  Meter Prepared   16   guage   Alluminium   sheet   on   frame   of   with   angle   iron   frame   of size40x40x5mm with cross bracing of size 35x35x5 mm including Type IV High Intensity Micro-Prismatic Grade Sheeting (HIP) having pressure sensitive / heat activated adhesive, IRC Specified colour retro reflective cutout border &amp; messages having pressure sensitive adhesive having border &amp; messages in IRC Specified colour back ground  including two angle iron post of size 65 x 65 x 6 mm of 3.65 m. long inflated at bottom drilled on top and painted in whiteand black bands of 30 cm. with 4 Nos. high strength G.I. bolts and nuts of size 10 mm dia. and 20 mm long sheet and angle iron post in one piece without joints including all taxes, conveying, fixing in ground with cement concrete 1:4:8 block of 60 cm x 60 cm x 75 cm size as directed by Engineer-in- charge etc. complete. Alluminium sheet Type IV High Intensity Micro-Prismatic Grade Sheeting.</t>
  </si>
  <si>
    <r>
      <rPr>
        <sz val="11"/>
        <rFont val="Times New Roman"/>
        <family val="2"/>
      </rPr>
      <t>Providing and fixing informatory sign boards in square or rectangular shape of size 1.80m x1.20m made out of 3mm Aluminum composite panel bonded with IRC Specified colour of   retro  reflective  sheeting  of  Type  IV  High  Intensity Micro-Prismatic  Grade  Sheeting (HIP)  having  pressure  sensitive  /  heat  activated  adhesive,  IRC  Specified  colour  retro reflective cutout border &amp; messages having pressure sensitive adhesive having border &amp; messages in IRC Specified colour background including M. S. angle iron frame of size 35 mm X 35 mm X 5 mm &amp; two M.S. angle iron post of size  65 mm X 65 mm X 6 mm, 3.65 m long,  duly painted  with flat oil paint having alternate black and white bands of 25 cm width including G.I. fixtures etc; fixing the boards in M-20  concrete block of size
60cm  X  60cm  X  75cm  including  transportation  etc;  complete.    Aluminum  composite panel with Type IV High Intensity Micro-Prismatic Grade Sheeting.</t>
    </r>
  </si>
  <si>
    <t>Providing  and  fixing  Road  junction  /  Information  sign  board  of  size  0.90  m  x  0.60  m. prepared on  16 gauge  M.S. sheet  with angle  iron frame  of size  35x35x5 mm including painting with one coat of zinc cromate stoving primer and two coats each of green/ white back ground and back side gray stove enamelled, bonded with red retro reflective sheet Engineering  grade,  border  /  letters  /  numeral /  arrows,  coated with  non pealable  crystal clear  protective  coat  retaining  100%  reflection  including  two  angle  iron  post  of  size 50x50x5 mm of 3.65 m. long inflated at bottom drilled on top and painted in white and black bands of 30 cm. with 4 Nos. high strength G.I. bolts and nuts of size 10 mm dia. and 20  mm  long  sheet  and  angle  iron  post  in  one  piece  without  joints  including  all  taxes, conveying, fixing in ground with cement concrete 1:4:8 block of 60 cm x 60 cm x 75 cm size as directed by Engineer-in-charge etc. complete. Mild Steel Board with Engineering Grade.</t>
  </si>
  <si>
    <t>IRC-67 2022</t>
  </si>
  <si>
    <r>
      <rPr>
        <sz val="11"/>
        <rFont val="Times New Roman"/>
        <family val="2"/>
      </rPr>
      <t>Providing and fixing informatory sign boards  of size 0.90 x 0.60 m made out of 14 guage Aluminum sheet bonded with IRC Specified colour of  retro reflective sheeting of Type IV High Intensity Micro-Prismatic Grade Sheeting (HIP) having pressure sensitive / heat activated adhesive, IRC Specified colour retro reflective cutout border &amp; messages having pressure   sensitive   adhesive   having   border   &amp;   messages   in   IRC   Specified   colour background including on frame of with angle iron frame of size 35 x 35 x 5 mm and two
M.S. angle iron post of size  65 mm X 65 mm X 6 mm, 3.65 m long,  duly painted  with flat oil paint having alternate black and white bands of 25 cm width including G.I. fixtures etc;  fixing  the  boards  in  1:4:8  concrete  block  of  size  60cm  X  60cm  X  75cm  including transportation etc; complete.  Alluminium sheet Type IV High Intensity Micro-Prismatic Grade Sheeting</t>
    </r>
  </si>
  <si>
    <t>Providing  and fixing  informatory sign  boards shape  of size  0.90 x  0.60 m made out  of 3mm  Aluminum composite  panel bonded  with  IRC  Specified  colour  of  retro  reflective sheeting  of  Type  IV  High  Intensity  Micro-Prismatic  Grade  Sheeting  (HIP)  having pressure sensitive / heat activated adhesive, IRC Specified colour retro reflective cutout border &amp; messages having pressure sensitive adhesive having border &amp; messages in IRC Specified colour background including M. S. angle iron frame of size 35 mm X 35 mm X 5  mm  &amp;   M.S.  angle  iron  post  of  size   65  mm X  65  mm  X  6  mm,  3.65  m long,   duly painted   with  flat  oil  paint  having  alternate  black  and  white  bands  of  25  cm  width including G.I. fixtures etc; fixing the boards in M-20  concrete block of size 60cm X 60cm X 75cm including transportation etc; complete. Aluminum composite panel with Type IV High Intensity Micro-Prismatic Grade Sheeting.  Spec.No. As per IRC-67, 2015</t>
  </si>
  <si>
    <t>Providing and fixing sign boards of size  size 60 x 80 cm made out of 14 gauge M.S.Sheet with retro reflective sheeting of Engineering Grade as per M.O.T. specification No. 801- 3(1993) white reflective back ground, lettering symbol bordering of black non reflective paint including 3.65 metre long M.S.angle one post of 65 x 65 x 6 mm size duly painted with white and black bands including fixing the boards of M.S. angle with galvanised nuts and bolts and washer. The Board shall be as per IRC-67-1977 including conveying fixing in ground with C.C. 1:4:8 block of size 0.60 x 0.60 x 0.75 m, with 7 year guarantee for the sheeting etc. complete.  Mild Steel Board with Engineering Grade.</t>
  </si>
  <si>
    <t>Providing  and  fixing  informatory  sign  boards   of  size  60  cm  x  80  cm  made  out  of  14 guage Aluminum sheet bonded with IRC Specified colour of  retro reflective sheeting of Type IV High Intensity Micro-Prismatic Grade Sheeting (HIP) having pressure sensitive / heat activated  adhesive, IRC Specified colour retro reflective cutout border &amp; messages having  pressure  sensitive  adhesive  having  border  &amp;  messages  in  IRC  Specified  colour background including   M.S. angle iron post of size  65 mm X 65 mm X 6 mm, 3.65 m long,   duly painted   with flat oil paint having alternate black and white bands of 25 cm width including G.I. fixtures etc; fixing the boards in 1:4:8 concrete block of size 60cm X 60cm  X  75cm  including  transportation  etc;  complete.  Alluminium  sheet  Type  IV  High Intensity Micro-Prismatic Grade Sheeting</t>
  </si>
  <si>
    <r>
      <rPr>
        <sz val="11"/>
        <rFont val="Times New Roman"/>
        <family val="2"/>
      </rPr>
      <t>Providing and fixing informatory sign boards  of size 60 cm x 80 cm made out of 3mm Aluminum composite panel bonded with IRC Specified colour of  retro reflective sheeting of  Type  IV  High  Intensity  Micro-Prismatic  Grade  Sheeting  (HIP)  having  pressure sensitive / heat activated adhesive, IRC Specified colour retro reflective cutout border &amp; messages having pressure sensitive adhesive having border &amp; messages in IRC Specified colour background including M. S. angle iron frame of size 35 mm X 35 mm X 5 mm &amp;
M.S. angle iron post of size  65 mm X 65 mm X 6 mm, 3.65 m long,  duly painted  with flat oil paint having alternate black and white bands of 25 cm width including G.I. fixtures etc; fixing the boards in M-20  concrete block of size 60cm X 60cm X 75cm including transportation  etc;  complete.  Aluminum  composite  panel  with  Type  IV  High  Intensity Micro-Prismatic Grade Sheeting.</t>
    </r>
  </si>
  <si>
    <r>
      <rPr>
        <sz val="11"/>
        <rFont val="Times New Roman"/>
        <family val="2"/>
      </rPr>
      <t>Providing and fixing N.H./ S.H. Route Marker size 60 cm x 45 cm with one No. direction plate of size 30 cm x 25 cm prepared on 16 gauge M.S. sheet including painting with one coat of zinc cromate stoving primer and two coats each of white and green back ground and  back  side  gray  stove  enamelled,  bonded  with  cut  out  of  red  Retro  reflective  sheet Engineering grade, border / letters / numerals and arrow, coated with non pealable crystal clear protective transparent coat retaining 100% reflection including one One Number of
M.S. Angle iron post of size 50 x 50 x 5 mm of 3.65 m. long inflated at bottom drilled on top in one piece without joint painted with white and black bands of 30 cm. fixing board and post with 4 Nos. of high strength G.I. bolts and nuts of size 10 mm dia. and 20 mm long including all taxes, conveying, fixing in ground with cement concrete 1:4:8 block of 60 cm x 60 cm x 75 cm size as directed by Engineer-in-charge etc. complete. Mild Steel Route Marker with Engineering Grade</t>
    </r>
  </si>
  <si>
    <t>Providing and fixing N.H./ S.H. Route Marker size 60 cm x 45 cm with one No. direction plate of size 30 cm x 25 cm prepared on 16 guage Alluminium sheet including Type IV High  Intensity  Micro-Prismatic  Grade  Sheeting  (HIP)  having  pressure  sensitive  /  heat activated adhesive, IRC Specified colour retro reflective cutout border &amp; messages having pressure   sensitive   adhesive   having   border   &amp;   messages   in   IRC   Specified   colour background, including one One Number of M.S. Angle iron post of size 50 x 50 x 5 mm of 3.65 m. long inflated at bottom drilled on top in one piece without joint painted with white and black bands of 30 cm. fixing board and post with 4 Nos. of high strength G.I. bolts and nuts of size 10 mm dia. and 20 mm long including all taxes, conveying, fixing in ground with cement concrete 1:4:8 block of 60 cm x 60 cm x 75 cm size as directed by Engineer-in-charge  etc.  complete.  Alluminium  sheet  Type  IV  High  Intensity  Micro- Prismatic Grade Sheeting</t>
  </si>
  <si>
    <t>Providing  and  fixing  Road  junction  /  Information  sign  board  of  size  1.20  m  x  0.90  m. prepared on 16 gauge M.S. sheet with angle iron frame of size 35 x 35 x 5 mm with cross bracing of size 35 x 35 x 5 mm including painting with one coat of zinc cromate stoving primer  and  two  coats  each  of  green/white  back  ground  and  back  side  gray  stove enamelled,  bonded  with  red  retro  reflective  sheet  Engineering  grade,  border  /  letters  / numeral  /arrows,  coated  with  non  pealable  crystal  clear  protective  transperent  coat retaining 100% reflection includingtwo angle iron post of size 65 x 65x 6 mm of 3.65 m. long inflated at bottom drilled on top and painted in whiteand black bands of 30 cm. with 4 Nos. high strength G.I. bolts and nuts of size 10 mm dia. and 20 mm long sheet and angle iron post in one piece without joints including all taxes, conveying, fixing in ground with M-20 cement concrete of 60 cm x 60 cm x 75 cm size as directed by Engineer-in- charge etc. complete.   Mild Steel sheet with Engineering grade.</t>
  </si>
  <si>
    <t>Providing and fixing informatory sign boards in rectangular shape of size 1.20m x 0.90m made  out  of  16  guage  Aluminum  panel  bonded  with  IRC  Specified  colour  of   retro reflective  sheeting  of  Type  IV  High  Intensity  Micro-Prismatic  Grade  Sheeting  (HIP) having pressure sensitive / heat activated adhesive, IRC Specified colour retro reflective cutout border &amp; messages having pressure sensitive adhesive having border &amp; messages in IRC Specified colour background including M. S. angle iron frame of size 35 mm X 35 mm X 3 mm &amp; two M.S. angle iron post of size  65 mm X 65 mm X 6 mm, 3.65 m long, duly painted   with flat oil paint having alternate black and white bands of 25 cm width including G.I. fixtures etc; fixing the boards in M-20  concrete block of size 60cm X 60cm X 75cm including transportation etc; complete.  Aluminum Panel Type IV High Intensity.</t>
  </si>
  <si>
    <t>Providing and fixing informatory sign boards in rectangular shape of size 1.20m x 0.90m made out of 3mm Aluminum composite panel bonded with IRC Specified colour of  retro reflective  sheeting  of  Type  IV  High  Intensity  Micro-Prismatic  Grade  Sheeting  (HIP) having pressure sensitive / heat activated adhesive, IRC Specified colour retro reflective cutout border &amp; messages having pressure sensitive adhesive having border &amp; messages in IRC Specified colour background including M. S. angle iron frame of size 35 mm X 35 mm X 3 mm &amp; two M.S. angle iron post of size  65 mm X 65 mm X 6 mm, 3.65 m long, duly painted   with flat oil paint having alternate black and white bands of 25 cm width including G.I. fixtures etc; fixing the boards in M-20  concrete block of size 60cm X 60cm X  75cm  including  transportation  etc;  complete.   Aluminum  composite  panel  Type  IV High Intensity.</t>
  </si>
  <si>
    <t>Providing and fixing informatory sign boards in square or rectangular shape of any size for overhead gantries or alike made out of 3mm aluminum composite panel bonded with IRC  Specified  colour  of   retro  reflective  sheeting  of  Type  XI Diamond  Grade  Sheeting (DG3)  With  ECF(  Electronic  Cutable  Film)  Lettring  having  pressure  sensitive  /  heat activated adhesive, IRC Specified colour retro reflective cutout border &amp; messages having pressure   sensitive   adhesive   having   border   &amp;   messages   in   IRC   Specified   colour background including M. S. angle iron frame and bracing of size 35 mm X 35 mm X 5 mm and  duly painted  with flat oil paint including G.I. fixtures etc. and fixing the boards. (The work to be executed with prior approval of Superintending Engineer.)</t>
  </si>
  <si>
    <t>One Square Meter</t>
  </si>
  <si>
    <t>Road Miscellaneous items</t>
  </si>
  <si>
    <t>MORTH 408</t>
  </si>
  <si>
    <r>
      <rPr>
        <sz val="11"/>
        <rFont val="Times New Roman"/>
        <family val="1"/>
      </rPr>
      <t>Providing and casting in situ or precast tapering R.C.C. M-20 Barrier type Kerb without gutter  (  as  per  IRC  86  1983)  embedded  125mm  below  ground  level  over  M-10  PCC finished  neatly  with  C.M.  1:2,  setting  the  same  in  C.M.  1:2,  including  the  required excavation in any strata and removing the excavated stuff any where in city and redoing the surface as specified and directed by Engineering In-charge. Using Concrete Batching
and Mixing Plant</t>
    </r>
  </si>
  <si>
    <r>
      <rPr>
        <sz val="11"/>
        <rFont val="Times New Roman"/>
        <family val="1"/>
      </rPr>
      <t>Providing  and  casting  in  situ  or  precast  tapering  R.C.C.  M-20  Semi  Barrier  type  Kerb without  gutter ( as per IRC 86 1983) embedded 125mm below ground level over M-10 PCC finished neatly with C.M. 1:2, setting the same in C.M. 1:2, including the required excavation in any strata and removing the excavated stuff any where in city and redoing the surface as specified and directed by Engineering In-charge. Using Concrete Batching
and Mixing Plant</t>
    </r>
  </si>
  <si>
    <r>
      <rPr>
        <sz val="11"/>
        <rFont val="Times New Roman"/>
        <family val="1"/>
      </rPr>
      <t>Providing  and  casting  in  situ  or  precast  tapering  R.C.C.  M-20  Mountable   type  Kerb without  gutter ( as per IRC 86 1983) embedded 125mm below ground level over M-10 PCC finished neatly with C.M. 1:2, setting the same in C.M. 1:2, including the required excavation in any strata and removing the excavated stuff any where in city and redoing the surface as specified and directed by Engineering In-charge. Using Concrete Batching
and Mixing Plant</t>
    </r>
  </si>
  <si>
    <r>
      <rPr>
        <sz val="11"/>
        <rFont val="Times New Roman"/>
        <family val="1"/>
      </rPr>
      <t>Providing  and  casting  in  situ  or  precast  tapering  R.C.C.  M-20  Barrier  type  Kerb  with gutter  (  as  per  IRC  86  1983)  embedded  125mm  below  ground  level  over  M-10  PCC finished  neatly  with  C.M.  1:2,  setting  the  same  in  C.M.  1:2,  including  the  required excavation in any strata and removing the excavated stuff any where in city and redoing the surface as specified and directed by Engineering In-charge. Using Concrete Batching
and Mixing Plant</t>
    </r>
  </si>
  <si>
    <r>
      <rPr>
        <sz val="11"/>
        <rFont val="Times New Roman"/>
        <family val="1"/>
      </rPr>
      <t>Providing  and  casting  in  situ  or  precast  tapering  R.C.C.  M-20  Semi  Barrier  type  Kerb with gutter ( as per IRC 86 1983) embedded 125mm below ground level over M-10 PCC finished  neatly  with  C.M.  1:2,  setting  the  same  in  C.M.  1:2,  including  the  required excavation in any strata and removing the excavated stuff any where in city and redoing the surface as specified and directed by Engineering In-charge. Using Concrete Batching
and Mixing Plant</t>
    </r>
  </si>
  <si>
    <r>
      <rPr>
        <sz val="11"/>
        <rFont val="Times New Roman"/>
        <family val="1"/>
      </rPr>
      <t>Providing and casting in situ or precast tapering R.C.C. M-20 Mountable  type Kerb with gutter  (  as  per  IRC  86  1983)  embedded  125mm  below  ground  level  over  M-10  PCC finished  neatly  with  C.M.  1:2,  setting  the  same  in  C.M.  1:2,  including  the  required excavation in any strata and removing the excavated stuff any where in city and redoing the surface as specified and directed by Engineering In-charge.  Using Concrete Batching
and Mixing Plant</t>
    </r>
  </si>
  <si>
    <r>
      <rPr>
        <sz val="11"/>
        <rFont val="Times New Roman"/>
        <family val="1"/>
      </rPr>
      <t>Providing  and fixing in position Guard Railing as per Drg. No. 15 Type C dt. 20-4-79, with 3 rows of 50mm dia. G.I. pipe 30cm a part and fixed in M.S. channels of section 125 x 65 x 6 mm spaced 2.5 C/c 1:2:4 c.c. bedding of size 45 x 30cm. as per detailed drawing, with  3  coats  of  approved  yellow  and  black paint  including necessary excavation in  any
strata.</t>
    </r>
  </si>
  <si>
    <t>RD</t>
  </si>
  <si>
    <r>
      <rPr>
        <sz val="11"/>
        <rFont val="Times New Roman"/>
        <family val="1"/>
      </rPr>
      <t>Providing  and fixing in position Guard Railing as per Drg. No. 15 Type C dt. 20-4-79, with 3 rows of 40mm dia. G.I. pipe 30cm a part and fixed in M.S. channels of section 100 x 50 x 6 mm spaced 2.5 C/c 1:2:4 c.c. bedding of size 45 x 30 x 30cm. as per detailed drawing,  with  3  coats  of  approved  of  yellow  and  black  paint  including  necessary
excavation in any strata.</t>
    </r>
  </si>
  <si>
    <t>Providing and fixing Guard Railing of 1000mm height as per Type D Drg. No. 15 dt. 20-4- 79, and fixed in 40 x 40 x 6mm iron, angle embedded in 1:2:4 cement concrete bedding patti as per detailed drawing, with 3 coats of approved of yellow and black paint.</t>
  </si>
  <si>
    <t>Providing  and fixing Guard Railing of 1000 mm height in 25mm M.S. square bars 100 mm C/c. as per Type drawing No. 6 dt. 20-8- 85 and fixed in 50mm x 50mm x 6mm iron angle embedded in 1:2:4 C.C. bedding 55 x 45 cm and 50 x 6 iron patti as per detailed drawing with 3 coats of approved yellow and black paint.</t>
  </si>
  <si>
    <r>
      <rPr>
        <sz val="11"/>
        <rFont val="Times New Roman"/>
        <family val="1"/>
      </rPr>
      <t>Design of overlay for existing B.T. surface with carrying out testing by Benkelman Beam method as per guide lines in IRC 81:1997 including design and testing at site. The charges for transportation of Benkelman Beam, loaded truck, labour for testing and traffic control
are not included.</t>
    </r>
  </si>
  <si>
    <t>IRC-81</t>
  </si>
  <si>
    <t>Carrying  out  roughness  index  /  road  unevenness  test  with  car  mounted  /  jeep  towed ARUR  machine  (Automatic  road  unevenness  Recorder)  Calibrated  from  C.R.R.I.  New Delhi (Central Road Research  Institute) or any other equivalent authority including taking observations, feeding data and giving computerized test result including hire charges of all machinery and labour completed. i) Road surface single lane (B.TW,B.M.) 3.75 m Width.</t>
  </si>
  <si>
    <t>As Directed by Engineer In Charge</t>
  </si>
  <si>
    <r>
      <rPr>
        <sz val="11"/>
        <rFont val="Times New Roman"/>
        <family val="1"/>
      </rPr>
      <t>Carrying  out  roughness  index  /  road  unevenness  test  with  car  mounted  /  jeep  towed ARUR  machine  (Automatic  road  unevenness  Recorder)  Calibrated  from  C.R.R.I.  New Delhi (Central Road Research  Institute) or any other equivalent authority including taking observations, feeding data and giving computerized test result including hire charges of all machinery and labour completed. i) Road surface single lane (B.TW,B.M.) 5.5 m  to 7.00
m. Width.</t>
    </r>
  </si>
  <si>
    <r>
      <rPr>
        <sz val="11"/>
        <rFont val="Times New Roman"/>
        <family val="1"/>
      </rPr>
      <t>Carrying  out  roughness  index  /  road  unevenness  test  with  car  mounted  /  jeep  towed ARUR  machine  (Automatic  road  unevenness  Recorder)  Calibrated  from  C.R.R.I.  New Delhi (Central Road Research  Institute) or any other equivalent authority including taking observations, feeding data and giving computerized test result including hire charges of all machinery  and   labour   completed.   i)   Road   surface   single   lane  (B.TW,B.M.)   Each
additional lane Width.</t>
    </r>
  </si>
  <si>
    <t>Dead Journey charges for Transportation of machine/ vehical for Carrying out roughness index / road unevenness test with car mounted / jeep towed ARUR machine (Automatic road unevenness Recorder) Calibrated from C.R.R.I. New Delhi (Central Road Research Institute) or any other equivalent authority including taking observations, feeding data and giving  computerized  test  result  including  hire  charges  of  all  machinery  and  labour completed. Spec. No. : As directed by Engineer in charge.</t>
  </si>
  <si>
    <t>MORTH 702</t>
  </si>
  <si>
    <r>
      <rPr>
        <sz val="11"/>
        <rFont val="Times New Roman"/>
        <family val="1"/>
      </rPr>
      <t>Providing  and  laying  a  woven  Polypropylene  Geotextile  of  Type-I  manufactured  from black UV stabilised Polypropylene Tape yarn on the prepared subgrade as the separator cum  reinforcement  with  necessary  overlap  as  per  drawing.(  For  use  this  item  SE/CE
permission is obligatory.)</t>
    </r>
  </si>
  <si>
    <r>
      <rPr>
        <sz val="11"/>
        <rFont val="Times New Roman"/>
        <family val="1"/>
      </rPr>
      <t>Providing  and  laying  a  woven  Polypropylene  Geotextile  of  Type-II  manufactured  from black UV stabilised Polypropylene Tape yarn on the prepared subgrade as the separator cum  reinforcement  with  necessary  overlap  as  per  drawing.(  For  use  this  item  SE/CE
permission is obligatory.)</t>
    </r>
  </si>
  <si>
    <r>
      <rPr>
        <sz val="11"/>
        <rFont val="Times New Roman"/>
        <family val="1"/>
      </rPr>
      <t>Providing  and  laying  a  woven  Polypropylene  Geotextile of  Type-III manufactured  from black UV stabilised Polypropylene Tape yarn on the prepared subgrade as the separator cum  reinforcement  with  necessary  overlap  as  per  drawing.  (  For  use  this  item  SE/CE
permission is obligatory.)</t>
    </r>
  </si>
  <si>
    <r>
      <rPr>
        <sz val="11"/>
        <rFont val="Times New Roman"/>
        <family val="1"/>
      </rPr>
      <t>Providing and laying a fibre glass geogrid of Tensile strength 50 kN/m manufactured from high   quality  glass   fibre  strands   and  coated   with   a  polymer  modified   bitumen   as reinforcement  to  Asphalt  overlay  flexible  pavements  and  Asphalt  over  distressed  rigid
P.C.C.</t>
    </r>
  </si>
  <si>
    <r>
      <rPr>
        <sz val="11"/>
        <rFont val="Times New Roman"/>
        <family val="1"/>
      </rPr>
      <t>Providing  and  laying  a  fibre  glass  geogrid  of  Tensile  strength  100  kN/m  manufactured from  high  quality  glass  fibre  strands  and  coated  with  a  polymer  modified  bitumen  as reinforcement  to  Asphalt  overlay  flexible  pavements  and  Asphalt  over  distressed  rigid
P.C.C.</t>
    </r>
  </si>
  <si>
    <t>Providing and Constructing gabion structure 1 Meter high or required section made up of soft mechanically woven hexagonal shaped G.I. wire confirming to IS 16014:2012 having zinc  plus  PVC coating  of overall diameter of  3.7 mm and tying  lacing wire  of 3.2  mm with edge wire confirming to overall diameter 4.4 mm edges being mechanically selvedge including placing in position, fitting neatly with trap stone rubble (15 to 23 cm) all loose ends to be securely tied (Excluding transportation) etc. complete. ( In Dry condition and for under water installation extra cost to be considered)</t>
  </si>
  <si>
    <t>MORTH 2503</t>
  </si>
  <si>
    <t>Providing and Constructing gabion structure 0.50 Meter high or required section made up of  soft  mechanically  woven  hexagonal  shaped  G.I.  wire  confirming  to  IS  16014:2012 having zinc plus PVC coating of overall diameter of 3.7 mm and tying lacing wire of 3.2 mm  with  edge  wire  confirming  to  overall  diameter  4.4  mm  edges  being  mechanically selvedge including placing in position, fitting neatly with trap stone rubble (15 to 23 cm) all  loose  ends  to  be  securely  tied  (Excluding  transportation)  etc.  complete.(  In  Dry condition and for under water installation extra cost to be considered)</t>
  </si>
  <si>
    <r>
      <rPr>
        <sz val="11"/>
        <rFont val="Times New Roman"/>
        <family val="1"/>
      </rPr>
      <t>Providing and laying Needle Punched and mechanically bonded non woven Geotextile of Type III indigenously manufactured from high quality Propylene staple fibers (continuous filament will not be accepted) on the prepared subgrade for Seperation.( For use this item
SE/CE permission is obligatory.)</t>
    </r>
  </si>
  <si>
    <t>MORTH 703</t>
  </si>
  <si>
    <r>
      <rPr>
        <sz val="11"/>
        <rFont val="Times New Roman"/>
        <family val="1"/>
      </rPr>
      <t>Providing and laying Needle Punched and mechanically bonded non woven Geotextile of Type II indigenously manufactured from high quality Propylene staple fibers (continuous filament will not be accepted) on the prepared subgrade for Seperation.( For use this item
SE/CE permission is obligatory.)</t>
    </r>
  </si>
  <si>
    <r>
      <rPr>
        <sz val="11"/>
        <rFont val="Times New Roman"/>
        <family val="1"/>
      </rPr>
      <t>Removal of telephone / Electric poles including excavation and dismantling of foundation concrete and lines under the supervision of concerned department, disposal with all lifts and up to a lead of 1000 metres and stacking the serviceable and unserviceable material
separately</t>
    </r>
  </si>
  <si>
    <t>MORTH 409</t>
  </si>
  <si>
    <t>Footpaths  and  Separators  -- Construction  of  footpath/separator  by providing  a  150  mm compacted granular sub base as per clause 401 and 25 mm thick cement concrete grade M15, over laid with pre-cast concrete tiles in cement mortar 1:3 including provision of all drainage arrangements but excluding kerb channel.</t>
  </si>
  <si>
    <t>MORTH 810</t>
  </si>
  <si>
    <t>Metal  Beam Crash  Barrier  -- Type  - A,  W  : Metal  Beam  Crash  Barrier  (Providing  and erecting a W metal beam crash barrier comprising of 3 mm thick corrugated sheet metal beam rail, 70 cm above road/ground level, fixed on ISMC series channel vertical post, 150 x 75 x 5 mm spaced 2 m centre to centre, 1.8 m high, 1.1 m below ground/road level, all steel  parts  and  fitments  to  be  galvanised  by  hot  dip  process,  all  fittings  to  conform  to IS:1367  and  IS:1364,  metal  beam  rail  to  be  fixed  on  the  vertical  post  with  a  spacer  of channel section 150 x 75 x 5 mm, 330 mm long complete as per clause 810)""</t>
  </si>
  <si>
    <t>Metal Beam Crash Barrier -- Type - B, THRIE : Metal Beam Crash Barrier (Providing and erecting  a  Thrie   metal  beam  crash  barrier  comprising  of  3  mm  thick  corrugated  sheet metal beam rail, 85 cm above road/ground  level, fixed  on ISMC  series channel vertical post, 150 x 75 x 5 mm spaced 2 m centre to centre, 2 m high with 1.15 m below ground level,  all  steel  parts  and  fitments  to  be  galvanised  by  hot  dip  process,  all  fittings  to conform to IS:1367 and IS:1364, metal beam rail to be fixed on the vertical post with a space of channel section 150 x 75 x 5 mm, 546 mm long complete as per clause 810)""</t>
  </si>
  <si>
    <t>MORTH 811</t>
  </si>
  <si>
    <t>Flexible  Crash  Barrier,  Wire  Rope  Safety  Barrier  (Providing  and  erecting  a  wire  rope safety barrier with vertical posts of medium weight RS Joist (ISMB series) 100 mm x 75 mm (11.50 kg/m), 1.50 m long 0.85 m above ground and 0.65 m below ground level, split at the bottom for better grip, embedded in M 15 grade cement concrete 450 x 450 x 450 mm, 1.50 m center to center and with 4 horizontal steel wire rope 40 mm dia and anchored at  terminal  posts  15  m  apart.  Terminal  post  to  be  embedded  in  M  15  grade  cement concrete foundation 2400 x 450 x 900 mm (depth), strengthened by a strut of RS joist 100 x 75 mm, 2 m long at 450 inclination and a tie 100 x 8 mm, 1.50 m long at the bottom, all embedded  in  foundation  concrete  as  per  approved  design  and  drawing,  rate  excluding excavation and cement concrete.)</t>
  </si>
  <si>
    <t>Anti - Glare Screen with 25 mm steel pipe framework fixed with circular and rectangular vans  (Providing  and  erecting  an  anti  -  glare  screen  with  25  mm  dia  vertical  pipes fabricated and framed in the form of panels of one metre length and 1.75 mtr height fixed with circular vane 250 mm dia at top and rectangular vane 600 x 300 mm at the middle, made out of steel sheet of 3 mm thickness, end vertical pipes of the panel made larger for embedding in foundation concrete, applying 2 coats of paint on all exposed surfaces, all as per approved design and drawings.)</t>
  </si>
  <si>
    <t>Anti  - Glare  Screen  with  Rectangular  Vane  of  MS  sheet  (Providing  and  erecting  anti  - glare screen with rectangular vanes of size 750 x 500 mm made from MS sheet, 3 mm thick and fixed on MS angle 50 x 50 x 6 mm at an angle of 450 to the direction of flow of traffic, 1.5 m center to center, top edge of the screen 1.75 m above ground level, vertical post firmly embedded in cement concrete foundation 0.60 m below ground level, applying 2 coats of paint on exposed faces, all complete as per approved design and drawings)</t>
  </si>
  <si>
    <t>MORTH 809</t>
  </si>
  <si>
    <t>Providing Reinforced cement concrete crash barrier at the edges of the road, approaches to bridge structures and medians, constructed with  R.C.C. M 20 Grade concrete with HYSD reinforcement  conforming  to  IRC:21  and  dowel  bars  25  mm  dia,  450  mm  long  at expansion  joints  filled  with  pre-moulded  asphalt  filler  board,  keyed  to  the  structure  on which it is built and installed as per design given in the enclosure to MOST circular No. RW/NH  -  33022/1/94-DO  III  dated  24  June  1994  as  per  dimensions  in  the  approved drawing  and  at  locations  directed  by the  Engineer,  all as  specified  etc. complete.  Spec: MORT and H 2013 Cl 811 Page No 360</t>
  </si>
  <si>
    <t>Providing Reinforced cement concrete crash barrier at the edges of the road, approaches to bridge structures and medians, constructed with  R.C.C. M 25 Grade concrete with HYSD reinforcement  conforming  to  IRC:21  and  dowel  bars  25  mm  dia,  450  mm  long  at expansion  joints  filled  with  pre-moulded  asphalt  filler  board,  keyed  to  the  structure  on which it is built and installed as per design given in the enclosure to MOST circular No. RW/NH  -  33022/1/94-DO  III  dated  24  June  1994  as  per  dimensions  in  the  approved drawing  and  at  locations  directed  by the  Engineer,  all as  specified  etc. complete.  Spec: MORT and H 2013 Cl 811 Page No 360</t>
  </si>
  <si>
    <t>Providing Reinforced cement concrete crash barrier at the edges of the road, approaches to bridge structures and medians, constructed with  R.C.C. M 30 Grade concrete with HYSD reinforcement  conforming  to  IRC:21  and  dowel  bars  25  mm  dia,  450  mm  long  at expansion  joints  filled  with  pre-moulded  asphalt  filler  board,  keyed  to  the  structure  on which it is built and installed as per design given in the enclosure to MOST circular No. RW/NH  -  33022/1/94-DO  III  dated  24  June  1994  as  per  dimensions  in  the  approved drawing  and  at  locations  directed  by the  Engineer,  all as  specified  etc. complete.  Spec: MORT and H 2013 Cl 811 Page No 360</t>
  </si>
  <si>
    <t>Road Maintenance</t>
  </si>
  <si>
    <t>Labour for filling pot holes with premix asphalt chips, cleaning the road surface with wire brushes  and  gunny bags,  applying  tack  coat,  spreading  mixture  hand  ramming  or  light compaction with power roller conveying material to the site of work (excluding cost and of material fuel and heating asphalt) etc complete.</t>
  </si>
  <si>
    <t>Labour for metal patch repairs including  preparing surface, adding required quantity of metal,  murum,  watering,  ramming  etc  complete.  Spec.No.:  As  directed  by Engineer- in- charge. (excluding cost and of material )</t>
  </si>
  <si>
    <t>MORTH 3002</t>
  </si>
  <si>
    <t>Restoration of rain cuts with soil, murum gravel or a mixture of these, clearing the loose soil, benching for 300mm width laying fresh material in layers not exceeding 250 mm and compaction with plate compactor or power rammer to restore the original alignment, level and slopes as per drawings and MORTH specification clause 3002</t>
  </si>
  <si>
    <t>MORTH 3003</t>
  </si>
  <si>
    <t>Making up loss of material/irregularities on shoulders to the design level by adding fresh approved  selected  soil  and  compacting  it  with  appropriate  equipment  at  OMC   as  per MORTH specification clause 3003</t>
  </si>
  <si>
    <t>Stripping  excess  soil  from  the  shoulder  surface  to  achieve  the  approved  level  and compacting with plate compactor at OMC as per drawings  as per MORTH specification clause 3003</t>
  </si>
  <si>
    <t>MORTH 3004.2</t>
  </si>
  <si>
    <t>Repair  to  pot  holes  by  removal  of  failed  material,  trimming  the  sides  to  vertical  and levelling the bottom, cleaning the same  with compressed  air or  any appropriate  method filled with 75mm B.M, applying bitumen tack coat at the bottom and vertical sides as per as per MORTH specification clause 3004.1 and 3004.2</t>
  </si>
  <si>
    <t>Patch repair on already filled pot holes  with 20 mm premix carpet and  seal coat as per MORTH specification clause 3004.1 and 3004.2</t>
  </si>
  <si>
    <t>Repair to pot holes and removal of loose material, trimming of sides, cleaning of surface by  providing  tack  coat,  20  mm  thick  pre-mix  carpet  and  seal  coat   as  per  MORTH specification clause 3004.1 and 3004.2</t>
  </si>
  <si>
    <t>Maintenance of gravel road including making up the loss of profile, rectifying corrugated surface, filling up of depressions, pot holes and erosion gullies by adding fresh material and  compacting  it  with  appropriate  equipment   or  to  strip   excess  of  material  from  the road surface as per drawings etc complete</t>
  </si>
  <si>
    <t>Providing pick and roll surface by picking  the old WBM surface to the required standard, adding  30%  of  40mm  size  metal  and  required  quantity  of  murum  including  laying sectioning, watering, compacting with static roller with thin layer of murum blindage on carrageway,  watering  and  compacting  by  static  roller,  including  cost  of  all  materials, loading, unloading, stacking and labour etc. complete. Spec.No. : As directed by Engineer- in-charge.</t>
  </si>
  <si>
    <t>Maintenance  of  WBM  road  including  filling  up  of  pot  holes,  ruts  and  rectifying corrugated surface, damaged edges and ravelling etc. complete</t>
  </si>
  <si>
    <t>The   maintenance   of   drains   include   erosion,   repair,   clearing,   cleaning,   reshaping, regrading, deepening of side drains as well as catch water drains etc. complete</t>
  </si>
  <si>
    <t>Maintenance of Hume pipe Culvert by way of  Clearing, Cleaning, Erosion repair, repairs to cracks, parapet wall and protection work as per drawing etc. complete</t>
  </si>
  <si>
    <t>Maintenance of road signs by way of cleaning and repainting of mandatory / requlatory / cautionary / informatory and place identifications sign board as per drawings etc. complete</t>
  </si>
  <si>
    <t>Maintenance  of  Kilometer  stones,  and  200  metre  by  way  of  refiting  of  tilted  stones repairing with cement mortar, cleaning, repairing and lettering on 200 metre km stone and 5th km stone etc. complete</t>
  </si>
  <si>
    <t>Cutting of branches of trees and shrubs from the road way or with in R.O.W  including disposal of wood and leaves to suitable location etc. complete</t>
  </si>
  <si>
    <t>Trimming  of  grass,  shurbs  and  weeds  from  the  shoulders/berms  and  disposing  off  the same to suitable locations etc. complete</t>
  </si>
  <si>
    <t>Maintenance of guard stones/ boundry stones/ indicator stones by way of refiting of tilted stones repairing with cement mortar, cleaning, repairing and white washing etc. complete</t>
  </si>
  <si>
    <t>Repair of steel railing to bring it to original shape cleaning and repainting as per drawing etc. complete</t>
  </si>
  <si>
    <t>Repair  of  RCC  railing  to  bring  it  to  the  original  shape,  cleaning  and  repainting  as  per drawings etc. complete</t>
  </si>
  <si>
    <t>Removal of steel railing and refixing of railing  to submersible bridges including cleaning and repainting etc complete</t>
  </si>
  <si>
    <t>White washing two coats on parapet walls and white washing and geru lime painting to tree trunks including preparation of surface by cleaning scraping  etc. complete</t>
  </si>
  <si>
    <t>Dressing of side shoulder / Scrapping the road side shoulder by Mechanical means  ( By JCB /DOUZER) including excavation of raised side shoulders upto 15cm depth including remooving /cutting bushes,grass and dressing shoulder to desired camber and disposing of excavated stuff up to road boundary etc complete. as directed by Engineer In Charge.</t>
  </si>
  <si>
    <t>Providing and Laying Pressure Sensitive Technology ( PST ) based Insstapattch ready mix compound  for  repair  potholes,  manufactured  from aggregates  of  4-12  mm,  treated  with special grade bitumen, Pressure Sensitive Polymer(  PSP)  and   Cross Linking  Chemical (CLC)  agents  etc,  technically  evaluated  for  repairs  on  bitumenous/concrete  surfaces, confirming  to CRRI and IRC accreduted norms for pressure sensitive polymer products for repairs of Potholes on road/ Pavements, havinfg upto 25mm thick insstapattch layer on base of compacted aggregates ( Crusher Brocken ) of 50mm thickness including labours, material, tools and tampering etc complete.</t>
  </si>
  <si>
    <t>MORTH 514</t>
  </si>
  <si>
    <t>Providing,  laying  and  rolling  Micro  seal  surfacing  (  10  mm  thick  )  for   preventive maintainance   including  supplying  all  materials  ,  preparing  the  existing  road  surface  , heating  bitumen  ,  aggregates  ,  lime  in  hot  mix  plant  ,  laying  the  mix  seal surfacing  by paver finisher and compaction by power roller etc complete.( Using 60/70 bulk bitumen for mixing and tack coat over black topped surface by using 0.14 Cum per  10 Sqm.  of crusher aggregate passing 100 % through 6.30 mm sieve and retained100 % on 0.075 mm size sieve 0.2 Kg / Sqm lime and 11.00 kg / 10 Sqm bulk bitumen for fixing and 0.50 kg / Sqm for tack coat ) Spec: As directed by Engineer In Charge and IRC SP 78 - 2008</t>
  </si>
  <si>
    <t>Providing,  laying  and  rolling  Micro  seal  surfacing  (  10  mm  thick  )  for   preventive maintainance   including  supplying  all  materials  ,  preparing  the  existing  road  surface  , heating  bitumen  ,  aggregates  ,  lime  in  hot  mix  plant  ,  laying  the  mix  seal surfacing  by paver finisher and compaction by power roller etc complete.( Using 60/70 bulk bitumen for mixing and tack coat over black topped surface by using 0.14 Cum per  10 Sqm.  of crusher aggregate passing 100 % through 9.50 mm sieve and retained100 % on 0.075 mm size sieve 0.2 Kg / Sqm lime and 9.50 kg / 10 Sqm bulk bitumen for fixing and 0.50 kg / Sqm for tack coat ) Spec: As directed by Engineer In Charge and IRC SP 78 -2008</t>
  </si>
  <si>
    <r>
      <rPr>
        <sz val="11"/>
        <rFont val="Times New Roman"/>
        <family val="2"/>
      </rPr>
      <t>Providing  and  laying  shoulder  drain  of  trap  rubble  of  0.45  x  0.45  meter  section  at  45
degree angle to the road edge including hand packing, filling voids with sand/shingle of approved quality and ramming etc. complete as desired.</t>
    </r>
  </si>
  <si>
    <t>Providing and laying Pressure Sensitive Technology ( PST ) based ready mix compound for  repairing  potholes,  manufactured  from  aggregates  of  4-12mm,  treated  compound having mix of bituminous antistriping  compound, stabilizer,  Pressure Sensitive Polymer and water repellent compound like oil soluble polyacid etc. having good consistency for laying,  technically  evaluated  for  repairs  on  bituminous/concrete  surface  confirming  to CRRI and IRC accrediated norms for pressure sensitive polymer products for repairs fo potholes  on road/ pavement having upto 25mm thick ready thickness including labours, material, tools and tampering etc. complete. (Undertaking shall be taken from the supplier before starting the work)</t>
  </si>
  <si>
    <t>Supply of  self  watering  system  Multi  Stage  Tree  guard  /  Protctor  110  mm  dia  &amp;  total height  of 1800 mm made  up with  HDPE. In  tubular section,  first stage  will be  600mm long &amp; second and forth stage 65% perforated casting in HDPE tubular section of 300mm long each tubular section &amp; third and fifth stage of plain 300mm long each tubular section in  110mm  dia.  all  sections  fix  with  stagewise  with  leakproof  fixing  arrangement  2  no tubular  rubber  section  of   75mm dia,  1.5mm thick &amp; length 350  mm (fix  on both  65% perforated  tubular  section  at  top  for  increase  the  water  holding  capacity  as  per  plant height). The specially designed rubber water holding device of size 90mm dia outerside &amp; 12mm dia innerside of 1.5mm thick as per design fix on 40mm dia. 100mm long pvc pipe seperately.(for inserting the plants). 2 nos 40mm dia. treated bamboo of 2.00 mtr. height (buried 150 mm below the bottom of excavated pit &amp; stand with tubular section) 2 nos rubber/pvc ties ( fix at bottom &amp; top of plain tubular section with bamboo) 2 nos 5mm dia.  fromate  (fixing  at  bottom  o  tubular  section  for  deep  root  irrigation  system)  2  nos 600mm long HDPE lateral pipe of 5mm dia. with deep roor irrigation system (insert in the gromate &amp; pit, away form 200 mm from plant roots). 1200 mm long barbed wire of 14 guage (The treeguard is rapping with 1200 mm long barbed wire over third plain tubular section   for   protection   against   cattles   &amp;   other   external   factors)   as   per   technical specification  &amp; manual.  ( Cost  of Plant  &amp; fixing  charges will be extra  as per  approved rates). (Note :- Plant Height should be required above 2.50 m &amp; Dia of stem 25 mm at bottom)</t>
  </si>
  <si>
    <t>Supply  of  self  watering  system  tree  guard  in  110  mm  dia,  1.80  mt  height  made  up  of cotton canvas cloth of polymer pipe of 15 litres water storage capacity stand with 2 nos. 40  mm  dia  treated  bamboo  of  2  mt  ht.  tie  with  tag  at  two  nos  and  specially  designed dexpandable rubber seal 110 mm dia outer &amp; 25 mm dia. inner dia installed on bottom of pipe, and 0.60 m long HDPE lateral pipe 2 nos 5mm dia to carry the water near root zone connected with gromate fix in treeguard and rapping 1.20m long barbed wire to middle of treeguard  for  protection  agianst  cattles  and  other  external  factors  as  per  specification.  ( cost of plant &amp; fixing charges will be extra as per approved rates). (Note :- Plant height should be required above 2.50 m &amp; Dia of stem 25 mm at bottom )</t>
  </si>
  <si>
    <t>Fixing  and  Transporting  of  self  watering  system  tree  guard-insertion  of  sapling  in  self watering tree guard and capping the bottom with expandable rubber seal. Supporting the bamboo with the help of cable tie. Bamboo to be buried 0.15 mt ht. below of excavated pit. Strengthening the bamboo in pit with adequate measures. Circulating the barbed wire around tree guard at middle ht. from bottom and fixing it. Thr rates excluding the cost of barbed wire, bamboo, expandable seal, tree guard and all other required material. Fixing to be carried out as per manual instruction.</t>
  </si>
  <si>
    <t>Rd.43.3.1</t>
  </si>
  <si>
    <r>
      <rPr>
        <sz val="11"/>
        <rFont val="Times New Roman"/>
        <family val="2"/>
      </rPr>
      <t>Providing 50 mm thick Full  grout bituminous treatment including supplying all materials
, prepairing the exisisting road surface,applying tack coat @ 0.735 kg / sqm and laying the required thickness of metal layer, heating and spraying bitumen of specified Grade at the rate of 5.00 kg / sqm , spreading chips and laying seal coat of specified Grade of bitumen of 1.70 Kg/sqm and compacting , making the surface good etc. complete ( For only Patch Repair works / For Road  work )
(VG-30 bulk bitumen rates are considered to arrive at rates)</t>
    </r>
  </si>
  <si>
    <t>Rd.45.3.1</t>
  </si>
  <si>
    <r>
      <rPr>
        <sz val="11"/>
        <rFont val="Times New Roman"/>
        <family val="2"/>
      </rPr>
      <t>Providing 50 mm thick semi  grout bituminous treatment including supplying all materials
, prepairing the exisisting road surface,applying tack coat @ 0.735 kg / sqm and laying the required thickness of metal layer, heating and spraying bitumen of specified Grade at the rate of 2.75 kg / sqm , spreading chips and laying seal coat of specified Grade of bitumen of 1.25 Kg/sqm and compacting , making the surface good etc. complete ( For only Patch Repair works / For Road  work )
(VG-30 bulk bitumen rates are considered to arrive at rates)</t>
    </r>
  </si>
  <si>
    <t>Providing and constructing 75 mm. thick Modified  Penetraction Macadam (MPM)  road surface  including  all  materials,  preparing  the  existing  road  surface,  spreading  40  mm. stone  layers  metal 30%   crusher  broken  metal  +  70%  Hand  broken  metal (By breaking Rubble obtained by blasting) , heating and spraying the  bitumen of VG-30 grade @ 2 kg / sqm , spreading 12mm.size chips compacting with three wheel static roller having weight 8 to 10 MT. to achive the desired  degree of  compaction as  per Technical  Specification Clause 506 etc.complete, including applying tack coat of VG 10 grade bitumen at the rate of 0.30 Kg Sqm. on existing bitumen surface. ( For Repair works only)</t>
  </si>
  <si>
    <r>
      <rPr>
        <sz val="11"/>
        <rFont val="Times New Roman"/>
        <family val="2"/>
      </rPr>
      <t>Providing and constructing 50 mm. thick  Modified  Penetration  Macadam (MPM) road surface including all materials, preparing the existing road surface, spreading 40mm. stone layers metal 30%  crusher broken metal + 70% Hand broken metal (By breaking Rubble obtained  by  blasting)  ,  heating  and  spraying  the  bitumen  of  VG-30  @  1.75  kg  /  sqm, spreading 12mm.size chips compacting with Static roller having weight 8 to 10 MT. to achive  the  desired  degree  of  compaction  as  per  Technical  Specification  Clause  506 etc.complete, including applying tack coat at the rate of 0.30 Kg Sqm.( for repair works
only)</t>
    </r>
  </si>
  <si>
    <t>Cross Drainage
Works</t>
  </si>
  <si>
    <r>
      <rPr>
        <sz val="11"/>
        <rFont val="Times New Roman"/>
        <family val="1"/>
      </rPr>
      <t>Cross Drainage
Works</t>
    </r>
  </si>
  <si>
    <t>CD 1</t>
  </si>
  <si>
    <r>
      <rPr>
        <sz val="11"/>
        <rFont val="Times New Roman"/>
        <family val="1"/>
      </rPr>
      <t>Providing rubble filling of trap/ granite/ quartzite gneiss stones for foundations including
filling voids with sand/grit and compaction etc complete.</t>
    </r>
  </si>
  <si>
    <t>CD.1 Page.No. 159</t>
  </si>
  <si>
    <t>Cross Drainage Works</t>
  </si>
  <si>
    <t>CD 3A</t>
  </si>
  <si>
    <t>Providing and laying in situ / ready mix cement concrete of M-10 proportion with trap/ granite/ quartzite/ gneiss metal in foundation including necessary form work, compacting and  curing  etc.  complete.  (with  reversible  drum  type  mixer  with  SCADA  with  fine agreegates of required specifications (Natural sand / VSI sand finely washed etc )</t>
  </si>
  <si>
    <t>CD.-3 Page.No. 160</t>
  </si>
  <si>
    <t>C.C. M-10 in Foundation</t>
  </si>
  <si>
    <t>Providing  &amp;  laying  in  situ  cement  concrete  of  M  10  proportion  with  trap/  granite/ quartzite/  gneiss  metal  in  foundation  including  necessary  form  work  compacting  and curing etc. complete. with reversible Drum Type mixer with SCADA. With crushed sand .</t>
  </si>
  <si>
    <t>CD 3B</t>
  </si>
  <si>
    <t>Providing  and  laying  in  situ  cement  concrete  of  1:4:8  proportion  with  trap/  granite/ quartzite/  gneiss  metal  in  foundation  including  necessary  form  work,  compacting  and curing etc. complete. (with reversible drum type mixer with SCADA with fine agreegates of required specifications (Natural sand / VSI sand finely washed etc )</t>
  </si>
  <si>
    <t>CD.3 Page.No. 160</t>
  </si>
  <si>
    <t>C.C. 1:4:8 in Foundation</t>
  </si>
  <si>
    <t>CD 4</t>
  </si>
  <si>
    <r>
      <rPr>
        <sz val="11"/>
        <rFont val="Times New Roman"/>
        <family val="1"/>
      </rPr>
      <t>Providing rubble stone paving 15cm thick in 1:3 cement mortar over a bedding of 15cm
thick  cement  concrete  of  1:4:8  proportion  with  trap  /granite  /quartzite  /gneiss  metal including striking joints and watering etc. complete.</t>
    </r>
  </si>
  <si>
    <t>CD.4 Page.No. 160</t>
  </si>
  <si>
    <r>
      <rPr>
        <sz val="12"/>
        <rFont val="Times New Roman"/>
        <family val="1"/>
      </rPr>
      <t>One Square
Metre</t>
    </r>
  </si>
  <si>
    <t>CD 6</t>
  </si>
  <si>
    <t>Providing uncoursed rubble trap /quartzite /gneiss stone masonary in cement mortar 1:5 for  piers,  abutments,  wings,  returns,  head-walls,  parapet  etc.  including  bailing  out  of water, striking joints of the non exposed faces, pointing the exposed faces with cement mortar 1:3, scaffolding, watering to masonary and etc. complete.</t>
  </si>
  <si>
    <t>CD.6 Page.No. 162</t>
  </si>
  <si>
    <t>CD 7</t>
  </si>
  <si>
    <r>
      <rPr>
        <sz val="11"/>
        <rFont val="Times New Roman"/>
        <family val="1"/>
      </rPr>
      <t>Providing and laying cement concrete pipe of IS 458:2003 NP-2 class of 450mm diameter in proper line, level and slope including providing and fixing collars in cement mortar 1:2
and curing etc. complete.</t>
    </r>
  </si>
  <si>
    <t>CD.7 Page.No. 162</t>
  </si>
  <si>
    <r>
      <rPr>
        <sz val="11"/>
        <rFont val="Times New Roman"/>
        <family val="1"/>
      </rPr>
      <t>Providing and laying cement concrete pipe of IS 458:2003 NP-2 class of 600mm diameter in proper line, level and slope including providing and fixing collars in cement mortar 1:2
and curing etc. complete.</t>
    </r>
  </si>
  <si>
    <r>
      <rPr>
        <sz val="11"/>
        <rFont val="Times New Roman"/>
        <family val="1"/>
      </rPr>
      <t>Providing and laying cement concrete pipe of IS 458:2003 NP-2 class of 800mm diameter in proper line, level and slope including providing and fixing collars in cement mortar 1:2
and curing etc. complete.</t>
    </r>
  </si>
  <si>
    <r>
      <rPr>
        <sz val="11"/>
        <rFont val="Times New Roman"/>
        <family val="1"/>
      </rPr>
      <t>Providing and laying cement concrete pipe of IS 458:2003 NP-2 class of 900mm diameter
in proper line, level and slope including providing and fixing collars in cement mortar 1:2 and curing etc. complete.</t>
    </r>
  </si>
  <si>
    <r>
      <rPr>
        <sz val="11"/>
        <rFont val="Times New Roman"/>
        <family val="1"/>
      </rPr>
      <t>Providing  and  laying  cement  concrete  pipe  of  IS  458:2003  NP-2  class  of  1000mm diameter in proper line, level and slope including providing and fixing collars in cement
mortar 1:2 and curing etc. complete.</t>
    </r>
  </si>
  <si>
    <r>
      <rPr>
        <sz val="11"/>
        <rFont val="Times New Roman"/>
        <family val="1"/>
      </rPr>
      <t>Providing  and  laying  cement  concrete  pipe  of  IS  458:2003  NP-2  class  of  1200mm
diameter in proper line, level and slope including providing and fixing collars in cement mortar 1:2 and curing etc. complete.</t>
    </r>
  </si>
  <si>
    <r>
      <rPr>
        <sz val="11"/>
        <rFont val="Times New Roman"/>
        <family val="1"/>
      </rPr>
      <t>Providing and laying cement concrete pipe of IS 458:2003 NP-3 class of 600mm diameter
in proper line, level and slope etc. complete.</t>
    </r>
  </si>
  <si>
    <r>
      <rPr>
        <sz val="11"/>
        <rFont val="Times New Roman"/>
        <family val="1"/>
      </rPr>
      <t>Providing and laying cement concrete pipe of IS 458:2003 NP-3 class of 800mm diameter
in proper line, level and slope etc. complete.</t>
    </r>
  </si>
  <si>
    <r>
      <rPr>
        <sz val="11"/>
        <rFont val="Times New Roman"/>
        <family val="1"/>
      </rPr>
      <t>Providing and laying cement concrete pipe of IS 458:2003 NP-3 class of 900mm diameter
in proper line, level and slope etc. complete.</t>
    </r>
  </si>
  <si>
    <r>
      <rPr>
        <sz val="11"/>
        <rFont val="Times New Roman"/>
        <family val="1"/>
      </rPr>
      <t>Providing  and  laying  cement  concrete  pipe  of  IS  458:2003  NP-3  class  of  1000mm
diameter in proper line, level and slope etc. complete.</t>
    </r>
  </si>
  <si>
    <r>
      <rPr>
        <sz val="11"/>
        <rFont val="Times New Roman"/>
        <family val="1"/>
      </rPr>
      <t>Providing  and  laying  cement  concrete  pipe  of  IS  458:2003  NP-3  class  of  1200mm
diameter in proper line, level and slope  etc. complete.</t>
    </r>
  </si>
  <si>
    <r>
      <rPr>
        <sz val="11"/>
        <rFont val="Times New Roman"/>
        <family val="1"/>
      </rPr>
      <t>Providing and laying cement concrete pipe of IS 458:2003 NP-4 class of 900mm diameter
in proper line, level and slope etc. complete.</t>
    </r>
  </si>
  <si>
    <t>CD 7 Page 167</t>
  </si>
  <si>
    <r>
      <rPr>
        <sz val="11"/>
        <rFont val="Times New Roman"/>
        <family val="1"/>
      </rPr>
      <t>Providing  and  laying  cement  concrete  pipe  of  IS  458:2003  NP-4  class  of  1000mm
diameter in proper line, level and slope  etc. complete.</t>
    </r>
  </si>
  <si>
    <r>
      <rPr>
        <sz val="11"/>
        <rFont val="Times New Roman"/>
        <family val="1"/>
      </rPr>
      <t>Providing  and  laying  cement  concrete  pipe  of  IS  458:2003  NP-4  class  of  1200mm
diameter in proper line, level and slope etc. complete.</t>
    </r>
  </si>
  <si>
    <t>CD 8</t>
  </si>
  <si>
    <t>Providing  cast in situ / ready mix block of  M10 cement  concrete with  circular or  other shaped  opening for  waterway including  necessary formwork,  compaction, finishing  and curing  etc.  complete.  (with  reversible  drum  type  mixer/  concrete  batch  mix  plant  (pan mixer)  with SCADA with fine agreegates of required specifications (Natural sand / VSI sand finely washed etc ), cement 4.05 bags/cumt)</t>
  </si>
  <si>
    <t>CD.8 Page.No. 163</t>
  </si>
  <si>
    <t>C.C. M10  with circular or other shaped opening</t>
  </si>
  <si>
    <t>CD 27</t>
  </si>
  <si>
    <r>
      <rPr>
        <sz val="11"/>
        <rFont val="Times New Roman"/>
        <family val="1"/>
      </rPr>
      <t>Providing  selected  hard  murum  filling  including  laying  in  layers  of  15  to  20cmwith
watering and compacting etc. complete.</t>
    </r>
  </si>
  <si>
    <t>CD.14 Page.No. 167</t>
  </si>
  <si>
    <t>Selected hard murum filling</t>
  </si>
  <si>
    <t>CD</t>
  </si>
  <si>
    <r>
      <rPr>
        <sz val="11"/>
        <rFont val="Times New Roman"/>
        <family val="1"/>
      </rPr>
      <t>Providing and laying in situ / ready mix M-20 cement concrete of trap /granite /quartzite
/gneiss metal for approach slab / Rigid pavement including compacting, finishing, curing etc. complete. (excluding reinforcement) (with reversible drum type mixer/ concrete batch mix  plant  (pan  mixer)   with  SCADA  with  fine  agreegates  of  required  specifications (Natural sand / VSI sand finely washed etc ), cement 6.40 bags/cumt)</t>
    </r>
  </si>
  <si>
    <r>
      <rPr>
        <sz val="11"/>
        <rFont val="Times New Roman"/>
        <family val="1"/>
      </rPr>
      <t>CD.15 Page.No. 168
and B.7. Page No. 38</t>
    </r>
  </si>
  <si>
    <t>C.C. M-20 For Approch Slab</t>
  </si>
  <si>
    <r>
      <rPr>
        <sz val="11"/>
        <rFont val="Times New Roman"/>
        <family val="1"/>
      </rPr>
      <t>Providing and fixing stream lined M-20 grade RCC guard stone including mild steel bar
reinforcement etc. complete.</t>
    </r>
  </si>
  <si>
    <t>CD.20 Page.No. 169</t>
  </si>
  <si>
    <t xml:space="preserve"> M-20 RCC  guard  stone</t>
  </si>
  <si>
    <t>Providing cast in situ / ready mix M10 grade cement concrete for head walls of CD work / retaining walls etc. including necessary form work, compaction, finishing and curing etc. complete. (with reversible drum type mixer/ concrete batch mix plant (pan mixer)  with SCADA with fine agreegates of required  specifications  (Natural  sand /  VSI sand  finely washed etc ), cement 4.05 bags/cumt)</t>
  </si>
  <si>
    <t>CD 8 Page 163</t>
  </si>
  <si>
    <t xml:space="preserve">C. C. M10  for head walls of CD work / retaining  walls </t>
  </si>
  <si>
    <r>
      <rPr>
        <sz val="11"/>
        <rFont val="Times New Roman"/>
        <family val="1"/>
      </rPr>
      <t>Providing cast in situ / ready mix M20 grade cement concrete for head walls of CD work / retaining walls etc. including necessary form work, compaction, finishing and curing etc. complete. (with reversible drum type mixer/ concrete batch mix plant (pan mixer)  with
SCADA</t>
    </r>
  </si>
  <si>
    <t xml:space="preserve">C. C. M-20  for head walls of CD work / retaining  walls </t>
  </si>
  <si>
    <t>Providing and casting in situ / ready mix PCC M15 grade of trap metal for coping to head walls  /  parapet  including  centering,  form  work,  compaction  and  curing  etc.  complete. (with  reversible  drum  type  mixer/  concrete  batch  mix  plant  (pan  mixer)   with  SCADA with fine agreegates of required specifications (Natural sand / VSI sand finely washed etc )</t>
  </si>
  <si>
    <t>Bd-E-7</t>
  </si>
  <si>
    <t xml:space="preserve">PCC M15 grade for coping to head walls / parapet </t>
  </si>
  <si>
    <t>Providing and casting in situ / ready mix PCC M20 grade of trap metal for coping to head walls  /  parapet  including  centering,  form  work,  compaction  and  curing  etc.  complete. (with  reversible  drum  type  mixer/  concrete  batch  mix  plant  (pan  mixer)   with  SCADA with fine agreegates of required specifications (Natural sand / VSI sand finely washed etc )</t>
  </si>
  <si>
    <t>Bd-E-8</t>
  </si>
  <si>
    <t>PCC M20 grade for coping to head walls / parapet</t>
  </si>
  <si>
    <t>Bridge Foundation and Sub Structure</t>
  </si>
  <si>
    <t>BR 3A</t>
  </si>
  <si>
    <t xml:space="preserve">Excavation for foundation  in earth, soils of all types, sand, gravel, soft murum including shoring  and  strutting,  dewatering  as  necessary  and  disposing  off  excavated  stuff  as directed  etc. complete. ( By /manaual Means )
a) Upto 1.50m lift Normal Rate
</t>
  </si>
  <si>
    <t>BR.3 Page One Number 102</t>
  </si>
  <si>
    <t>12.02a</t>
  </si>
  <si>
    <t xml:space="preserve">Excavation for foundation  in earth, soils of all types, sand, gravel, soft murum including shoring  and  strutting,  dewatering  as  necessary  and  disposing  off  excavated  stuff  as directed  etc. complete. ( By /manaual Means )
b) 1.50m to 3.00m lift, Add 10%
</t>
  </si>
  <si>
    <t>12.02b</t>
  </si>
  <si>
    <t xml:space="preserve">Excavation for foundation  in earth, soils of all types, sand, gravel, soft murum including shoring  and  strutting,  dewatering  as  necessary  and  disposing  off  excavated  stuff  as directed  etc. complete. ( By /manaual Means )
c) 3.00m to 4.50m lift, Add 20%
</t>
  </si>
  <si>
    <t>12.02c</t>
  </si>
  <si>
    <t>Excavation for foundation  in earth, soils of all types, sand, gravel, soft murum including shoring  and  strutting,  dewatering  as  necessary  and  disposing  off  excavated  stuff  as directed  etc. complete. ( By /manaual Means )
d) 4.50m to 6.0m lift, Add 30%</t>
  </si>
  <si>
    <t xml:space="preserve">Excavation for foundation  in earth, soils of all types, sand, gravel, soft murum including shoring  and  strutting,  dewatering  as  necessary  and  disposing  off  excavated  stuff  as directed  etc. complete. ( By Mechanical Means )
a) Upto 1.50m lift Normal Rate
</t>
  </si>
  <si>
    <t>12.03a</t>
  </si>
  <si>
    <t xml:space="preserve">Excavation for foundation  in earth, soils of all types, sand, gravel, soft murum including shoring  and  strutting,  dewatering  as  necessary  and  disposing  off  excavated  stuff  as directed  etc. complete. ( By Mechanical Means )
b) 1.50m to 3.00m lift, Add 10%
</t>
  </si>
  <si>
    <t>12.03b</t>
  </si>
  <si>
    <t xml:space="preserve">Excavation for foundation  in earth, soils of all types, sand, gravel, soft murum including shoring  and  strutting,  dewatering  as  necessary  and  disposing  off  excavated  stuff  as directed  etc. complete. ( By Mechanical Means )
c) 3.00m to 4.50m lift, Add 20%
</t>
  </si>
  <si>
    <t>12.03c</t>
  </si>
  <si>
    <t>Excavation for foundation  in earth, soils of all types, sand, gravel, soft murum including shoring  and  strutting,  dewatering  as  necessary  and  disposing  off  excavated  stuff  as directed  etc. complete. ( By Mechanical Means )
d) 4.50m to 6.0m lift, Add 30%</t>
  </si>
  <si>
    <t>BR 3B</t>
  </si>
  <si>
    <r>
      <rPr>
        <sz val="11"/>
        <rFont val="Times New Roman"/>
        <family val="1"/>
      </rPr>
      <t>Excavation for foundation  in hard murum including shoring and strutting, dewatering as necessary and disposing off excavated stuff as directed etc. complete.
a) Upto 1.50m lift Normal Rate
b) 1.50m to 3.00m lift, Add 10%
c) 3.00m to 4.50m lift, Add 20%
d) 4.50m to 6.0m lift, Add 30%</t>
    </r>
  </si>
  <si>
    <t>12.04a</t>
  </si>
  <si>
    <t xml:space="preserve">Excavation for foundation  in hard murum including shoring and strutting, dewatering as necessary and disposing off excavated stuff as directed etc. complete.
b) 1.50m to 3.00m lift, Add 10%
</t>
  </si>
  <si>
    <t>12.04b</t>
  </si>
  <si>
    <t xml:space="preserve">Excavation for foundation  in hard murum including shoring and strutting, dewatering as necessary and disposing off excavated stuff as directed etc. complete.
c) 3.00m to 4.50m lift, Add 20%
</t>
  </si>
  <si>
    <t>12.04c</t>
  </si>
  <si>
    <t>Excavation for foundation  in hard murum including shoring and strutting, dewatering as necessary and disposing off excavated stuff as directed etc. complete.
d) 4.50m to 6.0m lift, Add 30%</t>
  </si>
  <si>
    <t>BR 3C</t>
  </si>
  <si>
    <r>
      <rPr>
        <sz val="11"/>
        <rFont val="Times New Roman"/>
        <family val="1"/>
      </rPr>
      <t>Excavation for foundation  in hard murum and boulders including shoring and strutting, dewatering as necessary and disposing off excavated stuff as directed etc. complete.
a) Upto 1.50m lift Normal Rate
b) 1.50m to 3.00m lift, Add 10%
c) 3.00m to 4.50m lift, Add 20%
d) 4.50m to 6.0m lift, Add 30%</t>
    </r>
  </si>
  <si>
    <t>12.06a</t>
  </si>
  <si>
    <t xml:space="preserve">Excavation for foundation  in hard murum and boulders including shoring and strutting, dewatering as necessary and disposing off excavated stuff as directed etc. complete.
b) 1.50m to 3.00m lift, Add 10%
</t>
  </si>
  <si>
    <t>12.06b</t>
  </si>
  <si>
    <t xml:space="preserve">Excavation for foundation  in hard murum and boulders including shoring and strutting, dewatering as necessary and disposing off excavated stuff as directed etc. complete.
c) 3.00m to 4.50m lift, Add 20%
</t>
  </si>
  <si>
    <t>12.06c</t>
  </si>
  <si>
    <t>Excavation for foundation  in hard murum and boulders including shoring and strutting, dewatering as necessary and disposing off excavated stuff as directed etc. complete.
d) 4.50m to 6.0m lift, Add 30%</t>
  </si>
  <si>
    <t>BR 3D</t>
  </si>
  <si>
    <r>
      <rPr>
        <sz val="11"/>
        <rFont val="Times New Roman"/>
        <family val="1"/>
      </rPr>
      <t>Excavation  for  foundation   in  soft  rock  including  shoring  and  strutting,  dewatering  as necessary and disposing off excavated stuff as directed etc. complete.
a) Upto 1.50m lift Normal Rate
b) 1.50m to 3.00m lift, Add 10%
c) 3.00m to 4.50m lift, Add 20%
d) 4.50m to 6.0m lift, Add 30%</t>
    </r>
  </si>
  <si>
    <t>12.08a</t>
  </si>
  <si>
    <t xml:space="preserve">Excavation  for  foundation   in  soft  rock  including  shoring  and  strutting,  dewatering  as necessary and disposing off excavated stuff as directed etc. complete.
b) 1.50m to 3.00m lift, Add 10%
</t>
  </si>
  <si>
    <t>12.08b</t>
  </si>
  <si>
    <t xml:space="preserve">Excavation  for  foundation   in  soft  rock  including  shoring  and  strutting,  dewatering  as necessary and disposing off excavated stuff as directed etc. complete.
c) 3.00m to 4.50m lift, Add 20%
</t>
  </si>
  <si>
    <t>12.08c</t>
  </si>
  <si>
    <t>Excavation  for  foundation   in  soft  rock  including  shoring  and  strutting,  dewatering  as necessary and disposing off excavated stuff as directed etc. complete.
d) 4.50m to 6.0m lift, Add 30%</t>
  </si>
  <si>
    <t>BR 3E</t>
  </si>
  <si>
    <r>
      <rPr>
        <sz val="11"/>
        <rFont val="Times New Roman"/>
        <family val="1"/>
      </rPr>
      <t>Excavation  for  foundation  in  hard  rock  by  blasting  including  shoring  and  strutting, dewatering as necessary and disposing off excavated stuff as directed etc. complete.
a) Upto 1.50m lift Normal Rate
b) 1.50m to 3.00m lift, Add 10%
c) 3.00m to 4.50m lift, Add 20%
d) 4.50m to 6.0m lift, Add 30%</t>
    </r>
  </si>
  <si>
    <t>12.09a</t>
  </si>
  <si>
    <t xml:space="preserve">Excavation  for  foundation  in  hard  rock  by  blasting  including  shoring  and  strutting, dewatering as necessary and disposing off excavated stuff as directed etc. complete.
b) 1.50m to 3.00m lift, Add 10%
</t>
  </si>
  <si>
    <t>12.09b</t>
  </si>
  <si>
    <t xml:space="preserve">Excavation  for  foundation  in  hard  rock  by  blasting  including  shoring  and  strutting, dewatering as necessary and disposing off excavated stuff as directed etc. complete.
c) 3.00m to 4.50m lift, Add 20%
</t>
  </si>
  <si>
    <t>12.09c</t>
  </si>
  <si>
    <t>Excavation  for  foundation  in  hard  rock  by  blasting  including  shoring  and  strutting, dewatering as necessary and disposing off excavated stuff as directed etc. complete.
d) 4.50m to 6.0m lift, Add 30%</t>
  </si>
  <si>
    <r>
      <rPr>
        <sz val="11"/>
        <rFont val="Times New Roman"/>
        <family val="1"/>
      </rPr>
      <t>Excavation  for  foundation  in  hard  rock  by  controlled  blasting  including  shoring  and strutting,  dewatering  as  necessary  and  disposing  off  excavated  stuff  as  directed  etc. complete.
a) Upto 1.50m lift Normal Rate
b) 1.50m to 3.00m lift, Add 10%
c) 3.00m to 4.50m lift, Add 20%
d) 4.50m to 6.0m lift, Add 30%</t>
    </r>
  </si>
  <si>
    <t>12.10a</t>
  </si>
  <si>
    <t xml:space="preserve">Excavation  for  foundation  in  hard  rock  by  controlled  blasting  including  shoring  and strutting,  dewatering  as  necessary  and  disposing  off  excavated  stuff  as  directed  etc. complete.
b) 1.50m to 3.00m lift, Add 10%
</t>
  </si>
  <si>
    <t>12.10b</t>
  </si>
  <si>
    <t xml:space="preserve">Excavation  for  foundation  in  hard  rock  by  controlled  blasting  including  shoring  and strutting,  dewatering  as  necessary  and  disposing  off  excavated  stuff  as  directed  etc. complete.
c) 3.00m to 4.50m lift, Add 20%
</t>
  </si>
  <si>
    <t>12.10c</t>
  </si>
  <si>
    <t>Excavation  for  foundation  in  hard  rock  by  controlled  blasting  including  shoring  and strutting,  dewatering  as  necessary  and  disposing  off  excavated  stuff  as  directed  etc. complete.
d) 4.50m to 6.0m lift, Add 30%</t>
  </si>
  <si>
    <t>BR 3F</t>
  </si>
  <si>
    <r>
      <rPr>
        <sz val="11"/>
        <rFont val="Times New Roman"/>
        <family val="1"/>
      </rPr>
      <t>Excavation  for  foundation  in  hard  rock  by  chiselling  and  wedging  or  line  drilling including shoring and strutting, dewatering as necessary and disposing off excavated stuff as directed etc. complete.
a) Upto 1.50m lift Normal Rate
b) 1.50m to 3.00m lift, Add 10%
c) 3.00m to 4.50m lift, Add 20%
d) 4.50m to 6.0m lift, Add 30%</t>
    </r>
  </si>
  <si>
    <t>BR-3 Page One Number 102</t>
  </si>
  <si>
    <t>12.11a</t>
  </si>
  <si>
    <t xml:space="preserve">Excavation  for  foundation  in  hard  rock  by  chiselling  and  wedging  or  line  drilling including shoring and strutting, dewatering as necessary and disposing off excavated stuff as directed etc. complete.
b) 1.50m to 3.00m lift, Add 10%
</t>
  </si>
  <si>
    <t>12.11b</t>
  </si>
  <si>
    <t xml:space="preserve">Excavation  for  foundation  in  hard  rock  by  chiselling  and  wedging  or  line  drilling including shoring and strutting, dewatering as necessary and disposing off excavated stuff as directed etc. complete.
c) 3.00m to 4.50m lift, Add 20%
</t>
  </si>
  <si>
    <t>12.11c</t>
  </si>
  <si>
    <t>Excavation  for  foundation  in  hard  rock  by  chiselling  and  wedging  or  line  drilling including shoring and strutting, dewatering as necessary and disposing off excavated stuff as directed etc. complete.
d) 4.50m to 6.0m lift, Add 30%</t>
  </si>
  <si>
    <t>BR 3G</t>
  </si>
  <si>
    <r>
      <rPr>
        <sz val="11"/>
        <rFont val="Times New Roman"/>
        <family val="1"/>
      </rPr>
      <t>Excavation for foundation in laterite rock including shoring and strutting, dewatering as necessary and disposing off excavated stuff as directed etc. complete.
a) Upto 1.50m lift Normal Rate
b) 1.50m to 3.00m lift, Add 10%
c) 3.00m to 4.50m lift, Add 20%
d) 4.50m to 6.0m lift, Add 30%</t>
    </r>
  </si>
  <si>
    <t>12.12a</t>
  </si>
  <si>
    <t xml:space="preserve">Excavation for foundation in laterite rock including shoring and strutting, dewatering as necessary and disposing off excavated stuff as directed etc. complete.
b) 1.50m to 3.00m lift, Add 10%
</t>
  </si>
  <si>
    <t>12.12b</t>
  </si>
  <si>
    <t>12.12c</t>
  </si>
  <si>
    <t>Excavation for foundation in laterite rock including shoring and strutting, dewatering as necessary and disposing off excavated stuff as directed etc. complete.
d) 4.50m to 6.0m lift, Add 30%</t>
  </si>
  <si>
    <r>
      <rPr>
        <sz val="11"/>
        <rFont val="Times New Roman"/>
        <family val="1"/>
      </rPr>
      <t>Bridge Foundation and
Sub Structure</t>
    </r>
  </si>
  <si>
    <r>
      <rPr>
        <sz val="11"/>
        <rFont val="Times New Roman"/>
        <family val="1"/>
      </rPr>
      <t>Providing  and fixing 25mm diameter steel anchor dowel in hard rock including drilling hole  of  32  mm  diameter  up  to  0.75  mtrs  depth,  placing  the  dowel  in  position  and
effectively grouting the hole with CM 1:1 proportion etc. complete.</t>
    </r>
  </si>
  <si>
    <t>As directed by Engineer in charge.</t>
  </si>
  <si>
    <t>BR 4 B</t>
  </si>
  <si>
    <r>
      <rPr>
        <sz val="11"/>
        <rFont val="Times New Roman"/>
        <family val="1"/>
      </rPr>
      <t>Dewatering on BHP basis by using water pump including diversion of stream, providing cofferdams, earthern bunds etc. as may be necessary for foundation and other parts of the the works and pumping out water during and after excavation as may be required by using
3.0  BHP  pump  etc.  complete.  (prior  approval  of  Superintending  Engineer  will  be
necessary)</t>
    </r>
  </si>
  <si>
    <t>BR 4 Page No 104.105</t>
  </si>
  <si>
    <t>One Hour</t>
  </si>
  <si>
    <r>
      <rPr>
        <sz val="11"/>
        <rFont val="Times New Roman"/>
        <family val="1"/>
      </rPr>
      <t>Dewatering on BHP basis by using water pump including diversion of stream, providing cofferdams, earthern bunds etc. as may be necessary for foundation and other parts of the the works and pumping out water during and after excavation as may be required by using
5.0 to 9.0 BHP pump etc. complete. (prior approval of Superintending  Engineer will be
necessary)</t>
    </r>
  </si>
  <si>
    <r>
      <rPr>
        <sz val="11"/>
        <rFont val="Times New Roman"/>
        <family val="1"/>
      </rPr>
      <t>Dewatering on BHP basis by using water pump including diversion of stream, providing cofferdams, earthern bunds etc. as may be necessary for foundation and other parts of the the works and pumping out water during and after excavation as may be required by using
10.0 to 19.0 BHP pump etc. complete. (prior approval of Superintending Engineer will be
necessary)</t>
    </r>
  </si>
  <si>
    <t>BR 5A</t>
  </si>
  <si>
    <r>
      <t xml:space="preserve">Providing and laying in situ / ready mix / ready mix </t>
    </r>
    <r>
      <rPr>
        <b/>
        <sz val="11"/>
        <color rgb="FFFF0000"/>
        <rFont val="Times New Roman"/>
        <family val="1"/>
      </rPr>
      <t xml:space="preserve">M10 cement concrete </t>
    </r>
    <r>
      <rPr>
        <sz val="11"/>
        <rFont val="Times New Roman"/>
        <family val="1"/>
      </rPr>
      <t>of trap/ granite/ quartzite/ gneiss metal</t>
    </r>
    <r>
      <rPr>
        <b/>
        <sz val="11"/>
        <color rgb="FFFF0000"/>
        <rFont val="Times New Roman"/>
        <family val="1"/>
      </rPr>
      <t xml:space="preserve"> in foundation </t>
    </r>
    <r>
      <rPr>
        <sz val="11"/>
        <rFont val="Times New Roman"/>
        <family val="1"/>
      </rPr>
      <t>including necessary centering, formwork, bailing out water, compacting and curing etc. complete. (with fully automatic micro processor based PLC  with  SCADA  enabled  with  reversible  drum  type  mixer/  concrete  batch  mix  plant (pan mixer)  with natural /artifical sand)</t>
    </r>
  </si>
  <si>
    <t>BR.5 Page One Number 105 and B.7, Page One Number 38</t>
  </si>
  <si>
    <t>BR 6</t>
  </si>
  <si>
    <r>
      <rPr>
        <sz val="11"/>
        <rFont val="Times New Roman"/>
        <family val="1"/>
      </rPr>
      <t>Providing uncoursed rubble stone masonry of trap/ granite/ quartzite/ gneiss metal in CM 1:5 for foundation of piers, abutments, wings etc. including bailing out of water, striking
joints, scaffolding and watering etc. complete.</t>
    </r>
  </si>
  <si>
    <t>BR.6 Page One Number 105</t>
  </si>
  <si>
    <t>BR 8</t>
  </si>
  <si>
    <r>
      <rPr>
        <sz val="11"/>
        <rFont val="Times New Roman"/>
        <family val="1"/>
      </rPr>
      <t>Providing, fabricating, launching, floating and grounding in position steel curbs for wells with necessary steel bracings and steel cutting edges as shown in the detailed drawings
and technical specifications etc. complete.</t>
    </r>
  </si>
  <si>
    <t>BR.8 Page One Number 108</t>
  </si>
  <si>
    <t>One Metric Tonne</t>
  </si>
  <si>
    <t>BR 9A</t>
  </si>
  <si>
    <r>
      <t xml:space="preserve">Providing and laying in situ / ready mix / ready mix </t>
    </r>
    <r>
      <rPr>
        <b/>
        <sz val="11"/>
        <rFont val="Times New Roman"/>
        <family val="1"/>
      </rPr>
      <t xml:space="preserve">CC M10 </t>
    </r>
    <r>
      <rPr>
        <sz val="11"/>
        <rFont val="Times New Roman"/>
        <family val="1"/>
      </rPr>
      <t>of trap/ granite/ quartzite/ gneiss metal</t>
    </r>
    <r>
      <rPr>
        <b/>
        <sz val="11"/>
        <color rgb="FFFF0000"/>
        <rFont val="Times New Roman"/>
        <family val="1"/>
      </rPr>
      <t xml:space="preserve"> in the hollow of the steel curbs</t>
    </r>
    <r>
      <rPr>
        <sz val="11"/>
        <rFont val="Times New Roman"/>
        <family val="1"/>
      </rPr>
      <t xml:space="preserve"> including compacting by vibrating and curing etc.  complete.  (with  fully automatic  micro  processor  based  PLC  with  SCADA  enabled with  reversible  drum  type  mixer/  concrete  batch  mix  plant  (pan  mixer)   with  fine agreegates of required specifications ( VSI sand finely washed etc )</t>
    </r>
  </si>
  <si>
    <t>BR.9 Page One Number 109 and B.7, Page One Number38</t>
  </si>
  <si>
    <r>
      <rPr>
        <sz val="11"/>
        <rFont val="Times New Roman"/>
        <family val="1"/>
      </rPr>
      <t>Bridge
Foundation and Sub Structure</t>
    </r>
  </si>
  <si>
    <t>BR 10</t>
  </si>
  <si>
    <t>Providing, fabricating and setting out MS cutting edge for RCC well curbs as per detailed drawings and technical specifications etc. complete.</t>
  </si>
  <si>
    <t>BR.10 Page One Number 110</t>
  </si>
  <si>
    <t>BR 13A</t>
  </si>
  <si>
    <r>
      <rPr>
        <sz val="11"/>
        <rFont val="Times New Roman"/>
        <family val="1"/>
      </rPr>
      <t>Providing and laying in situ / ready mix / ready mix M20 RCC work with trap/ granite/ quartzite/  gneiss  metal  in  well  steining  including  shuttering,  compacting  by  vibrating, finishing  and  curing  etc.  complete.  (fully  automatic  micro  processor  based  PLC  with SCADA enabled with reversible drum type mixer/ concrete batch mix plant (pan mixer) with fine agreegates of required specifications ( VSI sand finely washed etc ), excluding
reinforcement)</t>
    </r>
  </si>
  <si>
    <r>
      <rPr>
        <sz val="11"/>
        <rFont val="Times New Roman"/>
        <family val="1"/>
      </rPr>
      <t>BR.13 Page One Number 112 and B.
7, Page One Number38</t>
    </r>
  </si>
  <si>
    <t>C.C. M-20 in Well steining</t>
  </si>
  <si>
    <r>
      <rPr>
        <sz val="11"/>
        <rFont val="Times New Roman"/>
        <family val="1"/>
      </rPr>
      <t>Providing and laying in situ / ready mix / ready mix M25 RCC work with trap/ granite/ quartzite/  gneiss  metal  in  well  steining  including  shuttering,  compacting  by  vibrating, finishing  and  curing  etc.  complete.  (fully  automatic  micro  processor  based  PLC  with SCADA enabled with reversible drum type mixer/ concrete batch mix plant (pan mixer) with fine agreegates of required specifications ( VSI sand finely washed etc ), excluding
reinforcement)</t>
    </r>
  </si>
  <si>
    <t>C.C. M-25 in Well steining</t>
  </si>
  <si>
    <t>BR</t>
  </si>
  <si>
    <t>Providing and laying in situ / ready mix / ready mix M20 RCC work with trap/ granite/ quartzite/  gneiss  metal  in  well  steining  including  shuttering,  compacting  by  vibrating, finishing  and  curing  etc.  complete.  (fully  automatic  micro  processor  based  PLC  with SCADA enabled  concrete  batch  mix  plant /  pan mixer  with fine  agreegates of  required specifications ( VSI sand finely washed etc ), excluding reinforcement)</t>
  </si>
  <si>
    <t>Providing and laying in situ / ready mix / ready mix M25 RCC work with trap/ granite/ quartzite/  gneiss  metal  in  well  steining  including  shuttering,  compacting  by  vibrating, finishing  and  curing  etc.  complete.  (fully  automatic  micro  processor  based  PLC  with SCADA enabled  concrete  batch  mix  plant /  pan mixer  with fine  agreegates of  required specifications ( VSI sand finely washed etc ), excluding reinforcement)</t>
  </si>
  <si>
    <t>BR 14</t>
  </si>
  <si>
    <r>
      <rPr>
        <sz val="11"/>
        <rFont val="Times New Roman"/>
        <family val="1"/>
      </rPr>
      <t>Sinking of wells upto 5.0 metres diameter for foundation through all strata (except rock) to be removed by grabbing and chiselling soft disintegrated rock including blasting, large scale dewatering, heavy chiselling, cutting by pneumatic tools, all materials available to sink  through  such  strata  including  removal  of  obstacle  and  use  of  necessary  plant  and machinery, divers etc. and proper seating of the wells etc. complete. (depth 0 to 5 metre)
i) Add 30% extra for depth 5 to 10 m
ii) Add 40% extra for depth 10 to 15 m
iii) Add 60% extra for depth 15 to 20 m
iv) Add 100% extra for depth above 20 m</t>
    </r>
  </si>
  <si>
    <t>BR.14 Page One Number 113</t>
  </si>
  <si>
    <r>
      <rPr>
        <sz val="11"/>
        <rFont val="Times New Roman"/>
        <family val="1"/>
      </rPr>
      <t>Sinking of wells above 5.0 metres and upto 6.0 metres diameter for foundation through all strata  (except  rock)  to  be  removed  by  grabbing  and  chiselling  soft  disintegrated  rock including blasting, large scale dewatering, heavy chiselling, cutting by pneumatic tools, all materials  available to sink through such strata including removal of obstacle and use of necessary plant and machinery, divers etc. and proper seating of the wells etc. complete. (depth 0 to 5 metre)
i) Add 30% extra for depth 5 to 10 m
ii) Add 40% extra for depth 10 to 15 m
iii) Add 60% extra for depth 15 to 20 m
iv) Add 100% extra for depth above 20 m</t>
    </r>
  </si>
  <si>
    <r>
      <rPr>
        <sz val="11"/>
        <rFont val="Times New Roman"/>
        <family val="1"/>
      </rPr>
      <t>Sinking of wells above 6.0 metres and upto 7.0 metres diameter for foundation through all strata  (except  rock)  to  be  removed  by  grabbing  and  chiselling  soft  disintegrated  rock including blasting, large scale dewatering, heavy chiselling, cutting by pneumatic tools, all materials  available to sink through such strata including removal of obstacle and use of necessary plant and machinery, divers etc. and proper seating of the wells etc. complete. (depth 0 to 5 metre)
i) Add 30% extra for depth 5 to 10 m
ii) Add 40% extra for depth 10 to 15 m
iii) Add 60% extra for depth 15 to 20 m
iv) Add 100% extra for depth above 20 m</t>
    </r>
  </si>
  <si>
    <r>
      <rPr>
        <sz val="11"/>
        <rFont val="Times New Roman"/>
        <family val="1"/>
      </rPr>
      <t>Sinking of wells above 7.0 metres and upto 8.0 metres diameter for foundation through all strata  (except  rock)  to  be  removed  by  grabbing  and  chiselling  soft  disintegrated  rock including blasting, large scale dewatering, heavy chiselling, cutting by pneumatic tools, all materials  available to sink through such strata including removal of obstacle and use of necessary plant and machinery, divers etc. and proper seating of the wells etc. complete. (depth 0 to 5 metre)
i) Add 30% extra for depth 5 to 10 m
ii) Add 40% extra for depth 10 to 15 m
iii) Add 60% extra for depth 15 to 20 m
iv) Add 100% extra for depth above 20 m</t>
    </r>
  </si>
  <si>
    <r>
      <rPr>
        <sz val="11"/>
        <rFont val="Times New Roman"/>
        <family val="1"/>
      </rPr>
      <t>Sinking of wells above 8.0 metres and upto 9.0 metres diameter for foundation through all strata  (except  rock)  to  be  removed  by  grabbing  and  chiselling  soft  disintegrated  rock including blasting, large scale dewatering, heavy chiselling, cutting by pneumatic tools, all materials  available to sink through such strata including removal of obstacle and use of necessary plant and machinery, divers etc. and proper seating of the wells etc. complete. (depth 0 to 5 metre)
i) Add 30% extra for depth 5 to 10 m
ii) Add 40% extra for depth 10 to 15 m
iii) Add 60% extra for depth 15 to 20 m
iv) Add 100% extra for depth above 20 m</t>
    </r>
  </si>
  <si>
    <r>
      <rPr>
        <sz val="11"/>
        <rFont val="Times New Roman"/>
        <family val="1"/>
      </rPr>
      <t>Sinking of wells above 9.0 metres and upto 10.0 metres diameter for foundation through all strata (except rock) to be removed by grabbing and chiselling soft disintegrated rock including blasting, large scale dewatering, heavy chiselling, cutting by pneumatic tools, all materials  available to sink through such strata including removal of obstacle and use of necessary plant and machinery, divers etc. and proper seating of the wells etc. complete. (depth 0 to 5 metre)
i) Add 30% extra for depth 5 to 10 m
ii) Add 40% extra for depth 10 to 15 m
iii) Add 60% extra for depth 15 to 20 m
iv) Add 100% extra for depth above 20 m</t>
    </r>
  </si>
  <si>
    <t>Extra charges for sinking of various diameter of well foundation in hard rock encountered during sinking by chiselling in water etc. complete.</t>
  </si>
  <si>
    <t>BR. 14A Page One Number 113</t>
  </si>
  <si>
    <t>BR 16</t>
  </si>
  <si>
    <t>Providing steel anchor dowel bars of 32 mm diameter and 4 m length at the base of the well including  drilling holes of 60 mm diameter up to 2.5 m depth in rock, placing the dowels in position and effectively grouting the holes with CM 1:1 etc. complete.</t>
  </si>
  <si>
    <t>BR.16 Page One Number 120</t>
  </si>
  <si>
    <t>BR 16A</t>
  </si>
  <si>
    <r>
      <rPr>
        <sz val="11"/>
        <rFont val="Times New Roman"/>
        <family val="1"/>
      </rPr>
      <t>Providing steel anchor dowel bars of 32 mm diameter and 4 m length through steining of the wells including provision of necessary ducts through staining, drilling holes of 60 mm diameter up to 2.5 m depth in rock, placing the dowels in position and effectively grouting
the holes with CM 1:1 etc. complete.</t>
    </r>
  </si>
  <si>
    <t>BR. 16 Page One Number 120</t>
  </si>
  <si>
    <t>BR 17A</t>
  </si>
  <si>
    <r>
      <rPr>
        <sz val="11"/>
        <rFont val="Times New Roman"/>
        <family val="1"/>
      </rPr>
      <t>Providing and laying in situ / ready mix / ready mix M15 CC of trap/ granite /quartzite
/gneiss metal for the bottom plugs of wells in the dry condition including compaction and curing  wherever  necessary  etc.  complete.  (with  fully  automatic  micro  processor  based PLC  with  SCADA  enabled  with  reversible  drum  type  mixer/  concrete  batch  mix  plant (pan mixer)  with fine agreegates of required specifications ( VSI sand finely washed etc )</t>
    </r>
  </si>
  <si>
    <r>
      <rPr>
        <sz val="11"/>
        <rFont val="Times New Roman"/>
        <family val="1"/>
      </rPr>
      <t>BR.17 Page One Number 120 and B.
7, Page One Number38</t>
    </r>
  </si>
  <si>
    <t xml:space="preserve">M15 CC  for  the  bottom plugs  of  wells </t>
  </si>
  <si>
    <t>BR 17B</t>
  </si>
  <si>
    <t>Providing and laying in situ / ready mix M15 CC of trap/ granite /quartzite /gneiss metal for  the  bottom  plugs  of  wells  under  water  including  compaction  and  curing  wherever necessary etc. complete. (with fully automatic micro processor based PLC with SCADA enabled with reversible drum type mixer/ concrete batch mix plant (pan mixer)  with fine agreegates of required specifications ( VSI sand finely washed etc )</t>
  </si>
  <si>
    <t>BR 59 a</t>
  </si>
  <si>
    <r>
      <rPr>
        <sz val="11"/>
        <rFont val="Times New Roman"/>
        <family val="1"/>
      </rPr>
      <t xml:space="preserve">Providing and laying in situ / ready mix controlled grade of M15 of trap /granite /quartzite
/gneiss  metal  for </t>
    </r>
    <r>
      <rPr>
        <b/>
        <sz val="11"/>
        <color rgb="FFFF0000"/>
        <rFont val="Times New Roman"/>
        <family val="1"/>
      </rPr>
      <t xml:space="preserve"> RCC  works  in  cut  off  walls  /  curtain  walls</t>
    </r>
    <r>
      <rPr>
        <sz val="11"/>
        <rFont val="Times New Roman"/>
        <family val="1"/>
      </rPr>
      <t xml:space="preserve">  including  necessary scaffolding, centering, compacting by vibrator, finishing and curing etc. complete. (with fully automatic micro  processor based  PLC with  SCADA enabled  with reversible  drum type   mixer/   concrete   batch   mix   plant   (pan   mixer)    VSI   sand   crushed,   excluding reinforcement)</t>
    </r>
  </si>
  <si>
    <t>M15   for RCC works in cut off walls / curtain walls</t>
  </si>
  <si>
    <r>
      <rPr>
        <sz val="11"/>
        <rFont val="Times New Roman"/>
        <family val="1"/>
      </rPr>
      <t xml:space="preserve">Providing and laying in situ / ready mix controlled grade of M20 of trap /granite /quartzite
/gneiss  metal  for  </t>
    </r>
    <r>
      <rPr>
        <b/>
        <sz val="11"/>
        <color rgb="FFFF0000"/>
        <rFont val="Times New Roman"/>
        <family val="1"/>
      </rPr>
      <t xml:space="preserve">RCC  works  in  cut  off  walls  /  curtain  walls </t>
    </r>
    <r>
      <rPr>
        <sz val="11"/>
        <rFont val="Times New Roman"/>
        <family val="1"/>
      </rPr>
      <t xml:space="preserve"> including  necessary scaffolding, centering, compacting by vibrator, finishing and curing etc. complete. (with fully automatic micro  processor based  PLC with  SCADA enabled  with reversible  drum type  mixer/  concrete  batch  mix  plant  (pan  mixer)   with  fine  agreegates  of  required specifications ( VSI sand finely washed etc ), excluding reinforcement)</t>
    </r>
  </si>
  <si>
    <t>M20  for RCC works in cut off walls / curtain walls</t>
  </si>
  <si>
    <r>
      <rPr>
        <sz val="11"/>
        <rFont val="Times New Roman"/>
        <family val="1"/>
      </rPr>
      <t xml:space="preserve">Providing and laying in situ / ready mix controlled grade of M25 of trap /granite /quartzite
/gneiss  metal  for  </t>
    </r>
    <r>
      <rPr>
        <b/>
        <sz val="11"/>
        <color rgb="FFFF0000"/>
        <rFont val="Times New Roman"/>
        <family val="1"/>
      </rPr>
      <t xml:space="preserve">RCC  works  in  cut  off  walls  /  curtain  walls </t>
    </r>
    <r>
      <rPr>
        <sz val="11"/>
        <rFont val="Times New Roman"/>
        <family val="1"/>
      </rPr>
      <t xml:space="preserve"> including  necessary scaffolding, centering, compacting by vibrator, finishing and curing etc. complete. (with fully automatic micro  processor based  PLC with  SCADA enabled  with reversible  drum type  mixer/  concrete  batch  mix  plant  (pan  mixer)   with  fine  agreegates  of  required specifications ( VSI sand finely washed etc ), excluding reinforcement)</t>
    </r>
  </si>
  <si>
    <t>M25 for RCC works in cut off walls / curtain walls</t>
  </si>
  <si>
    <t>12.67.a</t>
  </si>
  <si>
    <r>
      <rPr>
        <sz val="11"/>
        <rFont val="Times New Roman"/>
        <family val="1"/>
      </rPr>
      <t>Providing  and  Constructing  Temporary Island  16  m  diameter  for  Construction  of  Well Foundation for 8m dia. Well.
Note:- For other well diameters rate can be worked out on the basis of cross-sectional area of  well.  The  diameter  of  the  island  shall  be  in  the  conformity  with  clause  1203.2  of MoRTH
For depth of water 1.0 m and height of island to be 1.25 m.</t>
    </r>
  </si>
  <si>
    <r>
      <rPr>
        <sz val="11"/>
        <rFont val="Times New Roman"/>
        <family val="1"/>
      </rPr>
      <t>BR.7. P.One
Number 107</t>
    </r>
  </si>
  <si>
    <t>12.67.b</t>
  </si>
  <si>
    <r>
      <rPr>
        <sz val="11"/>
        <rFont val="Times New Roman"/>
        <family val="1"/>
      </rPr>
      <t>Providing  and  Constructing  Temporary Island  16  m  diameter  for  Construction  of  Well Foundation for 8m dia. Well.
Note:- For other well diameters rate can be worked out on the basis of cross-sectional area of  well.  The  diameter  of  the  island  shall  be  in  the  conformity  with  clause  1203.2  of MoRTH
For depth of water 4.0 m and height of island 4.5 m.</t>
    </r>
  </si>
  <si>
    <t>12.68.a</t>
  </si>
  <si>
    <r>
      <rPr>
        <sz val="11"/>
        <rFont val="Times New Roman"/>
        <family val="1"/>
      </rPr>
      <t>Providing  and  Constructing  Temporary Island  12  m  diameter  for  Construction  of  Well Foundation for 6 m dia. Well.
Note:- For other well diameters rate can be worked out on the basis of cross-sectional area of  well.  The  diameter  of  the  island  shall  be  in  the  conformity  with  clause  1203.2  of MoRTH
For depth of water 1.0 m and height of island to be 1.25 m.</t>
    </r>
  </si>
  <si>
    <t>12.68.b</t>
  </si>
  <si>
    <r>
      <rPr>
        <sz val="11"/>
        <rFont val="Times New Roman"/>
        <family val="1"/>
      </rPr>
      <t>Providing  and  Constructing  Temporary Island  12  m  diameter  for  Construction  of  Well Foundation for 6 m dia. Well.
Note:- For other well diameters rate can be worked out on the basis of cross-sectional area of  well.  The  diameter  of  the  island  shall  be  in  the  conformity  with  clause  1203.2  of MoRTH
For depth of water 4.0 m and height of island 4.5 m.</t>
    </r>
  </si>
  <si>
    <t>Bridge : Bored Pile</t>
  </si>
  <si>
    <t>Back  filling  behind  abutment,  wing  wall and  return  wall as  per  drawings  and  technical specifications etc. complete. (by granular material)</t>
  </si>
  <si>
    <t>MORT and H 2200 &amp;-710.1.4 of iRC 78</t>
  </si>
  <si>
    <t>Back  filling  behind  abutment,  wing  wall and  return  wall as  per  drawings  and  technical specifications etc. complete. (by sandy material)</t>
  </si>
  <si>
    <r>
      <rPr>
        <sz val="11"/>
        <rFont val="Times New Roman"/>
        <family val="1"/>
      </rPr>
      <t>Providing  and  laying  of  filter  media  with  granular  materials/  stone  crushed  aggregates satisfying  the requirements laid down in clause 2504.2.2 of MoRTH specifications  to  a thickness  of  not  less  than  600  mm  with  smaller  size  towards  the  soil  and  bigger  size towards  the  wall  and  provided  over  the  entire  surface  behind  abutment,  wing  wall  and return wall to the full height compacted to a firm condition as per drawing and technical
specifications etc. complete.</t>
    </r>
  </si>
  <si>
    <t>Bridge Bearings</t>
  </si>
  <si>
    <r>
      <rPr>
        <sz val="7.5"/>
        <rFont val="Times New Roman"/>
        <family val="1"/>
      </rPr>
      <t>Bridge Bearings</t>
    </r>
  </si>
  <si>
    <r>
      <rPr>
        <sz val="7.5"/>
        <rFont val="Times New Roman"/>
        <family val="1"/>
      </rPr>
      <t>BR 34A</t>
    </r>
  </si>
  <si>
    <t>Providing and fixing neoprene bearing as per detailed drawings etc. complete.</t>
  </si>
  <si>
    <r>
      <rPr>
        <sz val="7.5"/>
        <rFont val="Times New Roman"/>
        <family val="1"/>
      </rPr>
      <t xml:space="preserve">As directed by
</t>
    </r>
    <r>
      <rPr>
        <sz val="7.5"/>
        <rFont val="Times New Roman"/>
        <family val="1"/>
      </rPr>
      <t>Engineer in charge.</t>
    </r>
  </si>
  <si>
    <r>
      <rPr>
        <sz val="7.5"/>
        <rFont val="Times New Roman"/>
        <family val="1"/>
      </rPr>
      <t xml:space="preserve">One Cubic
</t>
    </r>
    <r>
      <rPr>
        <sz val="7.5"/>
        <rFont val="Times New Roman"/>
        <family val="1"/>
      </rPr>
      <t>Centimetre</t>
    </r>
  </si>
  <si>
    <r>
      <rPr>
        <sz val="7.5"/>
        <rFont val="Times New Roman"/>
        <family val="1"/>
      </rPr>
      <t>BR</t>
    </r>
  </si>
  <si>
    <t>Providing tar paper bearing including laying in proper position etc. complete.</t>
  </si>
  <si>
    <r>
      <rPr>
        <sz val="7.5"/>
        <rFont val="Times New Roman"/>
        <family val="1"/>
      </rPr>
      <t>MORTH</t>
    </r>
  </si>
  <si>
    <t>Supplying,  fitting  and  fixing  in  position  true  to  line  and  level  cast  steel rocker  bearing conforming  to  IRC:83  (Pt-1)  section  IX  and  clause  2003  of  MoRTH  specifications including all accessories as per drawings and technical specifications etc. complete.</t>
  </si>
  <si>
    <r>
      <rPr>
        <sz val="7.5"/>
        <rFont val="Times New Roman"/>
        <family val="1"/>
      </rPr>
      <t xml:space="preserve">MORT and H - 2000,1000,2200 &amp;
</t>
    </r>
    <r>
      <rPr>
        <sz val="7.5"/>
        <rFont val="Times New Roman"/>
        <family val="1"/>
      </rPr>
      <t>IRC 83-1982</t>
    </r>
  </si>
  <si>
    <r>
      <rPr>
        <sz val="7.5"/>
        <rFont val="Times New Roman"/>
        <family val="1"/>
      </rPr>
      <t>One Metric Tonne</t>
    </r>
  </si>
  <si>
    <t>Supplying, fitting and fixing in position true to line and level forged steel rocker bearing including  all  accessories  as  per  drawings  and  technical  specifications  conforming  to IRC:83 (Pt-1) section IX and clause 2003 of MoRTH specifications  etc. complete.</t>
  </si>
  <si>
    <r>
      <rPr>
        <sz val="7.5"/>
        <rFont val="Times New Roman"/>
        <family val="1"/>
      </rPr>
      <t xml:space="preserve">MORT and H  2000
</t>
    </r>
    <r>
      <rPr>
        <sz val="7.5"/>
        <rFont val="Times New Roman"/>
        <family val="1"/>
      </rPr>
      <t>and 2200</t>
    </r>
  </si>
  <si>
    <r>
      <rPr>
        <sz val="11"/>
        <rFont val="Times New Roman"/>
        <family val="1"/>
      </rPr>
      <t>Supplying, fitting and fixing in position true to line and level sliding plate bearing with PTFE  surface  sliding  on  stainless  steel  including  all  accessories  as  per  drawings  and technical  specifications   and  BS:5400,  section  9.1  and  9.2  and  clause  2004  of  MoRTH
specifications etc. complete.</t>
    </r>
  </si>
  <si>
    <r>
      <rPr>
        <sz val="11"/>
        <rFont val="Times New Roman"/>
        <family val="1"/>
      </rPr>
      <t>Supplying,  fitting  and  fixing  in  position  true  to  line  and  level  elastomeric  bearing
including  all accessories  as  per  drawing  and  technical  specifications  and  IRC:83  (Pt-II) section IX and clause 2005 of MoRTH specifications etc. complete.</t>
    </r>
  </si>
  <si>
    <r>
      <rPr>
        <sz val="7.5"/>
        <rFont val="Times New Roman"/>
        <family val="1"/>
      </rPr>
      <t>One Cubic Centimetre</t>
    </r>
  </si>
  <si>
    <t>Supplying, fitting and fixing in position true to line and level sliding plate bearing with stainless  steel  plate  sliding  on  stainless  steel  plate  with  mild  steel  matrix  including  all accessories as per drawings and technical specifications etc. complete.</t>
  </si>
  <si>
    <t>Supplying,  fitting  and  fixing  in  position  true  to  line  and  level  POT-  PTFE  bearing consisting of a metal piston supported by a disc or unreinforced elastomer confined within a  metal  cylinder,  sealing  rings,  dust  seals,  PTFE  surface  sliding  against  stainless  steel mating  surface, complete assembly to be of cast steel / fabricated  structural steel, metal and  elastomer  elements  to  be  as  per  IRC:  83  part  I  and  II  respectively  and  other  parts conforming to BS:5400, section 9.1 and 9.2 and clause 2006 of MoRTH specifications as per drawing and approved technical specifications etc. complete.</t>
  </si>
  <si>
    <t>Bridge Super
Structure</t>
  </si>
  <si>
    <t>Bridge Super Structure</t>
  </si>
  <si>
    <t>BR 35A</t>
  </si>
  <si>
    <t>Providing, cutting, bending, hooking, tying  and laying in position TMT FE 500 steel bars for reinforcement for all RCC works as per detailed drawings etc. complete.</t>
  </si>
  <si>
    <t>BR.35 Page Number 134</t>
  </si>
  <si>
    <t xml:space="preserve">TMT FE 500 steel bars for reinforcement for all RCC works </t>
  </si>
  <si>
    <r>
      <rPr>
        <sz val="11"/>
        <rFont val="Times New Roman"/>
        <family val="2"/>
      </rPr>
      <t>Bridge Super
Structure</t>
    </r>
  </si>
  <si>
    <t>BR 35B a</t>
  </si>
  <si>
    <r>
      <rPr>
        <sz val="11"/>
        <rFont val="Times New Roman"/>
        <family val="2"/>
      </rPr>
      <t>Providing  and  joining  25  mm diameter  MS  /  TMT  FE  500  steel reinforcement  bars  by
bottle nuts including supplying and fitting them in position etc. complete.</t>
    </r>
  </si>
  <si>
    <t>BR 35B b</t>
  </si>
  <si>
    <r>
      <rPr>
        <sz val="11"/>
        <rFont val="Times New Roman"/>
        <family val="2"/>
      </rPr>
      <t>Providing  and  joining  32  mm  diameter  MS  /TMT  FE  500  steel  reinforcement  bars  by
bottle nuts including supplying and fitting them in position etc. complete.</t>
    </r>
  </si>
  <si>
    <r>
      <rPr>
        <sz val="11"/>
        <rFont val="Times New Roman"/>
        <family val="2"/>
      </rPr>
      <t>As directed by
Engineer in charge.</t>
    </r>
  </si>
  <si>
    <t>BR 36A</t>
  </si>
  <si>
    <r>
      <rPr>
        <sz val="11"/>
        <rFont val="Times New Roman"/>
        <family val="2"/>
      </rPr>
      <t>Providing welded joints for 25 mm and below diameter bars for steel reinforcement etc.
complete.</t>
    </r>
  </si>
  <si>
    <r>
      <rPr>
        <sz val="11"/>
        <rFont val="Times New Roman"/>
        <family val="2"/>
      </rPr>
      <t>BR.36 Page Number
134</t>
    </r>
  </si>
  <si>
    <t>BR 36B</t>
  </si>
  <si>
    <r>
      <rPr>
        <sz val="11"/>
        <rFont val="Times New Roman"/>
        <family val="2"/>
      </rPr>
      <t>Providing welded joints for 32 mm and below diameter bars for steel reinforcement etc.
complete.</t>
    </r>
  </si>
  <si>
    <t>Providing  and  fixing  in  position  to  the  exact  profile  and  prestressing  the  high  tensile strands  to  specified  ultimate  strength,  standard  end  anchorages,  cable  ducts,  grouting ducts after prestressing and bearing plates with wedges as per detailed drawings including necessary plant and machinery for prestressing etc. complete.</t>
  </si>
  <si>
    <t>UCR in cm 1:5</t>
  </si>
  <si>
    <t>BR 38A</t>
  </si>
  <si>
    <r>
      <rPr>
        <sz val="11"/>
        <rFont val="Times New Roman"/>
        <family val="2"/>
      </rPr>
      <t xml:space="preserve">Providing and laying in situ / ready mix </t>
    </r>
    <r>
      <rPr>
        <b/>
        <sz val="11"/>
        <color rgb="FFFF0000"/>
        <rFont val="Times New Roman"/>
        <family val="1"/>
      </rPr>
      <t>M-20 controlled cement concrete</t>
    </r>
    <r>
      <rPr>
        <sz val="11"/>
        <rFont val="Times New Roman"/>
        <family val="2"/>
      </rPr>
      <t xml:space="preserve"> of trap/ granite/ quartzite/  gneiss  metal  </t>
    </r>
    <r>
      <rPr>
        <b/>
        <sz val="11"/>
        <color rgb="FFFF0000"/>
        <rFont val="Times New Roman"/>
        <family val="1"/>
      </rPr>
      <t>for  RCC  work  in  solid/  deck  slab  etc.</t>
    </r>
    <r>
      <rPr>
        <sz val="11"/>
        <rFont val="Times New Roman"/>
        <family val="2"/>
      </rPr>
      <t xml:space="preserve">  including  ramming, vibrating,   curing,   formwork,   centering   and   finishing   in   cement   plaster   excluding reinforcement   etc.  complete.  (with  fully  automatic  micro  processor  based  PLC  with SCADA  enabled  concrete  batch  mix  plant  /  pan  mixer  and  fine  agreegates  of  required specifications ( VSI sand finely washed etc )
i) Height up to 5 m, normal rate.
ii) Height 5 to 7.50 m, add 5 percent extra over basic rate.
iii) Height 7.50 to 10 m, 7.50 percent extra.
iv) Over 10 m Height, add 10 percent extra for every 2.50m rise.</t>
    </r>
  </si>
  <si>
    <t>BR.38(a) Page Number 135 and B. 7, Page Number38</t>
  </si>
  <si>
    <t xml:space="preserve">M-20 C.C. for RCC work in solid/ deck slab </t>
  </si>
  <si>
    <r>
      <rPr>
        <sz val="11"/>
        <rFont val="Times New Roman"/>
        <family val="1"/>
      </rPr>
      <t xml:space="preserve">Providing and laying in situ / ready mix </t>
    </r>
    <r>
      <rPr>
        <b/>
        <sz val="11"/>
        <color rgb="FFFF0000"/>
        <rFont val="Times New Roman"/>
        <family val="1"/>
      </rPr>
      <t>M-25 controlled cement concrete</t>
    </r>
    <r>
      <rPr>
        <sz val="11"/>
        <rFont val="Times New Roman"/>
        <family val="1"/>
      </rPr>
      <t xml:space="preserve"> of trap/ granite/ quartzite/  gneiss  metal  </t>
    </r>
    <r>
      <rPr>
        <b/>
        <sz val="11"/>
        <color rgb="FFFF0000"/>
        <rFont val="Times New Roman"/>
        <family val="1"/>
      </rPr>
      <t>for  RCC  work  in  solid/  deck  slab  etc</t>
    </r>
    <r>
      <rPr>
        <sz val="11"/>
        <rFont val="Times New Roman"/>
        <family val="1"/>
      </rPr>
      <t>.  including  ramming, vibrating,   curing,   formwork,   centering   and   finishing   in   cement   plaster   excluding reinforcement   etc.  complete.  (with  fully  automatic  micro  processor  based  PLC  with SCADA  enabled  concrete  batch  mix  plant  /  pan  mixer  and  fine  agreegates  of  required specifications ( VSI sand finely washed etc ) i) Height up to 5 m, normal rate.
ii) Height 5 to 7.50 m, add 5 percent extra over basic rate.
iii) Height 7.50 to 10 m, 7.50 percent extra.
iv) Over 10 m Height, add 10 percent extra for every 2.50m rise.</t>
    </r>
  </si>
  <si>
    <r>
      <rPr>
        <sz val="10"/>
        <rFont val="Arial"/>
        <family val="2"/>
      </rPr>
      <t>BR.38(b and c) Page Number 135 and B. 7, Page Number38</t>
    </r>
  </si>
  <si>
    <t xml:space="preserve">M-25 C.C. for RCC work in solid/ deck slab </t>
  </si>
  <si>
    <r>
      <rPr>
        <sz val="11"/>
        <rFont val="Times New Roman"/>
        <family val="1"/>
      </rPr>
      <t xml:space="preserve">Providing and laying in situ / ready mix </t>
    </r>
    <r>
      <rPr>
        <b/>
        <sz val="11"/>
        <color rgb="FFFF0000"/>
        <rFont val="Times New Roman"/>
        <family val="1"/>
      </rPr>
      <t>M-30 controlled cement concrete</t>
    </r>
    <r>
      <rPr>
        <sz val="11"/>
        <rFont val="Times New Roman"/>
        <family val="1"/>
      </rPr>
      <t xml:space="preserve"> of trap/ granite/ quartzite/  gneiss  metal  </t>
    </r>
    <r>
      <rPr>
        <b/>
        <sz val="11"/>
        <color rgb="FFFF0000"/>
        <rFont val="Times New Roman"/>
        <family val="1"/>
      </rPr>
      <t>for  RCC  work  in  solid/  deck  slab  etc.</t>
    </r>
    <r>
      <rPr>
        <sz val="11"/>
        <rFont val="Times New Roman"/>
        <family val="1"/>
      </rPr>
      <t xml:space="preserve">  including  ramming, vibrating,   curing,   formwork,   centering   and   finishing   in   cement   plaster   excluding reinforcement   etc.  complete.  (with  fully  automatic  micro  processor  based  PLC  with SCADA  enabled  concrete  batch  mix  plant  /  pan  mixer  and  fine  agreegates  of  required specifications ( VSI sand finely washed etc ) i) Height up to 5 m, normal rate.
ii) Height 5 to 7.50 m, add 5 percent extra over basic rate.
iii) Height 7.50 to 10 m, 7.50 percent extra.
iv) Over 10 m Height, add 10 percent extra for every 2.50m rise.</t>
    </r>
  </si>
  <si>
    <r>
      <rPr>
        <sz val="10"/>
        <rFont val="Arial"/>
        <family val="2"/>
      </rPr>
      <t>BR.38(a) Page Number 135 and B. 7, Page Number38</t>
    </r>
  </si>
  <si>
    <t xml:space="preserve">M-30 C.C. for RCC work in solid/ deck slab </t>
  </si>
  <si>
    <r>
      <rPr>
        <sz val="11"/>
        <rFont val="Times New Roman"/>
        <family val="1"/>
      </rPr>
      <t>Providing and laying in situ / ready mix M-20 controlled cement concrete of trap/ granite/ quartzite/  gneiss  metal  for  RCC  work  in  main/  cross  girders,  diaphrams  etc.  including ramming, vibrating, curing, formwork, centering and finishing in cement plaster excluding reinforcement   etc.  complete.  (with  fully  automatic  micro  processor  based  PLC  with SCADA  enabled  concrete  batch  mix  plant  /  pan  mixer  and  fine  agreegates  of  required specifications ( VSI sand finely washed etc )          i) Height up to 5 m, normal rate.
ii) Height 5 to 7.50 m, add 5 percent extra over basic rate.
iii) Height 7.50 to 10 m, 7.50 percent extra.
iv) Over 10 m Height, add 10 percent extra for every 2.50m rise.</t>
    </r>
  </si>
  <si>
    <t xml:space="preserve">M-20  C.C.  for  RCC  work  in  main/  cross  girders,  diaphrams </t>
  </si>
  <si>
    <r>
      <rPr>
        <sz val="11"/>
        <rFont val="Times New Roman"/>
        <family val="1"/>
      </rPr>
      <t>Providing and laying in situ / ready mix M-25 controlled cement concrete of trap/ granite/ quartzite/  gneiss  metal  for  RCC  work  in  main/  cross  girders,  diaphrams  etc.  including ramming, vibrating, curing, formwork, centering and finishing in cement plaster excluding reinforcement   etc.  complete.  (with  fully  automatic  micro  processor  based  PLC  with SCADA  enabled  concrete  batch  mix  plant  /  pan  mixer  and  fine  agreegates  of  required specifications ( VSI sand finely washed etc )          i) Height up to 5 m, normal rate.
ii) Height 5 to 7.50 m, add 5 percent extra over basic rate.
iii) Height 7.50 to 10 m, 7.50 percent extra.
iv) Over 10 m Height, add 10 percent extra for every 2.50m rise.</t>
    </r>
  </si>
  <si>
    <t xml:space="preserve">M-25  C.C.  for  RCC  work  in  main/  cross  girders,  diaphrams </t>
  </si>
  <si>
    <r>
      <rPr>
        <sz val="11"/>
        <rFont val="Times New Roman"/>
        <family val="1"/>
      </rPr>
      <t xml:space="preserve">Providing and laying in situ / ready mix </t>
    </r>
    <r>
      <rPr>
        <b/>
        <sz val="11"/>
        <color rgb="FFFF0000"/>
        <rFont val="Times New Roman"/>
        <family val="1"/>
      </rPr>
      <t>M-30 controlled cement concrete</t>
    </r>
    <r>
      <rPr>
        <sz val="11"/>
        <rFont val="Times New Roman"/>
        <family val="1"/>
      </rPr>
      <t xml:space="preserve"> of trap/ granite/ quartzite/  gneiss  metal </t>
    </r>
    <r>
      <rPr>
        <b/>
        <sz val="11"/>
        <color rgb="FFFF0000"/>
        <rFont val="Times New Roman"/>
        <family val="1"/>
      </rPr>
      <t xml:space="preserve"> for  RCC  work  in  main/  cross  girders,  diaphrams  etc. </t>
    </r>
    <r>
      <rPr>
        <sz val="11"/>
        <rFont val="Times New Roman"/>
        <family val="1"/>
      </rPr>
      <t xml:space="preserve"> including ramming, vibrating, curing, formwork, centering and finishing in cement plaster excluding reinforcement   etc.  complete.  (with  fully  automatic  micro  processor  based  PLC  with SCADA  enabled  concrete  batch  mix  plant  /  pan  mixer  and  fine  agreegates  of  required specifications ( VSI sand finely washed etc )i) Height up to 5 m, normal rate.
ii) Height 5 to 7.50 m, add 5 percent extra over basic rate.
iii) Height 7.50 to 10 m, 7.50 percent extra.
iv) Over 10 m Height, add 10 percent extra for every 2.50m rise.</t>
    </r>
  </si>
  <si>
    <t xml:space="preserve">M-30  C.C.  for  RCC  work  in  main/  cross  girders,  diaphrams </t>
  </si>
  <si>
    <t>MORTH C1-2604</t>
  </si>
  <si>
    <t>Providing  and laying buried type  expansion joint  (expansion gap  being 20mm)  covered with 12mm thick 200 mm  wide galvinised weldable structural steel plate as per IS 2062 placed symmetrically to the centre line of the joint, resting freely over the top surface of the deck concrete, welding of 8mm diameter 100mm long galvanised nails spaced 300mm intervals  along  the  centre  line  of  the  plate,  all as specified  in MoRTH  clause 2604  etc. complete.</t>
  </si>
  <si>
    <t>BR.43 Page Number 138</t>
  </si>
  <si>
    <t>BR 43A</t>
  </si>
  <si>
    <t>Providing  copper  plate  expansion  joints  as  per  detailed  drawing  One  Number  4/D-1  of 1972 D type etc. complete.</t>
  </si>
  <si>
    <t>BR 43B</t>
  </si>
  <si>
    <t>Providing expansion joints with 25mm thick bituminous pad as per detailed drawings etc. complete.</t>
  </si>
  <si>
    <t>BR 45</t>
  </si>
  <si>
    <r>
      <rPr>
        <sz val="11"/>
        <rFont val="Times New Roman"/>
        <family val="1"/>
      </rPr>
      <t>Providing and laying in situ / ready mix 1:4:8 cement concrete of trap /granite /quartzite
/gneiss metal for haunch filling including compacting, curing, mixing etc. complete. (with fully automatic micro  processor based  PLC with  SCADA enabled  with reversible  drum type  mixer/  concrete  batch  mix  plant  (pan  mixer)   with  fine  agreegates  of  required specifications ( VSI sand finely washed etc )</t>
    </r>
  </si>
  <si>
    <r>
      <rPr>
        <sz val="10"/>
        <rFont val="Arial"/>
        <family val="2"/>
      </rPr>
      <t>B R.45 Page Number 139</t>
    </r>
  </si>
  <si>
    <t>C.C. 1:4:8 For Haunch filling</t>
  </si>
  <si>
    <t>BR 46</t>
  </si>
  <si>
    <t>Providing trap/ granite/ quartzite/ gneiss rubble filling over haunches and arches including hand packing etc. complete.</t>
  </si>
  <si>
    <t>BR.46 Page Number 140</t>
  </si>
  <si>
    <t xml:space="preserve">Rubble filling over  haunches  and  arches </t>
  </si>
  <si>
    <r>
      <t xml:space="preserve">Providing and laying in situ / ready mix </t>
    </r>
    <r>
      <rPr>
        <sz val="11"/>
        <color rgb="FFFF0000"/>
        <rFont val="Times New Roman"/>
        <family val="1"/>
      </rPr>
      <t>M20 CC</t>
    </r>
    <r>
      <rPr>
        <sz val="11"/>
        <rFont val="Times New Roman"/>
        <family val="1"/>
      </rPr>
      <t xml:space="preserve"> of trap/ granite/ quartzite/ gneiss metal for </t>
    </r>
    <r>
      <rPr>
        <b/>
        <sz val="11"/>
        <color rgb="FFFF0000"/>
        <rFont val="Times New Roman"/>
        <family val="1"/>
      </rPr>
      <t xml:space="preserve">wearing course 8cm thick </t>
    </r>
    <r>
      <rPr>
        <sz val="11"/>
        <rFont val="Times New Roman"/>
        <family val="1"/>
      </rPr>
      <t>including compacting, finishing, curing and filling in joints with  bitumen  etc.  complete.  (with  fully  automatic  micro  processor  based  PLC  with SCADA enabled  concrete  batch  mix  plant /  pan mixer  with fine  agreegates of  required specifications ( VSI sand finely washed etc )</t>
    </r>
  </si>
  <si>
    <t>BR.47(a) Page Number 140 and B. 7, Page Number38</t>
  </si>
  <si>
    <t>M20 CC  for wearing course 8cm thick</t>
  </si>
  <si>
    <t>BR 48</t>
  </si>
  <si>
    <t>Providing vent holes 100mm diameter GI pipe in the slab and wearing course with iron grill at the top and GI pipe at bottom as per drawing etc. complete.</t>
  </si>
  <si>
    <t>BR.48 Page Number 142</t>
  </si>
  <si>
    <t>14.44a</t>
  </si>
  <si>
    <r>
      <t xml:space="preserve">Providing and laying in situ / ready mix </t>
    </r>
    <r>
      <rPr>
        <b/>
        <sz val="11"/>
        <color rgb="FFFF0000"/>
        <rFont val="Times New Roman"/>
        <family val="1"/>
      </rPr>
      <t>M20 RCC</t>
    </r>
    <r>
      <rPr>
        <sz val="11"/>
        <rFont val="Times New Roman"/>
        <family val="1"/>
      </rPr>
      <t xml:space="preserve"> of trap/ granite/ quartzite/ gneiss metal for </t>
    </r>
    <r>
      <rPr>
        <b/>
        <sz val="11"/>
        <color rgb="FFFF0000"/>
        <rFont val="Times New Roman"/>
        <family val="1"/>
      </rPr>
      <t>RCC work of ballast walls, kerbs and box returns</t>
    </r>
    <r>
      <rPr>
        <sz val="11"/>
        <rFont val="Times New Roman"/>
        <family val="1"/>
      </rPr>
      <t xml:space="preserve"> including scaffolding, compaction, formwork  finishing  and  curing  etc.  complete.  (excluding  reinforcement,  with  fully automatic micro processor based PLC with SCADA enabled concrete batch mix plant / pan mixer with fine agreegates of required specifications ( VSI sand finely washed etc ) </t>
    </r>
    <r>
      <rPr>
        <sz val="11"/>
        <color rgb="FFFF0000"/>
        <rFont val="Times New Roman"/>
        <family val="1"/>
      </rPr>
      <t>RCC work of  Ballast walls &amp; Kerb</t>
    </r>
  </si>
  <si>
    <t>BR.50 Page Number 143 and B. 7, Page Number38</t>
  </si>
  <si>
    <t xml:space="preserve">M-20 RCC  for RCC  work  of  ballast  walls,  kerbs  </t>
  </si>
  <si>
    <t>14.44b</t>
  </si>
  <si>
    <r>
      <t>Providing and laying in situ / ready mix M20 RCC of trap/ granite/ quartzite/ gneiss metal for RCC work of ballast walls, kerbs and box returns including scaffolding, compaction, formwork  finishing  and  curing  etc.  complete.  (excluding  reinforcement,  with  fully automatic micro processor based PLC with SCADA enabled concrete batch mix plant / pan mixer with fine agreegates of required specifications ( VSI sand finely washed etc )</t>
    </r>
    <r>
      <rPr>
        <sz val="11"/>
        <color rgb="FFFF0000"/>
        <rFont val="Times New Roman"/>
        <family val="1"/>
      </rPr>
      <t xml:space="preserve"> RCC work of  Box returns</t>
    </r>
  </si>
  <si>
    <t>M-20 RCC  for RCC  work    box  returns</t>
  </si>
  <si>
    <t>14.44c</t>
  </si>
  <si>
    <r>
      <t xml:space="preserve">Providing and laying in situ / ready mix </t>
    </r>
    <r>
      <rPr>
        <sz val="11"/>
        <color rgb="FFFF0000"/>
        <rFont val="Times New Roman"/>
        <family val="1"/>
      </rPr>
      <t>M20 RCC</t>
    </r>
    <r>
      <rPr>
        <sz val="11"/>
        <rFont val="Times New Roman"/>
        <family val="1"/>
      </rPr>
      <t xml:space="preserve"> of trap/ granite/ quartzite/ gneiss metal for </t>
    </r>
    <r>
      <rPr>
        <b/>
        <sz val="11"/>
        <color rgb="FFFF0000"/>
        <rFont val="Times New Roman"/>
        <family val="1"/>
      </rPr>
      <t xml:space="preserve">RCC work of ballast walls, kerbs and box returns </t>
    </r>
    <r>
      <rPr>
        <sz val="11"/>
        <rFont val="Times New Roman"/>
        <family val="1"/>
      </rPr>
      <t xml:space="preserve">including scaffolding, compaction, formwork  finishing  and  curing  etc.  complete.  (excluding  reinforcement,  with  fully automatic micro processor based PLC with SCADA enabled concrete batch mix plant / pan mixer with fine agreegates of required specifications ( VSI sand finely washed etc ) </t>
    </r>
    <r>
      <rPr>
        <sz val="11"/>
        <color rgb="FFFF0000"/>
        <rFont val="Times New Roman"/>
        <family val="1"/>
      </rPr>
      <t>RCC work of Box Cell</t>
    </r>
  </si>
  <si>
    <t>M-20 RCC  for RCC  work    box  Cell</t>
  </si>
  <si>
    <t>BR 51 A</t>
  </si>
  <si>
    <r>
      <rPr>
        <sz val="11"/>
        <rFont val="Times New Roman"/>
        <family val="1"/>
      </rPr>
      <t xml:space="preserve">Providing </t>
    </r>
    <r>
      <rPr>
        <b/>
        <sz val="11"/>
        <color rgb="FFFF0000"/>
        <rFont val="Times New Roman"/>
        <family val="1"/>
      </rPr>
      <t>R.C.C. parapet with M-20 Cement concrete</t>
    </r>
    <r>
      <rPr>
        <sz val="11"/>
        <rFont val="Times New Roman"/>
        <family val="1"/>
      </rPr>
      <t xml:space="preserve"> of trap / granite / quartzite / gneiss metal with cast in situ / precast panels as per the detailed drawing height of 1.1 mt.above top of road surface, with post of 225 mm x 190 mm at 2 meter or less at equal distance suitable to span having 10 mm reinforcement of minimum 4 bars and 6 mm stirrups and
R.C.C panels of approved design at clear distance of 125 mm and thickness of 150 mm with 10mm dia. 3 no.of bars reinforcement at top and bottom and 6 mm dia. 4 no.bars as vertical or horizontal rails of size 100 mm x 150 mm and with clear speacing of 240 mm including  scaffolding,  steel  centering,  plywood/steel  formwork,  compacting  finishing, uneven and honeycombed surface with C.M.1:3 of sufficient minimum thickness to give a smooth  and  even  surface  and  curing  etc.  complete.  (Including  cost  of  reinforcement  &amp; cover block.)</t>
    </r>
  </si>
  <si>
    <t>BR.51 (a) Page Number 144 and B. 7, Page  Number38</t>
  </si>
  <si>
    <t xml:space="preserve"> RCC  parapet  with  CC  M20 </t>
  </si>
  <si>
    <t>BR 51B</t>
  </si>
  <si>
    <r>
      <t xml:space="preserve">Providing railing of </t>
    </r>
    <r>
      <rPr>
        <sz val="11"/>
        <color rgb="FFFF0000"/>
        <rFont val="Times New Roman"/>
        <family val="1"/>
      </rPr>
      <t>mild steel angle post 2.0m center to center of section 75mm x 75mm x  10mm</t>
    </r>
    <r>
      <rPr>
        <sz val="11"/>
        <rFont val="Times New Roman"/>
        <family val="1"/>
      </rPr>
      <t xml:space="preserve">  or  equivalent  I/C  section  of  height  1.05  above  bridge  surface  with  minimum anchor  length  of  30cm  including  hold  fast  of  25mm  diameter  MS  bar  welded  at  the bottom and concreting of 1:3:6 of size 30cm x 30cm x 30cm with three rows of 40mm B class GI pipe provided at 30cm on center to center including scaffolding and one coat of anticorrosive paint with two coats of oil painting, curing of concrete etc. complete.</t>
    </r>
  </si>
  <si>
    <t>B.R.51(b) Page Number 145</t>
  </si>
  <si>
    <t>BR 51 E</t>
  </si>
  <si>
    <r>
      <t xml:space="preserve">Providing </t>
    </r>
    <r>
      <rPr>
        <b/>
        <sz val="11"/>
        <color rgb="FFFF0000"/>
        <rFont val="Times New Roman"/>
        <family val="1"/>
      </rPr>
      <t xml:space="preserve">railing of cast in situ R.C.C posts with  (M-20) </t>
    </r>
    <r>
      <rPr>
        <sz val="11"/>
        <rFont val="Times New Roman"/>
        <family val="1"/>
      </rPr>
      <t>cement concrete trap / granite / quartzite  /  gneiss  metal  size  150  mm  x  150  mm  x  1.240  mm  and  horizantal  3  nos.  at distance 370 mm C/C and bottom bar 150 mm above kerb as per the detailed drawings (including cost of reinforcement) scaffolding,steel centering, plywood/steel formwork etc. complete.  The  C.M.  1:3  plaster  is  considered  for  rendering  uneven  and  honeycombed surface  only.  Newly laid  concrete  shall be  covered  by gunny bag,  plastic, tarpaulin  etc. (Wooden centering/formwork will not be allowed).</t>
    </r>
  </si>
  <si>
    <t>BR.51(e) Page Number 147 and IS 456 (2000)</t>
  </si>
  <si>
    <r>
      <rPr>
        <sz val="11"/>
        <rFont val="Times New Roman"/>
        <family val="1"/>
      </rPr>
      <t>Bridge Super
Structure</t>
    </r>
  </si>
  <si>
    <t>BR 55</t>
  </si>
  <si>
    <r>
      <rPr>
        <sz val="11"/>
        <rFont val="Times New Roman"/>
        <family val="1"/>
      </rPr>
      <t>Providing  100mm  diameter  GI  water  spouts  as  per  detailed  drawings  in  RCC  slab  and
wearing surface / kerb etc. complete.</t>
    </r>
  </si>
  <si>
    <r>
      <rPr>
        <sz val="11"/>
        <rFont val="Times New Roman"/>
        <family val="1"/>
      </rPr>
      <t>BR.55 Page Number
150</t>
    </r>
  </si>
  <si>
    <t>Providing  and  laying  6  mm  thick  mastic  asphalt  wearing  course  on  top  of  deck  slab excluding prime coat with paving grade bitumen meeting the requirements given in table 500-29, prepared by using mastic cooker and laid to required level and slope after cleaning the surface including providing antiskid surface with bitumen precoated fine grained hard stone chipping   at an approximate spacing of 10 cm center to center in both  directions, pressed into surface when the temperature of surfaces not less than 100 deg C, protruding 1 mm to 4mm over mastic surface as per clause 515 etc. complete.</t>
  </si>
  <si>
    <t>MORT and H  500, 2700</t>
  </si>
  <si>
    <t xml:space="preserve"> 6 mm thick mastic asphalt wearing course </t>
  </si>
  <si>
    <t>14.55.a</t>
  </si>
  <si>
    <t>Providing  and  laying  12  mm  thick  mastic  asphalt  wearing  course  on  top  of  deck  slab excluding prime coat with paving grade bitumen meeting the requirements given in table 500-29, prepared by using mastic cooker and laid to required level and slope after cleaning the surface including providing antiskid surface with bitumen precoated fine grained hard stone  chipping  of  4.75  mm  nominal  size  at  the  rate  of  0.005  cum  per  10   One  Square Metre and at an approximate spacing of 10 cm center to center in both directions, pressed into surface when the temperature of surfaces not less than 100 deg C, protruding 1 mm to 4mm over mastic surface as per clause 515 etc. complete.</t>
  </si>
  <si>
    <t xml:space="preserve"> 12  mm  thick  mastic  asphalt  wearing  course  on  top  of  deck  slab</t>
  </si>
  <si>
    <r>
      <rPr>
        <sz val="11"/>
        <rFont val="Times New Roman"/>
        <family val="1"/>
      </rPr>
      <t>Construction of</t>
    </r>
    <r>
      <rPr>
        <b/>
        <sz val="11"/>
        <color rgb="FFFF0000"/>
        <rFont val="Times New Roman"/>
        <family val="1"/>
      </rPr>
      <t xml:space="preserve"> precast RCC railing of M30 Grade,</t>
    </r>
    <r>
      <rPr>
        <sz val="11"/>
        <rFont val="Times New Roman"/>
        <family val="1"/>
      </rPr>
      <t xml:space="preserve"> aggregate size not exceeding 12 mm, true to line and grade, tolerance of vertical RCC post not to exceed 1 in  500, centre  to centre  spacing  between  vertical  post  not  to  exceed  2000  mm,  leaving  adequate  space between vertical post for expansion as per approved drawings and technical specifications
etc. complete.</t>
    </r>
  </si>
  <si>
    <t>MORT and H  2700, 1500, 1600 and 1700</t>
  </si>
  <si>
    <r>
      <t>Construction of</t>
    </r>
    <r>
      <rPr>
        <b/>
        <sz val="11"/>
        <color rgb="FFFF0000"/>
        <rFont val="Times New Roman"/>
        <family val="1"/>
      </rPr>
      <t xml:space="preserve"> RCC railing of M30 Grade i</t>
    </r>
    <r>
      <rPr>
        <sz val="11"/>
        <rFont val="Times New Roman"/>
        <family val="1"/>
      </rPr>
      <t>n situ / ready mix with 20 mm nominal size aggregate true to line and grade, tolerance of vertical RCC post not to exceed 1 in 500, center to center spacing between vertical post not to exceed 2000 mm, leaving adequate space between vertical post for expansion, complete with fully automatic micro processor PLC  with  SCADA  enabled  reversible  drum  type  mixer/  concrete  batch  mix  plant  (pan mixer)   as  per  approved  drawings  and  technical  specifications  etc.  complete  with  fine agreegates of required specifications ( VSI sand finely washed etc )</t>
    </r>
  </si>
  <si>
    <t xml:space="preserve"> RCC  parapet  with  CC  M30 </t>
  </si>
  <si>
    <r>
      <rPr>
        <sz val="11"/>
        <rFont val="Times New Roman"/>
        <family val="1"/>
      </rPr>
      <t xml:space="preserve">Providing  and laying in </t>
    </r>
    <r>
      <rPr>
        <b/>
        <sz val="11"/>
        <color rgb="FFFF0000"/>
        <rFont val="Times New Roman"/>
        <family val="1"/>
      </rPr>
      <t xml:space="preserve">PCC  M15 grade leveling course below approach slab  </t>
    </r>
    <r>
      <rPr>
        <sz val="11"/>
        <rFont val="Times New Roman"/>
        <family val="1"/>
      </rPr>
      <t>complete with  fully  automatic  micro  processor  PLC  with  SCADA  enabled  reversible  drum  type mixer/ concrete batch mix plant (pan mixer)  as per drawings and Technical specifications etc. complete with  fine agreegates of required specifications ( VSI sand finely washed etc
)</t>
    </r>
  </si>
  <si>
    <r>
      <rPr>
        <sz val="11"/>
        <rFont val="Times New Roman"/>
        <family val="1"/>
      </rPr>
      <t>MORT and H  1700
and 2700</t>
    </r>
  </si>
  <si>
    <t xml:space="preserve">PCC M15 leveling course below approach slab </t>
  </si>
  <si>
    <r>
      <rPr>
        <sz val="11"/>
        <rFont val="Times New Roman"/>
        <family val="1"/>
      </rPr>
      <t xml:space="preserve">Providing  and  laying  of </t>
    </r>
    <r>
      <rPr>
        <b/>
        <sz val="11"/>
        <color rgb="FFFF0000"/>
        <rFont val="Times New Roman"/>
        <family val="1"/>
      </rPr>
      <t xml:space="preserve"> RCC in  M30 grade  approach slab  including reinforcement</t>
    </r>
    <r>
      <rPr>
        <sz val="11"/>
        <rFont val="Times New Roman"/>
        <family val="1"/>
      </rPr>
      <t xml:space="preserve">  and formwork  complete  with  fully  automatic  micro  processor  PLC  with  SCADA  enabled reversible  drum type  mixer/  concrete  batch  mix  plant (pan  mixer)  as  per drawings  and technical specifications etc. complete with fine agreegates of required specifications ( VSI
sand finely washed etc )</t>
    </r>
  </si>
  <si>
    <t>MORT and H  1500, 1600, 1700 and 2700</t>
  </si>
  <si>
    <t xml:space="preserve">RCC  in  M30  grade  approach  slab </t>
  </si>
  <si>
    <r>
      <rPr>
        <sz val="11"/>
        <rFont val="Times New Roman"/>
        <family val="1"/>
      </rPr>
      <t>Providing,  transporting  and  placing  in  position  precast  pretensioned  concrete girders  as
per drawings and technical specifications etc. complete.</t>
    </r>
  </si>
  <si>
    <r>
      <rPr>
        <sz val="11"/>
        <rFont val="Times New Roman"/>
        <family val="1"/>
      </rPr>
      <t>MORT and H 1800,
2300</t>
    </r>
  </si>
  <si>
    <r>
      <rPr>
        <sz val="11"/>
        <rFont val="Times New Roman"/>
        <family val="1"/>
      </rPr>
      <t>Providing  and  applying  two  coat  of  water  based  cement  paint  to  un  plastered  concrete surface  after  cleaning  the  surface  of  dirt,  dust,  oil,  grease,  efflorescence  etc.  complete.
(applying 1 litre paint on 2  One Square Metret)</t>
    </r>
  </si>
  <si>
    <t>MORT and H 2800,</t>
  </si>
  <si>
    <t>Providing and laying a burried expansion joint, expansion gap being 20 mm, covered with 12  mm  thick,  200  mm  wide  galvanized  weldable  structural  steel  plate  as  per  IS:  2062, placed  symmetrical  to  center  line  of  the  joint,  resting  freely over  the top  surface of  the deck concrete, welding of 8 mm diameter 100 mm long galvanised nails spaced 300 mm c/c along the center line of the plate, all as specified in clause 2604 etc. complete.</t>
  </si>
  <si>
    <t>MORT and H 2600</t>
  </si>
  <si>
    <r>
      <rPr>
        <sz val="11"/>
        <rFont val="Times New Roman"/>
        <family val="1"/>
      </rPr>
      <t>Providing and filling 20 mm thick compressible fibre board in expansion joint complete as
per drawings and technical specifications etc. complete.</t>
    </r>
  </si>
  <si>
    <t>MORT and H  2600</t>
  </si>
  <si>
    <r>
      <rPr>
        <sz val="11"/>
        <rFont val="Times New Roman"/>
        <family val="1"/>
      </rPr>
      <t>One Running
Metre</t>
    </r>
  </si>
  <si>
    <r>
      <rPr>
        <sz val="11"/>
        <rFont val="Times New Roman"/>
        <family val="1"/>
      </rPr>
      <t>Providing and filling joint sealing compound with coarse sand and 6% bitumen by weight
as per drawings and technical specifications etc. complete.</t>
    </r>
  </si>
  <si>
    <t>Providing and laying of asphaltic plug joint to provide for horizontal movement of 25 mm and vertical movement of 2 mm, depth of joint varying from 75 mm to 100 mm, width varying from 500 mm to 750 mm in traffic direction covered with a closure plate of 200 mm X 6 mm of weldable structural steel conforming to IS:2062, asphaltic plug to consist of polymer modified bitumen binder, carefully selected single size aggregate to 12.5mm nominal size and a heat resistant foam caulking /backer rod all as per approved drawings and specifications etc. complete.</t>
  </si>
  <si>
    <t>Providing and laying of an elastomeric slab steel expansion joint, catering to right or skew in less  than 20 degree, moderately curved with maximum horizontal movement upto 50 mm  to  be  installed  by  the  manufacture  /  supplier  or  their  authorized  representative ensuring compliance to the manufactures instructions for installation for road and bridge works as per approved drawings and standard specifications etc. complete.</t>
  </si>
  <si>
    <r>
      <rPr>
        <sz val="11"/>
        <rFont val="Times New Roman"/>
        <family val="1"/>
      </rPr>
      <t>Providing and laying of compression seal joint consisting of steel armoured nosing at two edges of the joint gap suitably anchored to the deck concrete and a preformed chloroprene elastomer  or  closed  cell foam joint  sealer compressed  and fixed  into the  joint gap  with special  adhesive  binder  to  cater  for  a  horizontal  movement  upto  40  mm  and  vertical
movement of 3 mm etc. complete.</t>
    </r>
  </si>
  <si>
    <t>Providing  and  laying  of  a  strip  seal  expansion  joint  catering  to  maximum  horizontal movement upto 70 mm to be installed by the manufacturer / supplier to their authorized representative ensuring compliance to the manufacturers instruction for installation as per approved drawings and standard specifications etc. complete.</t>
  </si>
  <si>
    <t>MORT and H ? 2600</t>
  </si>
  <si>
    <t>Providing and laying boulders apron on river bed for protection against scour with stone boulders weighing not less than 40Kilogrameach complete as per drawings and Technical specifications etc. complete. (boulder laid without wire crates)</t>
  </si>
  <si>
    <t>MORT and H-2500</t>
  </si>
  <si>
    <r>
      <rPr>
        <sz val="11"/>
        <rFont val="Times New Roman"/>
        <family val="1"/>
      </rPr>
      <t>Providing  and laying of boulder apron laid in wire crates made with 4 mm dia GI wire conforming  to  IS:2801  and  IS:4828  in  100  mm  X  100  mm  mesh  weaved  diagonally including  10%  extra  for  laps  and  joints  laid  with  stone  boulder  weighing  not  less  than
40Kilogrameach etc. complete.</t>
    </r>
  </si>
  <si>
    <t>Providing and laying of apron with cement concrete blocks of size 0.50X0.50X0.50m cast in  situ  /  ready mix  and  made  with  nominal  mix  of  M15  grade  cement  concrete  with  a minimum cement content of 250Kilogram/cum with fully automatic micro processor PLC with SCADA enabled reversible drum type mixer/ concrete batch mix plant (pan mixer) as per IRC:21-2000 etc. complete.</t>
  </si>
  <si>
    <t>C.C. M-20 for block in Apron</t>
  </si>
  <si>
    <r>
      <rPr>
        <sz val="11"/>
        <rFont val="Times New Roman"/>
        <family val="1"/>
      </rPr>
      <t>Providing and laying pitching on slopes laid over prepared filter media including boulder apron  laid  dry  in  front  of  toe  of  embankment  complete  as  per  drawing  and  technical
specifications etc. complete. (by stone/boulder)</t>
    </r>
  </si>
  <si>
    <t>pitching  on  slopes by Stones</t>
  </si>
  <si>
    <t>Providing and laying pitching on slopes laid over prepared filter media including boulder apron  laid  dry  in  front  of  toe  of  embankment  complete  with  fully  automatic  micro processor  PLC  with  SCADA  enabled  reversible  drum  type  mixer/  concrete  batch  mix plant  (pan  mixer)   as  per  drawings  and  technical  specifications  etc.  complete.  (concrete blocks  of  size  0.30x  0.30x0.30m  in  CC  M15  grade)  with  fine  agreegates  of  required specifications ( VSI sand finely washed etc )</t>
  </si>
  <si>
    <t>pitching  on  slopes by concrete  blocks  of  size  0.30x 0.30x0.30m</t>
  </si>
  <si>
    <r>
      <rPr>
        <sz val="11"/>
        <rFont val="Times New Roman"/>
        <family val="1"/>
      </rPr>
      <t>Providing  and  laying  filter  material  underneath  pitching  in  slopes  as  per  drawings  and
technical specifications etc. complete.</t>
    </r>
  </si>
  <si>
    <t>Laying of a geotextile filter between pitching and embankment slopes on which pitching is  laid  to  prevent  escape  of  the  embankment  material  through  the  voids  of  the  stone pitching  /  cement  concrete  blocks  as  well  as  to  allow  free  movement  of  water  without creating any uplift head on the pitching etc. complete.</t>
  </si>
  <si>
    <r>
      <rPr>
        <sz val="11"/>
        <rFont val="Times New Roman"/>
        <family val="1"/>
      </rPr>
      <t>MORT and H  700
and 1500</t>
    </r>
  </si>
  <si>
    <r>
      <rPr>
        <sz val="11"/>
        <rFont val="Times New Roman"/>
        <family val="1"/>
      </rPr>
      <t>Providing and laying rubble stone flooring laid in cement mortar 1:3 as per drawings and
technical specifications etc. complete.</t>
    </r>
  </si>
  <si>
    <t>MORT and H 2500</t>
  </si>
  <si>
    <t>Rubble  stone  flooring CM 1:3</t>
  </si>
  <si>
    <r>
      <rPr>
        <sz val="11"/>
        <rFont val="Times New Roman"/>
        <family val="1"/>
      </rPr>
      <t>Providing and laying cement concrete blocks of M15 grade flooring laid in cement mortar
1:3 as per drawings and technical specifications etc. complete.</t>
    </r>
  </si>
  <si>
    <t>C.C. blocks of M15  flooring laid in cement mortar 1:3</t>
  </si>
  <si>
    <t>Construction of dry rubble flooring at cross drainage works etc. complete.</t>
  </si>
  <si>
    <t>Dry rubble flooring</t>
  </si>
  <si>
    <r>
      <rPr>
        <sz val="11"/>
        <rFont val="Times New Roman"/>
        <family val="1"/>
      </rPr>
      <t>Construction  of  stone  masonry  curtain  wall  in  cement  mortar  1:3  as  per  drawings  and
technical specifications etc. complete.</t>
    </r>
  </si>
  <si>
    <t>MORT and H  2500</t>
  </si>
  <si>
    <t>Stone  masonry  curtain  wall cm1:3</t>
  </si>
  <si>
    <r>
      <rPr>
        <sz val="11"/>
        <rFont val="Times New Roman"/>
        <family val="1"/>
      </rPr>
      <t>Providing flexible apron of 100 cm thick comprising of loose stone boulders weighing not
less than 40Kilogrambeyond curtain wall etc. complete.</t>
    </r>
  </si>
  <si>
    <t>MORT and H ? 2500</t>
  </si>
  <si>
    <t>Providing and construction of a gabian structure for retaining earth with segments of wire crates  of size 7.0 x 3.0 x 0.6m each divided into 1.5 m compartments  by cross netting, made form 4 mm galvansed steel wire @ 32Kilogram per 10  One Square Metre having minimum  tensile  strength  of  300Mpa  conforming  to  IS:280  and  galvanizing  coating conforming  to  IS:4826  woven  into  mesh  with  double  twist,  mesh  size  not  exceeding 100x100mm, filled with boulders with least dimension of 200mm, all loose ends to be tied with 4mm galvanized steel wire etc. complete.</t>
  </si>
  <si>
    <t>Providing and constructing gabain structures for erosion control, river training works and protection  works  with  wire  crates  of  size  2.0m  x  1.0m  x  0.30m  each  divided  into  1  m compartments by-cross netting, made from 4 mm galvanized steel wire @ 32Kilogramper 10 One Square Metre having minimum tensile strength of 300Mpa conforming to IS:280 and galvanizing coating conforming to IS 4826, wovan into mesh with double twist, mesh size not exceeding 100 x 100mm, filled with boulders with least dimension of 200mm, all loose ends to be securely tied with 4mm galvanized steel wire etc. complete.</t>
  </si>
  <si>
    <r>
      <rPr>
        <b/>
        <sz val="11"/>
        <color rgb="FFFF0000"/>
        <rFont val="Times New Roman"/>
        <family val="1"/>
      </rPr>
      <t xml:space="preserve">Removal  of  existing  75mm  thick  cement  concrete  wearing  coat </t>
    </r>
    <r>
      <rPr>
        <sz val="11"/>
        <rFont val="Times New Roman"/>
        <family val="1"/>
      </rPr>
      <t xml:space="preserve"> including  its  disposal complete as per technical specification without causing any detrimental effect to any part of  the  bridge  structure  and  removal of  dismantled  material  with  all lifts  and  lead  up  to
1000m etc. complete.</t>
    </r>
  </si>
  <si>
    <t>MORT and H-2800</t>
  </si>
  <si>
    <r>
      <rPr>
        <sz val="11"/>
        <rFont val="Times New Roman"/>
        <family val="1"/>
      </rPr>
      <t>Removal of existing asphaltic wearing coat comprising of 50mm thick asphaltic concrete laid over 12 mm thick mastic asphalt including disposal with all lift and lead upto 100m
etc. complete.</t>
    </r>
  </si>
  <si>
    <r>
      <rPr>
        <sz val="11"/>
        <rFont val="Times New Roman"/>
        <family val="1"/>
      </rPr>
      <t xml:space="preserve">Providing  and  laying  cement  concrete  </t>
    </r>
    <r>
      <rPr>
        <b/>
        <sz val="11"/>
        <color rgb="FFFF0000"/>
        <rFont val="Times New Roman"/>
        <family val="1"/>
      </rPr>
      <t xml:space="preserve">wearing  coat  M30  grade </t>
    </r>
    <r>
      <rPr>
        <sz val="11"/>
        <rFont val="Times New Roman"/>
        <family val="1"/>
      </rPr>
      <t xml:space="preserve"> with  batch  mix  type  / concrete  mixer  with  SCADA  including  reinforcement  as  per  drawings  and  technical specifications  etc.  complete  with  fine  agreegates  of  required  specifications  (  VSI  sand
finely washed etc )</t>
    </r>
  </si>
  <si>
    <t>MORT and H ? 2700</t>
  </si>
  <si>
    <t xml:space="preserve">C.C  wearing coat M30 grade with batch mix type </t>
  </si>
  <si>
    <r>
      <t xml:space="preserve">Providing and laying of reinforced cement concrete in </t>
    </r>
    <r>
      <rPr>
        <b/>
        <sz val="11"/>
        <color rgb="FFFF0000"/>
        <rFont val="Times New Roman"/>
        <family val="1"/>
      </rPr>
      <t xml:space="preserve">M-30 grade approach slab / Rigid Pavement </t>
    </r>
    <r>
      <rPr>
        <sz val="11"/>
        <rFont val="Times New Roman"/>
        <family val="1"/>
      </rPr>
      <t>including formwork complete with fully automatic micro processor based PLC with  SCADA  enabled  with  reversible  drum  type  mixer/  concrete  batch  mix  plant  (pan mixer)  as per drawings and technical specifications etc. complete with fine agreegates of required specifications ( VSI sand finely washed etc ) ( excluding reinforcement )</t>
    </r>
  </si>
  <si>
    <r>
      <rPr>
        <sz val="11"/>
        <rFont val="Times New Roman"/>
        <family val="1"/>
      </rPr>
      <t>MORT and H ? 1500, 1600, 1700
and 2700</t>
    </r>
  </si>
  <si>
    <t>C.C. M-30  grade  approach  slab  /  Rigid Pavement</t>
  </si>
  <si>
    <t>BR 62</t>
  </si>
  <si>
    <r>
      <t>Providing  and laying</t>
    </r>
    <r>
      <rPr>
        <b/>
        <sz val="11"/>
        <color rgb="FFFF0000"/>
        <rFont val="Times New Roman"/>
        <family val="1"/>
      </rPr>
      <t xml:space="preserve"> 0.90 meter thick metal mat</t>
    </r>
    <r>
      <rPr>
        <sz val="11"/>
        <rFont val="Times New Roman"/>
        <family val="1"/>
      </rPr>
      <t xml:space="preserve"> consisting of rubble, oversize metal and normal size metal in specified thickness  as per detailed drawing including supplying all materials,  hand  packing of  rubble, spreading  metal in  layers and  hard murum including watering and compaction with power roller etc. complete.</t>
    </r>
  </si>
  <si>
    <r>
      <rPr>
        <sz val="11"/>
        <rFont val="Times New Roman"/>
        <family val="1"/>
      </rPr>
      <t xml:space="preserve">Providing and laying in situ </t>
    </r>
    <r>
      <rPr>
        <b/>
        <sz val="11"/>
        <color rgb="FFFF0000"/>
        <rFont val="Times New Roman"/>
        <family val="1"/>
      </rPr>
      <t>M35 controlled cement concrete</t>
    </r>
    <r>
      <rPr>
        <sz val="11"/>
        <rFont val="Times New Roman"/>
        <family val="1"/>
      </rPr>
      <t xml:space="preserve"> of trap/  granite/  quartzite/ gneiss metal </t>
    </r>
    <r>
      <rPr>
        <b/>
        <sz val="11"/>
        <color rgb="FFFF0000"/>
        <rFont val="Times New Roman"/>
        <family val="1"/>
      </rPr>
      <t>for RCC work in solid/ deck slab etc.</t>
    </r>
    <r>
      <rPr>
        <sz val="11"/>
        <rFont val="Times New Roman"/>
        <family val="1"/>
      </rPr>
      <t xml:space="preserve"> including ramming, vibrating, curing, formwork,  centering   and   finishing   in   cement   plaster   excluding  reinforcement  etc. complete.  (with  fully  automatic  micro  processor  based  PLC  with  SCADA  enabled concrete batch mix plant / pan mixer with natural  sand)
i) Height up to 5 m, normal rate.                                                                          ii) Height 5
to 7.50 m, add 5 percent extra.
iii) Height 7.50 to 10 m, 7.50 percent extra.
iv) Over 10 m Height, add 10 percent extra for every 2.50m rise.</t>
    </r>
  </si>
  <si>
    <r>
      <rPr>
        <sz val="11"/>
        <rFont val="Times New Roman"/>
        <family val="1"/>
      </rPr>
      <t xml:space="preserve">Providing and laying in situ </t>
    </r>
    <r>
      <rPr>
        <b/>
        <sz val="11"/>
        <color rgb="FFFF0000"/>
        <rFont val="Times New Roman"/>
        <family val="1"/>
      </rPr>
      <t xml:space="preserve">M40 controlled cement concrete </t>
    </r>
    <r>
      <rPr>
        <sz val="11"/>
        <rFont val="Times New Roman"/>
        <family val="1"/>
      </rPr>
      <t xml:space="preserve">of trap/  granite/  quartzite/ gneiss metal </t>
    </r>
    <r>
      <rPr>
        <b/>
        <sz val="11"/>
        <color rgb="FFFF0000"/>
        <rFont val="Times New Roman"/>
        <family val="1"/>
      </rPr>
      <t>for PSC work in solid/ deck slab etc.</t>
    </r>
    <r>
      <rPr>
        <sz val="11"/>
        <rFont val="Times New Roman"/>
        <family val="1"/>
      </rPr>
      <t xml:space="preserve"> including ramming, vibrating, curing, formwork,  centering   and   finishing   in   cement   plaster   excluding  reinforcement  etc. complete.  (with  fully  automatic  micro  processor  based  PLC  with  SCADA  enabled concrete batch mix plant / pan mixer with natural  sand)
i) Height up to 5 m, normal rate.
ii) Height 5 to 7.50 m, add 5 percent extra.
iii) Height 7.50 to 10 m, 7.50 percent extra.
iv) Over 10 m Height, add 10 percent extra for every 2.50m rise.</t>
    </r>
  </si>
  <si>
    <r>
      <t xml:space="preserve">Providing  and laying in situ </t>
    </r>
    <r>
      <rPr>
        <b/>
        <sz val="11"/>
        <color rgb="FFFF0000"/>
        <rFont val="Times New Roman"/>
        <family val="1"/>
      </rPr>
      <t xml:space="preserve">M35 controlled cement concrete </t>
    </r>
    <r>
      <rPr>
        <sz val="11"/>
        <rFont val="Times New Roman"/>
        <family val="1"/>
      </rPr>
      <t xml:space="preserve">of trap/ granite/  quartzite/ gneiss  metal </t>
    </r>
    <r>
      <rPr>
        <b/>
        <sz val="11"/>
        <color rgb="FFFF0000"/>
        <rFont val="Times New Roman"/>
        <family val="1"/>
      </rPr>
      <t xml:space="preserve"> for  RCC  work  in  main/  cross  girders,  diaphrams  etc.</t>
    </r>
    <r>
      <rPr>
        <sz val="11"/>
        <rFont val="Times New Roman"/>
        <family val="1"/>
      </rPr>
      <t xml:space="preserve">  including  ramming, vibrating,   curing,   formwork,   centering   and   finishing   in   cement   plaster   excluding reinforcement  etc.   complete.   (with   fully   automatic  micro  processor  based  PLC  with SCADA enabled concrete batch mix plant / pan mixer with natural sand)
i) Height up to 5 m, normal rate.
ii) Height 5 to 7.50 m, add 5 percent extra.
iii) Height 7.50 to 10 m, 7.50 percent extra.
iv) Over 10 m Height, add 10 percent extra for every 2.50m rise.</t>
    </r>
  </si>
  <si>
    <r>
      <rPr>
        <sz val="11"/>
        <rFont val="Times New Roman"/>
        <family val="2"/>
      </rPr>
      <t>Providing  and laying in situ</t>
    </r>
    <r>
      <rPr>
        <b/>
        <sz val="11"/>
        <color rgb="FFFF0000"/>
        <rFont val="Times New Roman"/>
        <family val="1"/>
      </rPr>
      <t xml:space="preserve"> M40 controlled cement concrete </t>
    </r>
    <r>
      <rPr>
        <sz val="11"/>
        <rFont val="Times New Roman"/>
        <family val="2"/>
      </rPr>
      <t xml:space="preserve">of trap/ granite/  quartzite/ gneiss  metal  for  </t>
    </r>
    <r>
      <rPr>
        <b/>
        <sz val="11"/>
        <color rgb="FFFF0000"/>
        <rFont val="Times New Roman"/>
        <family val="1"/>
      </rPr>
      <t>PSC  work  in  main/  cross  girders,  diaphrams  etc</t>
    </r>
    <r>
      <rPr>
        <sz val="11"/>
        <rFont val="Times New Roman"/>
        <family val="2"/>
      </rPr>
      <t>.  including  ramming, vibrating,   curing,   formwork,   centering   and   finishing   in   cement   plaster   excluding reinforcement  etc.   complete.   (with   fully   automatic  micro  processor  based  PLC  with SCADA enabled concrete batch mix plant / pan mixer with natural sand)
i) Height up to 5 m, normal rate.
ii) Height 5 to 7.50 m, add 5 percent extra.
iii) Height 7.50 to 10 m, 7.50 percent extra.
iv) Over 10 m Height, add 10 percent extra for every 2.50m rise.</t>
    </r>
  </si>
  <si>
    <r>
      <rPr>
        <sz val="11"/>
        <rFont val="Times New Roman"/>
        <family val="1"/>
      </rPr>
      <t>Providing and laying cast in situ / ready mix  M30 RCC for 450mm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VSI  sand  finely washed etc
i) Add 30% extra for depth 5 to 10 m
ii) Add 40% extra for depth 10 to 15 m
iii) Add 60% extra for depth 15 to 20 m
iv) Add 100% extra for depth above 20 m</t>
    </r>
  </si>
  <si>
    <t>BR-21 Page 124, MORTH - 1100 and 1700</t>
  </si>
  <si>
    <t xml:space="preserve">  M-35   for RCC work in solid/ deck slab etc</t>
  </si>
  <si>
    <t>Excavation  for  foundation  of  structure  as  per  drawing  and  technical  specifications including  setting  out,  construction  of  shoring  ,  brushing,  removal  of  stumps  and  other deleterious  matter, dressing of side and  bottom and  back filling  with approved  material etc. complete. (in marshy soil by mechanical means)</t>
  </si>
  <si>
    <t>M.O.R.T and H - 304</t>
  </si>
  <si>
    <r>
      <rPr>
        <sz val="11"/>
        <rFont val="Times New Roman"/>
        <family val="1"/>
      </rPr>
      <t>Providing and laying cast in situ / ready mix  M30 RCC for 475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  with  fine  agreegates  of  required  specifications   VSI  sand  finely washed etc
i) Add 30% extra for depth 5 to 10 m
ii) Add 40% extra for depth 10 to 15 m
iii) Add 60% extra for depth 15 to 20 m
iv) Add 100% extra for depth above 20 m</t>
    </r>
  </si>
  <si>
    <t>M-35   for  RCC  work  in  main/  cross  girders,  diaphramsetc.</t>
  </si>
  <si>
    <r>
      <rPr>
        <sz val="11"/>
        <rFont val="Times New Roman"/>
        <family val="1"/>
      </rPr>
      <t>Bridge : Bored
Pile</t>
    </r>
  </si>
  <si>
    <r>
      <rPr>
        <sz val="11"/>
        <rFont val="Times New Roman"/>
        <family val="1"/>
      </rPr>
      <t>Providing and filling annular space around footing in rock by using concrete of M15 grade
etc. complete.</t>
    </r>
  </si>
  <si>
    <r>
      <rPr>
        <sz val="11"/>
        <rFont val="Times New Roman"/>
        <family val="1"/>
      </rPr>
      <t>M.O.R.T and H -
2100</t>
    </r>
  </si>
  <si>
    <t>M-40   for  RCC  work  in  main/  cross  girders,  diaphramsetc.</t>
  </si>
  <si>
    <r>
      <rPr>
        <sz val="11"/>
        <rFont val="Times New Roman"/>
        <family val="1"/>
      </rPr>
      <t>Providing and laying cast in situ / ready mix  M30 RCC for 500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  with  fine  agreegates  of  required  specifications  (  VSI  sand  finely washed etc )
i) Add 30% extra for depth 5 to 10 m
ii) Add 40% extra for depth 10 to 15 m
iii) Add 60% extra for depth 15 to 20 m
iv) Add 100% extra for depth above 20 m</t>
    </r>
  </si>
  <si>
    <r>
      <rPr>
        <sz val="11"/>
        <rFont val="Times New Roman"/>
        <family val="1"/>
      </rPr>
      <t>Providing  and  filling  sand  in  foundation  trenches  /  below  Raft  as  per  drawing  and
technical specifications etc. complete. (Coarse Sand and Gravel )</t>
    </r>
  </si>
  <si>
    <r>
      <rPr>
        <sz val="11"/>
        <rFont val="Times New Roman"/>
        <family val="1"/>
      </rPr>
      <t>M.O.R.T and H -
300,2100</t>
    </r>
  </si>
  <si>
    <r>
      <rPr>
        <sz val="11"/>
        <rFont val="Times New Roman"/>
        <family val="1"/>
      </rPr>
      <t>Providing and laying cast in situ / ready mix  M30 RCC for 525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r>
  </si>
  <si>
    <t>M-20 RCC  for RCC  work  of  ballast  walls,  kerbs  and  box  returns</t>
  </si>
  <si>
    <r>
      <rPr>
        <sz val="11"/>
        <rFont val="Times New Roman"/>
        <family val="1"/>
      </rPr>
      <t>Providing stone masonry work in cement mortar 1:3 in foundation with watering complete as per drawings and technical specifications etc. complete. (coursed rubble masonry, first
sort)</t>
    </r>
  </si>
  <si>
    <t>M.O.R.T and H - 1400</t>
  </si>
  <si>
    <r>
      <rPr>
        <sz val="11"/>
        <rFont val="Times New Roman"/>
        <family val="1"/>
      </rPr>
      <t>Providing and laying cast in situ / ready mix  M30 RCC for 550mm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VSI  sand  finely washed etc
i) Add 30% extra for depth 5 to 10 m
ii) Add 40% extra for depth 10 to 15 m
iii) Add 60% extra for depth 15 to 20 m
iv) Add 100% extra for depth above 20 m</t>
    </r>
  </si>
  <si>
    <t>Providing stone masonry work in cement mortar 1:3 in foundation with watering complete as per drawings and technical specifications etc. complete. (random rubble masonry)</t>
  </si>
  <si>
    <r>
      <rPr>
        <sz val="11"/>
        <rFont val="Times New Roman"/>
        <family val="1"/>
      </rPr>
      <t>Providing and laying cast in situ / ready mix  M30 RCC for 600mm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r>
  </si>
  <si>
    <r>
      <rPr>
        <sz val="11"/>
        <rFont val="Times New Roman"/>
        <family val="1"/>
      </rPr>
      <t>Providing and laying PCC in M15 grade levelling course of 100 mm thick below pile cap with  fully  automatic  micro  processor  PLC  with  SCADA  enabled  reversible  drum  type
mixer/ concrete batch mix plant (pan mixer)  etc. complete.</t>
    </r>
  </si>
  <si>
    <t>M.O.R.T and H - 1100, 1700</t>
  </si>
  <si>
    <r>
      <rPr>
        <sz val="11"/>
        <rFont val="Times New Roman"/>
        <family val="1"/>
      </rPr>
      <t>Providing and laying cast in situ / ready mix  M30 RCC for 625mm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r>
  </si>
  <si>
    <r>
      <rPr>
        <sz val="11"/>
        <rFont val="Times New Roman"/>
        <family val="1"/>
      </rPr>
      <t>Providing Ist class brick masonry work in 1:3 in sub structure complete with watering as per   drawings   and   technical   specifications   etc.   complete.   (excluding   pointing   and
plastering)</t>
    </r>
  </si>
  <si>
    <t>MORT and H ? 1300, 2200</t>
  </si>
  <si>
    <r>
      <rPr>
        <sz val="11"/>
        <rFont val="Times New Roman"/>
        <family val="1"/>
      </rPr>
      <t>Providing and laying cast in situ / ready mix  M30 RCC for 650mm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r>
  </si>
  <si>
    <r>
      <rPr>
        <sz val="11"/>
        <rFont val="Times New Roman"/>
        <family val="1"/>
      </rPr>
      <t>Providing and laying cast in situ / ready mix  M30 RCC for 750mm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VSI  sand  finely washed etc )
i) Add 30% extra for depth 5 to 10 m
ii) Add 40% extra for depth 10 to 15 m
iii) Add 60% extra for depth 15 to 20 m
iv) Add 100% extra for depth above 20 m</t>
    </r>
  </si>
  <si>
    <r>
      <rPr>
        <sz val="11"/>
        <rFont val="Times New Roman"/>
        <family val="1"/>
      </rPr>
      <t>Providing and laying cast in situ / ready mix  M30 RCC for 800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r>
  </si>
  <si>
    <r>
      <rPr>
        <sz val="11"/>
        <rFont val="Times New Roman"/>
        <family val="1"/>
      </rPr>
      <t>Providing and laying cast in situ / ready mix  M30 RCC for 825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r>
  </si>
  <si>
    <r>
      <rPr>
        <sz val="11"/>
        <rFont val="Times New Roman"/>
        <family val="1"/>
      </rPr>
      <t>Providing and laying cast in situ / ready mix  M30 RCC for 900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r>
  </si>
  <si>
    <r>
      <rPr>
        <sz val="11"/>
        <rFont val="Times New Roman"/>
        <family val="1"/>
      </rPr>
      <t>Providing and laying cast in situ / ready mix  M30 RCC for 975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r>
  </si>
  <si>
    <r>
      <rPr>
        <sz val="11"/>
        <rFont val="Times New Roman"/>
        <family val="2"/>
      </rPr>
      <t>Providing and laying cast in situ / ready mix  M30 RCC for 1000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r>
  </si>
  <si>
    <r>
      <rPr>
        <sz val="11"/>
        <rFont val="Times New Roman"/>
        <family val="2"/>
      </rPr>
      <t>Providing and laying cast in situ / ready mix  M30 RCC for 1050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r>
  </si>
  <si>
    <r>
      <rPr>
        <sz val="11"/>
        <rFont val="Times New Roman"/>
        <family val="2"/>
      </rPr>
      <t>Providing and laying cast in situ / ready mix  M30 RCC for 1100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r>
  </si>
  <si>
    <r>
      <rPr>
        <sz val="11"/>
        <rFont val="Times New Roman"/>
        <family val="2"/>
      </rPr>
      <t>Providing and laying cast in situ / ready mix  M30 RCC for 1200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r>
  </si>
  <si>
    <r>
      <rPr>
        <sz val="11"/>
        <rFont val="Times New Roman"/>
        <family val="2"/>
      </rPr>
      <t>Providing and laying cast in situ / ready mix  M30 RCC for 1500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r>
  </si>
  <si>
    <r>
      <rPr>
        <sz val="11"/>
        <rFont val="Times New Roman"/>
        <family val="2"/>
      </rPr>
      <t>Providing and laying cast in situ / ready mix  M35 RCC for 450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r>
  </si>
  <si>
    <r>
      <rPr>
        <sz val="11"/>
        <rFont val="Times New Roman"/>
        <family val="2"/>
      </rPr>
      <t>Providing and laying cast in situ / ready mix  M35 RCC for 475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(VSI  sand  finely washed etc )
i) Add 30% extra for depth 5 to 10 m
ii) Add 40% extra for depth 10 to 15 m
iii) Add 60% extra for depth 15 to 20 m
iv) Add 100% extra for depth above 20 m</t>
    </r>
  </si>
  <si>
    <r>
      <rPr>
        <sz val="11"/>
        <rFont val="Times New Roman"/>
        <family val="2"/>
      </rPr>
      <t>Providing and laying cast in situ / ready mix  M35 RCC for 500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r>
  </si>
  <si>
    <r>
      <rPr>
        <sz val="11"/>
        <rFont val="Times New Roman"/>
        <family val="2"/>
      </rPr>
      <t>Providing and laying cast in situ / ready mix  M35 RCC for 525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(VSI  sand  finely washed etc )
i) Add 30% extra for depth 5 to 10 m
ii) Add 40% extra for depth 10 to 15 m
iii) Add 60% extra for depth 15 to 20 m
iv) Add 100% extra for depth above 20 m</t>
    </r>
  </si>
  <si>
    <r>
      <rPr>
        <sz val="11"/>
        <rFont val="Times New Roman"/>
        <family val="2"/>
      </rPr>
      <t>Providing and laying cast in situ / ready mix  M35 RCC for 550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r>
  </si>
  <si>
    <r>
      <rPr>
        <sz val="11"/>
        <rFont val="Times New Roman"/>
        <family val="2"/>
      </rPr>
      <t>Providing and laying cast in situ / ready mix  M35 RCC for 600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r>
  </si>
  <si>
    <r>
      <rPr>
        <sz val="11"/>
        <rFont val="Times New Roman"/>
        <family val="2"/>
      </rPr>
      <t>Providing and laying cast in situ / ready mix  M35 RCC for 625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r>
  </si>
  <si>
    <r>
      <rPr>
        <sz val="11"/>
        <rFont val="Times New Roman"/>
        <family val="2"/>
      </rPr>
      <t>Providing and laying cast in situ / ready mix  M35 RCC for 650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(VSI  sand  finely washed etc )oncrete batch mix plant / pan mixer etc. complete.
i) Add 30% extra for depth 5 to 10 m
ii) Add 40% extra for depth 10 to 15 m
iii) Add 60% extra for depth 15 to 20 m
iv) Add 100% extra for depth above 20 m</t>
    </r>
  </si>
  <si>
    <r>
      <rPr>
        <sz val="11"/>
        <rFont val="Times New Roman"/>
        <family val="2"/>
      </rPr>
      <t>Providing and laying cast in situ / ready mix  M35 RCC for 750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r>
  </si>
  <si>
    <r>
      <rPr>
        <sz val="11"/>
        <rFont val="Times New Roman"/>
        <family val="2"/>
      </rPr>
      <t>Providing and laying cast in situ / ready mix  M35 RCC for 800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r>
  </si>
  <si>
    <r>
      <rPr>
        <sz val="11"/>
        <rFont val="Times New Roman"/>
        <family val="2"/>
      </rPr>
      <t>Providing and laying cast in situ / ready mix  M35 RCC for 825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r>
  </si>
  <si>
    <r>
      <rPr>
        <sz val="11"/>
        <rFont val="Times New Roman"/>
        <family val="2"/>
      </rPr>
      <t>Providing and laying cast in situ / ready mix  M35 RCC for 900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r>
  </si>
  <si>
    <r>
      <rPr>
        <sz val="11"/>
        <rFont val="Times New Roman"/>
        <family val="2"/>
      </rPr>
      <t>Providing and laying cast in situ / ready mix  M35 RCC for 975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r>
  </si>
  <si>
    <r>
      <rPr>
        <sz val="11"/>
        <rFont val="Times New Roman"/>
        <family val="2"/>
      </rPr>
      <t>Providing and laying cast in situ / ready mix  M35 RCC for 1000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r>
  </si>
  <si>
    <r>
      <rPr>
        <sz val="11"/>
        <rFont val="Times New Roman"/>
        <family val="2"/>
      </rPr>
      <t>Providing and laying cast in situ / ready mix  M35 RCC for 1050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r>
  </si>
  <si>
    <r>
      <rPr>
        <sz val="11"/>
        <rFont val="Times New Roman"/>
        <family val="2"/>
      </rPr>
      <t>Providing and laying cast in situ / ready mix  M35 RCC for 1100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r>
  </si>
  <si>
    <r>
      <rPr>
        <sz val="11"/>
        <rFont val="Times New Roman"/>
        <family val="2"/>
      </rPr>
      <t>Providing and laying cast in situ / ready mix  M35 RCC for 1200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r>
  </si>
  <si>
    <r>
      <rPr>
        <sz val="11"/>
        <rFont val="Times New Roman"/>
        <family val="2"/>
      </rPr>
      <t>Providing and laying cast in situ / ready mix  M35 RCC for 1500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r>
  </si>
  <si>
    <t>Providing, placing and driving in position 6mm thick permanent MS liner up to required depth  with  12  mm  thick  MS  cutting  edge  of  0.50  meter  length  of  bottom  including fabricating, cutting the MS sheet to required diameter and shape, welding the joints and driving with the help of required machineries, all materials, labour and lift etc. complete.</t>
  </si>
  <si>
    <r>
      <rPr>
        <sz val="11"/>
        <rFont val="Times New Roman"/>
        <family val="2"/>
      </rPr>
      <t>MORTH 4th
Revision No.1204 and 1904</t>
    </r>
  </si>
  <si>
    <t>Metric Tonne</t>
  </si>
  <si>
    <t>Bridge : Bored Pile New Item</t>
  </si>
  <si>
    <r>
      <rPr>
        <sz val="11"/>
        <rFont val="Times New Roman"/>
        <family val="2"/>
      </rPr>
      <t>Providing and laying cast in situ / ready mix  M40 RCC for 450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r>
  </si>
  <si>
    <r>
      <rPr>
        <sz val="11"/>
        <rFont val="Times New Roman"/>
        <family val="2"/>
      </rPr>
      <t>Providing and laying cast in situ / ready mix  M40 RCC for 475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r>
  </si>
  <si>
    <r>
      <rPr>
        <sz val="11"/>
        <rFont val="Times New Roman"/>
        <family val="2"/>
      </rPr>
      <t>Providing and laying cast in situ / ready mix  M40 RCC for 500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r>
  </si>
  <si>
    <r>
      <rPr>
        <sz val="11"/>
        <rFont val="Times New Roman"/>
        <family val="2"/>
      </rPr>
      <t>Providing and laying cast in situ / ready mix  M40 RCC for 525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r>
  </si>
  <si>
    <r>
      <rPr>
        <sz val="11"/>
        <rFont val="Times New Roman"/>
        <family val="2"/>
      </rPr>
      <t>Providing and laying cast in situ / ready mix  M40 RCC for 550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r>
  </si>
  <si>
    <r>
      <rPr>
        <sz val="11"/>
        <rFont val="Times New Roman"/>
        <family val="2"/>
      </rPr>
      <t>Providing and laying cast in situ / ready mix  M40 RCC for 600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r>
  </si>
  <si>
    <t xml:space="preserve">  M-40   for RCC work in solid/ deck slab etc</t>
  </si>
  <si>
    <r>
      <rPr>
        <sz val="11"/>
        <rFont val="Times New Roman"/>
        <family val="2"/>
      </rPr>
      <t>Providing and laying cast in situ / ready mix  M40 RCC for 625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r>
  </si>
  <si>
    <r>
      <rPr>
        <sz val="11"/>
        <rFont val="Times New Roman"/>
        <family val="2"/>
      </rPr>
      <t>Providing and laying cast in situ / ready mix  M40 RCC for 650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VSI quality artifical sandoncrete batch mix plant / pan mixer etc. complete. (depth 0 to 5 metre)
i) Add 30% extra for depth 5 to 10 m
ii) Add 40% extra for depth 10 to 15 m
iii) Add 60% extra for depth 15 to 20 m
iv) Add 100% extra for depth above 20 m</t>
    </r>
  </si>
  <si>
    <r>
      <rPr>
        <sz val="11"/>
        <rFont val="Times New Roman"/>
        <family val="2"/>
      </rPr>
      <t>Providing and laying cast in situ / ready mix  M40 RCC for 750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r>
  </si>
  <si>
    <r>
      <rPr>
        <sz val="11"/>
        <rFont val="Times New Roman"/>
        <family val="2"/>
      </rPr>
      <t>Providing and laying cast in situ / ready mix  M40 RCC for 800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r>
  </si>
  <si>
    <r>
      <rPr>
        <sz val="11"/>
        <rFont val="Times New Roman"/>
        <family val="2"/>
      </rPr>
      <t>Providing and laying cast in situ / ready mix  M40 RCC for 825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r>
  </si>
  <si>
    <r>
      <rPr>
        <sz val="11"/>
        <rFont val="Times New Roman"/>
        <family val="2"/>
      </rPr>
      <t>Providing and laying cast in situ / ready mix  M40 RCC for 900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r>
  </si>
  <si>
    <r>
      <rPr>
        <sz val="11"/>
        <rFont val="Times New Roman"/>
        <family val="2"/>
      </rPr>
      <t>Providing and laying cast in situ / ready mix  M40 RCC for 975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r>
  </si>
  <si>
    <r>
      <rPr>
        <sz val="11"/>
        <rFont val="Times New Roman"/>
        <family val="2"/>
      </rPr>
      <t>Providing and laying cast in situ / ready mix  M40 RCC for 1000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r>
  </si>
  <si>
    <r>
      <rPr>
        <sz val="11"/>
        <rFont val="Times New Roman"/>
        <family val="2"/>
      </rPr>
      <t>Providing and laying cast in situ / ready mix  M40 RCC for 1050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r>
  </si>
  <si>
    <r>
      <rPr>
        <sz val="11"/>
        <rFont val="Times New Roman"/>
        <family val="2"/>
      </rPr>
      <t>Providing and laying cast in situ / ready mix  M40 RCC for 1100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r>
  </si>
  <si>
    <r>
      <rPr>
        <sz val="11"/>
        <rFont val="Times New Roman"/>
        <family val="2"/>
      </rPr>
      <t>Providing and laying cast in situ / ready mix  M40 RCC for 1200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r>
  </si>
  <si>
    <r>
      <rPr>
        <sz val="11"/>
        <rFont val="Times New Roman"/>
        <family val="2"/>
      </rPr>
      <t>Providing and laying cast in situ / ready mix  M40 RCC for 1500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r>
  </si>
  <si>
    <t xml:space="preserve"> </t>
  </si>
  <si>
    <t>Bridge Maintenance</t>
  </si>
  <si>
    <r>
      <rPr>
        <sz val="11"/>
        <rFont val="Times New Roman"/>
        <family val="2"/>
      </rPr>
      <t>Providing  and  injecting  epoxy grout  including  structuring  of  crack  in  the  body of  slab girder  by  sand  blasting,  fixing  inlet  tube  arrangement  including  cost  of  materials,
machinery required for the work and labour charges etc. complete.</t>
    </r>
  </si>
  <si>
    <t>One Kilogram</t>
  </si>
  <si>
    <t>Repairing of honey combed or spilling area by chipping out the damaged spalled or honey combed  portion  of  concrete  up  to  rusted  rebars,  cleaning  of  all  rust,  scale  and  loose materials, scaffolding, compressed air machinery etc. complete. (item includes use of air compressor, chipping machine and scaffolding for height 8 to 10 meter)</t>
  </si>
  <si>
    <r>
      <rPr>
        <sz val="11"/>
        <rFont val="Times New Roman"/>
        <family val="2"/>
      </rPr>
      <t>Providing and applying well mixed polymer cement slurry in ratio 1:2 over well soaked but surface dry concrete and steel rebar for adhesion of fresh cement and sand mortar as per   specification   as   directed   etc.   complete.   (item   includes   use   of   polymers   like sikaapproved or similar materials of relevant specification and scaffolding for height 8 to
10 meter)</t>
    </r>
  </si>
  <si>
    <r>
      <rPr>
        <sz val="11"/>
        <rFont val="Times New Roman"/>
        <family val="2"/>
      </rPr>
      <t>Repairs of expansion joints by removing rich mix cement concrete including stacking the spoil as directed with all leads, lifts  etc. complete. (use of equipments like air compressor
is considered in the item)</t>
    </r>
  </si>
  <si>
    <t>Providing  and  laying   in  situ  /  ready mix   M35  grade  RCC  jacketing  work  around  the existing piers of bridges etc. complete. (with fully automatic micro processor based PLC with  SCADA  enabled  concrete  batch  mix  plant  /  pan  mixer  with  fine  agreegates  of required specifications ( VSI sand finely washed etc ), height of 8 to 10 meter)</t>
  </si>
  <si>
    <t xml:space="preserve">M35 grade RCC jacketing work </t>
  </si>
  <si>
    <t>Providing  and injecting epoxy grout  including structuring  of cracks  in the  body of  slab girder, fixing inlet tube arrangement including cost of materials,  machinery required for the work labour charges etc. (2kg of grout is considered per hole)</t>
  </si>
  <si>
    <r>
      <rPr>
        <sz val="11"/>
        <rFont val="Times New Roman"/>
        <family val="1"/>
      </rPr>
      <t>Extra  for  Chiselling  in  hard    rocks  including  removing  and  stacking  the  loose  material and disposing the unserviceable materials as directed etc. complete.
550 mm dia</t>
    </r>
  </si>
  <si>
    <t>MORT&amp;H (5th Rev.)  1111</t>
  </si>
  <si>
    <t>Running Meter</t>
  </si>
  <si>
    <r>
      <rPr>
        <sz val="11"/>
        <rFont val="Times New Roman"/>
        <family val="1"/>
      </rPr>
      <t>Extra  for  Chiselling  in  hard    rocks  including  removing  and  stacking  the  loose  material and disposing the unserviceable materials as directed etc. complete.
650 mm dia</t>
    </r>
  </si>
  <si>
    <t>One Running Meter</t>
  </si>
  <si>
    <r>
      <rPr>
        <sz val="11"/>
        <rFont val="Times New Roman"/>
        <family val="1"/>
      </rPr>
      <t>Extra  for  Chiselling  in  hard    rocks  including  removing  and  stacking  the  loose  material and disposing the unserviceable materials as directed etc. complete.
900mm dia</t>
    </r>
  </si>
  <si>
    <r>
      <rPr>
        <sz val="11"/>
        <rFont val="Times New Roman"/>
        <family val="1"/>
      </rPr>
      <t>Extra  for  Chiselling  in  hard    rocks  including  removing  and  stacking  the  loose  material and disposing the unserviceable materials as directed etc. complete.
1000 mm dia</t>
    </r>
  </si>
  <si>
    <t>Bridge : Well Foundation</t>
  </si>
  <si>
    <r>
      <rPr>
        <sz val="11"/>
        <rFont val="Times New Roman"/>
        <family val="1"/>
      </rPr>
      <t>Providing  and  Constructing  Temporary Island  16  m  diameter  for  Construction  of  Well Foundation for 8m dia. Well.
Note:- For other well diameters rate can be worked out on the basis of cross-sectional area of  well.  The  diameter  of  the  island  shall  be  in  the  conformity  with  clause  1203.2  of MoRTH
a) For depth of water 1.0 m and height of island to be 1.25 m.       (Well Diameter - 8m),
( Island Diameter-  16m)</t>
    </r>
  </si>
  <si>
    <t>MORT&amp;H (5th Rev.)   1204</t>
  </si>
  <si>
    <r>
      <rPr>
        <sz val="11"/>
        <rFont val="Times New Roman"/>
        <family val="1"/>
      </rPr>
      <t>Providing  and  Constructing  Temporary Island  16  m  diameter  for  Construction  of  Well Foundation for 8m dia. Well.
Note:- For other well diameters rate can be worked out on the basis of cross-sectional area of  well.  The  diameter  of  the  island  shall  be  in  the  conformity  with  clause  1203.2  of MoRTH
b) For depth of water 4.0 m and height of island to be 4.50 m.       (Well Diameter - 8m),
( Island Diameter-  16m)</t>
    </r>
  </si>
  <si>
    <r>
      <rPr>
        <sz val="11"/>
        <rFont val="Times New Roman"/>
        <family val="1"/>
      </rPr>
      <t>Sinking of 5 m Dia. well for foundation in hard strata (Hard Rock)/Boulder etc. which can be  removed  by  grabing  and  chiselling  soft  disintegrated  rock  which  requires  special efforts, including blasting, large scale dewatering, heavy chiselling, cutting by pneumatic tools and all materials available to sink through such strata including removal of obstacles and use of necessary plant and machinery, driver etc and proper setting of wells including all methods except pneumatic sinking (depth 0 to 5 Metres).
Note : Add
1)30% Extra for 5 to 10 M depth
2)40% Extra for 10 to 15 M depth
3) 60% Extra for depth 15 M to 20 M
4) 100% Extra for depth above 20 M.</t>
    </r>
  </si>
  <si>
    <t>MORT&amp;H (5th Rev.)   1208</t>
  </si>
  <si>
    <r>
      <rPr>
        <sz val="11"/>
        <rFont val="Times New Roman"/>
        <family val="1"/>
      </rPr>
      <t>Sinking of 6 m Dia. well for foundation in hard strata (Hard Rock)/Boulder etc. which can be  removed  by  grabing  and  chiselling  soft  disintegrated  rock  which  requires  special efforts, including blasting, large scale dewatering, heavy chiselling, cutting by pneumatic tools and all materials available to sink through such strata including removal of obstacles and use of necessary plant and machinery, driver etc and proper setting of wells including all methods except pneumatic sinking (depth 0 to 5 Metres).
Note : Add
1)30% Extra for 5 to 10 M depth
2)40% Extra for 10 to 15 M depth
3) 60% Extra for depth 15 M to 20 M
4) 100% Extra for depth above 20 M.</t>
    </r>
  </si>
  <si>
    <r>
      <rPr>
        <sz val="11"/>
        <rFont val="Times New Roman"/>
        <family val="1"/>
      </rPr>
      <t>Sinking of 7 m Dia. well for foundation in hard strata (Hard Rock)/Boulder etc. which can be  removed  by  grabing  and  chiselling  soft  disintegrated  rock  which  requires  special efforts, including blasting, large scale dewatering, heavy chiselling, cutting by pneumatic tools and all materials available to sink through such strata including removal of obstacles and use of necessary plant and machinery, driver etc and proper setting of wells including all methods except pneumatic sinking (depth 0 to 5 Metres).
Note : Add
1)30% Extra for 5 to 10 M depth
2)40% Extra for 10 to 15 M depth
3) 60% Extra for depth 15 M to 20 M
4) 100% Extra for depth above 20 M.</t>
    </r>
  </si>
  <si>
    <r>
      <rPr>
        <sz val="11"/>
        <rFont val="Times New Roman"/>
        <family val="1"/>
      </rPr>
      <t>Sinking of 8 m Dia. well for foundation in hard strata (Hard Rock)/Boulder etc. which can be  removed  by  grabing  and  chiselling  soft  disintegrated  rock  which  requires  special efforts, including blasting, large scale dewatering, heavy chiselling, cutting by pneumatic tools and all materials available to sink through such strata including removal of obstacles and use of necessary plant and machinery, driver etc and proper setting of wells including all methods except pneumatic sinking (depth 0 to 5 Metres).
Note : Add
1)30% Extra for 5 to 10 M depth
2)40% Extra for 10 to 15 M depth
3) 60% Extra for depth 15 M to 20 M
4) 100% Extra for depth above 20 M.</t>
    </r>
  </si>
  <si>
    <r>
      <rPr>
        <sz val="11"/>
        <rFont val="Times New Roman"/>
        <family val="1"/>
      </rPr>
      <t>Sinking of 9 m Dia. well for foundation in hard strata (Hard Rock)/Boulder etc. which can be  removed  by  grabing  and  chiselling  soft  disintegrated  rock  which  requires  special efforts, including blasting, large scale dewatering, heavy chiselling, cutting by pneumatic tools and all materials available to sink through such strata including removal of obstacles and use of necessary plant and machinery, driver etc and proper setting of wells including all methods except pneumatic sinking (depth 0 to 5 Metres).
Note : Add
1)30% Extra for 5 to 10 M depth
2)40% Extra for 10 to 15 M depth
3) 60% Extra for depth 15 M to 20 M
4) 100% Extra for depth above 20 M.</t>
    </r>
  </si>
  <si>
    <r>
      <rPr>
        <sz val="11"/>
        <rFont val="Times New Roman"/>
        <family val="1"/>
      </rPr>
      <t>Sinking of 10 m Dia. well for foundation in hard strata (Hard Rock)/Boulder etc. which can be removed by grabing and chiselling soft disintegrated rock which requires special efforts, including blasting, large scale dewatering, heavy chiselling, cutting by pneumatic tools and all materials available to sink through such strata including removal of obstacles and use of necessary plant and machinery, driver etc and proper setting of wells including all methods except pneumatic sinking (depth 0 to 5 Metres).
Note : Add
1)30% Extra for 5 to 10 M depth
2)40% Extra for 10 to 15 M depth
3) 60% Extra for depth 15 M to 20 M
4) 100% Extra for depth above 20 M.</t>
    </r>
  </si>
  <si>
    <t>Providing and constructing one span service road 10m wide to reach island location. For 1 pier location to another pier location ( Depth of standing water 1 m)</t>
  </si>
  <si>
    <t>MORT&amp;H (5th Rev.)   1200</t>
  </si>
  <si>
    <t>Providing and laying in situ / ready mix  M-20 cement concrete Trap/ Granite/ Quartzite/ Gneiss metal for R.C.C. well curbs including necessary compacting by vibrating, finishing and  curing  complete.  with  fine  agreegates  of  required  specifications  (  VSI  sand  finely washed etc ) (excluding reinforcement and including shuttering) A) With Batch Mix Plant With fully automatic micro processor based PLC with SCADA enabled</t>
  </si>
  <si>
    <t>MORT&amp;H (5th Rev.)   1205</t>
  </si>
  <si>
    <t>One Cubic Meter</t>
  </si>
  <si>
    <t xml:space="preserve">CC. M-20   for  R.C.C.  well  curbs </t>
  </si>
  <si>
    <t>Providing and laying in situ / ready mix  M-25 cement concrete Trap/ Granite/ Quartzite/ Gneiss metal for R.C.C. well curbs including necessary compacting by vibrating, finishing and  curing  complete.  with  fine  agreegates  of  required  specifications  (  VSI  sand  finely washed etc ) (excluding reinforcement and including shuttering) A) With Batch Mix Plant With fully automatic micro processor based PLC with SCADA enabled</t>
  </si>
  <si>
    <t xml:space="preserve">CC. M-25   for  R.C.C.  well  curbs </t>
  </si>
  <si>
    <t>Providing and laying in situ / ready mix  M-30 cement concrete Trap/ Granite/ Quartzite/ Gneiss metal for R.C.C. well curbs including necessary compacting by vibrating, finishing and  curing  complete.  with  fine  agreegates  of  required  specifications  (  VSI  sand  finely washed etc ) (excluding reinforcement and including shuttering) A) With Batch Mix Plant With fully automatic micro processor based PLC with SCADA enabled</t>
  </si>
  <si>
    <t xml:space="preserve">CC. M-30   for  R.C.C.  well  curbs </t>
  </si>
  <si>
    <t>Providing and laying in situ / ready mix  M-35 cement concrete Trap/ Granite/ Quartzite/ Gneiss metal for R.C.C. well curbs including necessary compacting by vibrating, finishing and  curing  complete.  with  fine  agreegates  of  required  specifications  (  VSI  sand  finely washed etc ) (excluding reinforcement and including shuttering) A) With Batch Mix Plant With fully automatic micro processor based PLC with SCADA enabled</t>
  </si>
  <si>
    <t xml:space="preserve">CC. M-35   for  R.C.C.  well  curbs </t>
  </si>
  <si>
    <r>
      <rPr>
        <sz val="11"/>
        <rFont val="Times New Roman"/>
        <family val="1"/>
      </rPr>
      <t>Providing and laying in situ / ready mix  M-20 cement concrete trap / granite / quartizite / gneiss  metal  for  the  intermediate  plug   of  wells  in  the  dry  or  under  water  including compation by vibrating and curing wherever necessary etc complete   with fine agreegates of required specifications ( VSI sand finely washed etc )  D) INTERMEDIATE  PLUG With  Batch  Mix  Plant,  With  fully automatic  micro  processor  based  PLC  with  SCADA
enabled</t>
    </r>
  </si>
  <si>
    <t>MORT&amp;H (5th Rev.)   1211</t>
  </si>
  <si>
    <t xml:space="preserve">M-20  C.C. for the  plug  of wells </t>
  </si>
  <si>
    <r>
      <rPr>
        <sz val="11"/>
        <rFont val="Times New Roman"/>
        <family val="1"/>
      </rPr>
      <t>Providing and laying in situ / ready mix  M-25 cement concrete trap / granite / quartizite / gneiss  metal  for  the  intermediate  plug   of  wells  in  the  dry  or  under  water  including compation by vibrating and curing wherever necessary etc complete   with fine agreegates of required specifications  ( VSI sand finely washed etc ) D) INTERMEDIATE   PLUG With  Batch  Mix  Plant,  With  fully automatic  micro  processor  based  PLC  with  SCADA
enabled</t>
    </r>
  </si>
  <si>
    <t xml:space="preserve">M-25  C.C. for the  plug  of wells </t>
  </si>
  <si>
    <r>
      <rPr>
        <sz val="11"/>
        <rFont val="Times New Roman"/>
        <family val="1"/>
      </rPr>
      <t>Providing and laying in situ / ready mix  M-30 cement concrete trap / granite / quartizite / gneiss  metal  for  the  intermediate  plug   of  wells  in  the  dry  or  under  water  including compation by vibrating and curing wherever necessary etc complete   with fine agreegates of required specifications  ( VSI sand finely washed etc ) D) INTERMEDIATE   PLUG With  Batch  Mix  Plant,  With  fully automatic  micro  processor  based  PLC  with  SCADA
enabled</t>
    </r>
  </si>
  <si>
    <t xml:space="preserve">M-30  C.C. for the  plug  of wells </t>
  </si>
  <si>
    <r>
      <rPr>
        <sz val="11"/>
        <rFont val="Times New Roman"/>
        <family val="1"/>
      </rPr>
      <t>Providing and laying in situ / ready mix M-25 cement concrete of trap / granite / quartzite/ gniess  metal  for  top  plug  of  wells  including  compaction  by  vibration  and  curing  etc complete centering formwork shall be of steel/plywood   B) With Batch Mix Plant With fully  automatic  micro  processor  based  PLC  with  SCADA  enabled,  fine  agreegates  of
required specifications ( VSI sand finely washed etc )</t>
    </r>
  </si>
  <si>
    <t>MORT&amp;H (5th Rev.)   1209</t>
  </si>
  <si>
    <t xml:space="preserve">M-25  C.C. for the  Top plug  of wells </t>
  </si>
  <si>
    <r>
      <rPr>
        <sz val="11"/>
        <rFont val="Times New Roman"/>
        <family val="2"/>
      </rPr>
      <t>Providing and laying in situ / ready mix M-30 cement concrete of trap / granite / quartzite/ gniess  metal  for  top  plug  of  wells  including  compaction  by  vibration  and  curing  etc complete centering formwork shall be of steel/plywood   B) With Batch Mix Plant With fully  automatic  micro  processor  based  PLC  with  SCADA  enabled  fine  agreegates  of
required specifications ( VSI sand finely washed etc )</t>
    </r>
  </si>
  <si>
    <t xml:space="preserve">M-30  C.C. for the  Top plug  of wells </t>
  </si>
  <si>
    <t>Providing  and  laying  in  situ  /  ready  mix    M-25  cement  concrete  of  trap  /  granite  / quartzite/  gniess  metal  for  reinforced  cement  concrete  well    caps  including  necessary formwork compaction by vibrating finishing in CM 1:3  with fine agreegates of required specifications ( VSI sand finely washed etc ) etc complete (Excluding reinforcement) A) Well Cap (With with reversible drum type mixer/ concrete batch mix plant (pan mixer) .</t>
  </si>
  <si>
    <r>
      <rPr>
        <sz val="11"/>
        <rFont val="Times New Roman"/>
        <family val="2"/>
      </rPr>
      <t>MORT&amp;H (5th Rev.) 1700,
2205,2304</t>
    </r>
  </si>
  <si>
    <t>M-25  C.C. for  Well caps</t>
  </si>
  <si>
    <t>Providing  and  laying  in  situ  /  ready  mix    M-30  cement  concrete  of  trap  /  granite  / quartzite/  gniess  metal  for  reinforced  cement  concrete  well    caps  including  necessary formwork compaction by vibrating finishing in CM 1:3  with fine agreegates of required specifications ( VSI sand finely washed etc ) etc complete (Excluding reinforcement) A) Well Cap (With with reversible drum type mixer/ concrete batch mix plant (pan mixer) .</t>
  </si>
  <si>
    <t>M-30  C.C. for  Well caps</t>
  </si>
  <si>
    <t>Providing  and  laying  in  situ  /  ready  mix    M-35  cement  concrete  of  trap  /  granite  / quartzite/  gniess  metal  for  reinforced  cement  concrete  well    caps  including  necessary formwork compaction by vibrating finishing in CM 1:3  with fine agreegates of required specifications ( VSI sand finely washed etc ) etc complete (Excluding reinforcement)  A) Well Cap (With with reversible drum type mixer/ concrete batch mix plant (pan mixer) .</t>
  </si>
  <si>
    <t>M-35  C.C. for  Well caps</t>
  </si>
  <si>
    <r>
      <rPr>
        <sz val="11"/>
        <rFont val="Times New Roman"/>
        <family val="2"/>
      </rPr>
      <t>Bridge : Well
Foundation</t>
    </r>
  </si>
  <si>
    <r>
      <rPr>
        <sz val="11"/>
        <rFont val="Times New Roman"/>
        <family val="2"/>
      </rPr>
      <t>Providing Sump pit in hard strata in wells as diercted or as shown in drawing including
shoring and strutting as necessary and disposing of excavted stuff</t>
    </r>
  </si>
  <si>
    <r>
      <rPr>
        <sz val="11"/>
        <rFont val="Times New Roman"/>
        <family val="2"/>
      </rPr>
      <t>As directed by
Engineer-in Charge</t>
    </r>
  </si>
  <si>
    <r>
      <rPr>
        <sz val="11"/>
        <rFont val="Times New Roman"/>
        <family val="2"/>
      </rPr>
      <t>Providing  and  filling  in  well  with  sand/  rubble  and  sand/  shingle  and  sand  including
compacting between the top and bottom plugs etc. Complete</t>
    </r>
  </si>
  <si>
    <r>
      <rPr>
        <sz val="11"/>
        <rFont val="Times New Roman"/>
        <family val="2"/>
      </rPr>
      <t>MORT&amp;H (5th
Rev.) 1210</t>
    </r>
  </si>
  <si>
    <t>Bridge sub structure and Foundation</t>
  </si>
  <si>
    <r>
      <rPr>
        <sz val="11"/>
        <rFont val="Times New Roman"/>
        <family val="2"/>
      </rPr>
      <t xml:space="preserve">Providing   and   laying   plain    in   situ   /   ready  mix    </t>
    </r>
    <r>
      <rPr>
        <sz val="11"/>
        <color rgb="FFFF0000"/>
        <rFont val="Times New Roman"/>
        <family val="1"/>
      </rPr>
      <t>M-20   cement   concrete</t>
    </r>
    <r>
      <rPr>
        <sz val="11"/>
        <rFont val="Times New Roman"/>
        <family val="2"/>
      </rPr>
      <t xml:space="preserve">  of   trap/ granite/quartzite/gneiss/crushed  stone   metal  mechanically  mixed,  placed  </t>
    </r>
    <r>
      <rPr>
        <sz val="11"/>
        <color rgb="FFFF0000"/>
        <rFont val="Times New Roman"/>
        <family val="1"/>
      </rPr>
      <t xml:space="preserve">in  foundation </t>
    </r>
    <r>
      <rPr>
        <sz val="11"/>
        <rFont val="Times New Roman"/>
        <family val="2"/>
      </rPr>
      <t>and compacted by vibration  including necessary bailing out water, curing curing concrete batch  mix  plant  /  pan  mixer  with  fine  agreegates  of  required  specifications  (  VSI  sand finely  washed  etc  )  (excluding  dewatering  by  pump)  for  14  days   RCC  Grade.With
Concrete Mixer</t>
    </r>
  </si>
  <si>
    <t>MORT&amp;H (5th Rev.)  1700</t>
  </si>
  <si>
    <t>M-20  C.C. In Foundation</t>
  </si>
  <si>
    <r>
      <rPr>
        <sz val="11"/>
        <rFont val="Times New Roman"/>
        <family val="2"/>
      </rPr>
      <t xml:space="preserve">Providing   and   laying   plain    in   situ   /   ready  mix   </t>
    </r>
    <r>
      <rPr>
        <b/>
        <sz val="11"/>
        <color rgb="FFFF0000"/>
        <rFont val="Times New Roman"/>
        <family val="1"/>
      </rPr>
      <t xml:space="preserve">M-25  </t>
    </r>
    <r>
      <rPr>
        <sz val="11"/>
        <rFont val="Times New Roman"/>
        <family val="2"/>
      </rPr>
      <t xml:space="preserve">  cement   concrete  of   trap/ granite/quartzite/gneiss/crushed  stone   metal  mechanically  mixed, </t>
    </r>
    <r>
      <rPr>
        <b/>
        <sz val="11"/>
        <color rgb="FFFF0000"/>
        <rFont val="Times New Roman"/>
        <family val="1"/>
      </rPr>
      <t xml:space="preserve"> placed  in  foundation</t>
    </r>
    <r>
      <rPr>
        <sz val="11"/>
        <rFont val="Times New Roman"/>
        <family val="2"/>
      </rPr>
      <t xml:space="preserve"> and compacted by vibration  including necessary bailing out water, curing curing concrete batch  mix  plant  /  pan  mixer  with  fine  agreegates  of  required  specifications  (  VSI  sand finely  washed  etc  )  (excluding  dewatering  by  pump)  for  14  days  RCC  Grade.With
Concrete Mixer</t>
    </r>
  </si>
  <si>
    <t>M-25  C.C. In Foundation</t>
  </si>
  <si>
    <r>
      <rPr>
        <sz val="11"/>
        <rFont val="Times New Roman"/>
        <family val="2"/>
      </rPr>
      <t xml:space="preserve">Providing   and   laying   plain    in   situ   /   ready  mix   </t>
    </r>
    <r>
      <rPr>
        <sz val="11"/>
        <color rgb="FFFF0000"/>
        <rFont val="Times New Roman"/>
        <family val="1"/>
      </rPr>
      <t xml:space="preserve">M-30    cement   concrete </t>
    </r>
    <r>
      <rPr>
        <sz val="11"/>
        <rFont val="Times New Roman"/>
        <family val="2"/>
      </rPr>
      <t xml:space="preserve"> of   trap/ granite/quartzite/gneiss/crushed  stone   metal  mechanically  mixed,  placed </t>
    </r>
    <r>
      <rPr>
        <sz val="11"/>
        <color rgb="FFFF0000"/>
        <rFont val="Times New Roman"/>
        <family val="1"/>
      </rPr>
      <t xml:space="preserve"> in  foundation </t>
    </r>
    <r>
      <rPr>
        <sz val="11"/>
        <rFont val="Times New Roman"/>
        <family val="2"/>
      </rPr>
      <t>and compacted by vibration  including necessary bailing out water, curing curing concrete batch  mix  plant  /  pan  mixer  with  fine  agreegates  of  required  specifications  (  VSI  sand finely  washed  etc  )  (excluding  dewatering  by  pump)  for  14  days  RCC  Grade.With
Concrete Mixer</t>
    </r>
  </si>
  <si>
    <t>M-30  C.C. In Foundation</t>
  </si>
  <si>
    <r>
      <rPr>
        <sz val="11"/>
        <rFont val="Times New Roman"/>
        <family val="2"/>
      </rPr>
      <t xml:space="preserve">Providing   and   laying   plain    in   situ   /   ready   mix  </t>
    </r>
    <r>
      <rPr>
        <sz val="11"/>
        <color rgb="FFFF0000"/>
        <rFont val="Times New Roman"/>
        <family val="1"/>
      </rPr>
      <t xml:space="preserve"> M-35   cement   concrete</t>
    </r>
    <r>
      <rPr>
        <sz val="11"/>
        <rFont val="Times New Roman"/>
        <family val="2"/>
      </rPr>
      <t xml:space="preserve">   of   trap/ granite/quartzite/gneiss/crushed  stone   metal  mechanically  mixed,  placed  </t>
    </r>
    <r>
      <rPr>
        <sz val="11"/>
        <color rgb="FFFF0000"/>
        <rFont val="Times New Roman"/>
        <family val="1"/>
      </rPr>
      <t>in  foundation</t>
    </r>
    <r>
      <rPr>
        <sz val="11"/>
        <rFont val="Times New Roman"/>
        <family val="2"/>
      </rPr>
      <t xml:space="preserve"> and compacted by vibration  including necessary bailing out water, curing curing concrete batch  mix  plant  /  pan  mixer  with  fine  agreegates  of  required  specifications  (  VSI  sand finely  washed  etc  )  (excluding  dewatering  by  pump)  for  14  days  RCC  Grade.With
Concrete Mixer</t>
    </r>
  </si>
  <si>
    <r>
      <rPr>
        <sz val="11"/>
        <rFont val="Times New Roman"/>
        <family val="2"/>
      </rPr>
      <t>Providing and laying in situ / ready mix</t>
    </r>
    <r>
      <rPr>
        <b/>
        <sz val="11"/>
        <color rgb="FFFF0000"/>
        <rFont val="Times New Roman"/>
        <family val="1"/>
      </rPr>
      <t xml:space="preserve"> M-20   </t>
    </r>
    <r>
      <rPr>
        <sz val="11"/>
        <rFont val="Times New Roman"/>
        <family val="2"/>
      </rPr>
      <t xml:space="preserve">controlled reinforced cement concrete of trap  metal </t>
    </r>
    <r>
      <rPr>
        <b/>
        <sz val="11"/>
        <color rgb="FFFF0000"/>
        <rFont val="Times New Roman"/>
        <family val="1"/>
      </rPr>
      <t xml:space="preserve"> for  raft  slab  including  "V"  haunches,</t>
    </r>
    <r>
      <rPr>
        <sz val="11"/>
        <rFont val="Times New Roman"/>
        <family val="2"/>
      </rPr>
      <t xml:space="preserve">  formwork,  scaffolding,  compaction  by vibrating, finishing curing etc. complete. concrete batch mix plant / pan mixer with fine agreegates  of  required  specifications  (  VSI  sand  finely  washed  etc  )  etc.  complete. (excluding reinforcement).
a) RCC Grade with reversible drum type mixer/ concrete batch mix plant (pan mixer) .</t>
    </r>
  </si>
  <si>
    <t>MORT&amp;H (5th Rev.)  1700, 2304</t>
  </si>
  <si>
    <t xml:space="preserve">M-20   controlled reinforced cement concrete of trap metal for raft slab </t>
  </si>
  <si>
    <r>
      <rPr>
        <sz val="11"/>
        <rFont val="Times New Roman"/>
        <family val="2"/>
      </rPr>
      <t xml:space="preserve">Providing and laying in situ / ready mix </t>
    </r>
    <r>
      <rPr>
        <sz val="11"/>
        <color rgb="FFFF0000"/>
        <rFont val="Times New Roman"/>
        <family val="1"/>
      </rPr>
      <t>M-25</t>
    </r>
    <r>
      <rPr>
        <sz val="11"/>
        <rFont val="Times New Roman"/>
        <family val="2"/>
      </rPr>
      <t xml:space="preserve">   controlled reinforced cement concrete of trap  metal  for  </t>
    </r>
    <r>
      <rPr>
        <sz val="11"/>
        <color rgb="FFFF0000"/>
        <rFont val="Times New Roman"/>
        <family val="1"/>
      </rPr>
      <t xml:space="preserve">raft  slab  including  "V"  haunches, </t>
    </r>
    <r>
      <rPr>
        <sz val="11"/>
        <rFont val="Times New Roman"/>
        <family val="2"/>
      </rPr>
      <t xml:space="preserve"> formwork,  scaffolding,  compaction  by vibrating, finishing curing etc. complete. concrete batch mix plant / pan mixer with fine agreegates  of  required  specifications  (  VSI  sand  finely  washed  etc  )  etc.  complete. (excluding reinforcement).
a) RCC Grade with reversible drum type mixer/ concrete batch mix plant (pan mixer) .</t>
    </r>
  </si>
  <si>
    <r>
      <rPr>
        <sz val="11"/>
        <rFont val="Times New Roman"/>
        <family val="2"/>
      </rPr>
      <t xml:space="preserve">Providing and laying in situ / ready mix </t>
    </r>
    <r>
      <rPr>
        <sz val="11"/>
        <color rgb="FFFF0000"/>
        <rFont val="Times New Roman"/>
        <family val="1"/>
      </rPr>
      <t>M-30</t>
    </r>
    <r>
      <rPr>
        <sz val="11"/>
        <rFont val="Times New Roman"/>
        <family val="2"/>
      </rPr>
      <t xml:space="preserve">   controlled reinforced cement concrete of trap  metal  </t>
    </r>
    <r>
      <rPr>
        <sz val="11"/>
        <color rgb="FFFF0000"/>
        <rFont val="Times New Roman"/>
        <family val="1"/>
      </rPr>
      <t>for  raft  slab  including  "V"  haunches</t>
    </r>
    <r>
      <rPr>
        <sz val="11"/>
        <rFont val="Times New Roman"/>
        <family val="2"/>
      </rPr>
      <t>,  formwork,  scaffolding,  compaction  by vibrating, finishing curing etc. complete. concrete batch mix plant / pan mixer with fine agreegates  of  required  specifications  (  VSI  sand  finely  washed  etc  )  etc.  complete. (excluding reinforcement).
a) RCC Grade with reversible drum type mixer/ concrete batch mix plant (pan mixer) .</t>
    </r>
  </si>
  <si>
    <r>
      <rPr>
        <sz val="11"/>
        <rFont val="Times New Roman"/>
        <family val="1"/>
      </rPr>
      <t xml:space="preserve">Providing and laying in situ / ready mix </t>
    </r>
    <r>
      <rPr>
        <sz val="11"/>
        <color rgb="FFFF0000"/>
        <rFont val="Times New Roman"/>
        <family val="1"/>
      </rPr>
      <t xml:space="preserve">M-35 </t>
    </r>
    <r>
      <rPr>
        <sz val="11"/>
        <rFont val="Times New Roman"/>
        <family val="1"/>
      </rPr>
      <t xml:space="preserve">  controlled reinforced cement concrete of trap  metal  for  </t>
    </r>
    <r>
      <rPr>
        <sz val="11"/>
        <color rgb="FFFF0000"/>
        <rFont val="Times New Roman"/>
        <family val="1"/>
      </rPr>
      <t>raft  slab  including  "V"  haunches,</t>
    </r>
    <r>
      <rPr>
        <sz val="11"/>
        <rFont val="Times New Roman"/>
        <family val="1"/>
      </rPr>
      <t xml:space="preserve">  formwork,  scaffolding,  compaction  by vibrating, finishing curing etc. complete. concrete batch mix plant / pan mixer with fine agreegates  of  required  specifications  (  VSI  sand  finely  washed  etc  )  etc.  complete. (excluding reinforcement).
a) RCC Grade with reversible drum type mixer/ concrete batch mix plant (pan mixer) .</t>
    </r>
  </si>
  <si>
    <r>
      <rPr>
        <sz val="11"/>
        <rFont val="Times New Roman"/>
        <family val="1"/>
      </rPr>
      <t>Bridge sub structure and
Foundation</t>
    </r>
  </si>
  <si>
    <r>
      <rPr>
        <sz val="11"/>
        <rFont val="Times New Roman"/>
        <family val="1"/>
      </rPr>
      <t>Prividing and fixing pressure relief pipes of 110 mm diametre of PVC as per drawing for
R.C.C Raft,  galaries returns, abutments, wing wall etc complete.</t>
    </r>
  </si>
  <si>
    <t>MORT&amp;H (5th Rev.) 2705, 2706</t>
  </si>
  <si>
    <t>Providing  and  laying  weep  holes  of  100  mm  diameter  PVC  pipes  as  per  drawing  for abutment returns, return walls etc. Complete.</t>
  </si>
  <si>
    <r>
      <rPr>
        <sz val="11"/>
        <rFont val="Times New Roman"/>
        <family val="1"/>
      </rPr>
      <t xml:space="preserve">Providing   and   laying   in   situ   /   ready   mix   </t>
    </r>
    <r>
      <rPr>
        <sz val="11"/>
        <color rgb="FFFF0000"/>
        <rFont val="Times New Roman"/>
        <family val="1"/>
      </rPr>
      <t xml:space="preserve">M-15   plain   cement   concrete </t>
    </r>
    <r>
      <rPr>
        <sz val="11"/>
        <rFont val="Times New Roman"/>
        <family val="1"/>
      </rPr>
      <t xml:space="preserve">  of   trap
/granite/quartzite/  gneiss  metal  for  cast  in  citu </t>
    </r>
    <r>
      <rPr>
        <b/>
        <sz val="11"/>
        <color rgb="FFFF0000"/>
        <rFont val="Times New Roman"/>
        <family val="1"/>
      </rPr>
      <t xml:space="preserve"> piers,  abutment,  returns,  wings  etc</t>
    </r>
    <r>
      <rPr>
        <sz val="11"/>
        <rFont val="Times New Roman"/>
        <family val="1"/>
      </rPr>
      <t>. including  provision  of  "V"  shaped  false  joints  to  form  suitable  panels  on  the  faces  to approve   design   with   compacting   by   vibrating   and   curing   complete,   including plywood/steel   form  work  centering  (  excluding  dewatering  by  means  of  pump)  and including bailling out water and curing finishing in CM 1:3 etc. complete.   as directed by engineer  in  charge    basic  rate  shall  be  increased  for  height  above  5.00  m in  followinh manners
(a)   Height   upto   5   M.   (With   Concrete   Mixer)With   fine   agreegates   of   required specifications ( VSI sand finely washed etc )
i) Height up to 5 m, normal rate.
ii) Height 5 to 7.50 m, add 5 percent extra over basic rate.
iii) Height 7.50 to 10 m, 7.50 percent extra.
iv) Over 10 m Height, add 10 percent extra for every 2.50m rise.</t>
    </r>
  </si>
  <si>
    <t>MORT&amp;H (5th Rev.)  1700, 2204</t>
  </si>
  <si>
    <t xml:space="preserve">M-15 plain cement concrete of trap /granite/quartzite/ gneiss metal </t>
  </si>
  <si>
    <r>
      <rPr>
        <sz val="11"/>
        <rFont val="Times New Roman"/>
        <family val="1"/>
      </rPr>
      <t xml:space="preserve">Providing   and   laying   in   situ   /   ready   mix  </t>
    </r>
    <r>
      <rPr>
        <b/>
        <sz val="11"/>
        <color rgb="FFFF0000"/>
        <rFont val="Times New Roman"/>
        <family val="1"/>
      </rPr>
      <t xml:space="preserve"> M-20   plain   cement   concrete</t>
    </r>
    <r>
      <rPr>
        <sz val="11"/>
        <rFont val="Times New Roman"/>
        <family val="1"/>
      </rPr>
      <t xml:space="preserve">   of   trap
/granite/quartzite/  gneiss  metal  for  cast  in  citu </t>
    </r>
    <r>
      <rPr>
        <b/>
        <sz val="11"/>
        <color rgb="FFFF0000"/>
        <rFont val="Times New Roman"/>
        <family val="1"/>
      </rPr>
      <t xml:space="preserve"> piers,  abutment,  returns,  wings  etc. </t>
    </r>
    <r>
      <rPr>
        <sz val="11"/>
        <rFont val="Times New Roman"/>
        <family val="1"/>
      </rPr>
      <t>including  provision  of  "V"  shaped  false  joints  to  form  suitable  panels  on  the  faces  to approve   design   with   compacting   by   vibrating   and   curing   complete,   including plywood/steel   form  work  centering  (  excluding  dewatering  by  means  of  pump)  and including bailling out water and curing finishing in CM 1:3 etc. complete.   as directed by engineer  in  charge    basic  rate  shall  be  increased  for  height  above  5.00  m in  followinh manners
(a)   Height   upto   5   M.   (With   Concrete   Mixer)With   fine   agreegates   of   required specifications ( VSI sand finely washed etc )
i) Height up to 5 m, normal rate.
ii) Height 5 to 7.50 m, add 5 percent extra over basic rate.
iii) Height 7.50 to 10 m, 7.50 percent extra.</t>
    </r>
  </si>
  <si>
    <t>M-20 plain cement concrete of trap /granite/quartzite/ gneiss metal</t>
  </si>
  <si>
    <r>
      <rPr>
        <sz val="11"/>
        <rFont val="Times New Roman"/>
        <family val="1"/>
      </rPr>
      <t xml:space="preserve">Providing   and   laying   in   situ   /   ready   mix  </t>
    </r>
    <r>
      <rPr>
        <sz val="11"/>
        <color rgb="FFFF0000"/>
        <rFont val="Times New Roman"/>
        <family val="1"/>
      </rPr>
      <t xml:space="preserve"> M-25 </t>
    </r>
    <r>
      <rPr>
        <sz val="11"/>
        <rFont val="Times New Roman"/>
        <family val="1"/>
      </rPr>
      <t xml:space="preserve">  plain   cement   concrete   of   trap
/granite/quartzite/  gneiss  metal  for  cast  in  citu  </t>
    </r>
    <r>
      <rPr>
        <b/>
        <sz val="11"/>
        <color rgb="FFFF0000"/>
        <rFont val="Times New Roman"/>
        <family val="1"/>
      </rPr>
      <t>piers,  abutment,  returns,  wings  etc.</t>
    </r>
    <r>
      <rPr>
        <sz val="11"/>
        <rFont val="Times New Roman"/>
        <family val="1"/>
      </rPr>
      <t xml:space="preserve"> including  provision  of  "V"  shaped  false  joints  to  form  suitable  panels  on  the  faces  to approve   design   with   compacting   by   vibrating   and   curing   complete,   including plywood/steel   form  work  centering  (  excluding  dewatering  by  means  of  pump)  and including bailling out water and curing finishing in CM 1:3 etc. complete.   as directed by engineer  in  charge    basic  rate  shall  be  increased  for  height  above  5.00  m in  followinh manners
(a)   Height   upto   5   M.   (With   Concrete   Mixer)With   fine   agreegates   of   required specifications ( VSI sand finely washed etc )
i) Height up to 5 m, normal rate.
ii) Height 5 to 7.50 m, add 5 percent extra over basic rate.
iii) Height 7.50 to 10 m, 7.50 percent extra.</t>
    </r>
  </si>
  <si>
    <t>M-25 plain cement concrete of trap /granite/quartzite/ gneiss metal</t>
  </si>
  <si>
    <r>
      <rPr>
        <sz val="11"/>
        <rFont val="Times New Roman"/>
        <family val="1"/>
      </rPr>
      <t xml:space="preserve">Providing   and   laying   in   situ   /   ready   mix   </t>
    </r>
    <r>
      <rPr>
        <sz val="11"/>
        <color rgb="FFFF0000"/>
        <rFont val="Times New Roman"/>
        <family val="1"/>
      </rPr>
      <t xml:space="preserve">M-30   plain   cement   concrete  </t>
    </r>
    <r>
      <rPr>
        <sz val="11"/>
        <rFont val="Times New Roman"/>
        <family val="1"/>
      </rPr>
      <t xml:space="preserve"> of   trap
/granite/quartzite/  gneiss  metal  for  cast  in  citu  </t>
    </r>
    <r>
      <rPr>
        <b/>
        <sz val="11"/>
        <color rgb="FFFF0000"/>
        <rFont val="Times New Roman"/>
        <family val="1"/>
      </rPr>
      <t>piers,  abutment,  returns,  wings  etc.</t>
    </r>
    <r>
      <rPr>
        <sz val="11"/>
        <rFont val="Times New Roman"/>
        <family val="1"/>
      </rPr>
      <t xml:space="preserve"> including  provision  of  "V"  shaped  false  joints  to  form  suitable  panels  on  the  faces  to approve   design   with   compacting   by   vibrating   and   curing   complete,   including plywood/steel   form  work  centering  (  excluding  dewatering  by  means  of  pump)  and including bailling out water and curing finishing in CM 1:3 etc. complete.   as directed by engineer  in  charge    basic  rate  shall  be  increased  for  height  above  5.00  m in  followinh manners
(a)   Height   upto   5   M.   (With   Concrete   Mixer)With   fine   agreegates   of   required specifications ( VSI sand finely washed etc )
i) Height up to 5 m, normal rate.
ii) Height 5 to 7.50 m, add 5 percent extra over basic rate.
iii) Height 7.50 to 10 m, 7.50 percent extra.</t>
    </r>
  </si>
  <si>
    <t>M-30 plain cement concrete of trap /granite/quartzite/ gneiss metal</t>
  </si>
  <si>
    <r>
      <rPr>
        <sz val="11"/>
        <rFont val="Times New Roman"/>
        <family val="1"/>
      </rPr>
      <t xml:space="preserve">Providing   and   laying   in   situ   /   ready   mix   </t>
    </r>
    <r>
      <rPr>
        <b/>
        <sz val="11"/>
        <color rgb="FFFF0000"/>
        <rFont val="Times New Roman"/>
        <family val="1"/>
      </rPr>
      <t xml:space="preserve">M-35   plain   cement   concrete </t>
    </r>
    <r>
      <rPr>
        <sz val="11"/>
        <rFont val="Times New Roman"/>
        <family val="1"/>
      </rPr>
      <t xml:space="preserve">  of   trap
/granite/quartzite/  gneiss  metal  for  cast  in  citu </t>
    </r>
    <r>
      <rPr>
        <b/>
        <sz val="11"/>
        <color rgb="FFFF0000"/>
        <rFont val="Times New Roman"/>
        <family val="1"/>
      </rPr>
      <t xml:space="preserve"> piers,  abutment,  returns,  wings  etc</t>
    </r>
    <r>
      <rPr>
        <sz val="11"/>
        <rFont val="Times New Roman"/>
        <family val="1"/>
      </rPr>
      <t>. including  provision  of  "V"  shaped  false  joints  to  form  suitable  panels  on  the  faces  to approve   design   with   compacting   by   vibrating   and   curing   complete,   including plywood/steel   form  work  centering  (  excluding  dewatering  by  means  of  pump)  and including bailling out water and curing finishing in CM 1:3 etc. complete.   as directed by engineer  in  charge    basic  rate  shall  be  increased  for  height  above  5.00  m in  followinh manners
(a)   Height   upto   5   M.   (With   Concrete   Mixer)With   fine   agreegates   of   required specifications ( VSI sand finely washed etc )
i) Height up to 5 m, normal rate.
ii) Height 5 to 7.50 m, add 5 percent extra over basic rate.
iii) Height 7.50 to 10 m, 7.50 percent extra.</t>
    </r>
  </si>
  <si>
    <t>M-35 plain cement concrete of trap /granite/quartzite/ gneiss metal</t>
  </si>
  <si>
    <r>
      <rPr>
        <sz val="11"/>
        <rFont val="Times New Roman"/>
        <family val="1"/>
      </rPr>
      <t xml:space="preserve">Providing   and   laying   in   situ   /   ready   mix   </t>
    </r>
    <r>
      <rPr>
        <b/>
        <sz val="11"/>
        <color rgb="FFFF0000"/>
        <rFont val="Times New Roman"/>
        <family val="1"/>
      </rPr>
      <t xml:space="preserve">M-20   plain   cement   concrete   </t>
    </r>
    <r>
      <rPr>
        <sz val="11"/>
        <rFont val="Times New Roman"/>
        <family val="1"/>
      </rPr>
      <t xml:space="preserve">of   trap
/granite/quartzite/  gneiss  metal  for  cast  in  citu  </t>
    </r>
    <r>
      <rPr>
        <b/>
        <sz val="11"/>
        <color rgb="FFFF0000"/>
        <rFont val="Times New Roman"/>
        <family val="1"/>
      </rPr>
      <t>piers,  abutment,  returns,  wings  etc.</t>
    </r>
    <r>
      <rPr>
        <sz val="11"/>
        <rFont val="Times New Roman"/>
        <family val="1"/>
      </rPr>
      <t xml:space="preserve"> including  provision  of  "V"  shaped  false  joints  to  form  suitable  panels  on  the  faces  to approve   design   with   compacting   by   vibrating   and   curing   complete,   including plywood/steel   form  work  centering  (  excluding  dewatering  by  means  of  pump)  and including bailling out water and curing finishing in CM 1:3 etc. complete.   as directed by engineer in charge    basic rate shall be increased for height  above 5..00 m in followinh manners
b) Height upto 5 M. (With Batch Mix Plant)
With   fully  automatic  micro   processor  based  PLC   with   SCADA  enable  with   fine agreegates of required specifications ( VSI sand finely washed etc )
i) Height up to 5 m, normal rate.
ii) Height 5 to 7.50 m, add 5 percent extra over basic rate.
iii) Height 7.50 to 10 m, 7.50 percent extra.</t>
    </r>
  </si>
  <si>
    <r>
      <rPr>
        <sz val="11"/>
        <rFont val="Times New Roman"/>
        <family val="1"/>
      </rPr>
      <t xml:space="preserve">Providing   and   laying   in   situ   /   ready   mix   </t>
    </r>
    <r>
      <rPr>
        <b/>
        <sz val="11"/>
        <color rgb="FFFF0000"/>
        <rFont val="Times New Roman"/>
        <family val="1"/>
      </rPr>
      <t xml:space="preserve">M-25   plain   cement   concrete </t>
    </r>
    <r>
      <rPr>
        <sz val="11"/>
        <rFont val="Times New Roman"/>
        <family val="1"/>
      </rPr>
      <t xml:space="preserve">  of   trap
/granite/quartzite/  gneiss  metal  for  cast  in  citu  </t>
    </r>
    <r>
      <rPr>
        <b/>
        <sz val="11"/>
        <color rgb="FFFF0000"/>
        <rFont val="Times New Roman"/>
        <family val="1"/>
      </rPr>
      <t xml:space="preserve">piers,  abutment,  returns,  wings  etc. </t>
    </r>
    <r>
      <rPr>
        <sz val="11"/>
        <rFont val="Times New Roman"/>
        <family val="1"/>
      </rPr>
      <t>including  provision  of  "V"  shaped  false  joints  to  form  suitable  panels  on  the  faces  to approve   design   with   compacting   by   vibrating   and   curing   complete,   including plywood/steel   form  work  centering  (  excluding  dewatering  by  means  of  pump)  and including bailling out water and curing finishing in CM 1:3 etc. complete.   as directed by engineer in charge    basic rate shall be increased for height  above 5..00 m in followinh manners
b) Height upto 5 M. (With Batch Mix Plant)
With   fully  automatic  micro   processor  based  PLC   with   SCADA  enable  with   fine agreegates of required specifications ( VSI sand finely washed etc )
i) Height up to 5 m, normal rate.
ii) Height 5 to 7.50 m, add 5 percent extra over basic rate.
iii) Height 7.50 to 10 m, 7.50 percent extra.</t>
    </r>
  </si>
  <si>
    <t xml:space="preserve"> M-25 plain cement concrete of trap /granite/quartzite/ gneiss metal </t>
  </si>
  <si>
    <r>
      <rPr>
        <sz val="11"/>
        <rFont val="Times New Roman"/>
        <family val="1"/>
      </rPr>
      <t xml:space="preserve">Providing   and   laying   in   situ   /   ready   mix   </t>
    </r>
    <r>
      <rPr>
        <sz val="11"/>
        <color rgb="FFFF0000"/>
        <rFont val="Times New Roman"/>
        <family val="1"/>
      </rPr>
      <t>M-30   plain   cement   concrete   of   trap</t>
    </r>
    <r>
      <rPr>
        <sz val="11"/>
        <rFont val="Times New Roman"/>
        <family val="1"/>
      </rPr>
      <t xml:space="preserve">
/granite/quartzite/  gneiss  metal  for  cast  in  </t>
    </r>
    <r>
      <rPr>
        <b/>
        <sz val="11"/>
        <color rgb="FFFF0000"/>
        <rFont val="Times New Roman"/>
        <family val="1"/>
      </rPr>
      <t>citu  piers,  abutment,  returns,  wings</t>
    </r>
    <r>
      <rPr>
        <sz val="11"/>
        <rFont val="Times New Roman"/>
        <family val="1"/>
      </rPr>
      <t xml:space="preserve">  etc. including  provision  of  "V"  shaped  false  joints  to  form  suitable  panels  on  the  faces  to approve   design   with   compacting   by   vibrating   and   curing   complete,   including plywood/steel   form  work  centering  (  excluding  dewatering  by  means  of  pump)  and including bailling out water and curing finishing in CM 1:3 etc. complete.   as directed by engineer in charge    basic rate shall be increased for height  above 5..00 m in followinh manners
b) Height upto 5 M. (With Batch Mix Plant)
With   fully  automatic  micro   processor  based  PLC   with   SCADA  enable  with   fine agreegates of required specifications ( VSI sand finely washed etc )
i) Height up to 5 m, normal rate.
ii) Height 5 to 7.50 m, add 5 percent extra over basic rate.
iii) Height 7.50 to 10 m, 7.50 percent extra.</t>
    </r>
  </si>
  <si>
    <t xml:space="preserve">M-30 plain cement concrete of trap /granite/quartzite/ gneiss metal </t>
  </si>
  <si>
    <r>
      <t xml:space="preserve">Providing   and   laying   in   situ   /   ready   mix   </t>
    </r>
    <r>
      <rPr>
        <b/>
        <sz val="11"/>
        <color rgb="FFFF0000"/>
        <rFont val="Times New Roman"/>
        <family val="1"/>
      </rPr>
      <t xml:space="preserve">M-35   plain   cement   concrete  </t>
    </r>
    <r>
      <rPr>
        <sz val="11"/>
        <rFont val="Times New Roman"/>
        <family val="1"/>
      </rPr>
      <t xml:space="preserve"> of   trap
/granite/quartzite/  gneiss  metal  for  cast  in  </t>
    </r>
    <r>
      <rPr>
        <b/>
        <sz val="11"/>
        <color rgb="FFFF0000"/>
        <rFont val="Times New Roman"/>
        <family val="1"/>
      </rPr>
      <t>situ  piers,  abutment,  returns,  wings</t>
    </r>
    <r>
      <rPr>
        <sz val="11"/>
        <rFont val="Times New Roman"/>
        <family val="1"/>
      </rPr>
      <t xml:space="preserve">  etc. including  provision  of  "V"  shaped  false  joints  to  form  suitable  panels  on  the  faces  to approve   design   with   compacting   by   vibrating   and   curing   complete,   including plywood/steel   form  work  centering  (  excluding  dewatering  by  means  of  pump)  and including bailling out water and curing finishing in CM 1:3 etc. complete.   as directed by engineer in  charge     basic  rate shall be increased  for height  above 5.00  m in  following manners
b) Height upto 5 M. (With Batch Mix Plant)
With   fully  automatic  micro   processor  based  PLC   with   SCADA  enable  with   fine agreegates of required specifications ( VSI sand finely washed etc )
i) Height up to 5 m, normal rate.
ii) Height 5 to 7.50 m, add 5 percent extra over basic rate.
iii) Height 7.50 to 10 m, 7.50 percent extra.</t>
    </r>
  </si>
  <si>
    <r>
      <rPr>
        <sz val="11"/>
        <rFont val="Times New Roman"/>
        <family val="1"/>
      </rPr>
      <t xml:space="preserve">Providing and laying in situ / ready mix </t>
    </r>
    <r>
      <rPr>
        <b/>
        <sz val="11"/>
        <color rgb="FFFF0000"/>
        <rFont val="Times New Roman"/>
        <family val="1"/>
      </rPr>
      <t xml:space="preserve">M-20 </t>
    </r>
    <r>
      <rPr>
        <sz val="11"/>
        <rFont val="Times New Roman"/>
        <family val="1"/>
      </rPr>
      <t xml:space="preserve">cement concrete of trap /granite/quartzite/ gneiss  metal for  cast  in  citu  </t>
    </r>
    <r>
      <rPr>
        <b/>
        <sz val="11"/>
        <color rgb="FFFF0000"/>
        <rFont val="Times New Roman"/>
        <family val="1"/>
      </rPr>
      <t xml:space="preserve">R.C.C.  solid   piers,column  etc  </t>
    </r>
    <r>
      <rPr>
        <sz val="11"/>
        <rFont val="Times New Roman"/>
        <family val="1"/>
      </rPr>
      <t>. including   provision of   V shaped false joints to form suitable panels on the faces to approve design with compacting by  vibrating   and  curing   complete.   Including   plywood/steel   formwork,  centering   ( excluding dewatering by means of pump) and including bailling out water and including CM 1:3  curing complete.
a) Height upto 5 M. (With Concrete Mixer)
i) Height up to 5 m, normal rate.
ii) Height 5 to 7.50 m, add 5 percent extra over basic rate.
iii) Height 7.50 to 10 m, 7.50 percent extra.
iv) Over 10 m Height, add 10 percent extra for every 2.50m rise with fine agreegates of required specifications ( VSI sand finely washed etc )</t>
    </r>
  </si>
  <si>
    <r>
      <rPr>
        <sz val="11"/>
        <rFont val="Times New Roman"/>
        <family val="1"/>
      </rPr>
      <t>MORT&amp;H (5th Rev.)  1700, 2204,
2304</t>
    </r>
  </si>
  <si>
    <t>M-20  cement  concrete  of  trap  /granite/quartzite/ gneiss metal</t>
  </si>
  <si>
    <r>
      <rPr>
        <sz val="11"/>
        <rFont val="Times New Roman"/>
        <family val="1"/>
      </rPr>
      <t xml:space="preserve">Providing and laying in situ / ready mix </t>
    </r>
    <r>
      <rPr>
        <b/>
        <sz val="11"/>
        <color rgb="FFFF0000"/>
        <rFont val="Times New Roman"/>
        <family val="1"/>
      </rPr>
      <t>M-25</t>
    </r>
    <r>
      <rPr>
        <sz val="11"/>
        <rFont val="Times New Roman"/>
        <family val="1"/>
      </rPr>
      <t xml:space="preserve"> cement concrete of trap /granite/quartzite/ gneiss  metal for  cast  in  citu  </t>
    </r>
    <r>
      <rPr>
        <b/>
        <sz val="11"/>
        <color rgb="FFFF0000"/>
        <rFont val="Times New Roman"/>
        <family val="1"/>
      </rPr>
      <t xml:space="preserve">R.C.C.  solid   piers,column  etc </t>
    </r>
    <r>
      <rPr>
        <sz val="11"/>
        <rFont val="Times New Roman"/>
        <family val="1"/>
      </rPr>
      <t xml:space="preserve"> . including   provision of   V shaped false joints to form suitable panels on the faces to approve design with compacting by  vibrating   and  curing   complete.   Including   plywood/steel   formwork,  centering   ( excluding dewatering by means of pump) and including bailling out water and including CM 1:3  curing complete.
a) Height upto 5 M. (With Concrete Mixer)
i) Height up to 5 m, normal rate.
ii) Height 5 to 7.50 m, add 5 percent extra over basic rate.
iii) Height 7.50 to 10 m, 7.50 percent extra.
iv) Over 10 m Height, add 10 percent extra for every 2.50m rise with fine agreegates of required specifications ( VSI sand finely washed etc )</t>
    </r>
  </si>
  <si>
    <t xml:space="preserve">M-25  cement  concrete  of  trap  /granite/quartzite/ gneiss metal </t>
  </si>
  <si>
    <r>
      <rPr>
        <sz val="11"/>
        <rFont val="Times New Roman"/>
        <family val="1"/>
      </rPr>
      <t>Providing and laying in situ / ready mix</t>
    </r>
    <r>
      <rPr>
        <b/>
        <sz val="11"/>
        <color rgb="FFFF0000"/>
        <rFont val="Times New Roman"/>
        <family val="1"/>
      </rPr>
      <t xml:space="preserve"> M-30</t>
    </r>
    <r>
      <rPr>
        <sz val="11"/>
        <rFont val="Times New Roman"/>
        <family val="1"/>
      </rPr>
      <t xml:space="preserve"> cement concrete of trap /granite/quartzite/ gneiss  metal for  cast  in  citu  </t>
    </r>
    <r>
      <rPr>
        <b/>
        <sz val="11"/>
        <color rgb="FFFF0000"/>
        <rFont val="Times New Roman"/>
        <family val="1"/>
      </rPr>
      <t>R.C.C.  solid   piers,column  etc</t>
    </r>
    <r>
      <rPr>
        <sz val="11"/>
        <rFont val="Times New Roman"/>
        <family val="1"/>
      </rPr>
      <t xml:space="preserve">  . including   provision of   V shaped false joints to form suitable panels on the faces to approve design with compacting by  vibrating   and  curing   complete.   Including   plywood/steel   formwork,  centering   ( excluding dewatering by means of pump) and including bailling out water and including CM 1:3  curing complete.
a) Height upto 5 M. (With Concrete Mixer)
i) Height up to 5 m, normal rate.
ii) Height 5 to 7.50 m, add 5 percent extra over basic rate.
iii) Height 7.50 to 10 m, 7.50 percent extra.
iv) Over 10 m Height, add 10 percent extra for every 2.50m rise.</t>
    </r>
  </si>
  <si>
    <t xml:space="preserve">M-30  cement  concrete  of  trap  /granite/quartzite/ gneiss metal </t>
  </si>
  <si>
    <r>
      <rPr>
        <sz val="11"/>
        <rFont val="Times New Roman"/>
        <family val="1"/>
      </rPr>
      <t xml:space="preserve">Providing and laying in situ / ready mix </t>
    </r>
    <r>
      <rPr>
        <b/>
        <sz val="11"/>
        <color rgb="FFFF0000"/>
        <rFont val="Times New Roman"/>
        <family val="1"/>
      </rPr>
      <t>M-35</t>
    </r>
    <r>
      <rPr>
        <sz val="11"/>
        <rFont val="Times New Roman"/>
        <family val="1"/>
      </rPr>
      <t xml:space="preserve"> cement concrete of trap /granite/quartzite/ gneiss  metal for  cast  in  citu  </t>
    </r>
    <r>
      <rPr>
        <b/>
        <sz val="11"/>
        <color rgb="FFFF0000"/>
        <rFont val="Times New Roman"/>
        <family val="1"/>
      </rPr>
      <t>R.C.C.  solid   piers,</t>
    </r>
    <r>
      <rPr>
        <sz val="11"/>
        <rFont val="Times New Roman"/>
        <family val="1"/>
      </rPr>
      <t>column  etc  . including   provision of   V shaped false joints to form suitable panels on the faces to approve design with compacting by  vibrating   and  curing   complete.   Including   plywood/steel   formwork,  centering   ( excluding dewatering by means of pump) and including bailling out water and including CM 1:3  curing complete.
a) Height upto 5 M. (With Concrete Mixer)
i) Height up to 5 m, normal rate.
ii) Height 5 to 7.50 m, add 5 percent extra over basic rate.
iii) Height 7.50 to 10 m, 7.50 percent extra.
iv) Over 10 m Height, add 10 percent extra for every 2.50m rise with fine agreegates of required specifications ( VSI sand finely washed etc )</t>
    </r>
  </si>
  <si>
    <t xml:space="preserve">M-35  cement  concrete  of  trap  /granite/quartzite/ gneiss metal </t>
  </si>
  <si>
    <r>
      <rPr>
        <sz val="11"/>
        <rFont val="Times New Roman"/>
        <family val="1"/>
      </rPr>
      <t>Providing trap/granite/quartzite/gneiss rubble filling over haunches and arches including hand packing.
Spec. One Number: BR.34 Page One Number 146</t>
    </r>
  </si>
  <si>
    <t>MORT&amp;H (5th Rev.) 1700, 1704</t>
  </si>
  <si>
    <r>
      <t xml:space="preserve">Providing  and  laying  in  situ  /  ready mix  </t>
    </r>
    <r>
      <rPr>
        <b/>
        <sz val="11"/>
        <color rgb="FFFF0000"/>
        <rFont val="Times New Roman"/>
        <family val="1"/>
      </rPr>
      <t xml:space="preserve">controlled  M-20  </t>
    </r>
    <r>
      <rPr>
        <sz val="11"/>
        <rFont val="Times New Roman"/>
        <family val="1"/>
      </rPr>
      <t xml:space="preserve">cement  concrete  of   of  trap  / granite  /  quartzite/  gniess  metal  for  </t>
    </r>
    <r>
      <rPr>
        <b/>
        <sz val="11"/>
        <color rgb="FFFF0000"/>
        <rFont val="Times New Roman"/>
        <family val="1"/>
      </rPr>
      <t xml:space="preserve">reinforced  cement  concrete  caps  over  piers  and abutments  </t>
    </r>
    <r>
      <rPr>
        <sz val="11"/>
        <rFont val="Times New Roman"/>
        <family val="1"/>
      </rPr>
      <t xml:space="preserve"> including  necessary  sacffolding  plywood/steel  formwork,  compacting   by vibrating, finishing in CM 1:3 and curing etc complete  ( Excluding   reinforcement)  With reversible drum type mixer/ concrete batch mix plant (pan mixer) . with fine agreegates of required specifications ( VSI sand finely washed etc )</t>
    </r>
  </si>
  <si>
    <r>
      <rPr>
        <sz val="11"/>
        <rFont val="Times New Roman"/>
        <family val="1"/>
      </rPr>
      <t>MORT&amp;H(5th Rev.) 1700, 2205,
2304</t>
    </r>
  </si>
  <si>
    <t xml:space="preserve">M-20 cement concrete of  of trap / granite / quartzite/ gniess metal </t>
  </si>
  <si>
    <r>
      <t xml:space="preserve">Providing  and  laying  in  situ  /  ready mix  </t>
    </r>
    <r>
      <rPr>
        <b/>
        <sz val="11"/>
        <color rgb="FFFF0000"/>
        <rFont val="Times New Roman"/>
        <family val="1"/>
      </rPr>
      <t>controlled  M-25</t>
    </r>
    <r>
      <rPr>
        <sz val="11"/>
        <rFont val="Times New Roman"/>
        <family val="1"/>
      </rPr>
      <t xml:space="preserve">  cement  concrete  of   of  trap  / granite  /  quartzite/  gniess  metal  for </t>
    </r>
    <r>
      <rPr>
        <b/>
        <sz val="11"/>
        <color rgb="FFFF0000"/>
        <rFont val="Times New Roman"/>
        <family val="1"/>
      </rPr>
      <t xml:space="preserve"> reinforced  cement  concrete  caps  over  piers  and abutments </t>
    </r>
    <r>
      <rPr>
        <sz val="11"/>
        <rFont val="Times New Roman"/>
        <family val="1"/>
      </rPr>
      <t xml:space="preserve">  including  necessary  sacffolding  plywood/steel  formwork,  compacting   by vibrating, finishing in CM 1:3 and curing etc complete  ( Excluding   reinforcement) With reversible drum type mixer/ concrete batch mix plant (pan mixer) . with fine agreegates of required specifications ( VSI sand finely washed etc )</t>
    </r>
  </si>
  <si>
    <t xml:space="preserve">M-25 cement concrete of  of trap / granite / quartzite/ gniess metal </t>
  </si>
  <si>
    <r>
      <t xml:space="preserve">Providing  and  laying  in  situ  /  ready mix  controlled </t>
    </r>
    <r>
      <rPr>
        <b/>
        <sz val="11"/>
        <color rgb="FFFF0000"/>
        <rFont val="Times New Roman"/>
        <family val="1"/>
      </rPr>
      <t xml:space="preserve"> M-30 </t>
    </r>
    <r>
      <rPr>
        <sz val="11"/>
        <rFont val="Times New Roman"/>
        <family val="1"/>
      </rPr>
      <t xml:space="preserve"> cement  concrete  of   of  trap  / granite  /  quartzite/  gniess  metal  for </t>
    </r>
    <r>
      <rPr>
        <b/>
        <sz val="11"/>
        <color rgb="FFFF0000"/>
        <rFont val="Times New Roman"/>
        <family val="1"/>
      </rPr>
      <t xml:space="preserve"> reinforced  cement  concrete  caps  over  piers  and abutments </t>
    </r>
    <r>
      <rPr>
        <sz val="11"/>
        <rFont val="Times New Roman"/>
        <family val="1"/>
      </rPr>
      <t xml:space="preserve">  including  necessary  sacffolding  plywood/steel  formwork,  compacting   by vibrating, finishing in CM 1:3 and curing etc complete  ( Excluding   reinforcement) With reversible drum type mixer/ concrete batch mix plant (pan mixer) . with fine agreegates of required specifications ( VSI sand finely washed etc )</t>
    </r>
  </si>
  <si>
    <t xml:space="preserve">M-30 cement concrete of  of trap / granite / quartzite/ gniess metal </t>
  </si>
  <si>
    <r>
      <t xml:space="preserve">Providing  and  laying  in  situ  /  ready mix  controlled </t>
    </r>
    <r>
      <rPr>
        <b/>
        <sz val="11"/>
        <color rgb="FFFF0000"/>
        <rFont val="Times New Roman"/>
        <family val="1"/>
      </rPr>
      <t xml:space="preserve"> M-35  cement  concrete  </t>
    </r>
    <r>
      <rPr>
        <sz val="11"/>
        <rFont val="Times New Roman"/>
        <family val="1"/>
      </rPr>
      <t xml:space="preserve">of   of  trap  / granite  /  quartzite/  gniess  metal  for  </t>
    </r>
    <r>
      <rPr>
        <b/>
        <sz val="11"/>
        <color rgb="FFFF0000"/>
        <rFont val="Times New Roman"/>
        <family val="1"/>
      </rPr>
      <t xml:space="preserve">reinforced  cement  concrete  caps  over  piers  and abutments  </t>
    </r>
    <r>
      <rPr>
        <sz val="11"/>
        <rFont val="Times New Roman"/>
        <family val="1"/>
      </rPr>
      <t xml:space="preserve"> including  necessary  sacffolding  plywood/steel  formwork,  compacting   by vibrating, finishing in CM 1:3 and curing etc complete  ( Excluding   reinforcement) With reversible drum type mixer/ concrete batch mix plant (pan mixer) . with fine agreegates of required specifications ( VSI sand finely washed etc )</t>
    </r>
  </si>
  <si>
    <t xml:space="preserve">M-35 cement concrete of  of trap / granite / quartzite/ gniess metal </t>
  </si>
  <si>
    <t>Providing and placing Cage Unit, with 12 m Dia of each cage in the unit, for each support of staging for 6 m well foundation to two lane bridge, embedded 0.50m below the bed and raised 0.50m above HTL, comprising 25mm dia vertical HYSD bars/ ISMB Sections  and bamboos within, strirrups of 25mm and 12mm dia - HYSD bars, including boulder filling with void filling and compaction, with reinforcement, Bolts, fabrication and placing cage in position as per design and drawing complete. 1). For depth of water 5.0 M (Item shall be included in Estimate with prior permission of SE, with due attention to site condition and actual requirement for creek bridges.  Depth of standing water shall be verified and certified  by EE  for  each  span seperately,  and accordinly provisions  shall be made)   For intermidiate depth of water rate shall be derived by interpolation.</t>
  </si>
  <si>
    <t>MORT&amp;H (5th Rev.) 1814</t>
  </si>
  <si>
    <t>Providing and placing Cage Unit, with 12 m Dia of each cage in the unit, for each support of staging for 6 m well foundation to two lane bridge, embedded 0.50m below the bed and raised 0.50m above HTL, comprising 25mm dia vertical HYSD bars/ ISMB Sections  and bamboos within, strirrups of 25mm and 12mm dia - HYSD bars, including boulder filling with void filling and compaction, with reinforcement, Bolts, fabrication and placing cage in position as per design and drawing complete. 1). For depth of water 10.0 M (Item shall be included in Estimate with prior permission of SE, with due attention to site condition and actual requirement for creek bridges.  Depth of standing water shall be verified and certified  by EE  for  each  span seperately,  and accordinly provisions  shall be made)   For intermidiate depth of water rate shall be derived by interpolation.</t>
  </si>
  <si>
    <r>
      <rPr>
        <sz val="11"/>
        <rFont val="Times New Roman"/>
        <family val="1"/>
      </rPr>
      <t>Providing and laying in situ / ready mix</t>
    </r>
    <r>
      <rPr>
        <b/>
        <sz val="11"/>
        <color rgb="FFFF0000"/>
        <rFont val="Times New Roman"/>
        <family val="1"/>
      </rPr>
      <t xml:space="preserve"> M-20 cement concrete</t>
    </r>
    <r>
      <rPr>
        <sz val="11"/>
        <rFont val="Times New Roman"/>
        <family val="1"/>
      </rPr>
      <t xml:space="preserve"> of trap / granite / quartzite/ gniess metal for </t>
    </r>
    <r>
      <rPr>
        <b/>
        <sz val="11"/>
        <color rgb="FFFF0000"/>
        <rFont val="Times New Roman"/>
        <family val="1"/>
      </rPr>
      <t>reinforced cement concrete block below the bearing</t>
    </r>
    <r>
      <rPr>
        <sz val="11"/>
        <rFont val="Times New Roman"/>
        <family val="1"/>
      </rPr>
      <t xml:space="preserve"> including necessary scaffolding, plywood/steel  formwork, compaction by vibrating, finishing in CM 1:3 and curing complete (Excluding reinforcement)  Using  reversible drum type mixer/ concrete batch  mix  plant  (pan  mixer)  with  fine  agreegates  of  required  specifications  (  VSI  sand
finely washed etc )</t>
    </r>
  </si>
  <si>
    <r>
      <rPr>
        <sz val="11"/>
        <rFont val="Times New Roman"/>
        <family val="1"/>
      </rPr>
      <t>MORT&amp;H (5th Rev.) 1700, 2205,
2304</t>
    </r>
  </si>
  <si>
    <t>Cubic Meter</t>
  </si>
  <si>
    <t>M-20 cement concrete of trap / granite / quartzite/ gniess  metal</t>
  </si>
  <si>
    <r>
      <rPr>
        <sz val="11"/>
        <rFont val="Times New Roman"/>
        <family val="1"/>
      </rPr>
      <t xml:space="preserve">Providing and laying in situ / ready mix </t>
    </r>
    <r>
      <rPr>
        <b/>
        <sz val="11"/>
        <color rgb="FFFF0000"/>
        <rFont val="Times New Roman"/>
        <family val="1"/>
      </rPr>
      <t>M-25 cement concrete</t>
    </r>
    <r>
      <rPr>
        <sz val="11"/>
        <rFont val="Times New Roman"/>
        <family val="1"/>
      </rPr>
      <t xml:space="preserve"> of trap / granite / quartzite/ gniess metal for </t>
    </r>
    <r>
      <rPr>
        <b/>
        <sz val="11"/>
        <color rgb="FFFF0000"/>
        <rFont val="Times New Roman"/>
        <family val="1"/>
      </rPr>
      <t>reinforced cement concrete block below the bearing</t>
    </r>
    <r>
      <rPr>
        <sz val="11"/>
        <rFont val="Times New Roman"/>
        <family val="1"/>
      </rPr>
      <t xml:space="preserve"> including necessary scaffolding, plywood/steel  formwork, compaction by vibrating, finishing in CM 1:3 and curing complete (Excluding reinforcement)  Using  reversible drum type mixer/ concrete
batch mix plant (pan mixer) .</t>
    </r>
  </si>
  <si>
    <t>M-25 C.C. For  block  below  the  bearing</t>
  </si>
  <si>
    <r>
      <rPr>
        <sz val="11"/>
        <rFont val="Times New Roman"/>
        <family val="1"/>
      </rPr>
      <t xml:space="preserve">Providing and laying in situ / ready mix </t>
    </r>
    <r>
      <rPr>
        <b/>
        <sz val="11"/>
        <color rgb="FFFF0000"/>
        <rFont val="Times New Roman"/>
        <family val="1"/>
      </rPr>
      <t>M-30 cement concrete</t>
    </r>
    <r>
      <rPr>
        <sz val="11"/>
        <rFont val="Times New Roman"/>
        <family val="1"/>
      </rPr>
      <t xml:space="preserve"> of trap / granite / quartzite/ gniess metal for </t>
    </r>
    <r>
      <rPr>
        <b/>
        <sz val="11"/>
        <color rgb="FFFF0000"/>
        <rFont val="Times New Roman"/>
        <family val="1"/>
      </rPr>
      <t>reinforced cement concrete block below the bearing</t>
    </r>
    <r>
      <rPr>
        <sz val="11"/>
        <rFont val="Times New Roman"/>
        <family val="1"/>
      </rPr>
      <t xml:space="preserve"> including necessary scaffolding, plywood/steel  formwork, compaction by vibrating, finishing in CM 1:3 and curing complete (Excluding reinforcement)
Using   reversible  drum  type  mixer/  concrete  batch  mix  plant  (pan  mixer)  with  fine
agreegates of required specifications ( VSI sand finely washed etc )</t>
    </r>
  </si>
  <si>
    <t>M-30 C.C. For  block  below  the  bearing</t>
  </si>
  <si>
    <r>
      <rPr>
        <sz val="11"/>
        <rFont val="Times New Roman"/>
        <family val="1"/>
      </rPr>
      <t xml:space="preserve">Providing and laying in situ / ready mix </t>
    </r>
    <r>
      <rPr>
        <b/>
        <sz val="11"/>
        <color rgb="FFFF0000"/>
        <rFont val="Times New Roman"/>
        <family val="1"/>
      </rPr>
      <t>M-35 cement concrete</t>
    </r>
    <r>
      <rPr>
        <sz val="11"/>
        <rFont val="Times New Roman"/>
        <family val="1"/>
      </rPr>
      <t xml:space="preserve"> of trap / granite / quartzite/ gniess metal for </t>
    </r>
    <r>
      <rPr>
        <b/>
        <sz val="11"/>
        <color rgb="FFFF0000"/>
        <rFont val="Times New Roman"/>
        <family val="1"/>
      </rPr>
      <t xml:space="preserve">reinforced cement concrete block below the bearing </t>
    </r>
    <r>
      <rPr>
        <sz val="11"/>
        <rFont val="Times New Roman"/>
        <family val="1"/>
      </rPr>
      <t>including necessary scaffolding, plywood/steel  formwork, compaction by vibrating, finishing in CM 1:3 and curing complete (Excluding reinforcement)
Using  reversible drum type mixer/ concrete batch mix plant (pan mixer) .</t>
    </r>
  </si>
  <si>
    <t>M-35 C.C. For  block  below  the  bearing</t>
  </si>
  <si>
    <r>
      <rPr>
        <sz val="11"/>
        <rFont val="Times New Roman"/>
        <family val="1"/>
      </rPr>
      <t>Providing and laying in situ / ready mix</t>
    </r>
    <r>
      <rPr>
        <b/>
        <sz val="11"/>
        <color rgb="FFFF0000"/>
        <rFont val="Times New Roman"/>
        <family val="1"/>
      </rPr>
      <t xml:space="preserve"> M-40 cement concrete</t>
    </r>
    <r>
      <rPr>
        <sz val="11"/>
        <rFont val="Times New Roman"/>
        <family val="1"/>
      </rPr>
      <t xml:space="preserve"> of trap / granite / quartzite/ gniess metal for </t>
    </r>
    <r>
      <rPr>
        <b/>
        <sz val="11"/>
        <color rgb="FFFF0000"/>
        <rFont val="Times New Roman"/>
        <family val="1"/>
      </rPr>
      <t xml:space="preserve">reinforced cement concrete block below the bearing </t>
    </r>
    <r>
      <rPr>
        <sz val="11"/>
        <rFont val="Times New Roman"/>
        <family val="1"/>
      </rPr>
      <t>including necessary scaffolding, plywood/steel  formwork, compaction by vibrating, finishing in CM 1:3 and curing complete (Excluding reinforcement)
Using   reversible  drum  type  mixer/  concrete  batch  mix  plant  (pan  mixer)  with  fine
agreegates of required specifications ( VSI sand finely washed etc )</t>
    </r>
  </si>
  <si>
    <t>M-40 C.C. For  block  below  the  bearing</t>
  </si>
  <si>
    <r>
      <rPr>
        <sz val="11"/>
        <rFont val="Times New Roman"/>
        <family val="1"/>
      </rPr>
      <t xml:space="preserve">Providing and laying in situ / ready mix </t>
    </r>
    <r>
      <rPr>
        <b/>
        <sz val="11"/>
        <color rgb="FFFF0000"/>
        <rFont val="Times New Roman"/>
        <family val="1"/>
      </rPr>
      <t>M-45 cement concrete</t>
    </r>
    <r>
      <rPr>
        <sz val="11"/>
        <rFont val="Times New Roman"/>
        <family val="1"/>
      </rPr>
      <t xml:space="preserve"> of trap / granite / quartzite/ gniess metal for </t>
    </r>
    <r>
      <rPr>
        <b/>
        <sz val="11"/>
        <color rgb="FFFF0000"/>
        <rFont val="Times New Roman"/>
        <family val="1"/>
      </rPr>
      <t>reinforced cement concrete block below the bearing</t>
    </r>
    <r>
      <rPr>
        <sz val="11"/>
        <rFont val="Times New Roman"/>
        <family val="1"/>
      </rPr>
      <t xml:space="preserve"> including necessary scaffolding, plywood/steel  formwork, compaction by vibrating, finishing in CM 1:3 and curing complete (Excluding reinforcement)
Using  reversible drum type mixer/ concrete batch mix plant (pan mixer) .</t>
    </r>
  </si>
  <si>
    <t>M-45 C.C. For  block  below  the  bearing</t>
  </si>
  <si>
    <r>
      <rPr>
        <sz val="11"/>
        <rFont val="Times New Roman"/>
        <family val="1"/>
      </rPr>
      <t xml:space="preserve">Providing and laying in situ / ready mix </t>
    </r>
    <r>
      <rPr>
        <b/>
        <sz val="11"/>
        <color rgb="FFFF0000"/>
        <rFont val="Times New Roman"/>
        <family val="1"/>
      </rPr>
      <t>M-50 cement concrete</t>
    </r>
    <r>
      <rPr>
        <sz val="11"/>
        <rFont val="Times New Roman"/>
        <family val="1"/>
      </rPr>
      <t xml:space="preserve"> of trap / granite / quartzite/ gniess metal for </t>
    </r>
    <r>
      <rPr>
        <b/>
        <sz val="11"/>
        <color rgb="FFFF0000"/>
        <rFont val="Times New Roman"/>
        <family val="1"/>
      </rPr>
      <t xml:space="preserve">reinforced cement concrete block below the bearing </t>
    </r>
    <r>
      <rPr>
        <sz val="11"/>
        <rFont val="Times New Roman"/>
        <family val="1"/>
      </rPr>
      <t>including necessary scaffolding, plywood/steel  formwork, compaction by vibrating, finishing in CM 1:3 and curing complete (Excluding reinforcement)  Using  reversible drum type mixer/ concrete batch  mix  plant  (pan  mixer)  with  fine  agreegates  of  required  specifications  (  VSI  sand
finely washed etc )</t>
    </r>
  </si>
  <si>
    <t>M-50 C.C. For  block  below  the  bearing</t>
  </si>
  <si>
    <t>Providing  and cutting bending, hooking, laying in position and tying  HCRM/ CRS   for reinforcement  as  per  detailed  drawings  for  R.C.C.  work  Note  :  Where  item  no  34(c) considered  in  estimate,   Anti  Corrosive  Treatment  Shall  not  be  considered  additionaly. HCRM : High Corrosion Resistance Marine. CRS : Corrosion Resistance Steel.</t>
  </si>
  <si>
    <t>Specifications : MORT&amp;H (5th Rev.)   1600</t>
  </si>
  <si>
    <t xml:space="preserve">HCRM/  CRS   for reinforcement    for  R.C.C.  work  </t>
  </si>
  <si>
    <r>
      <rPr>
        <sz val="11"/>
        <rFont val="Times New Roman"/>
        <family val="1"/>
      </rPr>
      <t>Chipping   and   dressing   of   the   R.C.C.   piles   upto   0.60   meter   including   cleaning reinforcement and removal of dismantled materials upto a distance of 50 meter beyond the
building area etc. for providing pile caps.</t>
    </r>
  </si>
  <si>
    <r>
      <rPr>
        <sz val="11"/>
        <rFont val="Times New Roman"/>
        <family val="1"/>
      </rPr>
      <t>Specifications : MORT&amp;H (5th
Rev.)   2604</t>
    </r>
  </si>
  <si>
    <t>Bored Pile, Well Foundation, sub &amp; Super Structure</t>
  </si>
  <si>
    <t>Supply of all types of Structural steel conforming to  Fe 410  B of  IS 2062,  Fabrication, assembling,  erection  /  slewing/  end  launching  of  Steel  girders  (  NOT  requiring  traffic block) upto 45.7 m span on sub structure incl. provision of trolley refuges, incl. loading, unloading,  lift  and  taxes  complete,  assembly  of  girders  on  drift/  bolts,  field  riveting/ welding, assembling of temporary support for side slewing, raising of girders to the bed block level, providing sliding arrangements (Material at site, fabrication at site, erection / launching etc only) PLATE GIRDER / Semi Through Girder</t>
  </si>
  <si>
    <r>
      <rPr>
        <sz val="11"/>
        <rFont val="Times New Roman"/>
        <family val="1"/>
      </rPr>
      <t>Bored Pile, Well Foundation, sub &amp; Super
Structure</t>
    </r>
  </si>
  <si>
    <t>Extra for working under running traffic / traffic block conditions for above Items.</t>
  </si>
  <si>
    <t>Metalizing of steel work of girder with grit blasting as per IRS - B1-2011 following by one coat of etch primer (as per IS;5666) one coat of Zinc Chrome primer (as per IS:104) and  two  coats  of  aluminium  paint  (as  per  IS:2339)  with  all  labour,  tools,plants  and materials.</t>
  </si>
  <si>
    <r>
      <rPr>
        <sz val="11"/>
        <rFont val="Times New Roman"/>
        <family val="1"/>
      </rPr>
      <t>Providing sacrificial shuttering for deck slab made up with galvanised Cold Rolled Cold Annealed (CRCA) steel of 310 MPA Grade with all Contractor's material, labour, erection fixing, welding etc. 
(Decking Sheet )</t>
    </r>
  </si>
  <si>
    <t>Providing and removing barricading with the help of portable fencing along the running track where the work is to be done in close vicinity of the track. Fencing shall consist of self supporting steel angles of size 50 x50x6mm, 1.5m long provided with hooks etc. and embedded  in  CC  1:2:4  block  of  size  0.23x0.23x0.23M  placed  at  c/c  distance  of  2.0  M along the track. 12 mm dia rods in three horizontal layers tack welded with the angle posts including  providing  Retro-reflective  tapes  in  Horizontal  &amp;  vertical  direction.  Note  : Released material will be the property of the contractor after the completion of work. Cost of cement to be paid separately.</t>
  </si>
  <si>
    <t>Load testing of one or more spans of bridge as selected by the Engineer as per approved load  test  procedure  following  relevant  IS/IRC  /  Railway codes  with  contractor's  labour, deflection  measuring  instruments,  loading  materials,  recording  and  analyzing  the  load testing  results  including  all  leads  and  lifts  etc.  completeas  required.  The  rates  are  all inclusive and will be paid after load test is finished and girder is cleared of the kentledges/ loading  materials  etc.  The  load  shall be  1.25  times  the  stipulated  design  load  based  on Design load &amp; not span ( for Span design load upto 100 MT.)</t>
  </si>
  <si>
    <t>Per Test</t>
  </si>
  <si>
    <t>Load testing of one or more spans of bridge as selected by the Engineer as per approved load  test  procedure  following  relevant  IS/IRC  /  Railway codes  with  contractor's  labour, deflection  measuring  instruments,  loading  materials,  recording  and  analyzing  the  load testing  results  including  all  leads  and  lifts  etc.  completeas  required.  The  rates  are  all inclusive and will be paid after load test is finished and girder is cleared of the kentledges/ loading  materials  etc.  The  load  shall be  1.25  times  the  stipulated  design  load  based  on Design load &amp; not span ( Extra for every increase of 100.00mt. or part there  for in  the span load capacity up  to 800.00 mt.)</t>
  </si>
  <si>
    <t xml:space="preserve"> Arch Bridge</t>
  </si>
  <si>
    <t>Providing  factory  made  hydraulically  pressed  mechanically  vibrated  and  compacted Precast  Ready  Mix  M-30  controlled  cement  concrete  of  trap  /granite/quartzite/gneiss metal  Blocks  of  520  mm  top  &amp;  460  mm  bottomX1000mm  length  and  400mm  thick having  various  cross  section  areas  for  assembly of  Arch  Strip,  including  lifting  hooks, including machined surfaced laser cut, trapezoidal steel moulds. As specified and as per IS 456:2000  including  cost  of  all  materials,  preparation  of  casting  bed,  manufacturing, curing, removing from steel moulds by using crane or required machinery and stacking of blocks for preparation of arch strip of various lengths, including lead of all materials up to RMC  plant,  with  fully  automatic  micro  processor  based  PLC  with  SCADA  enabaled concrete Batch Mix Plant ( PAN Mixer )with Crushed sand VSI Grade. etc. complete. as directed by the Engineer in charge.</t>
  </si>
  <si>
    <t>As directed by Engineer-in Charge</t>
  </si>
  <si>
    <t>Providing  factory  made  hydraulically  pressed  mechanically  vibrated  and  compacted Precast  Ready  Mix  M-40  controlled  cement  concrete  of  trap  /granite/quartzite/gneiss metal  Blocks  of  520  mm  top  &amp;  460  mm  bottomX1000mm  length  and  400mm  thick having  various  cross  section  areas  for  assembly of  Arch  Strip,  including  lifting  hooks, including machined surfaced laser cut, trapezoidal steel moulds. As specified and as per IS 456:2000  including  cost  of  all  materials,  preparation  of  casting  bed,  manufacturing, curing, removing from steel moulds by using crane or required machinery and stacking of blocks for preparation of arch strip of various lengths, including lead of all materials up to RMC  plant,  with  fully  automatic  micro  processor  based  PLC  with  SCADA  enabaled concrete Batch Mix Plant ( PAN Mixer )with Crushed sand VSI Grade. etc. complete. as directed by the Engineer in charge.</t>
  </si>
  <si>
    <t>Providing  factory  made  hydraulically  pressed  mechanically  vibrated  and  compacted Precast  Ready  Mix  M-50  controlled  cement  concrete  of  trap  /granite/quartzite/gneiss metal  Blocks  of  520  mm  top  &amp;  460  mm  bottomX1000mm  length  and  400mm  thick having  various  cross  section  areas  for  assembly of  Arch  Strip,  including  lifting  hooks, including machined surfaced laser cut, trapezoidal steel moulds. As specified and as per IS 456:2000  including  cost  of  all  materials,  preparation  of  casting  bed,  manufacturing, curing, removing from steel moulds by using crane or required machinery and stacking of blocks for preparation of arch strip of various lengths, including lead of all materials up to RMC  plant,  with  fully  automatic  micro  processor  based  PLC  with  SCADA  enabaled concrete Batch Mix Plant ( PAN Mixer )with Crushed sand VSI Grade. etc. complete. as directed by the Engineer in charge.</t>
  </si>
  <si>
    <t>Providing  factory  made  hydraulically  pressed  mechanically  vibrated  and  compacted Precast  Ready  Mix  M-30  controlled  cement  concrete  of  trap  /granite/quartzite/gneiss metal  Socket  Blocks  of  520  mm  top  &amp;  460  mm  bottom  x1000mm  length  and  300mm thick  having  various  cross  section  areas  for  assembly  of  Arch  Strip,  including  lifting hooks, including machined surfaced laser cut, trapezoidal steel moulds. As specified and as   per   IS   456:2000   including   cost   of   all   materials,   preparation   of   casting   bed, manufacturing, curing, removing from steel moulds by using crane or required machinery and stacking of blocks for preparation of arch strip of various lengths, including lead of all materials up to RMC plant, with fully automatic micro processor based PLC with SCADA enabaled  concrete  Batch  Mix  Plant  (  PAN  Mixer  )with  Crushed  sand  VSI  Grade.  etc. complete. as directed by the Engineer in charge.</t>
  </si>
  <si>
    <t>Providing  factory  made  hydraulically  pressed  mechanically  vibrated  and  compacted Precast  Ready  Mix  M-40  controlled  cement  concrete  of  trap  /granite/quartzite/gneiss metal  Socket  Blocks  of  520  mm  top  &amp;  460  mm  bottom  x1000mm  length  and  300mm thick  having  various  cross  section  areas  for  assembly  of  Arch  Strip,  including  lifting hooks, including machined surfaced laser cut, trapezoidal steel moulds. As specified and as   per   IS   456:2000   including   cost   of   all   materials,   preparation   of   casting   bed, manufacturing, curing, removing from steel moulds by using crane or required machinery and stacking of blocks for preparation of arch strip of various lengths, including lead of all materials up to RMC plant, with fully automatic micro processor based PLC with SCADA enabaled  concrete  Batch  Mix  Plant  (  PAN  Mixer  )with  Crushed  sand  VSI  Grade.  etc. complete. as directed by the Engineer in charge.</t>
  </si>
  <si>
    <t>Providing  factory  made  hydraulically  pressed  mechanically  vibrated  and  compacted Precast  Ready  Mix  M-50  controlled  cement  concrete  of  trap  /granite/quartzite/gneiss metal  Socket  Blocks  of  520  mm  top  &amp;  460  mm  bottom  x1000mm  length  and  300mm thick  having  various  cross  section  areas  for  assembly  of  Arch  Strip,  including  lifting hooks, including machined surfaced laser cut, trapezoidal steel moulds. As specified and as   per   IS   456:2000   including   cost   of   all   materials,   preparation   of   casting   bed, manufacturing, curing, removing from steel moulds by using crane or required machinery and stacking of blocks for preparation of arch strip of various lengths, including lead of all materials up to RMC plant, with fully automatic micro processor based PLC with SCADA enabaled  concrete  Batch  Mix  Plant  (  PAN  Mixer  )with  Crushed  sand  VSI  Grade.  etc. complete. as directed by the Engineer in charge.</t>
  </si>
  <si>
    <t>Providing  and  laying  M-50  grade  Ready  Mix  cement  concrete  of  60mm  thickness, mechanically vibrated and compacted above linearly and parallelly arranged precast blocks placed on ISMC 100 base to form a layer of screed concrete over unit arch strip. Including HYFLEX steel wire rope – 6 X 36, steel core fixed with aluminum ferrules of required size  and  shape  in  individual  block,  for  connecting  blocks  in  unit  arch  strip.  Including crimping  of each ferule with wire rope using embedded steel bar of 8mm diameter  and 150mm in length. Including 10mm dia steel roads for fixing wire ropes. Including Z-plate acting as form work and steel separation plate of 10mm thickness over individual joint. As specified and as per IS 456:2000 including cost of all materials, preparation of level bed, curing, , including lead of all materials up to RMC plant / casting yard,  etc. complete. as directed by the Engineer in charge.</t>
  </si>
  <si>
    <t>Providing Lifting, transportation and placing activities of precast arch units  and sockets from  casting  yard  /  RMC  plant  to  construction  site  including  all  necessary  lifting arrangements in hydraulic telescopic cranes of appropriate lifting capacity, transportation on  flat  bed  trailer  of  required  length,  including  lifting  slings  with  D-shackle,  pulling ratchets, including ISMC 300 steel supporting cross beam, two One Numbers of P type 10 ton  capacity  chain  pully  ,  including  temporary  supports  for  lifting  and  transporting  on trailers, including construction of leveling platform crane and trailer, including scaffolding and  platform  at  pier  /   abutment  top  level,  including  necessary  all  manpower.,  etc. complete., as directed by Engineer In Charge.</t>
  </si>
  <si>
    <t>Bridge Maintenance New Item</t>
  </si>
  <si>
    <r>
      <rPr>
        <sz val="11"/>
        <rFont val="Times New Roman"/>
        <family val="1"/>
      </rPr>
      <t>Providing and fabricating structural steel work for Sakav Decking in rolled sections like joists,  channels,  angles,  tees  etc.  as  per  detailed  design  and  drawings  or  as  directed including cutting, fabricating, hoisting, erecting, fixing in position making riveted / bolted
/welded  connections  without  connecting  plates,  braces  etc.  and  including  one  coat  of anticorrosive paint and over it two coats of oil painting of approved quality and shade etc.
complete.</t>
    </r>
  </si>
  <si>
    <t>As directed by Engineer in Charge</t>
  </si>
  <si>
    <r>
      <rPr>
        <sz val="11"/>
        <rFont val="Times New Roman"/>
        <family val="1"/>
      </rPr>
      <t>Providing  epoxy mortor  with  quartz  sand  with  proportion  epoxy concrete  sand  1:6   for repairs  to  the  cracked  pier,  girder  etc  including  chipping  the  loose  cracked  concrete cleaning rust by means of brush, sand blasting and rebuilding the section giving minimum 3 day compressive strenght of 525 Kilogram/cm2 and maximum epoxy consumption of 315  Kilogram/m3  of  mortar  with  all  materails  labour  equipment  etc  complete  (Quartz
Sand  885 Kilogram/Cum)</t>
    </r>
  </si>
  <si>
    <t>Providing  and laying  epoxy concrete  with epoxy aggregate proportion  1:4  using  epoxy fine  quartz  sand,  course  quartz  sand  and  trap  metal  in  suitable  proportion  by  weight including weighing, mixing placing inclusive of celaning the surface by wire, brush, sand balsting  for  applying  the  tackcoat  of  epoxy  as  directed  and  giving  minimum  3  days compressive  strength  of  525  Kilogram/cm2  and  maximum  epoxy  consumption  of  214 Kilogram/m3  of  concrete  including  necessary  formwork  with  all  materials,  labour, centering  equipment  etc  complete  as  directed.   (scaffolding  will  be  paid  separately  if required)( Fine sand 660 Kilogram/Cum, Course Sand 660Kilogram/ One Square Metre, Trap metal 660 Kilogram/ One Square Metre)</t>
  </si>
  <si>
    <r>
      <rPr>
        <sz val="11"/>
        <rFont val="Times New Roman"/>
        <family val="1"/>
      </rPr>
      <t>Bridge Maintenance
New Item</t>
    </r>
  </si>
  <si>
    <t>Providing   and   applying   epoxy   paint   primer   with   middle   coat   and   top   coat   to superstructure including scaffolding etc complete.</t>
  </si>
  <si>
    <r>
      <rPr>
        <sz val="11"/>
        <rFont val="Times New Roman"/>
        <family val="1"/>
      </rPr>
      <t>Bridge Repair
New Item</t>
    </r>
  </si>
  <si>
    <r>
      <rPr>
        <sz val="11"/>
        <rFont val="Times New Roman"/>
        <family val="1"/>
      </rPr>
      <t>Making  and  working  inside  steel cages  for  crocodile  including  handling  the  same  with
suitable hanging arrangements</t>
    </r>
  </si>
  <si>
    <r>
      <rPr>
        <sz val="11"/>
        <rFont val="Times New Roman"/>
        <family val="1"/>
      </rPr>
      <t>As directed by
Engineer in Charge</t>
    </r>
  </si>
  <si>
    <t>Bridge Repair New Item</t>
  </si>
  <si>
    <r>
      <rPr>
        <sz val="11"/>
        <rFont val="Times New Roman"/>
        <family val="1"/>
      </rPr>
      <t>Underwater  Inspection  :  Underwater  inspection  cum  video  graph  shall  be  arranged  by
divers to inspect from the cavity of well  foundation and mapping of the cavity. A) Before rectification work</t>
    </r>
  </si>
  <si>
    <r>
      <rPr>
        <sz val="11"/>
        <rFont val="Times New Roman"/>
        <family val="1"/>
      </rPr>
      <t>Underwater  Inspection  :  Underwater  inspection  cum  video  graph  shall  be  arranged  by divers to inspect from the cavity of well  foundation and mapping of the cavityB) After
rectification work</t>
    </r>
  </si>
  <si>
    <r>
      <rPr>
        <sz val="11"/>
        <rFont val="Times New Roman"/>
        <family val="1"/>
      </rPr>
      <t>Underwater Surface Preparation: Crack surface shall be cleaned using underwater jet to remove the fungal growth and other foreign materials to enable a clean and visible surface. The  item  includes  the  cost  of  hire  charges  of  all  equipment,  diving  equipment  and  all
charges for divers etc., complete.</t>
    </r>
  </si>
  <si>
    <t>Underwater Crack Groove Cutting: Groove shall be cut using under water concrete cutting machine of size of 50 mm wide and 75 mm deep on each side of the crack to form as "V" groove all along the crack to fill the underwater polyester resin/ Epoxy putty (horizontal and  vertical  cracks).  After  the  groove  cutting,  the  concrete  shall  be  removed  from  the groove  using  the  pneumatic  concrete  chipping  machine  to  form  "V"  groove.  The  item includes the cost of hire charges of pneumatic equipment, air compressor and all charges for divers with accessories etc., complete.</t>
  </si>
  <si>
    <t>Underwater Crack Sealing/Filling  using underwater Epoxy mortar : Under water  Epoxy putty shall be mixed using the slow speed heavy duty mixing machine to obtain a uniform mix. The mixed materials shall be placed all along the prepared "V" groove and finished smoothly using the putty blade/ trowel within 30 minutes by using the divers. The finished surface shall be allowed for curing minimum of 24 hours to attain the strength. The item includes the cost all materials, hire charges for all machineries and all charges for divers with accessories etc., complete. Make - Material of reputed manufacturer</t>
  </si>
  <si>
    <t>One Kilogramme</t>
  </si>
  <si>
    <t>Underwater P/Fixing the Nozzle for high pressure underwater epoxy grout: Drilling hole of 12/ 18 mm dia to a depth of minimum 100 mm across the crack to an angle of 45° @ 500 mm C/C, using pneumatic drilling machine without disturbing the epoxy mortar filled on the "V" groove with the help of divers. The nozzle shall be inserted in the drilled hole and fixed using the under water polyester resin grout and allowed for curing for final set. The item includes the cost of all materials, hire charges for all machineries and all charges for divers with accessories etc., complete.</t>
  </si>
  <si>
    <t>Underwater  for high pressure underwater epoxy grout: Grouting with Water Insensitive Underwater Epoxy Grout Base and hardener shall be mixed with using hand held heavy duty  electrically  operated  mixing  machine  until  uniform  mix  is  obtained.  The  mixed material shall be poured in to the high pressure grouting machine container and grouted through the non-return nozzle already fixed on cracks. The grouting shall be done from the bottom of crack until grout rejects of all other grouting ports. The grouting shall be carried  out  with  the  help  of  divers  and  underwater  communication  device  to  know  the conditions. The item includes the cost of all materials, hire charges for all machineries and all charges for divers with accessories etc., complete.</t>
  </si>
  <si>
    <t>Kilogramme</t>
  </si>
  <si>
    <r>
      <rPr>
        <sz val="11"/>
        <rFont val="Times New Roman"/>
        <family val="1"/>
      </rPr>
      <t>Providing fixing of dowel rod of 16 mm dia in the river bed for 400 mm depth @ 1000 mm c/c in single layer and grouting with underwater epoxy grout includes the cost of hire charges  of  all  machineries,  barge,  boat,  cost  of  all  tools  and  all  labour  charges  etc.,
complete.</t>
    </r>
  </si>
  <si>
    <r>
      <rPr>
        <sz val="11"/>
        <rFont val="Times New Roman"/>
        <family val="1"/>
      </rPr>
      <t>Providing fixing of shear links of 12 mm dia in the periphery of the well wall for 100 mm mm depth @ 500 mm c/c  bothway and grouting with underwater epoxy grout includes the  cost  of  hire  charges  of  all  machineries,  barge,  boat,  cost  of  all tools  and  all  labour
charges etc., complete.</t>
    </r>
  </si>
  <si>
    <r>
      <rPr>
        <sz val="11"/>
        <rFont val="Times New Roman"/>
        <family val="1"/>
      </rPr>
      <t>Providing Filling of concrete encasing of grade M35  around the periphery of the pier of 500  mm  thick  upto  3.5  m  from  the  river  bed  level  including  Scarifical  leakproof  MS shuttering includes the cost of hire charges of all machineries, barge, boat, cost of all tools
and all labour charges etc., complete.</t>
    </r>
  </si>
  <si>
    <r>
      <rPr>
        <sz val="11"/>
        <rFont val="Times New Roman"/>
        <family val="1"/>
      </rPr>
      <t>Surface  Preparation:  Crack  surface  shall be  cleaned using  underwater jet  to remove  the fungal growth and other foreign materials to enable a clean and visible surface. The item includes the cost of hire charges of all equipment, diving equipment and all charges for
divers etc., complete.</t>
    </r>
  </si>
  <si>
    <t>Crack Groove Cutting: Groove shall be cut using hand held electrically operated concrete cutting machine of size of 50 mm wide and 75 mm deep on each side of the crack to form as "V" groove all along the crack to fill the polyester resin/ Epoxy putty (horizontal and vertical cracks). After the groove cutting, the concrete shall be removed from the groove using the pneumatic concrete chipping machine to form "V" groove. The item includes the cost  of  hire  charges  for  all  machineries,  tools  and  barges  and  all  labour  charges  etc., complete.</t>
  </si>
  <si>
    <t>Crack Sealing/Filling using epoxy mortar: Base and hardener of the high strength repair mortar . Epoxy putty shall be mixed using the slow speed heavy duty mixing machine to obtain  a  uniform  mix.  The  mixed  materials  shall  be  placed  all  along  the  prepared  "V" groove and finished smoothly using the putty blade/ trowel within 30 minutes by using the divers. The finished surface shall be allowed for curing minimum of 24 hours to attain the strength. The item includes the cost of hire charges of all equipment , tools and plants and all labour charges etc., complete.</t>
  </si>
  <si>
    <r>
      <rPr>
        <sz val="11"/>
        <rFont val="Times New Roman"/>
        <family val="1"/>
      </rPr>
      <t>Providing and Fixing of 12 mm nozzle in the crack portion @ 500 c/c including material,
labour complete in all respect.</t>
    </r>
  </si>
  <si>
    <r>
      <rPr>
        <sz val="11"/>
        <rFont val="Times New Roman"/>
        <family val="1"/>
      </rPr>
      <t>Providing Repairing of honeycombs and minor damages with Polymer Modified Morter
including material,labour complete in all respect.</t>
    </r>
  </si>
  <si>
    <r>
      <rPr>
        <sz val="11"/>
        <rFont val="Times New Roman"/>
        <family val="1"/>
      </rPr>
      <t>Application  of  Protective  coating  Supply  and  application  of  Siliane/  Siloxane  primer. Primer shall be applied  by brush/  sprayed over  the prepared  concrete surface  at 0.30  to
0.40 litter/  One Square Metre by using the airless nozzle gun. After applying primer coat, Single   component   aliphatic   acrylate   UV   resistant   protective   cum   decorative   coat DEKilogramUARD  S  or  similar  shall  be  applied  over  the  primed  surface  using  airless nozzle gun in two coats and each coat shall b e 150 microns DFT. Including cost of all materials, cost of hire charges of tools and plants and all labour charges etc. complete.</t>
    </r>
  </si>
  <si>
    <r>
      <rPr>
        <sz val="11"/>
        <rFont val="Times New Roman"/>
        <family val="1"/>
      </rPr>
      <t>Providing  Boulder  to  the  cavity  area  of  75-200mm  in  size   includes  the  cost  of  hire charges  of  all  machineries,  barge,  boat,  cost  of  all  tools  and  all  labour  charges  etc.,
complete.</t>
    </r>
  </si>
  <si>
    <r>
      <rPr>
        <sz val="11"/>
        <rFont val="Times New Roman"/>
        <family val="1"/>
      </rPr>
      <t>Providing  filling  of  Micro-concrete  and  10  mm  aggreagate  (  1:1)  including  scarificial leakproof MS shuttering includes the cost of hire charges of all machineries, barge, boat,
cost of all tools and all labour charges etc., complete.</t>
    </r>
  </si>
  <si>
    <r>
      <rPr>
        <sz val="11"/>
        <rFont val="Times New Roman"/>
        <family val="1"/>
      </rPr>
      <t>Providing  Grounting  of  nozzles  with  Low  Viscosity  Epoxy  grout  including  material,
labour complete in all respect.</t>
    </r>
  </si>
  <si>
    <t>Drilling 32 mm dia hole and upto depth of 400  mm and  grounting with  epoxy resin  of reinforcement steel of 25 mm dia of all manpower and equipments complete in all respect</t>
  </si>
  <si>
    <r>
      <rPr>
        <sz val="11"/>
        <rFont val="Times New Roman"/>
        <family val="1"/>
      </rPr>
      <t>Re-casting  of  bracket  with  micro-concrete  and  10  mm  agrregate  (  1:1)  with  leakproof
shuttering all manpower and equipments complete in all respect</t>
    </r>
  </si>
  <si>
    <r>
      <rPr>
        <sz val="11"/>
        <rFont val="Times New Roman"/>
        <family val="1"/>
      </rPr>
      <t>P/fixing  of  carbon  100  mm  x  1.4  mm  carbon  laminate  with  adhesive  including  of  all
manpower and equipments complete in all respect</t>
    </r>
  </si>
  <si>
    <t>P/Applying prestressing to the laminate with hydraulic system to the required force as per approved design with all manpower and equipments complete in all respect</t>
  </si>
  <si>
    <r>
      <rPr>
        <sz val="11"/>
        <rFont val="Times New Roman"/>
        <family val="1"/>
      </rPr>
      <t>P/Fixing of carbon fiber sheet of 430 GSM with adhesive including of hanging scofolding
of all manpower and equipments complete in all respect</t>
    </r>
  </si>
  <si>
    <r>
      <rPr>
        <sz val="11"/>
        <rFont val="Times New Roman"/>
        <family val="1"/>
      </rPr>
      <t>Providing  and  fixing  carbon  fiber  anchor  including  drilling  hole  in  the  base  concrete fixing the anchor using epoxy 50X55 system spreading the anchor fibers in star pattern
including appication of saturant etc. complete.</t>
    </r>
  </si>
  <si>
    <r>
      <rPr>
        <sz val="11"/>
        <rFont val="Times New Roman"/>
        <family val="1"/>
      </rPr>
      <t>Anticorrosive  treatment  to   expose  reinforcement  in  two  coats  with  time  interval  of
minimum 4 hours between each coat. The application shall be done by brush.</t>
    </r>
  </si>
  <si>
    <t>Carry out application of "Bi-polar migratory corrosion inhibitor" on concrete surface. This inhibitor has migratory kind of property which permits the material to migrate to a virtual extent of 100mm, through pores of concrete,inhibiting the corrosion etc complete.</t>
  </si>
  <si>
    <r>
      <rPr>
        <sz val="11"/>
        <rFont val="Times New Roman"/>
        <family val="1"/>
      </rPr>
      <t>Providing &amp; applying structural grade epoxy  approved bond coat prior to application of any  type  of  mortar  confirming  to  IS  codes  or  equivalent  to  ensure  bond  between  old
concrete &amp; new concrete by brush application etc complete.</t>
    </r>
  </si>
  <si>
    <r>
      <rPr>
        <sz val="11"/>
        <rFont val="Times New Roman"/>
        <family val="1"/>
      </rPr>
      <t>Providing &amp; applying 2 coats of compatible Polyurethane on epoxy fiber wrapped surface
with brush /spray application etc complete.</t>
    </r>
  </si>
  <si>
    <r>
      <rPr>
        <sz val="11"/>
        <rFont val="Times New Roman"/>
        <family val="1"/>
      </rPr>
      <t>Providing &amp; applying 20mm thick single coat  Epi-bond plaster on FRP wrap surface &amp;
other area etc complete.</t>
    </r>
  </si>
  <si>
    <r>
      <rPr>
        <sz val="11"/>
        <rFont val="Times New Roman"/>
        <family val="1"/>
      </rPr>
      <t>Providing 10 mm dia and 150 mm long tie rod stud through corrugated GI decking sheet and  welding  to  the  deck  slab  reinforcement  for  holding  decking  sheets  in  place  etc
complete.</t>
    </r>
  </si>
  <si>
    <t>Dismantling of concrete pedestal up to required height including cutting reinforcement by using of concrete saw, complete including all fixing arrangements of the machines, water for cooling, diamond saw, other accessories, safety of workers and removal and disposal of debris as per instruction of site in- charge  etc complte</t>
  </si>
  <si>
    <r>
      <rPr>
        <sz val="11"/>
        <rFont val="Times New Roman"/>
        <family val="1"/>
      </rPr>
      <t>Dismantling of concrete pedestal up to required height using electrical breakers including cutting reinforcement by gas cutters, other accessories, safety of workers and removal and
disposal of debris as per instruction of site in- charge</t>
    </r>
  </si>
  <si>
    <r>
      <rPr>
        <sz val="11"/>
        <rFont val="Times New Roman"/>
        <family val="1"/>
      </rPr>
      <t>Providing and applying anticorrosive treatment with epoxy zinc rich primer to the exposed reinforcement  after  cleaning  either  with  wire  brush  or  sand  blasting  including all tools,
tackels, machinery etc. complete.</t>
    </r>
  </si>
  <si>
    <r>
      <rPr>
        <sz val="11"/>
        <rFont val="Times New Roman"/>
        <family val="1"/>
      </rPr>
      <t>Stone work Joint Filling :Racking of joints in Course rubble masonry (CRM). Sealing of the  joints  with  epoxy  mortar  confirming  to  Section  2800  of  technical  specification,
including pointing, finishing ect., complete.( 25mm x 25mm )</t>
    </r>
  </si>
  <si>
    <r>
      <rPr>
        <sz val="11"/>
        <rFont val="Times New Roman"/>
        <family val="1"/>
      </rPr>
      <t>Dismantelling  existing  damaged  Drainage  Water  Spout  and  providing  100mm diameter GI  water  spouts  as  per  detailed  drawings  in  RCC  slab  and  wearing  surface/kerb  etc.
complete</t>
    </r>
  </si>
  <si>
    <r>
      <rPr>
        <sz val="11"/>
        <rFont val="Times New Roman"/>
        <family val="1"/>
      </rPr>
      <t>Providing  and  fixing  additional  reinforcement  to  replace  the  corroded  diameter  of
existing steel for strengthening purpose.</t>
    </r>
  </si>
  <si>
    <t>Raising of  scafolding to reach the entire surface area of bridge. upto10 m height above ground  level,  made  with  MS  tube,  horizontal  and  vertical  tub  joint  with  cup  and  lock system with MS tubes, challies, MS clamp and maintaing it in a serveciabl econdition for execution  work  of  cleaning  and/  or  pointing  and  or/applying  protection  coating  and/ inspection  of work at required locations and removing it there after etc complete. (Item includes  making  of  temporary  support  for  scaffolding,  cost  of  scaffolding,  labour, material, safety devices,etc.,all complete)</t>
  </si>
  <si>
    <t>Structural Repairs to damaged concrete surface  with polymer  concrete /mortar  with AC- ACRYLATE-REPAIR and AC-BOND-AID as detailed in the method statement including material,  labour, etc., all complete as directed  by engineer.  (Repairs to  deck slab,  piers, abutment, girders and other locations up to 40 mm thickness).</t>
  </si>
  <si>
    <t>Core Strengthening of Concrete Structure: Strengthening of concrete structure including grouting of concrete with epoxy, AC-DUR-IE, as detailed in the method statement. Item includes cost of material, labour, equipment’s and also removal of nozzles and finishing of the surface after the work.</t>
  </si>
  <si>
    <t>Erecting supports for placing the jacks, props and necessary steel structure. Placing of the jacks below bearings. (as per the design of lifting scheme).  The lifting scheme shall be put  up  to  the  approval  of  consultants  after  approval  of  the  work  shall  be  done  by competent  authority.  Cost  of  the  bearings,  design  of  erection  system,  jacks,  platforms, safety  devices,  etc.,  complete  including  releasing  of  bridge  span  on  the  new  bearings. (Bearing replacement from 50 to 100 One Numbers per bridge)</t>
  </si>
  <si>
    <t>Providing  and  flooding  high  molecular  weight  lowest  viscous  thermoset  Monomer MONOPOL (&lt;10 CPs viscocity) at the dosage of 2 Kg/sqm on the deck bridge slab for rendering  intrinsic  impermeability,  improving  cohesion  and  sealing  micropores  in  deck bridge slab. The procedure includes cleaning the slab with wire brushing and air blowing, flooding the slab at the dosage of 2 Kgs/sqm over cleaned surface and brooming it further to allow fullest penetration and complete receival inside the concrete. The material shall have following properties:  Material-Low viscosity high molecular weight thermosett resin grout, Viscosity-Less than 10 centipoise per second, Mechanical strength properties of the material  (after  7  days)  Compressive  strength  (ASTM-D-695-96)Min  60  MPa,  Tensile strength (ASTM-D-638-95)Min. 18 MPa, Flexure (ASTM-D-790-96)Min. 30 MPa.</t>
  </si>
  <si>
    <t>BR.51(A)/Page No.144/I.S. 456(1978)</t>
  </si>
  <si>
    <t>Providing and laying low viscosity, abrasion resistant, insitu UV resistant sealer Monopol- 160 into all type of concrete pavement cracks wherever required in culverts, bridges and pavements  as  per  manufacturer’s  specifications  and  guidelines  etc.  complete  including chipping  the  surface  and  making  groove  into  cracks  5mm  x  10mm  and  cleaning  the surface and pouring the material into cracks etc. complete.</t>
  </si>
  <si>
    <t>Providing and laying low viscosity, abrasion resistant, insitu UV resistant sealer Monopol- 160 into all type of  wearing sealer  coat &amp; pot hole  filler wherever  required in  culverts, bridges  and  pavements  as  per  manufacturer’s  specifications  and  guidelines  including removing  loose  concrete,  cleaning  the  surface,  mixing  and  pouring  the  merterial  about 20mm thick etc complete.</t>
  </si>
  <si>
    <t>BR.51(E)/Page No.147/I.S. 456(2000)</t>
  </si>
  <si>
    <r>
      <rPr>
        <sz val="11"/>
        <rFont val="Times New Roman"/>
        <family val="1"/>
      </rPr>
      <t>Providing  and  applying  interpenertrating  Polymer  network  concrete  coating  system  for bridges, bridge decks, girders, piers, RCC strectures for protections against chemical and weather   resistance   complete   comprising   of   one   Primer   Coat   of   epoxy   phenolic interpenetrating polymer, two middle coats of IPNet Middle Coat and a Top Coat of IPNet PU  (Aliphatic  PU)  to  a  total  thickness  of  300±15  microns  over  a  thoroughly  prepared surface with an interval of 3 hours to 78 hours between the coats. The application shall be in red and white colour and shall conform to the following: a. Tensile strength: Minimum tensile  strength  of  the  coating  must  be  15  N/mm 2  and  it  should  be  determined  as  per ASTM D-2370-73 b. Elongation: Minimum elongation of the coating must be 15% and it should be determined as per ASTM D-2370-73 c. Specific permeability: The maximum value must be 0.15 mg/cm 2 /mm/24hr and it should be determined as per ASTM D-1653- 74 d. Adhesion with concrete: The minimum adhesion with concrete by pullout method must be 2.5N/mm 2 and it should be determined as per BS-3900-E-10-79 e. Impedence (In
3.0  %  NaCl  Solution)  Initial  9  x  10  10  ohms  minimum  After  30  days  1  x  10  8  ohms minimum f. QUV Condensation test: Minimum 500 hrsas per ASTM-G-154</t>
    </r>
  </si>
  <si>
    <t>BUILDING WORK</t>
  </si>
  <si>
    <t>Excavation</t>
  </si>
  <si>
    <t>BDA 1</t>
  </si>
  <si>
    <t>Excavation  for  foundation  in  earth,  soil  of  all  types,  sand,  gravel  and  soft  murum, including removing  the  excavated  material  up  to  a  distance  of  50  m.  beyond  the building  area  and stacking  and  spreading  as  directed,  dewatering,  preparing  the  bed for  the  foundation  and necessary back filling, ramming, watering including shoring and strutting etc. complete. (Lift upto 0.00 to 1.50 m.) By Manual Means</t>
  </si>
  <si>
    <t>Bd.A.1 Page One Number 259</t>
  </si>
  <si>
    <t>Excavation  for  foundation  in  earth,  soil  of  all  types,  sand,  gravel  and  soft  murum, including removing  the  excavated  material  up  to  a  distance  of  50  m.  beyond  the building  area  and stacking  and  spreading  as  directed,  dewatering,  preparing  the  bed for  the  foundation  and necessary back filling, ramming, watering including shoring and strutting etc. complete. (Lift upto 1.5 m.) By Mechanical Means</t>
  </si>
  <si>
    <t>Excavation  for  foundation  in  earth,  soils  of  all  types,  sand,gravel  and  soft  murum, including  removing  the  excavated  material  upto  a  distance  of  50  metres  beyond  the building area and stacking  and  spreading  as  directed,  dewatering,  preparing  the  bed for  the  foundation  and necessary back filling, ramming, watering including shoring and strutting etc. complete. (Lift from 1.5m to 3.0m) By Manual Means</t>
  </si>
  <si>
    <t>Excavation  for  foundation  in  earth,  soils  of  all  types,  sand,gravel  and  soft  murum, including  removing  the  excavated  material  upto  a  distance  of  50  metres  beyond  the building area and stacking  and  spreading  as  directed,  dewatering,  preparing  the  bed for  the  foundation  and necessary back filling, ramming, watering including shoring and strutting etc. complete. (Lift from 1.5m to 3.0m) By Mechanical Means</t>
  </si>
  <si>
    <t>BDA 2</t>
  </si>
  <si>
    <r>
      <rPr>
        <sz val="11"/>
        <rFont val="Times New Roman"/>
        <family val="1"/>
      </rPr>
      <t>Excavation  for  foundation  in  hard  murum including  removing  the  excavated  material upto distance  of  50  metres  beyond  the  building  area  and  stacking  and  spreading  as directed,  dewatering,   preparing   the   bed   for   the   foundation   and   necessary   back filling,  ramming, watering including shoring and strutting etc. complete. (Lift upto 1.50
m) By Manual Means</t>
    </r>
  </si>
  <si>
    <t>Bd.A.1 Page No.259</t>
  </si>
  <si>
    <t>Bd.A.2 Page One Number 259</t>
  </si>
  <si>
    <r>
      <rPr>
        <sz val="11"/>
        <rFont val="Times New Roman"/>
        <family val="1"/>
      </rPr>
      <t>Excavation for foundation in hard murum including removing the excavated material upto a distance  of  50  metres   beyond  the  building  area  and  stacking   and  spreading   as directed,  dewatering,   preparing   the   bed   for   the   foundation   and   necessary   back filling,  ramming, watering including shoring and  strutting etc.  complete.  (Lift  from 1.5
to 3.0m)  By Manual Means</t>
    </r>
  </si>
  <si>
    <t>Excavation for foundation in Hard murum including removing the excavated material upto a distance  of  50  metres   beyond  the  building  area  and  stacking   and  spreading   as directed,  dewatering,   preparing   the   bed   for   the   foundation   and   necessary   back filling,   ramming,  watering   including   shoring   and    strutting   etc.    complete.    (Lift from  1.5   to  3.0m.)   By Mechanical Means</t>
  </si>
  <si>
    <t>BDA 3</t>
  </si>
  <si>
    <t>Excavation   for   foundation   in   hard   murum   and   boulders   including   removing   the excavated material up to a distance 50 metres, beyond the building area and stacking and spreading   as   directed,    dewatering,    preparing    the   bed   for    the   foundation    and necessary   back   filling,  ramming,   watering   including   shoring   and   strutting   etc. complete.  (Lift  upto  1.5m.)  By Mechanical Means</t>
  </si>
  <si>
    <t>Bd.A.3 Page One Number 259</t>
  </si>
  <si>
    <t>Excavation   for   foundation   in   Hard   murum  and   boulders   including   removing  the excavated  material upto a distance of 50  metres, beyond  the building  area and  stacking and  spreading  as  directed,   dewatering,   preparing   the   bed   for   the   foundation   and necessary  back  filling, ramming, watering including shoring and strutting etc. complete. (Lift from 1.5 m to 3.0 m.) By Mechanical Means</t>
  </si>
  <si>
    <t>BDA 4</t>
  </si>
  <si>
    <t>Excavation  for  foundation  in  Soft  rock  and  old  cement  or  lime  masonry  foundations including  removing  the  excavated  material  upto  a  distance  of  50  metres  beyond  the building  area  and  stacking  as  directed,  including  dewatering,  preparing  the  bed  for  the foundation  and  necessary  back  filling  with  available  earth  /murum,  ramming,  watering including shoring and strutting etc. complete (lift upto 1.5m)  By Mechanical Means</t>
  </si>
  <si>
    <t>Bd.A.4 Page One Number 259</t>
  </si>
  <si>
    <r>
      <rPr>
        <sz val="11"/>
        <rFont val="Times New Roman"/>
        <family val="1"/>
      </rPr>
      <t>Excavation  for  foundation  in  Soft  rock  and  old  cement  or  lime  masonry  foundations including  removing  the  excavated  material  upto  a  distance  of  50  metres  beyond  the building  area  and  stacking  as  directed,  including  dewatering,  preparing  the  bed  for  the foundation  and  necessary  back  filling  with   available  earth/murum,  ramming  ,watering including shoring and  strutting etc. complete. (Lift from 1.5m To 3.0 m.) By Mechanical
Means</t>
    </r>
  </si>
  <si>
    <t>BDA 5</t>
  </si>
  <si>
    <t>Excavation for foundation in Hard rock by blasting including trimming and leveling the bed by  chiseling  where  necessary  and  removing  the  excavated  material  and  stacking it  in measurable heaps within a distance of 50 metres from the building area including dewatering  and   back   filling   with   available   earth/murum,   watering,   ramming,   etc. complete.  (Lift  upto 1.5m) By Mechanical Means</t>
  </si>
  <si>
    <t>Bd.A.5 Page One Number 259</t>
  </si>
  <si>
    <t>Excavation for foundation in Hard-rock by blasting including trimming and leveling the bed  by   chiselling   where   necessary   and   removing   the   excavated   material   and stacking   it   in  measurable  heaps  within  a  distance  of 50  metres from the building  area including dewatering and back filling with available earth/murum watering, ramming etc. complete. (Lift from 1.5m To 3.0 m) By Mechanical Means</t>
  </si>
  <si>
    <t>BDA 5 B1</t>
  </si>
  <si>
    <t>Excavation  for  foundation  in  Hard-rock  by  controlled  blasting  including  trimming and  leveling   the   bed   by   chiselling   where   necessary   and   removing   the   excavated material  and stacking  it  in  measurable  heaps  within  a  distance  of  50  metres.  from the  building  area including dewatering and back filling with available earth soil /murum watering, ramming etc. complete. (Lift upto 1.5m) By Mechanical Means</t>
  </si>
  <si>
    <t>BDA 6</t>
  </si>
  <si>
    <r>
      <rPr>
        <sz val="11"/>
        <rFont val="Times New Roman"/>
        <family val="1"/>
      </rPr>
      <t>Excavation   for  foundation   in  Hard   rock  by  chiselling,  wedging,  line  drilling,  etc. including trimming and levelling the bed, removing the excavated material upto a distance of  50  metres  beyond   the   building   area   stacking   as   directed,   dewatering   and   back filling  with  available earth/ murum watering, ramming etc. complete. (Lift upto 1.5 m).
By Mechanical Means</t>
    </r>
  </si>
  <si>
    <t>Bd.A.6 Page One Number 260</t>
  </si>
  <si>
    <t>BDA 7</t>
  </si>
  <si>
    <r>
      <rPr>
        <sz val="11"/>
        <rFont val="Times New Roman"/>
        <family val="1"/>
      </rPr>
      <t>Excavation for foundation in laterite rock (soft or hard) including trimming and levelling the bed for the foundation, removing the excavated material up to a distance of 50 metres beyond  the   building   area,   stacking   as   directed,   dewatering   and   back   filling   with available   murum,  watering,  ramming  etc.  complete.  (Lift  upto  1.5  m.)  By  Mechanical
Means</t>
    </r>
  </si>
  <si>
    <t>Bd.A.7, Page One Number 260</t>
  </si>
  <si>
    <t>BDW</t>
  </si>
  <si>
    <r>
      <rPr>
        <sz val="11"/>
        <rFont val="Times New Roman"/>
        <family val="1"/>
      </rPr>
      <t>Providing   preconstructional   antitermite   treatment   as   per   I.S.   6313   (Part-II)   by treating   the  bottom  surface  and  sides  of  excavation  at  the  rate  of  5  litres  of  emulsion concentrate  of  1.0  percent   of   chlorophyrifos   per   square   meter   of   surface   area
covering  10  years  guarantee  on bond paper.</t>
    </r>
  </si>
  <si>
    <t>Providing  preconstructional  antitermite  treatment  as  per  I.S.  6313  (Part-II)  treatment by  treating  the  backfill  in  immediate  contact  with  foundation  at  the  rate  of  5  litres  of emulsion  concentrate  of  1.0  percent  of  clorophyrifos  per   One  Square  Metre  of  vertical surface area covering 10 years guarantee on bond paper.</t>
  </si>
  <si>
    <r>
      <rPr>
        <sz val="11"/>
        <rFont val="Times New Roman"/>
        <family val="1"/>
      </rPr>
      <t>Providing preconstructional antitermite treatment as per I.S. 6313 (Part-II) by treating the top surface  of  plinth  filling  at  the  rate  of  5  litres  of  emulsion  concentrate  at  1.0 percent   of  clorophyrifos   per   One  Square  Metre  of  surface  area  covering  ten  years
guarantee on bond paper.</t>
    </r>
  </si>
  <si>
    <t>Providing preconstructional antitermite treatment as per I.S. 6313 (Part-I) to the soil along the external face of building by punching holes of 1.2 of 1.5 C.M. diametre about 30 -60 cm deep at  15  cm  c/c  as  close  to  the  wall  as  possible  and  to  inject  0.5  percent  of aldrin  or clorophyrifos  at  the rate of  7.5  litres  per  hole and  sealing the same with proper filling and covering 10 years guarantee on bond paper.</t>
  </si>
  <si>
    <t>Providing   antitermite   treatment   to   the   wooden   frames   of   doors/windows   of   the existing building as per I.S. 6313 (Part-III) by drilling 6mm dia. holes at four corners on one side and four corners on other side at a downward angle of about 45  degree at  the junction of wood work and masonary and injecting 150 ml. of chlorodane 5% W.C. and sealing by filling putty etc. complete covering 2 years guarantee on bond paper.</t>
  </si>
  <si>
    <r>
      <rPr>
        <sz val="11"/>
        <rFont val="Times New Roman"/>
        <family val="1"/>
      </rPr>
      <t>Providing antitermite treatment to the joints of wooden beams/joist used for the roof work of the  existing  building  as  per  I.S.  6313  (Part-III)  by  drilling  6mm dia.  holes  at  a downward  angle  of  about  45  degree  at  the  junction  of  wood  work  and  masonary  and injecting  80  ml.  of  chlorodane  5%  W.C.  and  sealing  by  filling  putty  etc.  complete
covering 2 years guarantee on bond paper.</t>
    </r>
  </si>
  <si>
    <r>
      <rPr>
        <sz val="11"/>
        <rFont val="Times New Roman"/>
        <family val="1"/>
      </rPr>
      <t>Providing  antitermite  treatment  to  the  sides  of  flooring  of  the  existing  building  as per  I.S. 6313 (Part-III) by punching holes 6mm dia. drilled at a distance of 30cm. centre to centre and injecting one percent  of chlorodane emulsion  concentrate at the rate of  50 ml  per hole and sealing by filling putty etc. complete covering 2 years guarantee on bond
paper.</t>
    </r>
  </si>
  <si>
    <t>Providing antitermite treatment around the periphery of the existing building as per I.S. 6313 (Part-III) by excavating trenches of 20cm width and exposing the sides of columns and  plinth  beams  upto  a  depth  of  300mm  and  injecting  one  percent  of  chlorodane emulsion  concentrate  at  the  rate  of  2.25 litres  per One  Running Metre  and refilling  the trenches etc. complete covering 2 years guarantee on bond paper.</t>
  </si>
  <si>
    <r>
      <rPr>
        <sz val="11"/>
        <rFont val="Times New Roman"/>
        <family val="1"/>
      </rPr>
      <t>Providing  general  pest  control  services  to  the  building  to  control  the  nuisance  of cockroaches,  lizards,  pin  bores  and  other  insects  etc.  with  4  operations  in  a  year  and
monthly check up.</t>
    </r>
  </si>
  <si>
    <t>Providing   general   pest   control   services   to   small   size   of   inspection   chamber   to control  the nuisance of cockroaches during the year with monthly check up.</t>
  </si>
  <si>
    <r>
      <rPr>
        <sz val="11"/>
        <rFont val="Times New Roman"/>
        <family val="2"/>
      </rPr>
      <t>Providing  general  pest  control  services  to  big  size  of  inspection  chamber  to  control
the nuisance of cockroaches during the year with monthly check up.</t>
    </r>
  </si>
  <si>
    <t>Labour   charges   for   removing   grass,   thorney   shrubs,   Jungli   shrub,   Kubabul   and alike  grass along roadside making the ground clean by showel and phavaras etc. complete.</t>
  </si>
  <si>
    <t>Removing  grass,  gazer  grass  and  disposing  off  out  of  building  premises  including making clean the ground by shovel and phavaras etc. complete.</t>
  </si>
  <si>
    <t>BDA 10</t>
  </si>
  <si>
    <r>
      <rPr>
        <sz val="11"/>
        <rFont val="Times New Roman"/>
        <family val="2"/>
      </rPr>
      <t>Filling  in  plinth  and  floors  with   approved   excavated  material  in  15cm.  to  20cm.
Layers including watering and compacting etc. complete.</t>
    </r>
  </si>
  <si>
    <r>
      <rPr>
        <sz val="11"/>
        <rFont val="Times New Roman"/>
        <family val="2"/>
      </rPr>
      <t>Bd.A.10 Page
One Number 262</t>
    </r>
  </si>
  <si>
    <t>BDA 11</t>
  </si>
  <si>
    <r>
      <rPr>
        <sz val="11"/>
        <rFont val="Times New Roman"/>
        <family val="2"/>
      </rPr>
      <t>Filling in plinth and floors with contractors  material/brought from outside and approved by  Engineer   incharge    in   layers   of   15   cm    to   20   cm     including   watering   and
compaction  etc. complete.</t>
    </r>
  </si>
  <si>
    <t>Bd.A.11 Page One Number 263</t>
  </si>
  <si>
    <t>Filling in Plinth</t>
  </si>
  <si>
    <t>BDA 12</t>
  </si>
  <si>
    <r>
      <rPr>
        <sz val="11"/>
        <rFont val="Times New Roman"/>
        <family val="2"/>
      </rPr>
      <t>Providing  dry/  trap/  granite/  quartzite/  gneiss  rubble  stone  soling  15  cm  to  20  cm
thick including hand packing and compacting etc. complete.</t>
    </r>
  </si>
  <si>
    <r>
      <rPr>
        <sz val="11"/>
        <rFont val="Times New Roman"/>
        <family val="2"/>
      </rPr>
      <t>Bd.A. 12 Page
One Number 264</t>
    </r>
  </si>
  <si>
    <r>
      <rPr>
        <sz val="11"/>
        <rFont val="Times New Roman"/>
        <family val="2"/>
      </rPr>
      <t>One Cubic
Metre</t>
    </r>
  </si>
  <si>
    <t>Rubble Stone</t>
  </si>
  <si>
    <t>BDA 13</t>
  </si>
  <si>
    <r>
      <rPr>
        <sz val="11"/>
        <rFont val="Times New Roman"/>
        <family val="2"/>
      </rPr>
      <t>Providing   and   filling   in   the   foundation   with   sand   of   approved   quality   including watering,   compacting   etc.   complete.   (To   be   executed   with   prior   approval   of
Superintending Engineer)</t>
    </r>
  </si>
  <si>
    <t>Bd.A.13 Page One Number 264</t>
  </si>
  <si>
    <t>Filling Sand</t>
  </si>
  <si>
    <t>BDA</t>
  </si>
  <si>
    <t>Providing   soling  using   80   mm  size   trap   metal   in   15   cm.   layer   including   filling voids  with Crushed sand/grit, ramming, watering etc. complete.</t>
  </si>
  <si>
    <r>
      <rPr>
        <sz val="11"/>
        <rFont val="Times New Roman"/>
        <family val="2"/>
      </rPr>
      <t>As directed by Engineer in
charge.</t>
    </r>
  </si>
  <si>
    <t>80 mm soling</t>
  </si>
  <si>
    <t>Pile Foundation: Building</t>
  </si>
  <si>
    <t>Bd-B</t>
  </si>
  <si>
    <t>Providing  and  laying   cast  in  situ  /  Ready Mix  Cement  Concrete  M-20  RCCsingle  rim bored pile of 225 mm dia. each of load capacity as per design and of specified diameter of pile  and  bulb  as  directed,  sunk  to  the  required  depth  through  all  strata  except  rock, excluding  provision  of   reinforcement   including   placing   with   fully  automatic   micro processor  based  PLC  with SCADA  enabled  reversible  Drum  Type  mixer/  concrete Batch   mix   plant   (Pan   mixer)   etc.  complete.  With  fine  aggregate  (Crushed  sand  VSI Grade) by tremie arrangement,  compaction of concrete including chipping and dressing including chipping and dressing if required etc. complete. (Excluding steel reinforcement)</t>
  </si>
  <si>
    <t>Providing  and  laying   cast  in  situ  /  Ready  Mix  Cement  Concrete  of  M2O  grade  RCC single rim bored pile of 300 mm dia. each of load capacity as per design and of specified diameter of pile and bulb as directed, sunk to the required depth through all strata except rock, excluding provision of reinforcement including placing with fully automatic micro processor based PLC with SCADA enabled reversible Drum Type mixer/ concrete Batch mix plant (Pan mixer) etc. complete. With fine aggregate (Crushed sand VSI Grade) by tremie   arrangement    compaction   of   concrete   including   chipping   and   dressing   etc. complete. (Excluding steel reinforcement)</t>
  </si>
  <si>
    <t>Providing  and  laying   cast  in  situ  /  Ready  Mix  Cement  Concrete  M-20  for   single  rim bored pile of 380 mm dia. each of load capacity as per design and of specified diameter of pile  and  bulb  as  directed,  sunk  to  the  required  depth  through  all  strata  except  rock, excluding  provision  of   reinforcement   including   placing   with   fully  automatic   micro processor  based  PLC  with SCADA  enabled  reversible  Drum  Type  mixer/  concrete Batch   mix   plant   (Pan   mixer)   etc.  complete.  With  fine  aggregate  (Crushed  sand  VSI Grade) by  tremie arrangement  compaction of concrete including chipping and dressing etc. complete. (Excluding steel reinforcement)</t>
  </si>
  <si>
    <t>Providing  and  laying   cast  in  situ  /  Ready  Mix  Cement  Concrete  M-20  for  single  rim bored pile of 450 mm dia. each of load capacity as per design and of specified diameter of pile  and  bulb  as  directed,  sunk  to  the  required  depth  through  all  strata  except  rock, excluding  provision  of   reinforcement   including   placing   with   fully  automatic   micro processor  based  PLC  with SCADA  enabled  reversible  Drum  Type  mixer/  concrete Batch   mix   plant   (Pan   mixer)   etc.  complete.  With  fine  aggregate  (Crushed  sand  VSI Grade) by  tremie arrangement  compaction of concrete including chipping and dressing etc. complete. (Excluding steel reinforcement)</t>
  </si>
  <si>
    <t>Providing and laying M-20 RCC cast in situ single rim bored pile of 535 mm dia. each of load capacity  as  per  design  and  of  specified  diameter  of  pile  and  bulb  as  directed, sunk   to   the  required  depth  through  all  strata  except  rock,  excluding   provision  of reinforcement  including  placing   with   fully   automatic   micro   processor   based   PLC with   SCADA   enabled   reversible  Drum  Type  mixer/  concrete  Batch  mix  plant  (Pan mixer)  etc.  complete.  With  fine  aggregate  (Crushed   sand   VSI   Grade)   by    tremie arrangement    compaction   of   concrete   including  chipping  and  dressing  etc.  complete. (Excluding steel reinforcement)</t>
  </si>
  <si>
    <t>Providing  and  laying   cast  in  situ  /  Ready  Mix  Cement  Concrete  M-20  for  single  rim bored pile of 600 mm dia. each of load capacity as per design and of specified diameter of pile  and  bulb  as  directed,  sunk  to  the  required  depth  through  all  strata  except  rock, excluding  provision  of   reinforcement   including   placing   with   fully  automatic   micro processor  based  PLC  with SCADA  enabled  reversible  Drum  Type  mixer/  concrete Batch   mix   plant   (Pan   mixer)   etc.  complete.  With  fine  aggregate  (Crushed  sand  VSI Grade) by  tremie arrangement  compaction of concrete including chipping and dressing etc. complete. (Excluding steel reinforcement)</t>
  </si>
  <si>
    <t>Providing  and  laying   cast  in  situ  /  Ready  Mix  Cement  Concrete  M-25  for  single  rim bored pile of 225 mm dia. each of load capacity as per design and of specified diameter of pile  and  bulb  as  directed,  sunk  to  the  required  depth  through  all  strata  except  rock, excluding  provision  of   reinforcement   including   placing   with   fully  automatic   micro processor  based  PLC  with SCADA  enabled  reversible  Drum  Type  mixer/  concrete Batch   mix   plant   (Pan   mixer)   etc.  complete.  With  fine  aggregate  (Crushed  sand  VSI Grade) by  tremie arrangement  compaction of concrete including chipping and dressing etc. complete. (Excluding steel reinforcement)</t>
  </si>
  <si>
    <t>Providing  and  laying   cast  in  situ  /  Ready  Mix  Cement  Concrete  M-25  for   single  rim bored pile of 300 mm dia. each of load capacity as per design and of specified diameter of pile   and   bulb   as   directed,   sunk   to   the   required   depth   through   all   strata   except rock,excluding  provision  of   reinforcement   including   placing   with   fully   automatic micro   processor   based   PLC   with  SCADA   enabled   reversible   Drum   Type   mixer/ concrete   Batch   mix   plant   (Pan   mixer)   etc.  complete.  With  fine  aggregate  (Crushed sand VSI Grade) by  tremie arrangement  compaction of concrete including chipping and dressing etc. complete. (Excluding steel reinforcement)</t>
  </si>
  <si>
    <t>Providing  and  laying   cast  in  situ  /  Ready  Mix  Cement  Concrete  M-25  for   single  rim bored pile of 380 mm dia. each of load capacity as per design and of specified diameter of pile   and   bulb   as   directed,   sunk   to   the   required   depth   through   all   strata   except rock,excluding  provision  of   reinforcement   including   placing   with   fully   automatic micro   processor   based   PLC   with  SCADA   enabled   reversible   Drum   Type   mixer/ concrete   Batch   mix   plant   (Pan   mixer)   etc.  complete.  With  fine  aggregate  (Crushed sand VSI Grade) by  tremie arrangement  compaction of concrete including chipping and dressing etc. complete. (Excluding steel reinforcement)</t>
  </si>
  <si>
    <t>Providing  and  laying   cast  in  situ  /  Ready  Mix  Cement  Concrete  M-25  for  single  rim bored pile of 450 mm dia. each of load capacity as per design and of specified diameter of pile   and   bulb   as   directed,   sunk   to   the   required   depth   through   all   strata   except rock,excluding  provision  of   reinforcement   including   placing   with   fully   automatic micro   processor   based   PLC   with  SCADA   enabled   reversible   Drum   Type   mixer/ concrete   Batch   mix   plant   (Pan   mixer)   etc.  complete.  With  fine  aggregate  (Crushed sand VSI Grade) by  tremie arrangement  compaction of concrete including chipping and dressing etc. complete. (Excluding steel reinforcement)</t>
  </si>
  <si>
    <t>Providing  and  laying   cast  in  situ  /  Ready Mix  Cement  Concrete  M-20  for  double  rim bored pile of 225 mm dia. each of load capacity as per design and of specified diameter of pile   and   bulb   as   directed,   sunk   to   the   required   depth   through   all   strata   except rock,excluding  provision  of   reinforcement   including   placing   with   fully   automatic micro   processor   based   PLC   with  SCADA   enabled   reversible   Drum   Type   mixer/ concrete   Batch   mix   plant   (Pan   mixer)   etc.  complete.  With  fine  aggregate  (Crushed sand VSI Grade) by  tremie arrangement  compaction of concrete including chipping and dressing etc. complete. (Excluding steel reinforcement)</t>
  </si>
  <si>
    <t>Providing  and  laying   cast  in  situ  /  Ready Mix  Cement  Concrete  M-20  for   double  rim bored pile of 300 mm dia. each of load capacity as per design and of specified diameter of pile   and   bulb   as   directed,   sunk   to   the   required   depth   through   all   strata   except rock,excluding  provision  of   reinforcement   including   placing   with   fully   automatic micro   processor   based   PLC   with  SCADA   enabled   reversible   Drum   Type   mixer/ concrete   Batch   mix   plant   (Pan   mixer)   etc.  complete.  With  fine  aggregate  (Crushed sand VSI Grade) by  tremie arrangement  compaction of concrete including chipping and dressing etc. complete. (Excluding steel reinforcement)</t>
  </si>
  <si>
    <t>Providing  and  laying   cast  in  situ  /  Ready Mix  Cement  Concrete  M-20  for   double  rim bored pile of 380 mm dia. each of load capacity as per design and of specified diameter of pile   and   bulb   as   directed,   sunk   to   the   required   depth   through   all   strata   except rock,excluding  provision  of   reinforcement   including   placing   with   fully   automatic micro   processor   based   PLC   with  SCADA   enabled   reversible   Drum   Type   mixer/ concrete   Batch   mix   plant   (Pan   mixer)   etc.  complete.  With  fine  aggregate  (Crushed sand VSI Grade) by  tremie arrangement  compaction of concrete including chipping and dressing etc. complete. (Excluding steel reinforcement)</t>
  </si>
  <si>
    <t>Providing  and  laying   cast  in  situ  /  Ready Mix  Cement  Concrete  M-20  for  double  rim bored pile of 450 mm dia. each of load capacity as per design and of specified diameter of pile   and   bulb   as   directed,   sunk   to   the   required   depth   through   all   strata   except rock,excluding  provision  of   reinforcement   including   placing   with   fully   automatic micro   processor   based   PLC   with  SCADA   enabled   reversible   Drum   Type   mixer/ concrete   Batch   mix   plant   (Pan   mixer)   etc.  complete.  With  fine  aggregate  (Crushed sand VSI Grade) by  tremie arrangement  compaction of concrete including chipping and dressing etc. complete. (Excluding steel reinforcement)</t>
  </si>
  <si>
    <t>Providing  and  laying   cast  in  situ  /  Ready Mix  Cement  Concrete  M-25  for   double  rim bored pile of 225 mm dia. each of load capacity as per design and of specified diameter of pile   and   bulb   as   directed,   sunk   to   the   required   depth   through   all   strata   except rock,excluding  provision  of   reinforcement   including   placing   with   fully   automatic micro   processor   based   PLC   with  SCADA   enabled   reversible   Drum   Type   mixer/ concrete   Batch   mix   plant   (Pan   mixer)   etc.  complete.  With  fine  aggregate  (Crushed sand VSI Grade) by concrete prepared in reversible drum type concrete mixer by tremie arrangement,   compaction  of  concrete  including  chipping  and  dressing  etc.  complete. (Excluding steel reinforcement)</t>
  </si>
  <si>
    <t>Providing  and  laying   cast  in  situ  /  Ready Mix  Cement  Concrete  M-25  for   double  rim bored pile of 300 mm dia. each of load capacity as per design and of specified diameter of pile  and  bulb  as  directed,  sunk  to  the  required  depth  through  all  strata  except  rock, excluding  provision  of   reinforcement   including   placing   with   fully  automatic   micro processor  based  PLC  with SCADA  enabled  reversible  Drum  Type  mixer/  concrete Batch   mix   plant   (Pan   mixer)   etc.  complete.  With  fine  aggregate  (Crushed  sand  VSI Grade)   by   concrete   prepared   in   reversible   drum   type   concrete   mixer   by   tremie arrangement,   compaction  of  concrete  including  chipping  and  dressing  etc.  complete. (Excluding steel reinforcement)</t>
  </si>
  <si>
    <t>Providing  and  laying   cast  in  situ  /  Ready Mix  Cement  Concrete  M-25  for  double  rim bored pile of 380 mm dia. each of load capacity as per design and of specified diameter of pile  and  bulb  as  directed,  sunk  to  the  required  depth  through  all  strata  except  rock, excluding  provision  of   reinforcement   including   placing   with   fully  automatic   micro processor  based  PLC  with SCADA  enabled  reversible  Drum  Type  mixer/  concrete Batch   mix   plant   (Pan   mixer)   etc.  complete.  With  fine  aggregate  (Crushed  sand  VSI Grade)   by   concrete   prepared   in   reversible   drum   type   concrete   mixer   by   tremie arrangement,   compaction  of  concrete  including  chipping  and  dressing  etc.  complete. (Excluding steel reinforcement)</t>
  </si>
  <si>
    <t>Providing  and  laying   cast  in  situ  /  Ready Mix  Cement  Concrete  M-25  for  double  rim bored pile of 450 mm dia. each of load capacity as per design and of specified diameter of pile  and  bulb  as  directed,  sunk  to  the  required  depth  through  all  strata  except  rock, excluding  provision  of   reinforcement   including   placing   with   fully  automatic   micro processor  based  PLC  with SCADA  enabled  reversible  Drum  Type  mixer/  concrete Batch   mix   plant   (Pan   mixer)   etc.  complete.  With  fine  aggregate  (Crushed  sand  VSI Grade)   by   concrete   prepared   in   reversible   drum   type   concrete   mixer   by   tremie arrangement,   compaction  of  concrete  including  chipping  and   dressing   etc.   complete. concrete   prepared   in   reversible   drum   type   concrete   mixer   by tremie  arrangement, compaction  of concrete including chipping and dressing etc. complete. (Excluding  steel reinforcement)</t>
  </si>
  <si>
    <t>Providing  and  laying   cast  in  situ  /  Ready Mix  Cement  Concrete  M-25  for  double  rim bored pile of 535 mm dia. each of load capacity as per design and of specified diameter of pile   and   bulb   as   directed,   sunk   to   the   required   depth   through   all   strata   except rock,excluding  provision  of   reinforcement   including   placing   with   fully   automatic micro   processor   based   PLC   with  SCADA   enabled   reversible   Drum   Type   mixer/ concrete   Batch   mix   plant   (Pan   mixer)   etc.  complete.  With  fine  aggregate  (Crushed sand VSI Grade) by concrete prepared in reversible drum type concrete mixer by tremie arrangement,   compaction  of  concrete  including  chipping  and  dressing  etc.  complete. (Excluding steel reinforcement)</t>
  </si>
  <si>
    <t>Providing and laying  cast in situ / Ready Mix Cement Concrete M-25 for in situ double rim  bored  pile  of  600  mm  dia.  each  of  load  capacity  as  per  design  and  of  specified diameter of pile and  bulb  as  directed,  sunk  to  the  required  depth  through  all  strata except  rock,  excluding provision of reinforcement including placing with fully automatic micro processor based PLC with SCADA enabled reversible Drum Type mixer/ concrete Batch mix plant (Pan mixer) etc. complete. With fine aggregate (Crushed sand VSI Grade) by  concrete  prepared  in  reversible  drum  type  concrete  mixer  by  tremie  arrangement, compaction of concrete including chipping and dressing etc. complete.concrete prepared in reversible drum type concrete mixer by tremie arrangement,    compaction   of  concrete including  chipping  and   dressing  etc.  complete. (Excluding steel reinforcement)</t>
  </si>
  <si>
    <t>Bd/B-4 P-270</t>
  </si>
  <si>
    <t>Providing and laying  cast in situ / Ready Mix Cement Concrete M-30 for bored piles each of load capacity and as per design and of 325 mm diameter or as directed placed through steel  shells   sunk   to   the   required   depth   through   all   strata   except   rock   excluding provision   of  reinforcement   as   per   detailed   drawings   and   design   approved   by  the Engineer-in-   charge  including   placing   with   fully  automatic   micro   processor   based PLC  with  SCADA  enabled reversible Drum Type mixer/ concrete Batch mix plant (Pan mixer) etc. complete. With fine aggregate   (Crushed   sand   VSI   Grade)   by    concrete prepared    by   tremie    arrangement, compaction   of  concrete   including   chipping   and dressing   etc.   complete.   concrete   by   tremie  arrangements,    compaction   of   concrete including   chipping   and   dressing   and   withdrawal   of  shell  etc.  complete.  (Excluding steel reinforcement)</t>
  </si>
  <si>
    <t>Providing  and  laying   cast  in  situ  /  Ready Mix  Cement  Concrete M-30  for  bored  piles each  of  load  capacity and  as  per  design  and  of  350mm  diameter  or  as  directed  placed through   steel  shells   sunk   to   the   required   depth   through   all   strata   except   rock excluding  provision  of reinforcement  as  per  detailed  drawings  and  design  approved by  the   Engineer-in-   charge  includingplacing   with   fully   automatic   micro   processor based   PLC   with   SCADA   enabled  reversible  Drum  Type  mixer/  concrete  Batch  mix plant (Pan mixer) etc. complete. With fine aggregate  (Crushed   sand   VSI  Grade)  by tremiearrangements,     compaction   of   concrete  including   chipping   and   dressing   and withdrawal  of  shell  etc.  complete.  (Excluding  steel reinforcement)</t>
  </si>
  <si>
    <t>Providing  and  laying   cast  in  situ  /  Ready Mix  Cement  Concrete M-30  for  bored  piles each  of  load  capacity and  as  per  design  and  of  400  mm diameter.or  as  directed  placed through  steel  shells   sunk   to   the   required   depth   through   all   strata   except   rock excluding  provision  of reinforcement  as  per  detailed  drawings  and  design  approved by  the  Engineer-in-  charge including  placing  with  fully  automatic  micro  processor based   PLC   with   SCADA   enabled  reversible  Drum  Type  mixer/  concrete  Batch  mix plant  (Pan mixer) etc. complete. With fine aggregate  (Crushed   sand  VSI  Grade)  by tremie  arrangements,   compaction  of  concrete including  chipping  and  dressing  and withdrawal  of  shell  etc.  complete.  (Excluding  steel reinforcement)</t>
  </si>
  <si>
    <t>Providing  and  laying   cast  in  situ  /  Ready Mix  Cement  Concrete M-30  for  bored  piles each  of  load  capacity and  as  per  design  and  of  425mm  diameter  or  as  directed  placed through   steel  shells   sunk   to   the   required   depth   through   all   strata   except   rock excluding  provision  of reinforcement  as  per  detailed  drawings  and  design  approved by  the  Engineer-in-  charge including  placing  with  fully  automatic  micro  processor based   PLC   with   SCADA   enabled  reversible  Drum  Type  mixer/  concrete  Batch  mix plant  (Pan mixer) etc. complete. With fine aggregate  (Crushed   sand  VSI  Grade)  by tremie  arrangements,   compaction  of  concrete including  chipping  and  dressing  and withdrawal  of  shell  etc.  complete.  (Excluding  steel reinforcement)</t>
  </si>
  <si>
    <t>Providing  and  laying   cast  in  situ  /  Ready Mix  Cement  Concrete M-30  for  bored  piles each  of  load  capacity and  as  per  design  and  of  475mm  diameter  or  as  directed  placed through   steel  shells   sunk   to   the   required   depth   through   all   strata   except   rock excluding  provision  of reinforcement  as  per  detailed  drawings  and  design  approved by  the  Engineer-in-  charge including  placing  with  fully  automatic  micro  processor based   PLC   with   SCADA   enabled  reversible  Drum  Type  mixer/  concrete  Batch  mix plant  (Pan  mixer)  etc.  complete.  With  fine  aggregate   (Crushed   sand   VSI  Grade)   by tremie  arrangements,   compaction  of  concrete including  chipping  and  dressing  and withdrawal  of  shell  etc.  complete.  (Excluding  steel reinforcement)</t>
  </si>
  <si>
    <t>Providing  and  laying   cast  in  situ  /  Ready Mix  Cement  Concrete M-30  for  bored  piles each  of  load  capacity and  as  per  design  and  of  500mm  diameter  or  as  directed  placed through   steel  shells   sunk   to   the   required   depth   through   all   strata   except   rock excluding  provision  of reinforcement  as  per  detailed  drawings  and  design  approved by  the  Engineer-in-  charge including  placing  with  fully  automatic  micro  processor based   PLC   with   SCADA   enabled  reversible  Drum  Type  mixer/  concrete  Batch  mix plant  (Pan mixer) etc. complete. With fine aggregate  (Crushed   sand  VSI  Grade)  by tremie  arrangements,   compaction  of  concrete including  chipping  and  dressing  and withdrawal  of  shell  etc.  complete.  (Excluding  steel reinforcement)</t>
  </si>
  <si>
    <t>Providing  and  laying   cast  in  situ  /  Ready Mix  Cement  Concrete M-30  for  bored  piles each  of  load  capacity and  as  per  design  and  of  525  mm diameter  or  as  directed  placed through  steel  shells   sunk   to   the   required   depth   through   all   strata   except   rock excluding  provision  of reinforcement  as  per  detailed  drawings  and  design  approved by  the  Engineer-in-  charge including  placing  with  fully  automatic  micro  processor based   PLC   with   SCADA   enabled  reversible  Drum  Type  mixer/  concrete  Batch  mix plant  (Pan mixer) etc. complete. With fine aggregate  (Crushed   sand  VSI  Grade)  by tremie  arrangements,   compaction  of  concrete including  chipping  and  dressing  and withdrawal  of  shell  etc.  complete.  (Excluding  steel reinforcement)</t>
  </si>
  <si>
    <t>Providing  and  laying   cast  in  situ  /  Ready Mix  Cement  Concrete M-30  for  bored  piles each  of  load  capacity and  as  per  design  and  of  550  mm diameter  or  as  directed  placed through  steel  shells   sunk   to   the   required   depth   through   all   strata   except   rock excluding  provision  of reinforcement  as  per  detailed  drawings  and  design  approved by  the  Engineer-in-  charge including  placing  with  fully  automatic  micro  processor based   PLC   with   SCADA   enabled  reversible  Drum  Type  mixer/  concrete  Batch  mix plant  (Pan mixer) etc. complete. With fine aggregate  (Crushed   sand  VSI  Grade)  by tremie  arrangements,   compaction  of  concrete including  chipping  and  dressing  and withdrawal  of  shell  etc.  complete.  (Excluding  steel reinforcement)</t>
  </si>
  <si>
    <t>Providing  and  laying   cast  in  situ  /  Ready Mix  Cement  Concrete M-30  for  bored  piles each  of  load  capacity and  as  per  design  and  of  600  mm diameter  or  as  directed  placed through  steel  shells   sunk   to   the   required   depth   through   all   strata   except   rock excluding  provision  of reinforcement  as  per  detailed  drawings  and  design  approved by  the  Engineer-in-  charge including  placing  with  fully  automatic  micro  processor based   PLC   with   SCADA   enabled  reversible  Drum  Type  mixer/  concrete  Batch  mix plant  (Pan mixer) etc. complete. With fine aggregate  (Crushed   sand  VSI  Grade)  by tremie  arrangements,   compaction  of  concrete including  chipping  and  dressing  and withdrawal  of  shell  etc.  complete.  (Excluding  steel reinforcement)</t>
  </si>
  <si>
    <t>Providing  and  laying   cast  in  situ  /  Ready Mix  Cement  Concrete M-30  for  bored  piles each  of  load  capacity and  as  per  design  and  of  625  mm diameter  or  as  directed  placed through  steel  shells   sunk   to   the   required   depth   through   all   strata   except   rock excluding  provision  of reinforcement  as  per  detailed  drawings  and  design  approved by  the   Engineer-in-   charge  includingplacing   with   fully   automatic   micro   processor based   PLC   with   SCADA   enabled  reversible  Drum  Type  mixer/  concrete  Batch  mix plant  (Pan  mixer)  etc.  complete.  With  fine  aggregate   (Crushed   sand   VSI  Grade)   by tremie  arrangements,   compaction  of  concrete including  chipping  and  dressing  and withdrawal  of  shell  etc.  complete.  (Excluding  steel reinforcement)</t>
  </si>
  <si>
    <t>Providing  and  laying   cast  in  situ  /  Ready Mix  Cement  Concrete M-30  for  bored  piles each  of  load  capacity and  as  per  design  and  of  650  mm diameter  or  as  directed  placed through  steel  shells   sunk   to   the   required   depth   through   all   strata   except   rock excluding  provision  of reinforcement  as  per  detailed  drawings  and  design  approved by  the   Engineer-in-   charge  includingplacing   with   fully   automatic   micro   processor based   PLC   with   SCADA   enabled  reversible  Drum  Type  mixer/  concrete  Batch  mix plant  (Pan  mixer)  etc.  complete.  With  fine  aggregate   (Crushed   sand   VSI  Grade)   by tremie  arrangements,   compaction  of  concrete including  chipping  and  dressing  and withdrawal  of  shell  etc.  complete.  (Excluding  steel reinforcement)</t>
  </si>
  <si>
    <t>Providing  and  laying   cast  in  situ  /  Ready Mix  Cement  Concrete M-30  for  bored  piles each  of  load  capacity and  as  per  design  and  of  750  mm diameter  or  as  directed  placed through  steel  shells   sunk   to   the   required   depth   through   all   strata   except   rock excluding  provision  of reinforcement  as  per  detailed  drawings  and  design  approved by  the   Engineer-in-   charge  includingplacing   with   fully   automatic   micro   processor based   PLC   with   SCADA   enabled  reversible  Drum  Type  mixer/  concrete  Batch  mix plant  (Pan  mixer)  etc.  complete.  With  fine  aggregate   (Crushed   sand   VSI  Grade)   by tremie  arrangements,   compaction  of  concrete including  chipping  and  dressing  and withdrawal  of  shell  etc.  complete.  (Excluding  steel reinforcement)</t>
  </si>
  <si>
    <t>Providing  and  laying   cast  in  situ  /  Ready Mix  Cement  Concrete M-30  for  bored  piles each of load capacity and as per design and of 800 mm diameter.  or as directed  placed through  steel  shells   sunk   to   the   required   depth   through   all   strata   except   rock excluding  provision  of reinforcement  as  per  detailed  drawings  and  design  approved by  the   Engineer-in-   charge  includingplacing   with   fully   automatic   micro   processor based   PLC   with   SCADA   enabled  reversible  Drum  Type  mixer/  concrete  Batch  mix plant  (Pan  mixer)  etc.  complete.  With  fine  aggregate   (Crushed   sand   VSI  Grade)   by tremie  arrangements,   compaction  of  concrete including  chipping  and  dressing  and withdrawal  of  shell  etc.  complete.  (Excluding  steel reinforcement)</t>
  </si>
  <si>
    <t>Providing  and  laying   cast  in  situ  /  Ready Mix  Cement  Concrete M-30  for  bored  piles each  of  load  capacity and  as  per  design  and  of  825  mm diameter  or  as  directed  placed through  steel  shells   sunk   to   the   required   depth   through   all   strata   except   rock excluding  provision  of reinforcement  as  per  detailed  drawings  and  design  approved by  the   Engineer-in-   charge  includingplacing   with   fully   automatic   micro   processor based   PLC   with   SCADA   enabled  reversible  Drum  Type  mixer/  concrete  Batch  mix plant  (Pan  mixer)  etc.  complete.  With  fine  aggregate   (Crushed   sand   VSI  Grade)   by tremie  arrangements,   compaction  of  concrete including  chipping  and  dressing  and withdrawal  of  shell  etc.  complete.  (Excluding  steel reinforcement)</t>
  </si>
  <si>
    <t>Providing  and  laying   cast  in  situ  /  Ready Mix  Cement  Concrete M-30  for  bored  piles each  of  load  capacity and  as  per  design  and  of  900  mm diameter  or  as  directed  placed through  steel  shells   sunk   to   the   required   depth   through   all   strata   except   rock excluding  provision  of reinforcement  as  per  detailed  drawings  and  design  approved by  the   Engineer-in-   charge  includingplacing   with   fully   automatic   micro   processor based   PLC   with   SCADA   enabled  reversible  Drum  Type  mixer/  concrete  Batch  mix plant  (Pan  mixer)  etc.  complete.  With  fine  aggregate   (Crushed   sand   VSI  Grade)   by tremie  arrangements,   compaction  of  concrete including  chipping  and  dressing  and withdrawal  of  shell  etc.  complete.  (Excluding  steel reinforcement)</t>
  </si>
  <si>
    <t>Providing  and  laying   cast  in  situ  /  Ready Mix  Cement  Concrete M-30  for  bored  piles each  of  load  capacity and  as  per  design  and  of  975  mm diameter  or  as  directed  placed through  steel  shells   sunk   to   the   required   depth   through   all   strata   except   rock excluding  provision  of reinforcement  as  per  detailed  drawings  and  design  approved by  the   Engineer-in-   charge  includingplacing   with   fully   automatic   micro   processor based   PLC   with   SCADA   enabled  reversible  Drum  Type  mixer/  concrete  Batch  mix plant  (Pan  mixer)  etc.  complete.  With  fine  aggregate   (Crushed   sand   VSI  Grade)   by tremie  arrangements,   compaction  of  concrete including  chipping  and  dressing  and withdrawal  of  shell  etc.  complete.  (Excluding  steel reinforcement)</t>
  </si>
  <si>
    <t>Providing  and  laying   cast  in  situ  /  Ready Mix  Cement  Concrete M-30  for  bored  piles each of load capacity and as per design and of 1000 mm diameter or as directed placed through  steel  shells   sunk   to   the   required   depth   through   all   strata   except   rock excluding  provision  of reinforcement  as  per  detailed  drawings  and  design  approved by  the   Engineer-in-   charge  includingplacing   with   fully   automatic   micro   processor based   PLC   with   SCADA   enabled  reversible  Drum  Type  mixer/  concrete  Batch  mix plant  (Pan  mixer)  etc.  complete.  With  fine  aggregate   (Crushed   sand   VSI  Grade)   by tremie  arrangements,   compaction  of  concrete including  chipping  and  dressing  and withdrawal  of  shell  etc.  complete.  (Excluding  steel reinforcement)</t>
  </si>
  <si>
    <t>Providing  and  laying   cast  in  situ  /  Ready Mix  Cement  Concrete M-30  for  bored  piles each of load capacity and as per design and of 1050 mm diameter or as directed placed through  steel  shells   sunk   to   the   required   depth   through   all   strata   except   rock excluding  provision  of reinforcement  as  per  detailed  drawings  and  design  approved by  the   Engineer-in-   charge  includingplacing   with   fully   automatic   micro   processor based   PLC   with   SCADA   enabled  reversible  Drum  Type  mixer/  concrete  Batch  mix plant  (Pan  mixer)  etc.  complete.  With  fine  aggregate   (Crushed   sand   VSI  Grade)   by tremie  arrangements,   compaction  of  concrete including  chipping  and  dressing  and withdrawal  of  shell  etc.  complete.  (Excluding  steel reinforcement)</t>
  </si>
  <si>
    <t>Bd/B-2 P-269</t>
  </si>
  <si>
    <t>Chiseling  through  pile  shells  in  hard  strata  like  boulders,  soft  and  hard  rocks  Upto and  inclusive   of   550   mm   diameter   including   removing   and   stacking   the   loose materials  etc. complete and disposing of the unserviceable materials outside complete.</t>
  </si>
  <si>
    <t>Rig Hour</t>
  </si>
  <si>
    <t>Chiseling through pile shells in hard strata like boulders, soft and hard rocks Beyond 550 mm and upto and inclusive of  750 mm dia. including removing and stacking the loose materials etc. complete and disposing of the unserviceable materials outside complete.</t>
  </si>
  <si>
    <t>Chiseling through pile shells in hard strata like boulders, soft and hard rocks Beyond 750 mm and  upto  and  inclusive  of   900  mm dia  including  removing  and  stacking  the  loose materials etc. complete and disposing of the unserviceable materials outside complete.</t>
  </si>
  <si>
    <t>Chiseling through pile shells in hard strata like boulders, soft and hard rocks Beyond 900 mm and upto and inclusive of  1050 mm dia. including removing and stacking the loose materials etc. complete and disposing of the unserviceable materials outside complete.</t>
  </si>
  <si>
    <t>Bd/B-8 P-271</t>
  </si>
  <si>
    <t>Carrying  out  load  test  for  1.5  times  the  proposed  safe  working  load  on  the  pile  in driven position  upto  400  mm  diameter  including  construction  of  test  cap,  use  of accessories    and   instruments   including   providing   graphs   as   per   I.S.   code   or Std.Specifications and dismantling the test cap after testing and cleaning the site complete.</t>
  </si>
  <si>
    <r>
      <rPr>
        <sz val="11"/>
        <rFont val="Times New Roman"/>
        <family val="1"/>
      </rPr>
      <t>Carrying  out  load  test  for  1.5  times  the  proposed  safe  working  load  on  the  pile  in driven position above 400 mm and upto to 550 mm diameter including construction of test cap, use of   accessories   and   instruments   including   providing   graphs   as   per
I.S.    code   or Std.Specifications  and dismantling the test  cap after testing and cleaning
the site complete.</t>
    </r>
  </si>
  <si>
    <t>Carrying  out  load  test  for  1.5  times  the  proposed  safe  working  load  on  the  pile  in driven position above 550 mm and upto 650 mm diameter including construction of test cap,  use  of  accessories  and  instruments  including  providing  graphs  as  per  I.S.  code  or Std.Specifications and dismantling the test cap after testing and cleaning the site complete.</t>
  </si>
  <si>
    <t>Carrying  out  load  test  for  1.5  times  the  proposed  safe  working  load  on  the  pile  in driven position above 650 mm and upto 750 mm diameter including construction of test cap,  use  of  accessories  and  instruments  including  providing  graphs  as  per  I.S.  code  or Std.Specifications and dismantling the test cap after testing and cleaning the site complete.</t>
  </si>
  <si>
    <t>Carrying  out  load  test  for  1.5  times  the  proposed  safe  working  load  on  the  pile  in driven position above 750 mm and upto 825 mm diameter including construction of test cap,  use  of  accessories  and  instruments  including  providing  graphs  as  per  I.S.  code  or Std.Specifications and dismantling the test cap after testing and cleaning the site complete.</t>
  </si>
  <si>
    <t>Carrying  out  load  test  for  1.5  times  the  proposed  safe  working  load  on  the  pile  in driven position above 825 mm and upto 900 mm diameter including construction of test cap,  use  of  accessories  and  instruments  including  providing  graphs  as  per  I.S.  code  or Std.Specifications and dismantling the test cap after testing and cleaning the site complete.</t>
  </si>
  <si>
    <t>Carrying  out  load  test  for  1.5  times  the  proposed  safe  working  load  on  the  pile  in driven  position   above  900   mm  diameter   including  construction   of   test   cap,  use  of accessories    and   instruments   including   providing   graphs   as   per   I.S.   code   or Std.Specifications and dismantling the test cap after testing and cleaning the site complete.</t>
  </si>
  <si>
    <r>
      <rPr>
        <sz val="11"/>
        <rFont val="Times New Roman"/>
        <family val="1"/>
      </rPr>
      <t>Empty boring for 325 to 400 mm dia bored R.C.C. cast in situ piles including withdrawal of shell, removal of earth to a distance of 50 metres etc. complete.
Spec :(As directed by Engineer in Charge)</t>
    </r>
  </si>
  <si>
    <r>
      <rPr>
        <sz val="11"/>
        <rFont val="Times New Roman"/>
        <family val="1"/>
      </rPr>
      <t>Empty boring for 425 to 500 mm dia. bored R.C.C. cast in situ piles including withdrawal of shell, removal of earth to a distance of 50 metres etc. complete.
Spec :(As directed by Engineer in Charge)</t>
    </r>
  </si>
  <si>
    <r>
      <rPr>
        <sz val="11"/>
        <rFont val="Times New Roman"/>
        <family val="1"/>
      </rPr>
      <t>Empty boring for 525 to 600 mm dia. bored R.C.C. cast in situ piles including withdrawal of shell, removal of earth to a distance of 50 metres etc. complete.
Spec :(As directed by Engineer in Charge)</t>
    </r>
  </si>
  <si>
    <r>
      <rPr>
        <sz val="11"/>
        <rFont val="Times New Roman"/>
        <family val="1"/>
      </rPr>
      <t>Empty boring for 625 to 700 mm dia. bored R.C.C. cast in situ piles including withdrawal of shell, removal of earth to a distance of 50 metres etc. complete.
Spec :(As directed by Engineer in Charge)</t>
    </r>
  </si>
  <si>
    <r>
      <rPr>
        <sz val="11"/>
        <rFont val="Times New Roman"/>
        <family val="1"/>
      </rPr>
      <t>Empty  boring  for  725  to  1050  mm  dia.  bored  R.C.C.  cast  in  situ  piles  including withdrawal of shell, removal of earth to a distance of 50 metres etc. complete.
Spec :(As directed by Engineer in Charge)</t>
    </r>
  </si>
  <si>
    <r>
      <rPr>
        <sz val="11"/>
        <rFont val="Times New Roman"/>
        <family val="1"/>
      </rPr>
      <t>Chipping   and   dressing   of   the   R.C.C.   piles   upto   0.60    meterincluding   cleaning reinforcement and removal of dismantled materials upto a distance of 50 meter beyond the building area etc. for providing pile caps.
Spec :(As directed by Engineer in Charge</t>
    </r>
  </si>
  <si>
    <r>
      <rPr>
        <sz val="11"/>
        <rFont val="Times New Roman"/>
        <family val="1"/>
      </rPr>
      <t>Pile Foundation:
Building</t>
    </r>
  </si>
  <si>
    <t>Providing bentonite slurry process for various diameter of piles vide Item Nos 1 (i to xxiv) above. Spec : (As directed by Engineer in Charge)</t>
  </si>
  <si>
    <r>
      <rPr>
        <sz val="11"/>
        <rFont val="Times New Roman"/>
        <family val="1"/>
      </rPr>
      <t>Providing  placing and Driving in position 6 millimeter mild steel liner for R.C.C. Piles upto required depth with 12mm thick mild steel cutting edge of 0.50m length at bottom including fabricating cutting the mild steel sheet to required diameter and shape ,welding the joints and driving  with  the  help  of  required  machineries  including  all  materials labours  and  lifts  etc. complete as directed by the Engineer in charge. Upto 3.00 meter
deep liner</t>
    </r>
  </si>
  <si>
    <t>Providing  placing and Driving in position 6 millimeter mild steel liner for R.C.C. Piles upto required depth with 12mm thick mild steel cutting edge of 0.50m length at bottom including fabricating cutting the mild steel sheet to required diameter and shape ,welding the joints and driving  with  the  help  of  required  machineries  including  all  materials labours  and  lifts  etc. complete as directed by the Engineer in charge. Spec :(As directed by Engineer in Charge From 3.00 to 9.50 meter deep liner</t>
  </si>
  <si>
    <r>
      <rPr>
        <sz val="11"/>
        <rFont val="Times New Roman"/>
        <family val="1"/>
      </rPr>
      <t>Providing  and  laying  Cast  in  situ/Ready  Mix  cement  concrete  M-20  of  trap  metal  for
R.C.C. pile  caps  as  per  detailed  designs  and  drawings,  including  bailing  out  water manually,  centering,   formwork,  laying/   pumping,   compacting,   finishing   and   curing etc.    with    fully  automatic    micro   processor    based    PLC    with    SCADA    enabled reversible    Drum   Type    mixer/   concrete    Batch    mix    plant    (Pan    mixer)    etc. complete.with   Crushed    sand   VSI   Grade/V.S.I.  quality  Artificial  Sand,   complete. (Excluding steel reinforcement)</t>
    </r>
  </si>
  <si>
    <t>M-20 of  for R.C.C. pile  cap</t>
  </si>
  <si>
    <r>
      <rPr>
        <sz val="11"/>
        <rFont val="Times New Roman"/>
        <family val="1"/>
      </rPr>
      <t>Providing  and  laying  Cast  in  situ/Ready  Mix  cement  concrete  M-25  of  trap  metal  for
R.C.C. pile  caps  as  per  detailed  designs  and  drawings,  including  bailing  out  water manually,  centering,   formwork,  laying/   pumping,   compacting,   finishing   and   curing etc.    with    fully  automatic    micro   processor    based    PLC    with    SCADA    enabled reversible    Drum   Type    mixer/   concrete    Batch    mix    plant    (Pan    mixer)    etc. complete.with   Crushed   sand   VSI   Grade/V.S.I.  quality  Artificial  Sand,   complete.
(Excluding steel reinforcement)</t>
    </r>
  </si>
  <si>
    <r>
      <rPr>
        <sz val="11"/>
        <rFont val="Times New Roman"/>
        <family val="1"/>
      </rPr>
      <t>Providing  and  laying  Cast  in  situ/Ready  Mix  cement  concrete  M-30  of  trap  metal  for
R.C.C. pile  caps  as  per  detailed  designs  and  drawings,  including  bailing  out  water manually,  centering,   formwork,  laying/   pumping,   compacting,   finishing   and   curing etc.    with    fully  automatic    micro   processor    based    PLC    with    SCADA    enabled reversible  Drum Type  mixer/ concrete Batch mix plant (Pan mixer) etc. complete. With fine aggregate (Crushed sand VSI Grade)  complete (Excluding steel reinforcement)</t>
    </r>
  </si>
  <si>
    <t>Structural Steel Work</t>
  </si>
  <si>
    <t>BDC 2</t>
  </si>
  <si>
    <r>
      <rPr>
        <sz val="11"/>
        <rFont val="Times New Roman"/>
        <family val="1"/>
      </rPr>
      <t>Providing  and  fabricating  structural  steel  work  in  rolled  sections  like  joists,  channels, angles,  tees   etc.   as   per   detailed   design   and   drawings   or   as   directed   including cutting,   fabricating,  hoisting,   erecting,   fixing   in   position   making   riveted   /   bolted
/welded   connections   without  connecting  plates,  braces  etc.  and   including  one  coat  of anticorrosive paint and  over it  two coats of oil painting of approved quality and shade
etc. complete.</t>
    </r>
  </si>
  <si>
    <r>
      <rPr>
        <sz val="10"/>
        <rFont val="Arial"/>
        <family val="2"/>
      </rPr>
      <t>Bd.C.2 Page One Number 275</t>
    </r>
  </si>
  <si>
    <t>BDC 3</t>
  </si>
  <si>
    <t>Providing  and fabricating structural steel work in rolled sections,  fixed with connecting plates  or   angle   cleats   in   main   and   cross   beams,   hip   and   jack   rafters,   purlins connecting   to   truss  members  and   the  like,  as  per  detailed  designs  and  drawing  or  as directed  including  cutting,  fabricating,  hoisting,  erecting,  fixing  in  position,  making riveted/  bolted/ welded  connections and  one coat  of anticorrosive  paint and  over it  two coats of oil painting  of  approved quality and shade etc. complete.</t>
  </si>
  <si>
    <t>Bd.C.3 Page One Number 275</t>
  </si>
  <si>
    <t>BDC 6</t>
  </si>
  <si>
    <r>
      <rPr>
        <sz val="11"/>
        <rFont val="Times New Roman"/>
        <family val="1"/>
      </rPr>
      <t>Providing   structural   steel   work   in   single   stanchions   composed   of   R.S.J.   Channel etc.  with caps,  bases,  mild  steel  plated,  angle  brackets,  cleats,  gusset  plates,  anchor bolts   etc.   as   per  detailed  designs  and  drawings  or  as  directed  including  cutting, fabrication,   hoisting,   erecting   fixing   in    position,   making   riveted/   bolted/   welded connection   and   one  coat  of  anticorrosive  paint  and  over  it  two.  coats  of  oil  painting
approved quality and shade etc. complete.</t>
    </r>
  </si>
  <si>
    <r>
      <rPr>
        <sz val="10"/>
        <rFont val="Arial"/>
        <family val="2"/>
      </rPr>
      <t>Bd.C.6 Page One Number 277</t>
    </r>
  </si>
  <si>
    <t>BDC 8</t>
  </si>
  <si>
    <t>Providing structural steel work in trusses, other similar trussed purlins and members with all bracing,  gusset  plates  etc.  as  per  detailed  designs  and  drawings  or  as directed including cutting,  fabricating,   hoisting,  erecting   fixing  in   position, Making   riveted/ bolted/  welded connection  and  one coat of anticorrosive paint and  over it 2 coats of oil painting approved quality and shade etc. complete.</t>
  </si>
  <si>
    <t>Bd.C.8 Page One Number 278</t>
  </si>
  <si>
    <t>BDC</t>
  </si>
  <si>
    <t>Providing  and  fixing  50  mm.  dia.  medium  class  G.I.pipe  gate  with  wicket  gate  of approved drawing with  all  fixtures  and  fittings  in  two  leaves  with  strong hold  fast embedded   in  c.c. block at top and bottom with locking arrangement including cutting, bending, making holes and with one coat of primer etc. complete.</t>
  </si>
  <si>
    <t>Providing  and  erecting  structural  steel  for  sakav  with  all  bracing  gusset  plates  etc. as   per  detailed   design   and   drawing  or  as  directed  including  cutting,  fabricating, hoisting,  erecting,  fixing  in  position,  making  riveted/  bolted/welded  connection  and  oil painting with 2 coats of approved quality and shade etc. complete. complete.</t>
  </si>
  <si>
    <t>Providing,  fabricating  and  erecting at  site  of  work  the  tubular  steel  structure  (shed) as  per standard design and specifications having various spans in between trusses and in multiples of standard length of bays as specified as per standard specifications, inclusive of cost of steel tubular trusses, tubular columns purlins, tie runners, foundation  bolts, base plates,  nuts  and  bolts,   welding   wherever   required   etc.    as   per   detailed   drawing inclusive  of  one  coat  of anticorrosive paint and two coats of oil painting of approved quality and shade etc. complete. Spec. One Number : As directed by Engineer-in-charge.</t>
  </si>
  <si>
    <t>B-18 Page One Number 78</t>
  </si>
  <si>
    <t>Tubular  steel  structure  (shed)</t>
  </si>
  <si>
    <t>Providing  Gas  or  Electrical  welding  for  structural  steel  section,  plates  as  per  detailed drawing. For less than 10 mm thick section.</t>
  </si>
  <si>
    <t>B.18, Page No 78</t>
  </si>
  <si>
    <t>Centimetre</t>
  </si>
  <si>
    <t>BDW 6A</t>
  </si>
  <si>
    <r>
      <rPr>
        <sz val="11"/>
        <rFont val="Times New Roman"/>
        <family val="1"/>
      </rPr>
      <t>Providing  and  fixing  mild  steel grill gate  as  per  the  detailed  drawing  including  hinges, locking arrangements   and  painting   in  three  coats  of  oil  paint   of  approved   colour and  shade  etc. complete.(weight 18 Kilogram. to 20 Kilogram. Per Sq.m.)
Spec.One Number: As directed by Engineer- in-charge.</t>
    </r>
  </si>
  <si>
    <r>
      <rPr>
        <sz val="10"/>
        <rFont val="Arial"/>
        <family val="2"/>
      </rPr>
      <t>Spec. One Number As directed byEngineer in Charge.</t>
    </r>
  </si>
  <si>
    <t>Providing  structural  steel  work  of  rectangular  hollow  steel  section  for  steel  trusses, other similar  trussed  items  like  purlin  and  members  with  all  bracing,  gusset  plates etc.   as   per  detailed  designs  and  drawings  or  as  directed  including  cutting,  fabricating, hoisting,  erecting, fixing  in  position   making riveted/bolted/   welded  connections   and one  coat  of  anticorrosive paint and over it two coats of oil painting of approved quality
and shade complete.</t>
  </si>
  <si>
    <t>Providing  structural  steel  work  in  hollow  section  of  various  thickness  and  sizes  in square, rectanular and round shape from 25mm to 450mm  section as per IS 4923 YST 310 Grade produced from iron ore and blast furnace route etc. as per detailed designs and drawing or as directed   including   cutting,   fabricating,   hoisting,   erecting,   fixing   in position,   making riveted/bolted/ welded connections and painting complete.</t>
  </si>
  <si>
    <t>Spec. One Number As directed byEngineer in Charge.</t>
  </si>
  <si>
    <t>Plain Cement Concrete</t>
  </si>
  <si>
    <t>BDE 1</t>
  </si>
  <si>
    <r>
      <rPr>
        <sz val="11"/>
        <rFont val="Times New Roman"/>
        <family val="2"/>
      </rPr>
      <t>Providing   and   laying   Cast   in   situ/Ready  Mix   cement   concrete   in   M-10   of   trap/ granite/  quartzite/   gneiss   metal   for   foundation   and   bedding   including   bailing   out water,   Steel  centering,  formwork,  laying/pumping,  compacting,  roughening  them  if special finish is to be provided,  finishing  if  required  and  curing  complete,  with  fully automatic   micro   processor  based  PLC  with  SCADA  enabled  reversible  Drum  Type mixer/concrete Batch mix plant (Pan mixer) etc. complete.  With fine aggregate (Crushed
sand VSI Grade)</t>
    </r>
  </si>
  <si>
    <t>Bd. E. 1 Page One Number 287</t>
  </si>
  <si>
    <t>M-10 C.C. for Fondation &amp; Bedding</t>
  </si>
  <si>
    <t>BDE 2</t>
  </si>
  <si>
    <t>Providing   and   laying   Cast   in   situ/Ready   Mix    cement   concrete   in   M15   of trap/  granite/quartzite/gneiss  metal  for  foundation  and  bedding  /  steps  including  steel centering,   formwork, laying/pumping, compacting,  roughening  them  if  special  finish is   to   be   provided,   finishing   uneven   and  honeycombed  surface  and  curing  etc. complete.  The  Cement  Mortar  1:3  plaster  is  considered  for  rendering  uneven  and honeycombed surface, only. Newly laid concrete shall be covered by  gunny  bag,  plastic, tarpaulin  etc.  (Wooden  centering  will  not  be  allowed.),with  fully automatic   micro processor      based      PLC      with      SCADA      enabled      reversible      Drum      Type mixer/concrete   Batch   mix   plant   (Pan   mixer)   etc.   complete.     With   fine   aggregate (Crushed sand VSI Grade)</t>
  </si>
  <si>
    <r>
      <rPr>
        <sz val="11"/>
        <rFont val="Times New Roman"/>
        <family val="2"/>
      </rPr>
      <t>Bd.E.2 Page One Number 288 and
B.7 Page No 38</t>
    </r>
  </si>
  <si>
    <t>M-15 C.C. For Steps</t>
  </si>
  <si>
    <t>Providing    and    laying    Cast    in    situ/Ready    Mixcement    concrete    in    M20    of trap/   granite/quartzite/gneiss   metal   for   steps   including   steel   centering,     formwork, laying/pumping,  compacting,   roughening   them   if   special   finish   is   to  be   provided, finishing   uneven   and  honeycombed  surface  and  curing  etc.  complete.  The  Cement Mortar  1:3  plaster  is  considered  for  rendering  uneven  and  honeycombed  surface,  only. Newly laid concrete shall be covered by  gunny  bag,  plastic,   tarpaulin  etc.   (Wooden centering   will   not   be   allowed.),   with   fully automatic   micro  processor   based   PLC with   SCADA   enabled   reversible   Drum  Type   mixer/  concrete  Batch  mix  plant  (Pan mixer) etc. complete. With fine aggregate (Crushed sand VSI Grade)</t>
  </si>
  <si>
    <t>M-20 C.C. For Steps</t>
  </si>
  <si>
    <t>BDE 4</t>
  </si>
  <si>
    <t>Providing    and    laying    Cast    in    situ/Ready   Mix    cement    concrete    in    M15    of trap/ granite/quartzite/gneiss  metal  for  bed  blocks,  foundation  blocks  and   such  other items  including   bailing   out   water,    Steel   centering,    formwork,   laying/   pumping, compacting, roughening  them  if  special  finish  is  to  be  provided,  finishing  uneven and   honeycombed  surface  and  curing  etc.  complete.  The  Cement  Mortar  1:3  plaster  is considered for rendering uneven and honeycombed surface only. Newly laid concrete shall be  covered  by  gunny  bag,  plastic,   tarpaulin   etc.   (Wooden   centering   will   not   be allowed.),   with   fully   automatic   micro  processor  based  PLC  with  SCADA   enabled reversible Drum Type mixer/ concrete Batch mix plant (Pan mixer) etc. complete. With fine aggregate (Crushed sand VSI Grade)</t>
  </si>
  <si>
    <t>Bd.E.4 Page One Number 289 and B- 7, Page One Number38</t>
  </si>
  <si>
    <t>M-15 C.C. For Bed Blocks</t>
  </si>
  <si>
    <t>Providing    and    laying    Cast    in    situ/Ready   Mix    cement    concrete    in    M20    of trap/ granite/quartzite/gneiss  metal  for  bed  blocks,  foundation  blocks  and   such  other items  including   bailing   out   water,    Steel   centering,   formwork,   laying/   pumping, compacting, roughening  them  if  special  finish  is  to  be  provided,  finishing  uneven and   honeycombed  surface  and  curing  etc.  complete.  The  Cement  Mortar  1:3  plaster  is considered for rendering uneven and honeycombed surface only. Newly laid concrete shall be  covered  by  gunny  bag,  plastic,   tarpaulin   etc.   (Wooden   centering   will   not   be allowed.),   with   fully   automatic   micro  processor  based  PLC  with  SCADA  enabled reversible Drum Type mixer/ concrete Batch mix plant (Pan mixer) etc. complete. With fine aggregate (Crushed sand VSI Grade)</t>
  </si>
  <si>
    <t>M-20 C.C. For Bed Blocks</t>
  </si>
  <si>
    <t>BDE 7</t>
  </si>
  <si>
    <t>Providing  and  laying  Cast  in  situ/Ready  Mix  cement  concrete  in  M-20  of  trap  / granite/quartzite/ gneiss metal for arches including skew backs as per detailed drawing or as directed in superstructure including steel centering,  formwork, compacting,  finishing with  minimum thickness  of  1:3  cement  plaster  to  give  a  smooth  and  even  surface or  roughening  them  if special  finish  is  to  be  provided  and  curing  and  finishing  if required  complete,  with  fully automatic  micro  processor  based  PLC  with  SCADA enabled   reversible   Drum  Type   mixer.  complete,  .  With  fine  aggregate  (Crushed  sand VSI Grade)</t>
  </si>
  <si>
    <r>
      <rPr>
        <sz val="11"/>
        <rFont val="Times New Roman"/>
        <family val="1"/>
      </rPr>
      <t>Bd.E.7 Page No 291 and B-7
Page No .38</t>
    </r>
  </si>
  <si>
    <t>M-20 C.C. For Arches ,Skew backs</t>
  </si>
  <si>
    <t>BDE 5</t>
  </si>
  <si>
    <t>Providing    and    laying    Cast    in    situ/Ready   Mix    cement    concrete    in    M15    of trap/ granite/quartzite/gneiss   metal  for  plain  or  molded  sills,  cornice,  jambs,  block in  course,  or architraves of required size and shapes including steel centering,  formwork, laying/   pumping,   compacting,    roughening    them    if    special    finish    is    to    be provided,finishing   uneven   and  honeycombed  surface  and  curing  etc.  complete.  The Cement Mortar 1:3 plaster is considered for rendering uneven and honeycombed surface only.  Newly  laid  concrete  shall  be  covered  by  gunny   bag,   plastic,   tarpaulin   etc. (Wooden  centering  will  not  be  allowed.)   with  fully automatic  micro processor  based PLC   with   SCADA  enabled   reversible   Drum Type   mixer/  concrete  Batch mix  plant (Pan mixer) etc. complete. With fine aggregate (Crushed sand VSI Grade)</t>
  </si>
  <si>
    <r>
      <rPr>
        <sz val="11"/>
        <rFont val="Times New Roman"/>
        <family val="1"/>
      </rPr>
      <t>Bd.E. 5/Page One Number 290/I.S.
456 (2000)</t>
    </r>
  </si>
  <si>
    <t>M-15 C.C. For  Plain, Moulded Sills</t>
  </si>
  <si>
    <t>Providing    and    laying    Cast    in    situ/Ready   Mix    cement    concrete    in    M20    of trap/ granite/quartzite/gneiss   metal  for  plain  or  molded  sills,  cornice,  jambs,  block in  course,  or architraves of required size and shapes including steel centering,  formwork, laying/   pumping,   compacting,    roughening    them    if    special    finish    is    to    be provided,finishing   uneven   and  honeycombed  surface  and  curing  etc.  complete.  The Cement Mortar 1:3 plaster is considered for rendering uneven and honeycombed surface only.  Newly  laid  concrete  shall  be  covered  by  gunny   bag,   plastic,   tarpaulin   etc. (Wooden   centering   will   not   be   allowed.)    with   fully  automatic   micro   processor based   PLC   with   SCADA  enabled   reversible   Drum Type  mixer  etc. complete,  With fine aggregate (Crushed sand VSI Grade)</t>
  </si>
  <si>
    <t>M-20 C.C. For  Plain, Moulded Sills</t>
  </si>
  <si>
    <t>BDE 3</t>
  </si>
  <si>
    <t>Providing   and    laying   Cast    in    situ/Ready    Mix    cement   concrete   M-15    of trap/  granite/quartzite/gneiss   metal   for   coping  to  plinth   or   parapet,   moulded   or chamfered  as  per drawing  or  as  directed  including  steel  centering,  plywood/  steel formwork  compacting, roughening  them  if  special  finish  is  to  be  provided,  finishing uneven   and   honeycombed  surface  and  curing  etc.  complete.  The  Cement  Mortar  1:3 plaster  is  considered  for  rendering  uneven  and  honeycombed  surface  only.  Newly  laid concrete shall be covered by gunny bag, plastic, tarpaulin etc. (Wooden centering will not be allowed.) With fine aggregate (Crushed sand VSI Grade)</t>
  </si>
  <si>
    <r>
      <rPr>
        <sz val="11"/>
        <rFont val="Times New Roman"/>
        <family val="1"/>
      </rPr>
      <t>Bd.E. 3/Page One Number 288/I.S.
456 (2000)</t>
    </r>
  </si>
  <si>
    <t>M-15 C.C. For  Coping to Plinth</t>
  </si>
  <si>
    <t>Reinforced Cement Concrete</t>
  </si>
  <si>
    <t>BDF 3</t>
  </si>
  <si>
    <r>
      <rPr>
        <sz val="11"/>
        <rFont val="Times New Roman"/>
        <family val="1"/>
      </rPr>
      <t>Providing  and  laying  in  situ  /Ready  Mix   cement  concrete   M-20   of  trap  /  granite
/quartzite/ gneiss   metal  for  R.C.C.  work   in  foundations  like  raft,  strip  foundations, grillage  and footings  of  R.C.C.  columns  and  steel  stanchions   etc.  including  bailing out  water,   Steel centering  formwork,  laying/pumping  cover  blocks,  compaction  and curing roughening the surface if special finish is to be provided (Excluding reinforcement and structural steel) etc. complete, with fully automatic micro processor based PLC with SCADA enabled reversible Drum Type mixer/ concrete Batch mix plant (Pan mixer) etc. complete. With fine aggregate (Crushed sand VSI Grade)</t>
    </r>
  </si>
  <si>
    <t>Bd.F.3 Page One Number 298 and B.7, Page One Number38</t>
  </si>
  <si>
    <t>M-20  C.C. For Footings</t>
  </si>
  <si>
    <t>Providing   and   laying   Cast   in   situ/Ready   Mix   cement   concrete   M-25   of   trap   / granite/quartzite/   gneiss   metal   for   R.C.C.   work   in   foundations   like  raft,   strip foundations,  grillage and footings of R.C.C. columns and steel stanchions etc. including bailing   out   water,    Steel   centering,    formwork    ,cover    blocks,    laying/pumping, compaction   and   curing  roughening  the  surface  if  special  finish  is  to  be  provided (Excluding reinforcement  and structural steel) etc. complete, with fully automatic micro processor based PLC with SCADA enabled reversible Drum Type mixer/ concrete Batch mix plant (Pan mixer) etc. complete. With fine aggregate (Crushed sand VSI Grade)</t>
  </si>
  <si>
    <t>M-25  C.C. For Footings</t>
  </si>
  <si>
    <t>Providing   and   laying   Cast   in   situ/Ready   Mix   cement   concrete   M-30   of   trap   / granite/quartzite/   gneiss   metal   for   R.C.C.   work   in   foundations   like  raft,   strip foundations,  grillage and footings of R.C.C. columns and steel stanchions etc. columns as per  detailed  designs  and  drawing  or  as  directed including    Steel  centering   formwork, cover blocks  laying/pumping, compaction  finishing  the  formed  surfaces  with  cement mortar   1:3   of   sufficient   minimum  thickness  to  give  a  smooth  and  even  surface  or roughening  if  special  finish  is  to  be  provided  and  curing  etc.  complete.  (Excluding reinforcement  and  structural  steel).  with  fully  automatic  micro   processor   based   PLC with   SCADA  enabled   reversible   Drum   Type   mixer/   concrete  Batch  mix  plant  (Pan mixer) etc. complete. With fine aggregate (Crushed sand VSI Grade)</t>
  </si>
  <si>
    <t>M-30  C.C. For Footings</t>
  </si>
  <si>
    <t>Providing   and   laying   Cast   in   situ/Ready   Mix   cement   concrete   M-35   of   trap   / granite/quartzite/ gneiss metal for R.C.C. work  in foundations like raft, strip foundations, grillage and  footings of R.C.C. columns and steel stanchions  etc. columns as per detailed designs  and  drawing   or   as   directed   including   Steel   centering,   formwork,   cover blocks,   laying/pumping,  compaction   finishing   the   formed   surfaces   with   cement mortar   1:3   of   sufficient   minimum  thickness  to  give  a  smooth  and  even  surface  or roughening  if  special  finish  is  to  be  provided  and  curing  etc.  complete,(Excluding reinforcement  and  structural  steel).with  fully  automatic  micro   processor   based   PLC with   SCADA  enabled   reversible   Drum   Type   mixer/   concrete  Batch  mix  plant  (Pan mixer) etc. complete. With fine aggregate (Crushed sand VSI Grade)</t>
  </si>
  <si>
    <t>M-35  C.C. For Footings</t>
  </si>
  <si>
    <t>Providing   and   laying   Cast   in   situ/Ready   Mix   cement   concrete   M-40   of   trap   / granite/quartzite/ gneiss metal for R.C.C. work  in foundations like raft, strip foundations, grillage and  footings of R.C.C. columns and steel stanchions  etc. columns as per detailed designs  and  drawing   or   as   directed   including   steel   centering,   formwork,   cover blocks,   laying/pumping,  compaction   finishing   the   formed   surfaces   with   cement mortar   1:3   of   sufficient   minimum  thickness  to  give  a  smooth  and  even  surface  or roughening  if  special  finish  is  to  be  provided  and  curing  etc.  complete.  (Excluding reinforcement  and  structural  steel).with  fully  automatic  micro   processor   based   PLC with   SCADA  enabled   reversible   Drum   Type   mixer/   concrete  Batch  mix  plant  (Pan mixer) etc. complete. With fine aggregate (Crushed sand VSI Grade)</t>
  </si>
  <si>
    <t>BDF 5</t>
  </si>
  <si>
    <r>
      <t xml:space="preserve">Providing   and   laying   Cast   in   situ/Ready   Mix   cement   concrete   M-20   of   trap   / granite /quartzite/ gneiss metal for </t>
    </r>
    <r>
      <rPr>
        <b/>
        <sz val="11"/>
        <color rgb="FFFF0000"/>
        <rFont val="Times New Roman"/>
        <family val="1"/>
      </rPr>
      <t>R.C.C. columns</t>
    </r>
    <r>
      <rPr>
        <sz val="11"/>
        <rFont val="Times New Roman"/>
        <family val="1"/>
      </rPr>
      <t xml:space="preserve"> as per detailed designs and drawing or as   directed   including   steel   centering,   formwork,   cover   blocks,   laying/pumping, compaction finishing the formed surfaces with cement mortar 1:3 of sufficient minimum thickness to give a smooth and even   surface   or   roughening   if   special   finish   is   to be    provided    and    curing    etc.  complete.(Excluding  reinforcement  and  structural steel).with  fully automatic  micro  processor  based  PLC  with  SCADA enabled  reversible Drum  Type  mixer/  concrete  Batch  mix  plant  (Pan  mixer)  etc.  complete.  With  fine aggregate (Crushed sand VSI Grade)</t>
    </r>
  </si>
  <si>
    <t>Bd.F.5 Page One Number 300 and B.7, Page.One Number 38</t>
  </si>
  <si>
    <t>M-20  C.C. For Columns</t>
  </si>
  <si>
    <t>Providing   and   laying   Cast   in   situ/Ready   Mix   cement   concrete   M-25   of   trap   / granite  /quartzite/   gneiss   metal   for   R.C.C.   columns   as   per   detailed   designs   and drawings    or    as   directed    including    steel    centering,    formwork,    cover    blocks, laying/pumping,   compaction  finishing  the  formed  surfaces  with  cement  mortar  1:3  of sufficient minimum thickness to give a smooth  and even surface or roughening if special finish is to be provided  and curing etc. complete,(Excluding reinforcement and structural steel).with  fully automatic  micro  processor  based  PLC  with  SCADA enabled  reversible Drum  Type  mixer/  concrete  Batch  mix  plant  (Pan  mixer)  etc.  complete.  With  fine aggregate (Crushed sand VSI Grade)</t>
  </si>
  <si>
    <r>
      <rPr>
        <sz val="11"/>
        <rFont val="Times New Roman"/>
        <family val="1"/>
      </rPr>
      <t>Bd.F.5 Page One Number 300 and
B-7,Page No 38.</t>
    </r>
  </si>
  <si>
    <t>M-25  C.C. For Columns</t>
  </si>
  <si>
    <t>Providing   and   laying   Cast   in   situ/Ready   Mix   cement   concrete   M-30   of   trap   / granite/quartzite/ gneiss metal for R.C.C. columns as per detailed designs and drawing or as directed including steel centering, formwork,cover blocks, laying/pumping, compaction finishing the formed surfaces with cement mortar 1:3 of sufficient minimum thickness to give  a  smooth  and  even    surface    or    roughening    if    special    finish    is    to    be provided   and   curing   etc. complete,(Excluding reinforcement and structural steel). with fully automatic micro processor based PLC with SCADA enabled reversible Drum Type mixer/ concrete Batch mix plant (Pan mixer) etc. complete. With fine aggregate (Crushed sand VSI Grade)</t>
  </si>
  <si>
    <t>M-30  C.C. For Columns</t>
  </si>
  <si>
    <t>Providing   and   laying   Cast   in   situ/Ready   Mix   cement   concrete   M-35   of   trap   / granite/quartzite/ gneiss metal for R.C.C. columns as per detailed designs and drawing or as   directed   including   steel   centering,   formwork,   cover   blocks,   laying/pumping, compaction finishing the formed surfaces with cement mortar 1:3 of sufficient minimum thickness to give a smooth and even   surface   or   roughening   if   special   finish   is   to be    provided    and    curing    etc.  complete,(Excluding  reinforcement  and  structural steel).with fully automatic micro processor based PLC without SCAD Aenabled reversible Drum  Type  mixer/  concrete  Batch  mix  plant  (Pan  mixer)  etc.  complete.  With  fine aggregate (Crushed sand VSI Grade)</t>
  </si>
  <si>
    <t>M-35  C.C. For Columns</t>
  </si>
  <si>
    <t>Providing   and   laying   Cast   in   situ/Ready   Mix   cement   concrete   M-40   of   trap   / granite/quartzite/ gneiss metal for R.C.C. columns as per detailed designs and drawing or as   directed   including   steel   centering,   formwork,   cover   blocks,   laying/pumping, compaction finishing the formed surfaces with cement mortar 1:3 of sufficient minimum thickness to give a smooth and even   surface   or   roughening   if   special   finish   is   to be    provided    and    curing    etc.  complete,(Excluding  reinforcement  and  structural steel).with  fully automatic  micro  processor  based  PLC  with  SCADA enabled  reversible Drum  Type  mixer/  concrete  Batch  mix  plant  (Pan  mixer)  etc.  complete.  With  fine aggregate (Crushed sand VSI Grade)</t>
  </si>
  <si>
    <t>BDF 6</t>
  </si>
  <si>
    <r>
      <rPr>
        <sz val="11"/>
        <rFont val="Times New Roman"/>
        <family val="1"/>
      </rPr>
      <t>Providing   and   laying   Cast   in   situ/Ready   Mix   cement   concrete   M-20   of   trap   / granite/quartzite/  gneiss  metal for  R.C.C.  beams  and  lintels  as  per  detailed  designs  and drawings or as    directed    including    steel    centering,    formwork,    cover    blocks, laying/pumping,  compactionand   roughening   the   surface   if   special   finish   is   to   be provided  and  curing  etc. complete.   (Excluding   reinforcement   and   structural   steel).
with    fully    automatic    micro  processor  based  PLC  with  SCADA  enabled  reversible Drum  Type  mixer/  concrete  Batch  mix  plant  (Pan  mixer)  etc.  complete.  With  fine aggregate (Crushed sand VSI Grade)</t>
    </r>
  </si>
  <si>
    <t>Bd.F.6 Page One Number 300 and B.7, Page One Number38</t>
  </si>
  <si>
    <t>M-20  C.C. For Beams</t>
  </si>
  <si>
    <t>Providing   and   laying   Cast   in   situ/Ready  Mix   cement   concrete   in   M-25   of   trap/ granite/ quartzite/ gneiss metal for R.C.C. beams and lintels  as per detailed designs and drawings    or    as    directed    including    steel    centering,    formwork,    cover    blocks, laying/pumping,  compactionand roughening the surface if special finish is to be provided and  curing  etc.  complete.  (Excluding  reinforcement   and   structural   steel).with   fully automatic  micro  processor  based  PLC  with SCADA  enabled  reversible  Drum  Type mixer/   concrete   Batch   mix   plant   (Pan   mixer)   etc.  complete.  With  fine  aggregate (Crushed sand VSI Grade)</t>
  </si>
  <si>
    <t>M-25  C.C. For Beams</t>
  </si>
  <si>
    <t>Providing   and   laying   Cast   in   situ/Ready   Mix   cement   concrete   M-30   of   trap   / granite/quartzite/  gneiss  metal for  R.C.C.  beams  and  lintels  as  per  detailed  designs  and drawings or as    directed    including    steel    centering,    formwork,    cover    blocks, laying/pumping,  compactionand   roughening   the   surface   if   special   finish   is   to   be provided  and  curing  etc. complete. (Excluding reinforcement and structural steel).with fully automatic micro processor based PLC with SCADA enabled reversible Drum Type mixer/ concrete Batch mix plant (Pan mixer) etc. complete. With fine aggregate (Crushed sand VSI Grade)</t>
  </si>
  <si>
    <t>M-30  C.C. For Beams</t>
  </si>
  <si>
    <r>
      <rPr>
        <sz val="11"/>
        <rFont val="Times New Roman"/>
        <family val="1"/>
      </rPr>
      <t>Providing  and  laying  Cast  in  situ/Ready  Mixcement  concrete  M-35  of  trap  /  granite
/quartzite/ gneiss metal for R.C.C. beams and lintels as per detailed designs and drawings or as directed including   steel   centering,   formwork,   cover   blocks,   laying/pumping, compactionand roughening the surface if special finish is to be provided and curing etc. complete.  (Excluding  reinforcement   and   structural  steel).with   fully  automatic   micro processor  based  PLC  with SCADA  enabled  reversible  Drum  Type  mixer/  concrete Batch   mix   plant   (Pan   mixer)   etc.  complete.  With  fine  aggregate  (Crushed  sand  VSI Grade)</t>
    </r>
  </si>
  <si>
    <t>M-35  C.C. For Beams</t>
  </si>
  <si>
    <r>
      <rPr>
        <sz val="11"/>
        <rFont val="Times New Roman"/>
        <family val="1"/>
      </rPr>
      <t>Providing   and   laying   Cast   in   situ/Ready   Mix   cement   concrete   M-40   of   trap   / granite/quartzite/  gneiss  metal for  R.C.C.  beams  and  lintels  as  per  detailed  designs  and drawings or as    directed    including    steel    centering,    formwork,    cover    blocks, laying/pumping,  compactionand   roughening   the   surface   if   special   finish   is   to   be provided  and  curing  etc. complete.   (Excluding   reinforcement   and   structural   steel).
with    fully    automatic    micro  processor  based  PLC  with  SCADA  enabled  reversible Drum  Type  mixer/  concrete  Batch  mix  plant  (Pan  mixer)  etc.  complete.  With  fine aggregate (Crushed sand VSI Grade)</t>
    </r>
  </si>
  <si>
    <t>BDF 8</t>
  </si>
  <si>
    <t>Providing   and   laying   Cast   in   situ/Ready   Mix   cement   concrete   M-20   of   trap/ granite  / quartzite/ gneiss metal for R.C.C.  slabs and  landings  as  per detailed  designs and    drawings   including   steel   centering,   formwork,   cover   blocks,   laying/pumping, compaction finishing the formed surfaces with cement mortar 1:3 of sufficient minimum thickness to give a smooth and even   surface   or   roughening   if   special   finish   is   to be    provided    and    curing    etc.  complete,(Excluding  reinforcement  and  structural steel).with  fully automatic  micro  processor  based  PLC  with  SCADA enabled  reversible Drum  Type  mixer/  concrete  Batch  mix  plant  (Pan  mixer)  etc.  complete.  With  fine aggregate (Crushed sand VSI Grade)</t>
  </si>
  <si>
    <t>Bd.F.8 Page One Number 302 and B.7, Page One Number38</t>
  </si>
  <si>
    <t>M-20  C.C. For Slabs &amp; Landings</t>
  </si>
  <si>
    <t>Providing   and   laying   Cast   in   situ/Ready   Mix   cement   concrete   M-25   of   trap/ granite  / quartzite/ gneiss metal for R.C.C.  slabs and  landings  as  per detailed  designs and    drawings   including   steel   centering,   formwork,   cover   blocks,   laying/pumping, compaction finishing the formed surfaces with cement mortar 1:3 of sufficient minimum thickness to give a smooth and even   surface   or   roughening   if   special   finish   is   to be    provided    and    curing    etc.  complete,(Excluding  reinforcement  and  structural steel).with  fully automatic  micro  processor  based  PLC  with  SCADA enabled  reversible Drum  Type  mixer/  concrete  Batch  mix  plant  (Pan  mixer)  etc.  complete.  With  fine aggregate (Crushed sand VSI Grade)</t>
  </si>
  <si>
    <t>M-25  C.C. For Slabs &amp; Landings</t>
  </si>
  <si>
    <t>Providing   and   laying   Cast   in   situ/Ready   Mix   cement   concrete   M-30   of   trap/ granite  / quartzite/ gneiss metal for R.C.C.  slabs and  landings  as  per detailed  designs and    drawings   including   steel   centering,   formwork,   cover   blocks,   laying/pumping, compaction finishing the formed surfaces with cement mortar 1:3 of sufficient minimum thickness to give a smooth and even   surface   or   roughening   if   special   finish   is   to be    provided    and    curing    etc.  complete,(Excluding  reinforcement  and  structural steel).with  fully automatic  micro  processor  based  PLC  with  SCADA enabled  reversible Drum  Type  mixer/  concrete  Batch  mix  plant  (Pan  mixer)  etc.  complete.  With  fine aggregate (Crushed sand VSI Grade)</t>
  </si>
  <si>
    <t>M-30  C.C. For Slabs &amp; Landings</t>
  </si>
  <si>
    <t>Providing   and   laying   Cast   in   situ/Ready   Mix   cement   concrete   M-35   of   trap/ granite  / quartzite/ gneiss metal for R.C.C.  slabs and  landings  as  per detailed  designs and    drawings   including   steel   centering,   formwork,   cover   blocks,   laying/pumping, compaction finishing the formed surfaces with cement mortar 1:3 of sufficient minimum thickness to give a smooth and even   surface   or   roughening   if   special   finish   is   to be   provided   and   curing   etc. complete,(Excluding reinforcement and structural steel). with fully automatic micro processor based PLC with SCADA enabled reversible Drum Type  mixer/  concrete  Batch  mix  plant  (Pan  mixer)  etc.  complete.  With  fine  aggregate (Crushed sand VSI Grade)</t>
  </si>
  <si>
    <t>M-35  C.C. For Slabs &amp; Landings</t>
  </si>
  <si>
    <t>Providing   and   laying   Cast   in   situ/Ready   Mix   cement   concrete   M-40   of   trap/ granite  / quartzite/ gneiss metal for R.C.C.  slabs and  landings  as  per detailed  designs and    drawings   including   steel   centering,   formwork,   cover   blocks,   laying/pumping, compaction finishing the formed surfaces with cement mortar 1:3 of sufficient minimum thickness to give a smooth and even   surface   or   roughening   if   special   finish   is   to be    provided    and    curing    etc.  complete,(Excluding  reinforcement  and  structural steel).with  fully automatic  micro  processor  based  PLC  with  SCADA enabled  reversible Drum  Type  mixer/  concrete  Batch  mix  plant  (Pan  mixer)  etc.  complete.  With  fine aggregate (Crushed sand VSI Grade)</t>
  </si>
  <si>
    <t>M-40  C.C. For Slabs &amp; Landings</t>
  </si>
  <si>
    <t>BDF 9</t>
  </si>
  <si>
    <t>Providing  and  laying  Cast  in  situ/Ready  Mixcement  concrete  M-20  of  trap/  granite/ quartzite/  gneiss  metal for  R.C.C.  chajja  as  per  detailed  design  and  drawings  including steel centering, formwork, cover blocks, laying/pumping, compacting and  roughening the surface if  special finish is to be provided and curing complete. (Excluding reinforcement and structural steel). with  fully  automatic  micro  processor  based  PLC  with  SCADA enabled   reversible   Drum  Type   mixer/   concrete   Batch   mix   plant   (Pan   mixer)   etc. complete.  With  fine  aggregate (Crushed sand VSI Grade)</t>
  </si>
  <si>
    <t>Bd.F.9 Page One Number 303 and B.7, Page One Number38</t>
  </si>
  <si>
    <t>M-20  C.C. For Chajja</t>
  </si>
  <si>
    <t>Providing  and  laying  Cast  in  situ/Ready  Mixcement  concrete  M-25  of  trap/  granite/ quartzite/  gneiss  metal for  R.C.C.  chajja  as  per  detailed  design  and  drawings  including steel centering, formwork, cover blocks, laying/pumping, compacting and  roughening the surface if  special finish is to be provided and curing complete. (Excluding reinforcement and structural steel). with  fully  automatic  micro  processor  based  PLC  with  SCADA enabled   reversible   Drum  Type   mixer/   concrete   Batch   mix   plant   (Pan   mixer)   etc. complete.  With  fine  aggregate (Crushed sand VSI Grade)</t>
  </si>
  <si>
    <t>M-25  C.C. For Chajja</t>
  </si>
  <si>
    <t>BDF10</t>
  </si>
  <si>
    <t>Providing   and   laying   Cast   in   situ/Ready   Mix   cement   concrete   M-20   of   trap   / granite   /  quartzite   /   gneiss   metal  for   R.C.C.   canopy  as   per   detailed   designs   and drawings    including   steel   centering,   formwork,   laying/pumping,   compacting   and roughening the surface if special finish  is   to  be  provided  and  curing  etc.   complete (excluding   reinforcement),   with   fully  automatic  micro  processor  based  PLC  with SCADA   enabled  reversible Drum Type mixer/ concrete Batch mix plant (Pan mixer) etc. complete. With fine aggregate (Crushed sand VSI Grade)</t>
  </si>
  <si>
    <t>Bd.F.8 Page One Number 303 and B.7, Page One Number38</t>
  </si>
  <si>
    <t>M-20  C.C. For Canopy</t>
  </si>
  <si>
    <r>
      <rPr>
        <sz val="11"/>
        <rFont val="Times New Roman"/>
        <family val="1"/>
      </rPr>
      <t>Providing   and   laying   Cast   in   situ/Ready   Mix   cement   concrete   M-25   of   trap   / granite   /  quartzite   /   gneiss   metal  for   R.C.C.   canopy  as   per   detailed   designs   and drawings    including   steel   centering,   formwork,   laying/pumping,   compacting   and roughening the surface if special finish  is   to  be  provided  and  curing  etc.   complete (excluding   reinforcement).   with   fully  automatic  micro  processor  based  PLC  with SCADA   enabled  reversible Drum Type mixer/ concrete Batch mix plant (Pan mixer) etc.
complete. With fine aggregate (Crushed sand VSI Grade)</t>
    </r>
  </si>
  <si>
    <t>M-25  C.C. For Canopy</t>
  </si>
  <si>
    <t>BDF 11</t>
  </si>
  <si>
    <t>Providing   and   laying   Cast   in   situ/Ready  Mix   cement   concrete   in   M-20   of   trap/ granite/  quartzite/   gneiss   metal   for   R.C.C.   pardi   of   required   thickness   including steel  centering, formwork, cover blocks, laying/pumping, compacting , curing , finishing and    rougheningthem    if     special     finish     is     to     be     provided     and     curing complete.(Excluding   reinforcement   and  structural   steel).with   fully   automatic   micro processor   based   PLC   with   SCADA   enabled  reversible  Drum  Type  mixer/  concrete Batch mix plant (Pan mixer) etc. complete. With fine aggregate (Crushed sand VSI Grade)</t>
  </si>
  <si>
    <t>Bd.F.11 Page One Number 304 and B.7, Page One Number 38</t>
  </si>
  <si>
    <t>M-20  C.C. For Pardi</t>
  </si>
  <si>
    <t>Providing   and   laying   Cast   in   situ/Ready  Mix   cement   concrete   in   M-25   of   trap/ granite/  quartzite/   gneiss   metal   for   R.C.C.   pardi   of   required   thickness   including steel   centering,  formwork,  cover  blocks,  laying/pumping,   compacting  and  roughening them   if   special   finish   is    to    be    provided    and    curing    complete.    (Excluding reinforcement  and  structural  steel).with fully  automatic  micro  processor  based  PLC with  SCADA  enabled  reversible  Drum  Type mixer/  concrete  Batch  mix  plant  (Pan mixer)  etc.  complete.  With  fine  aggregate  (Crushed sand VSI Grade)</t>
  </si>
  <si>
    <t>M-25  C.C. For Pardi</t>
  </si>
  <si>
    <t>BDF 12</t>
  </si>
  <si>
    <t>Providing   and   laying   Cast   in   situ/Ready  Mix   cement   concrete   in   M-20   of   trap/ granite/ quartzite/ gneiss metal for R.C.C.coping to plinth or parapet and sill of doors and windows  moulded  as  per  detailed  drawings  or  chamfered  as  approved  by the  Engineer including  steel  centering,   formwork,   cover   blocks,   laying/pumping,   compacting   , curing   ,   finishing   and  roughening   them   if   special   finish   is   to   be   provided   and curing  complete.  (Excluding reinforcement  and  structural  steel).with  fully  automatic micro   processor   based   PLC   with  SCADA   enabled   reversible   Drum   Type   mixer/ concrete   Batch   mix   plant   (Pan   mixer)   etc.  complete.  With  fine  aggregate  (Crushed sand VSI Grade)</t>
  </si>
  <si>
    <r>
      <rPr>
        <sz val="11"/>
        <rFont val="Times New Roman"/>
        <family val="1"/>
      </rPr>
      <t>Bd. F. 12 Page One Number 304 and
B-7, Pg 38</t>
    </r>
  </si>
  <si>
    <t>M-20  C.C. For Coping to plinth</t>
  </si>
  <si>
    <t>BDF 13A</t>
  </si>
  <si>
    <t>Providing  and  laying  Cast  in  situ/Ready  Mix  cement  concrete  in   M-20  of  trap  / quartzite/granite  /gneiss  metal  for  R.C.C.  Waist  slab,  and  steps  of  staircases  as  per detailed  design  and  drawings   or   as   directed   including   steel   centering,    formwork, steel   props,   laying/pumping,  compaction,  finishing  uneven  and  honeycombed  surface with  C.M.  1:3  of  sufficient  minimum  thickness  to  give  a  smooth  and  even  surface  or roughening  the  surface  if  special  finish  is  to  be  provided  and  curing  etc.  complete. (Excluding einforcement, including cover block).(Newly laid concrete shall be covered by gunny bag, plastic, tarpaulin etc.) with fully automatic micro processor based PLC with SCADA enabled reversible Drum Type mixer/ concrete Batch mix plant (Pan mixer) etc. complete. With fine aggregate (Crushed sand VSI Grade)</t>
  </si>
  <si>
    <r>
      <rPr>
        <sz val="11"/>
        <rFont val="Times New Roman"/>
        <family val="1"/>
      </rPr>
      <t>Bd. F. 13 Page One Number 305
/I.S. 456 (2000</t>
    </r>
  </si>
  <si>
    <t>M-20  C.C. For  Waist slab&amp; Steps</t>
  </si>
  <si>
    <t>Providing  and  laying  Cast  in  situ/Ready  Mix  cement  concrete  in   M-25  of  trap  / quartzite/granite  /gneiss  metal  for  R.C.C.  Waist  slab,  and  steps  of  staircases  as  per detailed design and drawings  or  as  directed  including  steel  centering,  plywood/  steel formwork,     steel     props,    laying/pumping,     compaction,     finishing    uneven     and honeycombed  surface with  C.M.  1:3  of sufficient minimum thickness to give a smooth and even surface or roughening the surface if special finish is to be provided and curing etc. complete. (Excluding einforcement, including cover block).(Newly laid concrete shall be covered by gunny bag, plastic, tarpaulin etc.) with fully  automatic  micro  processor based  PLC  with  SCADA  enabled  reversible  Drum  Type mixer/  concrete  Batch  mix plant  (Pan  mixer)  etc.  complete.  With  fine  aggregate  (Crushed sand VSI Grade)</t>
  </si>
  <si>
    <t>M-25  C.C. For  Waist slab&amp; Steps</t>
  </si>
  <si>
    <t>BDF 14A</t>
  </si>
  <si>
    <t>Providing  and  laying  Cast  in  situ/Ready  Mix  cement  concrete  in   M-20  of  trap  / quartzite/granite  /gneiss metal for R.C.C.newel  posts of  staircase as  per detailed  design and drawings including   steel   centering,   plywood   /   steel   formwork,   steel   props, laying     /    pumping,  compaction,  finishing  uneven  and  honeycombed  surface  with C.M.1:3   of  sufficient   minimum   thickness   to   give  a   smooth   and   even   surface   or roughening  the  surface  if  special  finish  is  to  be  provided  and  curing  etc.  complete. (Excluding  reinforcement,  including  cover  block).  (Newly  laid   concrete   shall   be covered  by  gunny  bag,  plastic,  tarpaulin  etc.)   with  fully  automatic micro  processor based  PLC  with  SCADA  enabled  reversible  Drum  Type  mixer/  concrete Batch mix plant (Pan mixer) etc. complete. With fine aggregate (Crushed sand VSI Grade)</t>
  </si>
  <si>
    <r>
      <rPr>
        <sz val="11"/>
        <rFont val="Times New Roman"/>
        <family val="1"/>
      </rPr>
      <t>Bd. F. 14 Page One Number 305
/I.S. 456 (2001</t>
    </r>
  </si>
  <si>
    <t>M-20  C.C. For  Newal Post</t>
  </si>
  <si>
    <t>Providing  and  laying  Cast  in  situ/Ready  Mix  cement  concrete  in   M-25  of  trap  / quartzite/granite  /gneiss metal for R.C.C.newel  posts of  staircase as  per detailed  design and   drawings   including   steel   centering,   plywood   /   steel   formwork,   steel   props, laying/pumping, compaction, finishing uneven and honeycombed surface with C.M.1:3 of sufficient minimum thickness to give a smooth and even surface or roughening the surface if special finish is to be provided and  curing  etc.  complete.  (Excluding  reinforcement, including   cover  block).  (Newly  laid concrete shall be covered by gunny bag,   plastic, tarpaulin  etc.)  with  fully automatic  micro processor based PLC with SCADA enabled reversible Drum Type mixer/ concrete Batch mix plant (Pan mixer) etc. complete. With fine aggregate (Crushed sand VSI Grade)</t>
  </si>
  <si>
    <r>
      <rPr>
        <sz val="11"/>
        <rFont val="Times New Roman"/>
        <family val="1"/>
      </rPr>
      <t>Bd. F. 14 Page One Number 305
/I.S. 456 (2002</t>
    </r>
  </si>
  <si>
    <t>M-25  C.C. For  Newal Post</t>
  </si>
  <si>
    <t>BDF 15A</t>
  </si>
  <si>
    <r>
      <rPr>
        <sz val="11"/>
        <rFont val="Times New Roman"/>
        <family val="1"/>
      </rPr>
      <t>Providing   and  laying   Cast   in  situ/Ready  Mix   cement   concrete    in    M-20  of   trap
/granite  / gneiss/ quartzite metal for R.C.C. arches with skew backs as per detailed design and  drawings  or  as  directed  including  steel  centering,  plywood/steel  formwork,  steel props,  laying/pumping,  compaction,  finishing  uneven  and  honeycombed  surface  with
C.M.  1:3  of  sufficient  minimum  thickness  to  give  a  smooth  and  even  surface  or roughening  the  surface  if  special  finish  is  to  be  provided  and  curing  etc.  complete. (Excluding reinforcement, including cover block). Newly laid concrete shall be covered by gunny bag,  plastic,  tarpaulin  etc.  with  fully automatic  micro  processor  based  PLC  with SCADA enabled reversible Drum Type mixer/ concrete Batch mix plant (Pan mixer) etc. complete. With fine aggregate (Crushed sand VSI Grade)</t>
    </r>
  </si>
  <si>
    <r>
      <rPr>
        <sz val="11"/>
        <rFont val="Times New Roman"/>
        <family val="1"/>
      </rPr>
      <t>Bd. F. 15 Page One Number 306
/I.S. 456 (2003</t>
    </r>
  </si>
  <si>
    <t>M-20  C.C. For  R.C.C. Arches</t>
  </si>
  <si>
    <r>
      <rPr>
        <sz val="11"/>
        <rFont val="Times New Roman"/>
        <family val="1"/>
      </rPr>
      <t>Providing   and  laying   Cast   in  situ/Ready  Mix   cement   concrete    in    M-25  of   trap
/granite  / gneiss/ quartzite metal for R.C.C. arches with skew backs as per detailed design and  drawings  or  as  directed  including  steel  centering,  plywood/steel  formwork,  steel props,  laying/pumping,  compaction,  finishing  uneven  and  honeycombed  surface  with
C.M.  1:3  of  sufficient  minimum  thickness  to  give  a  smooth  and  even  surface  or roughening  the  surface  if  special  finish  is  to  be  provided  and  curing  etc.  complete. (Excluding reinforcement, including cover block). Newly laid concrete shall be covered by gunny  bag,  plastic,  tarpaulin  etc.  (Wooden  centering  will  not  be  allowed)  With  fine aggregate (Crushed sand VSI Grade)</t>
    </r>
  </si>
  <si>
    <t>M-25  C.C. For  R.C.C. Arches</t>
  </si>
  <si>
    <t>BDF 16</t>
  </si>
  <si>
    <t>Providing  and  laying  Cast  in  situ/Ready  Mix  cement  concrete  in   M-20  of  trap  / granite/gneiss  /  quartzite  metal  for  R.C.C.  fins  of  required  thickness  in  position  as shown   on   the  drawings   or   as   directed   by   Engineer-in-charge   including   steel centering,   plywood   /   steel  formwork,   steel   props,   laying/pumping,   compaction, finishing   uneven   and   honeycombed  surface  with  C.M.  1:3  of  sufficient  minimum thickness to give a smooth and even surface or roughening the surface if special finish is to  be  provided  and  curing  etc.  complete.  (Excluding  reinforcement,   including  cover block)  Newly  laid  concrete shall  be covered  by gunny  bag, plastic, tarpaulin etc. with fully automatic micro processor based PLC with SCADA enabled reversible Drum Type mixer/ concrete Batch mix plant (Pan mixer) etc. complete. With fine aggregate (Crushed sand VSI Grade)</t>
  </si>
  <si>
    <r>
      <rPr>
        <sz val="11"/>
        <rFont val="Times New Roman"/>
        <family val="1"/>
      </rPr>
      <t>Bd. F. 16 Page One Number 306
/I.S. 456 (2004</t>
    </r>
  </si>
  <si>
    <t>M-20  C.C. For  R.C.C. Fins</t>
  </si>
  <si>
    <t>Providing  and  laying  Cast  in  situ/Ready  Mix  cement  concrete  in   M-25  of  trap  / granite/gneiss  /  quartzite  metal  for  R.C.C.  fins  of  required  thickness  in  position  as shown   on   the  drawings   or   as   directed   by   Engineer-in-charge   including   steel centering,   plywood   /   steel  formwork,   steel   props,   laying/pumping,   compaction, finishing   uneven   and   honeycombed  surface  with  C.M.  1:3  of  sufficient  minimum thickness to give a smooth and even surface or roughening the surface if special finish is to  be  provided  and  curing  etc.  complete.  (Excluding  reinforcement,   including  cover block)  Newly  laid  concrete shall  be covered  by gunny  bag, plastic, tarpaulin etc. with fully automatic micro processor based PLC with SCADA enabled reversible Drum Type mixer/ concrete Batch mix plant (Pan mixer) etc. complete. With fine aggregate (Crushed sand VSI Grade)</t>
  </si>
  <si>
    <t>M-25  C.C. For  R.C. C. Fins</t>
  </si>
  <si>
    <t>BDF 17</t>
  </si>
  <si>
    <t>Providing and fixing in position TMT - FE - 500 bar reinforcement of various diameters for  R.C.C.    pile   caps,    footings,    foundations,    slabs,    beams   columns,    canopies, staircase,   newels,  chajjas,   lintels   pardis,   copings,   fins,   arches   etc.   as   per   detailed designs,  drawings  and schedules. including cutting, bending, hooking the bars, binding with wires or tack welding and supporting as required complete.</t>
  </si>
  <si>
    <t>Bd.F.17, Page One Number 306</t>
  </si>
  <si>
    <t>Providing   and   fixing   in   position   HCRM   /   CRS   (Corrosion    Resistant   Steel)   bar reinforcement of  various  diameters  for  R.C.C.  pile  caps,  footings,  foundations,  slabs, beams   columns,  canopies,   staircase,   newels,   chajjas,   lintels   pardis,   copings,   fins, arches  etc.  as  per  detailed designs, drawings and schedules. including cutting, bending, hooking the bars, binding with wires or tack welding and supporting as required complete.</t>
  </si>
  <si>
    <r>
      <rPr>
        <sz val="11"/>
        <rFont val="Times New Roman"/>
        <family val="1"/>
      </rPr>
      <t>Providing   and   applying   Anti   corrosive   treatment   to   reinforcement   as   per   cement polymer   composite   coating   (C.P.C.C.)   method   developed   by  C.E.C.R.I.   including cleaning  the  bar  by  means   of   any   established   mechanical   or   manual   method   for removing   rust   and   deleterious  material,   applying   rapid   setting   primer   and   cement polymer   sealing   coat   of   approved   and  licensed  by  CECRI  including  redoing  the process if damage occurs during handling, stacking etc. complete. (With prior approval of
SE)</t>
    </r>
  </si>
  <si>
    <r>
      <rPr>
        <sz val="11"/>
        <rFont val="Times New Roman"/>
        <family val="1"/>
      </rPr>
      <t>MORT and H 1600
Edition 2001.</t>
    </r>
  </si>
  <si>
    <r>
      <rPr>
        <sz val="11"/>
        <rFont val="Times New Roman"/>
        <family val="1"/>
      </rPr>
      <t>Providing Fusion Bonded Epoxy Coating (FBEC) to reinforced bars of 8mm  diameter as per IS:  13620-1993  specifications  for  a  thickness  of  175micron  Permissible  variation of  50 micron   including testing of coating at plant, including cost for careful handling using  PVC  coating,   binding   wires   instead   of   G.   I.   wires   to   and   from   Plant) touching    up    the    material   supplied   repair   work   etc   complete   as   per   detailed specifications.  (Lead  200km  from  plant)  etc  complete.  (Item  shall  be  used  for  new structures.)
Note  :  The  item  should  be  executed  with  prior  approval  of  Superintending  Engineer. FREQUENCY OF TEST OF FUSION BONDED EPOXY COAT
a)  Coating  thickness  shall  be  tested  at  a  frequency of  not  less  than  one  full length  bar every twenty bars for each size
b) continuity of coating shall be determined by testing one full length bar in every twenty bars for each size
c)  Coating  thickness  over  the  whole  of  the  coated  bar  section  shall  be  determined by sectioning and examining one bar in every twenty tonnes for each size.
d) For testing adhesion of coating, samples shall be selected from each size according to the frequency given below:
Nominal Size of Bar, MM One Number of Samples
For all types of bar : Minimum 1 for every diameter or as directed by engineer in charge</t>
    </r>
  </si>
  <si>
    <r>
      <rPr>
        <sz val="11"/>
        <rFont val="Times New Roman"/>
        <family val="1"/>
      </rPr>
      <t>Providing Fusion  Bonded  Epoxy Coating (FBEC) to reinforced bars of 10mm  diameter as per IS: 13620-1993 specifications for a thickness of 175micron Permissible variation of 50 micron  including testing of coating at plant, including cost for careful handling using PVC coating,  binding  wires  instead  of  G.  I.  wires  to  and  from  Plant)  touching  up the   material  supplied  repair  work  etc  complete  as  per  detailed  specifications.  (Lead 200km from plant) etc complete. (Item shall be used for new structures.)
Note  :  The  item  should  be  executed  with  prior  approval  of  Superintending  Engineer. FREQUENCY OF TEST OF FUSION BONDED EPOXY COAT
a)  Coating  thickness  shall  be  tested  at  a  frequency of  not  less  than  one  full length  bar every twenty bars for each size
b) continuity of coating shall be determined by testing one full length bar in every twenty bars for each size
c)  Coating  thickness  over  the  whole  of  the  coated  bar  section  shall  be  determined by sectioning and examining one bar in every twenty tonnes for each size.
d) For testing adhesion of coating, samples shall be selected from each size according to the frequency given below:
For all types of bar :   Minimum 1 for every diameter or as directed by engineer in charge</t>
    </r>
  </si>
  <si>
    <r>
      <rPr>
        <sz val="11"/>
        <rFont val="Times New Roman"/>
        <family val="2"/>
      </rPr>
      <t>MORT and H 1600
Edition 2001.</t>
    </r>
  </si>
  <si>
    <r>
      <rPr>
        <sz val="11"/>
        <rFont val="Times New Roman"/>
        <family val="2"/>
      </rPr>
      <t>Providing Fusion  Bonded  Epoxy Coating (FBEC) to reinforced bars of 12mm  diameter as per IS: 13620-1993 specifications for a thickness of 175micron Permissible variation of 50 micron  including testing of coating at plant, including cost for careful handling using PVC coating,  binding  wires  instead  of  G.  I.  wires  to  and  from  Plant)  touching  up the   material  supplied  repair  work  etc  complete  as  per  detailed  specifications.  (Lead 200km from plant) etc complete. (Item shall be used for new structures.)
Note  :  The  item  should  be  executed  with  prior  approval  of  Superintending  Engineer. FREQUENCY OF TEST OF FUSION BONDED EPOXY COAT
a)  Coating  thickness  shall  be  tested  at  a  frequency of  not  less  than  one  full length  bar every twenty bars for each size
b) continuity of coating shall be determined by testing one full length bar in every twenty bars for each size
c)  Coating  thickness  over  the  whole  of  the  coated  bar  section  shall  be  determined by sectioning and examining one bar in every twenty tonnes for each size.
d) For testing adhesion of coating, samples shall be selected from each size according to the frequency given below:
For all types of bar :   Minimum 1 for every diameter or as directed by engineer in charge</t>
    </r>
  </si>
  <si>
    <r>
      <rPr>
        <sz val="11"/>
        <rFont val="Times New Roman"/>
        <family val="1"/>
      </rPr>
      <t>Providing Fusion  Bonded  Epoxy Coating (FBEC) to reinforced bars of 16mm  diameter as per IS: 13620-1993 specifications for a thickness of 175micron Permissible variation of 50 micron  including testing of coating at plant, including cost for careful handling using PVC coating,  binding  wires  instead  of  G.  I.  wires  to  and  from  Plant)  touching  up the   material  supplied  repair  work  etc  complete  as  per  detailed  specifications.  (Lead 200km from plant) etc complete. (Item shall be used for new structures.)
Note  :  The  item  should  be  executed  with  prior  approval  of  Superintending  Engineer. FREQUENCY OF TEST OF FUSION BONDED EPOXY COAT
a)  Coating  thickness  shall  be  tested  at  a  frequency of  not  less  than  one  full length  bar every twenty bars for each size
b) continuity of coating shall be determined by testing one full length bar in every twenty bars for each size
c)  Coating  thickness  over  the  whole  of  the  coated  bar  section  shall  be  determined by sectioning and examining one bar in every twenty tonnes for each size.
d) For testing adhesion of coating, samples shall be selected from each size according to the frequency given below:
For all types of bar :   Minimum 1 for every diameter or as directed by engineer in charge</t>
    </r>
  </si>
  <si>
    <r>
      <rPr>
        <sz val="11"/>
        <rFont val="Times New Roman"/>
        <family val="1"/>
      </rPr>
      <t>Providing Fusion  Bonded  Epoxy Coating (FBEC) to reinforced bars of 20mm  diameter as per IS: 13620-1993 specifications for a thickness of 175micron Permissible variation of 50 micron  including testing of coating at plant, including cost for careful handling using PVC coating,  binding  wires  instead  of  G.  I.  wires  to  and  from  Plant)  touching  up the   material  supplied  repair  work  etc  complete  as  per  detailed  specifications.  (Lead 200km from plant) etc complete. (Item shall be used for new structures.)
Note  :  The  item  should  be  executed  with  prior  approval  of  Superintending  Engineer. FREQUENCY OF TEST OF FUSION BONDED EPOXY COAT
a)  Coating  thickness  shall  be  tested  at  a  frequency of  not  less  than  one  full length  bar every twenty bars for each size
b) continuity of coating shall be determined by testing one full length bar in every twenty bars for each size
c)  Coating  thickness  over  the  whole  of  the  coated  bar  section  shall  be  determined by sectioning and examining one bar in every twenty tonnes for each size.
d) For testing adhesion of coating, samples shall be selected from each size according to the frequency given below:
For  all  types  of  bar  :    Minimum  1  for  every  diameter  or  as  directed  by  engineer in chargecharge</t>
    </r>
  </si>
  <si>
    <t>Providing Fusion  Bonded  Epoxy Coating (FBEC) to reinforced bars of 25mm  diameter as per IS: 13620-1993 specifications for a thickness of 175micron Permissible variation of 50 micron including testing of coating at plant extra cost for careful handling using PVC coating, binding  wires  instead  of  G.  I.  wires  to  and  from  Plant)  touching  up  the material   supplied  repair   work   etc   complete   as   per   detailed   specifications.   (Lead 200km  from  plant)  etc complete. (Item shall be used for new structures.) Note : The item should be executed with prior approval of Superintending Engineer. charge</t>
  </si>
  <si>
    <r>
      <rPr>
        <sz val="11"/>
        <rFont val="Times New Roman"/>
        <family val="1"/>
      </rPr>
      <t>Providing Fusion  Bonded  Epoxy Coating (FBEC) to reinforced bars of 32mm  diameter as per IS: 13620-1993 specifications for a thickness of 175micron Permissible variation of 50 micron including testing of coating at plant extra cost for careful handling using PVC coating, binding  wires  instead  of  G.  I.  wires  to  and  from  Plant)  touching  up  the material   supplied  repair   work   etc   complete   as   per   detailed   specifications.   (Lead 200km  from  plant)  etc complete. (Item shall be used for new structures.)
Note  :  The  item  should  be  executed  with  prior  approval  of  Superintending  Engineer. FREQUENCY OF TEST OF FUSION BONDED EPOXY COAT
a)  Coating  thickness  shall  be  tested  at  a  frequency of  not  less  than  one  full length  bar every twenty bars for each size
b) continuity of coating shall be determined by testing one full length bar in every twenty bars for each size
c)  Coating  thickness  over  the  whole  of  the  coated  bar  section  shall  be  determined by sectioning and examining one bar in every twenty tonnes for each size.
d) For testing adhesion of coating, samples shall be selected from each size according to the frequency given below:
For all types of bar :   Minimum 1 for every diameter or as directed by engineer in charge</t>
    </r>
  </si>
  <si>
    <t>BDF 20</t>
  </si>
  <si>
    <t>Providing and fixing in position after hoisting, precast 1:2 cement mortar reinforced jali 50  mm  thick  with  3  mm  diameter  mild  steel bar  reinforcement,  of  approved  design  on both side, fixing in cement mortar 1:3 and curing etc. complete</t>
  </si>
  <si>
    <t>Bd. F. 20 Page One Number 307</t>
  </si>
  <si>
    <t>Providing and fixing in position after hoisting, precast 1:2 cement mortar reinforced jali 80 mm thick   with 3 mm diameter mild  steel bar  reinforcement,  of  approved design  on both sides, fixing in cement mortar 1:3 and curing etc .complete.</t>
  </si>
  <si>
    <t>Bd. F. 20 Page One Number 308</t>
  </si>
  <si>
    <t>BDF 41</t>
  </si>
  <si>
    <t>Providing and laying Cast in situ/Ready Mix C.C. M-20 of trap metal for RCC rectangular grid  beam  with  slab  as  per  detailed  design  and  drawing,  steel  centering,  formwork, cover  blocks,  laying/pumping,  compacting,  curing,  finishing  and  roughening  them  to form surface with   C.M.   1:3  of  sufficient   minimum  thickness   to  give  smooth   and even   surface   or  roughening   them   if   special   finish   is   to   be   provided   and   curing complete  (Excluding reinforcement  and  structural  steel).  with  fully  automatic  micro processor  based  PLC  with SCADA  enabled  reversible  Drum  Type  mixer/  concrete Batch   mix   plant   (Pan   mixer)   etc.  complete.  With  fine  aggregate  (Crushed  sand  VSI Grade)</t>
  </si>
  <si>
    <r>
      <rPr>
        <sz val="11"/>
        <rFont val="Times New Roman"/>
        <family val="1"/>
      </rPr>
      <t>Bd.F.6, Page One Number300 / Bd.F.8, Page One Number302 and
B.7 Page One Number 38.</t>
    </r>
  </si>
  <si>
    <t xml:space="preserve">C.C. M-20  for RCC rectangular grid  beam  with  slab </t>
  </si>
  <si>
    <t>Providing and laying Cast in situ/Ready Mix C.C. M-25 of trap metal for RCC rectangular grid  beam  with  slab  as  per  detailed  design  and  drawing  or  as  directed  including dewatering   if   necessary,   steel   centering,   formwork,   cover   blocks,   laying/pumping, compacting, finishing the form surface with C.M. 1:3 of sufficient minimum thickness to give smooth and even surface or  roughening  them  if  special  finish  is  to  be  provided and   curing   complete   (Excluding  reinforcement   and   structural   steel).   with   fully automatic  micro  processor  based  PLC  with SCADA  enabled  reversible  Drum  Type mixer/   concrete   Batch   mix   plant   (Pan   mixer)   etc.  complete.  With  fine  aggregate (Crushed sand VSI Grade)</t>
  </si>
  <si>
    <t xml:space="preserve">C.C. M-25  for RCC rectangular grid  beam  with  slab </t>
  </si>
  <si>
    <r>
      <rPr>
        <sz val="11"/>
        <rFont val="Times New Roman"/>
        <family val="1"/>
      </rPr>
      <t>Providing and laying Cast in situ/Ready Mix C.C. M-30 of trap metal for RCC rectangular grid  beam  with  slab  as  per  detailed  design  and  drawing  or  as  directed  including dewatering     if     necessary,      steel      centering,      formwork,      cover      blocks, laying/pumping,compacting   ,   curing   ,  finishing  and  roughening  them  to  form  surface with  C.M.  1:3  of  sufficient  minimum  thickness  to  give  smooth  and  even  surface  or roughening  them  if  special  finish  is  to  be  provided   and  curing   complete   (Excluding reinforcement   and  structural  steel).   with   fully automatic   micro processor based PLC with SCADA enabled concrete batch mix plant (pan mixer). With fine aggregate (Crushed
sand VSI Grade)</t>
    </r>
  </si>
  <si>
    <t xml:space="preserve">C.C. M-30  for RCC rectangular grid  beam  with  slab </t>
  </si>
  <si>
    <t>BDF</t>
  </si>
  <si>
    <r>
      <rPr>
        <sz val="11"/>
        <rFont val="Times New Roman"/>
        <family val="1"/>
      </rPr>
      <t>Providing and laying Cast in situ/Ready Mix C.C. M-35 of trap metal for RCC rectangular grid  beam  with  slab  as  per  detailed  design  and  drawing  or  as  directed  including dewatering   if   necessary,   steel   centering,   formwork,   cover   blocks,   laying/pumping, compacting, finishing the form surface with C.M. 1:3 of sufficient minimum thickness to give smooth and even surface or  roughening  them  if  special  finish  is  to  be  provided and   curing   complete   (Excluding  reinforcement   and   structural   steel).   with   fully automatic  micro  processor  based  PLC  with SCADA  enabled  reversible  Drum  Type mixer/   concrete   Batch   mix   plant   (Pan   mixer)   etc.  complete.  With  fine  aggregate
(Crushed sand VSI Grade)</t>
    </r>
  </si>
  <si>
    <r>
      <rPr>
        <sz val="11"/>
        <rFont val="Times New Roman"/>
        <family val="1"/>
      </rPr>
      <t>Bd.E.2 Page One Number 288 and
B.7 Page No 38</t>
    </r>
  </si>
  <si>
    <t xml:space="preserve">C.C. M-35  for RCC rectangular grid  beam  with  slab </t>
  </si>
  <si>
    <r>
      <rPr>
        <sz val="11"/>
        <rFont val="Times New Roman"/>
        <family val="1"/>
      </rPr>
      <t>Providing and laying Cast in situ/Ready Mix C.C. M-40 of trap metal for RCC rectangular grid  beam  with  slab  as  per  detailed  design  and  drawing  or  as  directed  including dewatering      if      necessary,      steel      centering,      formwork,      cover      blocks, laying/pumping,compacting,  finishing  the  form  surface  with  C.M.  1:3  of  sufficient minimum  thickness  to  give  smooth  and  even  surface  or   roughening   them   if   special finish   is    to   be   provided   and    curing   complete    (Excluding  reinforcement    and structural   steel).   with   fully   automatic   micro   processor   based   PLC   with  SCADA enabled   reversible   Drum   Type   mixer/   concrete   Batch   mix   plant   (Pan   mixer)   etc.
complete. With fine aggregate (Crushed sand VSI Grade)</t>
    </r>
  </si>
  <si>
    <t xml:space="preserve">C.C. M-40  for RCC rectangular grid  beam  with  slab </t>
  </si>
  <si>
    <r>
      <rPr>
        <sz val="11"/>
        <rFont val="Times New Roman"/>
        <family val="1"/>
      </rPr>
      <t>Providing and fixing during laying in RCC Slab  rectangular 2 mm thick  M.S. sheet fan hook  box  of   size  180x100  mm  with  required  depth  with  holes  or  notches  as  required, bottom and top sides of 1.6 mm M.S. sheet fixed with 3.5 mm dia. round headed screws together  with  12  mm  dia.  M.S.  bar  bent  to  shape  with  hooked  ends  for  fan  hook  and
painting to exposed surface</t>
    </r>
  </si>
  <si>
    <t>Brick Masonry</t>
  </si>
  <si>
    <t>BDG 1</t>
  </si>
  <si>
    <r>
      <rPr>
        <sz val="11"/>
        <rFont val="Times New Roman"/>
        <family val="1"/>
      </rPr>
      <t>Providing second  class  Burnt  Brick  masonry  with  conventional/  I.S.  type  bricks  in cement  mortar  1:6  in  foundations  and  plinth  of  inner  walls/  in  plinth  external  walls including  bailing  out  water  manually  ,  striking  joints  on  unexposed   faces,  raking  out
joints on exposed  faces and watering etc. Complete.</t>
    </r>
  </si>
  <si>
    <r>
      <rPr>
        <sz val="11"/>
        <rFont val="Times New Roman"/>
        <family val="1"/>
      </rPr>
      <t>Bd.G. 1 Page
One Number 313</t>
    </r>
  </si>
  <si>
    <t>Burnt  Brick  in Foundation &amp; plinth cm 1:6</t>
  </si>
  <si>
    <t>BDG 2</t>
  </si>
  <si>
    <r>
      <rPr>
        <sz val="11"/>
        <rFont val="Times New Roman"/>
        <family val="1"/>
      </rPr>
      <t>Providing   first   class   Burnt   Brick   masonry  with   conventional/   I.S.   type   bricks   in cement  mortar  1:6  in  plinth  including  bailing  out  water  manually,  striking  joints  on unexposed  faces,  pointing  with  cement  mortar  1:3  on  exposed  face  and  watering  etc.
Complete.</t>
    </r>
  </si>
  <si>
    <t>Bd.G.2 Page One Number 313</t>
  </si>
  <si>
    <t>Burnt  Brick  in plinth cm 1:6</t>
  </si>
  <si>
    <t>BDG 3</t>
  </si>
  <si>
    <t>Providing second  class  Burnt  Brick  masonry  with  conventional/  I.S.  type  bricks  in cement mortar 1:6 in plinth as backing in composite masonry including bailing out water manually, striking joints, raking out joints and watering etc Complete.</t>
  </si>
  <si>
    <t>Bd.G.3 Page One Number 314</t>
  </si>
  <si>
    <t>BDG 5</t>
  </si>
  <si>
    <r>
      <rPr>
        <sz val="11"/>
        <rFont val="Times New Roman"/>
        <family val="1"/>
      </rPr>
      <t>Providing second  class  Burnt  Brick  masonry  with  conventional/  I.S.  type  bricks  in cement  mortar   1:6   in   superstructure   including   striking   joints,   raking   out   joints,
watering  and scaffolding etc. Complete</t>
    </r>
  </si>
  <si>
    <t>Bd.G.5 Page One Number 315</t>
  </si>
  <si>
    <t>Burnt  Brick  masonry in Super Structure cm 1:6</t>
  </si>
  <si>
    <t>BDG 7</t>
  </si>
  <si>
    <r>
      <rPr>
        <sz val="11"/>
        <rFont val="Times New Roman"/>
        <family val="1"/>
      </rPr>
      <t>Providing second  class  Burnt  Brick  masonry  with  conventional/  I.S.  type  bricks  in cement mortar 1:4 in half brick thick wall including mild steel longitudinal reinforcement of 2 bars of 6 mm diameter / 2 hoop iron strips 25 mm X 1.6 mm placed  at every third course, properly bent and bonded at ends scaffolding, racking out joints and watering etc.
complete.</t>
    </r>
  </si>
  <si>
    <t>Bd.G.7 Page One Number 316</t>
  </si>
  <si>
    <t>Half brick thick wall (1:4)</t>
  </si>
  <si>
    <t>BDG 8</t>
  </si>
  <si>
    <r>
      <rPr>
        <sz val="11"/>
        <rFont val="Times New Roman"/>
        <family val="1"/>
      </rPr>
      <t>Providing  Burnt  Brick-on-edge  masonry  with  second  class  bricks  of  conventional  type bricks  in   cement   mortar   1:3   including   mild   steel   longitudinal   reinforcement   of   2 bars  of  6mm diameter / one strips of hoop iron 25 mm X 1.6 mm placed at every third course, properly bent and bonded at ends, scaffolding, raking out joints and watering etc
.complete.</t>
    </r>
  </si>
  <si>
    <t>Bd.G.8 Page One Number 317</t>
  </si>
  <si>
    <t>Brick-on-edge masonry (1:3)</t>
  </si>
  <si>
    <t>BDG 9</t>
  </si>
  <si>
    <r>
      <rPr>
        <sz val="11"/>
        <rFont val="Times New Roman"/>
        <family val="1"/>
      </rPr>
      <t>Providing  first  class  Burnt  Brick  masonry  with  conventional  /  I.S.  type  bricks  in cement  mortar  1:4   including   scaffolding,   racking   out   joints   pointing   in  C.M.   1:3 and   watering   in  pillars  of  rectangular  or  square  shape  as  shown  on  the  drawing  or  as
directed etc.complete.</t>
    </r>
  </si>
  <si>
    <t>Bd.G.9 (a) Page One Number 317</t>
  </si>
  <si>
    <t xml:space="preserve"> Burnt Brick in 1:4 In Rectangular Pillar</t>
  </si>
  <si>
    <t>Providing first class Brick masonry with conventional / IS. type bricks in cement mortar 1:4  including  scaffolding,  racking  out  joints  pointing  in  C.M  1:3  and  watering  etc.  in pillars of curved shapes, as shown on the drawing or as directed etc. complete.</t>
  </si>
  <si>
    <t>Bd.G.9 (b) Page One Number 317</t>
  </si>
  <si>
    <t xml:space="preserve"> Burnt Brick in 1:4 In Curved Pillar</t>
  </si>
  <si>
    <t>BDG 10</t>
  </si>
  <si>
    <t>Providing  second  class  Burnt  Brick  masonry  with   conventional  /  I.S.  type  bricks  in cement mortar 1:4 including scaffolding, racking out joints and watering etc. in pillar of rectangular shapes as shown in the drawings or as directed complete.</t>
  </si>
  <si>
    <r>
      <rPr>
        <sz val="11"/>
        <rFont val="Times New Roman"/>
        <family val="1"/>
      </rPr>
      <t>Bd.G.10 (a)
Page One Number 318</t>
    </r>
  </si>
  <si>
    <t>Providing  second  class  Burnt  Brick  masonry  with   conventional  /  I.S.  type  bricks  in cement  mortar 1:4 including scaffolding, racking out joints  and watering etc.in pillar of curved shapes as shown in the drawing or as directed complete.</t>
  </si>
  <si>
    <r>
      <rPr>
        <sz val="11"/>
        <rFont val="Times New Roman"/>
        <family val="1"/>
      </rPr>
      <t>Bd.G.10 (b)
Page One Number 318</t>
    </r>
  </si>
  <si>
    <t>BDG</t>
  </si>
  <si>
    <t>Providing fly ash brick masonry with conventional / I.S. type fly ash bricks  in C.M. 1:6 in foundation  and  plinth  including   bailing  out  water  manually striking  joints,  racking  out joints watering and scaffolding etc. complete.</t>
  </si>
  <si>
    <r>
      <rPr>
        <sz val="11"/>
        <rFont val="Times New Roman"/>
        <family val="1"/>
      </rPr>
      <t>As director by engineer in charge and BDG-
2 and 5</t>
    </r>
  </si>
  <si>
    <t>Fly ash brick masonry in Foundation &amp; Plinth (1:6)</t>
  </si>
  <si>
    <t>Providing fly ash brick masonry with conventional/ I.S. type bricks in cement mortar 1:6 in   superstructure    including    striking    joints,    raking    out    joints,    watering    and scaffolding  etc. Complete</t>
  </si>
  <si>
    <r>
      <rPr>
        <sz val="11"/>
        <rFont val="Times New Roman"/>
        <family val="1"/>
      </rPr>
      <t>As director by engineer incharge and
BDG- 2 and 5</t>
    </r>
  </si>
  <si>
    <t>Fly ash brick masonry inSuper Structure( 1:6)</t>
  </si>
  <si>
    <r>
      <rPr>
        <sz val="11"/>
        <rFont val="Times New Roman"/>
        <family val="1"/>
      </rPr>
      <t>Providing  Second  class  fly  ash  brick  masonry  with  conventional  /  I.S.  type  bricks  in cement mortar 1:4 in half brick thick wall including mild steel longitudinal reinforcement of  two  bars  of  6  mm diameter  / two  hoop iron  strips 25  mm x  1.60 mm at every third course, properly bent and bounded at ends scaffolding raking out joints and watering etc.
complete.</t>
    </r>
  </si>
  <si>
    <t>Bd. G. 7 Page 316</t>
  </si>
  <si>
    <t>Half Fly ash  brick thick wall (1:4)</t>
  </si>
  <si>
    <t>Providing   Autoclaved   Aerated   Concrete   Block   masonary   of  conforming  to  IS:2185 (Part  3)  - 1984  in  extra  fine  jointing  mortar  of  fixoblock  of UltraTech  or equivalent  in superstructure including striking joints, raking out joints and scaffolding etc. Complete. (The test shall be carried out conforming to IS:6441 (Part I) - 1972)</t>
  </si>
  <si>
    <t>As directed by engineer in charge</t>
  </si>
  <si>
    <t>Providing   Autoclaved   Aerated   Concrete   Block   masonary  of   conforming  to  IS:2185 (Part 3) - 1984 in extra fine jointing mortar of fixoblock of UltraTech or  equivalent  in Half  brick  thick  wall  including  striking  joints,  raking  out  joints  and scaffolding etc. Complete. (The test shall be carried out conforming to IS:6441 (Part I) - 1972)</t>
  </si>
  <si>
    <t>Stone Masonry</t>
  </si>
  <si>
    <t>BDH 1</t>
  </si>
  <si>
    <r>
      <rPr>
        <sz val="11"/>
        <rFont val="Times New Roman"/>
        <family val="1"/>
      </rPr>
      <t>Providing  uncoursed  rubble  masonry  of  trap  /  granite  /  quartzite  /  gneiss  stones  in cement mortar  1:6  in  foundation  and  plinth  of  inner  walls  /  in  plinth  of  external walls   including  bailing  out  water  manually  ,  striking  joints  on  un  exposed  faces  and
watering etc.complete.</t>
    </r>
  </si>
  <si>
    <t>Bd.H.1 Page One Number 329</t>
  </si>
  <si>
    <t>BDH 2</t>
  </si>
  <si>
    <r>
      <rPr>
        <sz val="11"/>
        <rFont val="Times New Roman"/>
        <family val="1"/>
      </rPr>
      <t>Providing  uncoursed  rubble  masonry  of  trap  /  granite  /  quartzite  /  gneiss  stones  in cement mortar 1:5 in basements including scaffolding, bailing out water manually, racking out joints when plastering is to be done striking joints where no pointing or plastering is
to be done and watering etc.complete.</t>
    </r>
  </si>
  <si>
    <t>Bd.H.2 Page One Number 329</t>
  </si>
  <si>
    <t>BDH 3</t>
  </si>
  <si>
    <r>
      <rPr>
        <sz val="11"/>
        <rFont val="Times New Roman"/>
        <family val="1"/>
      </rPr>
      <t>Providing  uncoursed  rubble  masonry  of  trap  /  granite  /  quartzite  /  gneiss  stone  in cement mortar  1:3  in  basement  with  patent  water  proofing  compound  added  to  it  at rate    of   1Kilogramper    bag   of    cement    including   bailing   out    water    manually,
scaffolding racking out joints when plastering is to be done and watering etc. complete.</t>
    </r>
  </si>
  <si>
    <t>Bd.H.3 Page One Number 331</t>
  </si>
  <si>
    <t>BDH 4</t>
  </si>
  <si>
    <r>
      <rPr>
        <sz val="11"/>
        <rFont val="Times New Roman"/>
        <family val="1"/>
      </rPr>
      <t>Providing  uncoursed  rubble  masonry  of  trap  /  granite  /  quartzite  /  gneiss  stones  in cement mortar  1:6  in  superstructure  including  racking  out  joints  when  plastering  is to  be  done  / striking  joints  when   no  plastering  is  to  be  done  on  inside  watering and   scaffolding
etc.complete.</t>
    </r>
  </si>
  <si>
    <t>Bd.H.4 Page One Number 331</t>
  </si>
  <si>
    <t>BDH 5</t>
  </si>
  <si>
    <t>Providing random rubble masonry second sort of trap / granite / quartzite / gneiss /jamba stones  in  cement   mortar   1:6   in   plinth   including   bailing   out   water   manually    , striking  joints  on unexposed faces. (Excluding pointing) etc.complete.</t>
  </si>
  <si>
    <t>Bd.H.5 Page One Number 331</t>
  </si>
  <si>
    <t>BDH 6</t>
  </si>
  <si>
    <r>
      <rPr>
        <sz val="11"/>
        <rFont val="Times New Roman"/>
        <family val="1"/>
      </rPr>
      <t>Providing random rubble masonry second sort of trap / granite / quartzite / gneiss /jamba stones in cement mortar 1:6 in superstructure racking out joints when plastering is to be done  /  striking  joints   when   no   pointing  or   plastering  is   to  be   done  on   the  inside
watering and  scaffolding etc.complete.</t>
    </r>
  </si>
  <si>
    <t>Bd.H.6 Page One Number 332</t>
  </si>
  <si>
    <t>BDH 7</t>
  </si>
  <si>
    <r>
      <rPr>
        <sz val="11"/>
        <rFont val="Times New Roman"/>
        <family val="1"/>
      </rPr>
      <t>Providing   random  rubble   masonry  first   sort   of   trap   /   granite  /   quartzite  /   gneiss
/jamba stones   in cement mortar 1:6 in external walls of plinth including bailing out water manually , racking out  joints  when  pointing  is  to  be  done  and  striking  joints  from inside  including  watering etc.complete.</t>
    </r>
  </si>
  <si>
    <t>Bd.H.7 Page One Number 332</t>
  </si>
  <si>
    <t>BDH 8</t>
  </si>
  <si>
    <r>
      <rPr>
        <sz val="11"/>
        <rFont val="Times New Roman"/>
        <family val="1"/>
      </rPr>
      <t>Providing   random   rubble   masonry   first   sort   of   trap   /granite   /   quartzite   /   gneiss
/jamba   stones   in  cement  mortar  1:6  in  superstructure  including  bailing  out  water manually   ,raking  out  joints  from   outside   and   striking   joints   when   no   pointing   or plastering  is  to  be  done  from  inside watering and scaffolding etc.complete.</t>
    </r>
  </si>
  <si>
    <t>Bd.H.8 Page One Number 332</t>
  </si>
  <si>
    <t>BDH 11</t>
  </si>
  <si>
    <t>Providing coursed rubble masonry second sort of trap / granite / quartzite / gneiss  stones in  cement  mortar  1:6  in  external walls  of  plinth  including  bailing  out  water  manually , striking joints inside and raking out joints from outside and watering etc.complete</t>
  </si>
  <si>
    <t>Bd. H.11 Page One Number 333</t>
  </si>
  <si>
    <t>BDH 12</t>
  </si>
  <si>
    <r>
      <rPr>
        <sz val="11"/>
        <rFont val="Times New Roman"/>
        <family val="2"/>
      </rPr>
      <t>Providing coursed rubble masonry second sort of trap / granite / quartzite / gneiss  stones in cement mortar 1:6 in superstructure including raking out joints when plastering is to be done and  striking  joints  when  no  plastering  is  to  be  done  on  the  inside,  watering
scaffolding etc.complete.</t>
    </r>
  </si>
  <si>
    <t>Bd.H.12 Page One Number 333</t>
  </si>
  <si>
    <t>BDH 13</t>
  </si>
  <si>
    <r>
      <rPr>
        <sz val="11"/>
        <rFont val="Times New Roman"/>
        <family val="2"/>
      </rPr>
      <t>Providing  coursed  rubble  masonry  first  sort  of  trap  /  granite  /  quartzite  /  gneiss stones   in  cement  mortar  1:6  in  external  work  of  plinth  including  bailing  out  water
manually, striking joints inside and watering etc.complete.</t>
    </r>
  </si>
  <si>
    <t>Bd.H.13 Page One Number 333</t>
  </si>
  <si>
    <t>BDH 14</t>
  </si>
  <si>
    <t>Providing  coursed  rubble  masonry  first  sort  of  trap  /  granite  /  quartzite  /  gneiss stones  in cement mortar 1:6 in superstructure including racking out joints on the inside when plastering is to be done, watering and scaffolding etc. complete.</t>
  </si>
  <si>
    <t>Bd.H.14 Page One Number 333</t>
  </si>
  <si>
    <t>BDH 40</t>
  </si>
  <si>
    <r>
      <rPr>
        <sz val="11"/>
        <rFont val="Times New Roman"/>
        <family val="2"/>
      </rPr>
      <t>Providing  coursed  rubble  masonry  first  sort  for  pillars  of  trap  /  granite  /  quartzite
/   gneiss  stones   in   cement   mortar   1:6   including   pointing   with   cement   mortar   1:3 scaffolding  and
watering etc.complete.</t>
    </r>
  </si>
  <si>
    <t>Bd.H.40 Page One Number 345</t>
  </si>
  <si>
    <t>Concrete Block Masonry</t>
  </si>
  <si>
    <t>BDI 1</t>
  </si>
  <si>
    <r>
      <rPr>
        <sz val="11"/>
        <rFont val="Times New Roman"/>
        <family val="1"/>
      </rPr>
      <t>Providing and laying masonry of I.S. Standard C.C. hollow block 100 x 200 x 400 mm with  100mm thick  in cement  mortar 1:6  proportion for  superstructure including  curing,
scaffolding etc. complete.</t>
    </r>
  </si>
  <si>
    <t>Bd.I.1 Page One Number 349</t>
  </si>
  <si>
    <r>
      <rPr>
        <sz val="11"/>
        <rFont val="Times New Roman"/>
        <family val="1"/>
      </rPr>
      <t>Providing   and  laying   masonry  of  I.S.   Standard   C.C.   hollow   block  200   x  200   x
400   with  200mm   thick   mm   in   cement   mortar   1:6   proportion   for   superstructure including  curing, scaffolding etc. complete.</t>
    </r>
  </si>
  <si>
    <t>BDI</t>
  </si>
  <si>
    <r>
      <rPr>
        <sz val="11"/>
        <rFont val="Times New Roman"/>
        <family val="1"/>
      </rPr>
      <t>Providing and constructing masonry in precast solid Concrete Block (Grade D-50 As per
I.S. 2185, Part-I, 1974, Reframed 1987) having compressive strength 5-00 N/mm2) of size (300 mm x 200 mm x 150mm) in cement mortar 1:6 for superstructure including striking joints  on  unexposed   faces,  racking  out  joints  on  exposed   faces,  watering,  curing  and scaffolding etc. complete.</t>
    </r>
  </si>
  <si>
    <t>As directed by Engineer in Charge.</t>
  </si>
  <si>
    <t>Providing and constructing masonry in Autoclaved Areaclaved ( Celluar) Concrete Block of aproved manufacturer confirming to IS 2185 Part III 1984 of size ( 625x240x225)mm in  extra  fine  jointing  mortar  of  fixoblock of  in foundaions  and plinth  of inner  walls/in plinth   external   walls   including   bailing   out   water,striking  joints   on   unexposed faces,racking out joints on exposed faces and watering etc.complete</t>
  </si>
  <si>
    <t>Providing and constructing masonry in Autoclaved Areaclaved ( Celluar) Concrete Block of aproved manufacturer confirming to IS 2185 Part III 1984 of size ( 625x240x225)mm in extra fine   jointing   mortar   of   fixoblock   of      in   superstucture including,striking joints,racking out joints watering and scaffolding etc.complete</t>
  </si>
  <si>
    <t>Providing and constructing masonry in Autoclaved Areaclaved (Celluar) Concrete Block of aproved manufacturer confirming to IS 2185 Part III 1984 of size (625x 240x100)mm in extra fine jointing mortar of fixoblock of in half brick thick wall including 2 hoop  iron strips  25mm  x  1.6mm  at  every  third   course,properly   bend   and   bonded   at   ends scaffolding racking out joints and watering compete</t>
  </si>
  <si>
    <r>
      <rPr>
        <sz val="11"/>
        <rFont val="Times New Roman"/>
        <family val="1"/>
      </rPr>
      <t>Providing  Green  Build  Product  (GBP)  Build  Fast  Plus  masonry  ecofriendly  wet  mix
/Blocks laying  Adhesive  is  a  pre-polymerized,  wet  mix  jointing  adhesive  which  is suitable  for Building masonry walls with all kind of blocks with thickness of thin layer of 2mm to 4mm between masonry units. There is no need to pre-wet the Blocks nor to post cure  the  wall  with  water.Confirming  to  IS  2185  of  size  75  x  240x  650  mm  in superstructure  including  striking  joints,  racking  outjoints  faces  and  scaffolding  etc.
complete.</t>
    </r>
  </si>
  <si>
    <t>(As directed by Engineer in Charge)</t>
  </si>
  <si>
    <r>
      <rPr>
        <sz val="11"/>
        <rFont val="Times New Roman"/>
        <family val="1"/>
      </rPr>
      <t>Providing  Green  Build  Product  (GBP)  Build  Fast  Plus  masonry  ecofriendly  wet  mix
/Blocks  of  size  100  X  240  x  650  mm  laying  Adhesive  is  a  pre-polymerized,  wet  mix jointing  adhesive  which  is  suitable  for  Building  masonry walls  with  all  kind  of  blocks with  thickness of thin layer of 2mm to 4mm between masonry units. There is no need to pre-wet the Blocks nor to post   cure  the  wall  with  water.Confirming  to  IS  2185  of size  in  superstructure  including striking joints, racking out joints faces and scaffolding
etc. complete.</t>
    </r>
  </si>
  <si>
    <r>
      <rPr>
        <sz val="11"/>
        <rFont val="Times New Roman"/>
        <family val="1"/>
      </rPr>
      <t>Providing  Green  Build  Product  (GBP)  Build  Fast  Plus  masonry  ecofriendly  wet  mix
/Blocks  of  size  200  X  240  x  650  mm  laying  Adhesive  is  a  pre-polymerized,  wet  mix jointing  adhesive  which  is  suitable  for  Building  masonry walls  with  all  kind  of  blocks with  thickness of thin layer of 2mm to 4mm between masonry units. There is no need to pre-wet the Blocks nor to post   cure  the  wall  with  water.Confirming  to  IS  2185  of size  in  superstructure  including striking joints, racking out joints faces and scaffolding etc. complete.</t>
    </r>
  </si>
  <si>
    <t>Expansion Joint</t>
  </si>
  <si>
    <t>BDK 1</t>
  </si>
  <si>
    <r>
      <rPr>
        <sz val="11"/>
        <rFont val="Times New Roman"/>
        <family val="1"/>
      </rPr>
      <t>Providing   expansion   joints   in   R.C.C.   framed   structure   (interior   column)  with plain  premoulded  filler  25  mm  thick  including  fixing  T.W.  battens  on  both  faces  and
finishing as directed etc. Complete.</t>
    </r>
  </si>
  <si>
    <t>Bd.K.1 Page One Number 359</t>
  </si>
  <si>
    <t>Providing   expansion    joints   in    R.C.C.   framed    structure   (exterior  Columns)   with plain premoulded  filler  25  mm  thick  and  3  mm  thick  alluminium  plate,  hold  fast, fixing  T.W. battens on internal face, finishing etc. complete as directed.</t>
  </si>
  <si>
    <t>Providing  expansion  joints  in  R.C.C.  framed  structure  (at  floor  level)  with  premoulded filler 25 mm thick and 3 mm thick aluminium plate as required, bitumen poured filler and fixing T.W. battens on rear faces etc. complete as directed.</t>
  </si>
  <si>
    <r>
      <rPr>
        <sz val="11"/>
        <rFont val="Times New Roman"/>
        <family val="1"/>
      </rPr>
      <t>Providing expansion joints in R.C.C. framed structure (at terrace level) with premoulded filler 25 mm thick and  3 mm thick aluminium plate as required, bituminous poured  filler, fixing lead, flashing on upper side and T.W. battens on inner face finishing etc. Complete
as directed.</t>
    </r>
  </si>
  <si>
    <t>BDK 1A</t>
  </si>
  <si>
    <r>
      <rPr>
        <sz val="11"/>
        <rFont val="Times New Roman"/>
        <family val="1"/>
      </rPr>
      <t>Providing  expansion  joints  in  reinforced  cement  concrete  framed  structure  (interior columns)  with   plain   premoulded   filler    with   confirming   to   IS   1838,1961,   25   mm thick  with  75  mm wide and 1 mm thick stainless steel plate finishing etc. complete as
directed</t>
    </r>
  </si>
  <si>
    <t>Bd K 1 A</t>
  </si>
  <si>
    <t>BDK 1B</t>
  </si>
  <si>
    <r>
      <rPr>
        <sz val="11"/>
        <rFont val="Times New Roman"/>
        <family val="1"/>
      </rPr>
      <t>Providing   expansion   joints   in   R.C.C.   framed   structure   (exterior   column)   with plain  premoulded   filler   25   mm thick   with   75   mm wide  and   1   mm thick   stainless
steel  plate  and finishing etc. complete.</t>
    </r>
  </si>
  <si>
    <t>Bd.K.1 B</t>
  </si>
  <si>
    <t>BDK 1C</t>
  </si>
  <si>
    <r>
      <rPr>
        <sz val="11"/>
        <rFont val="Times New Roman"/>
        <family val="1"/>
      </rPr>
      <t>Providing   expansion   joints   in  R.C.C.   framed   structure  (at   floor   level)  with   plain
premoulded filler  25  mm thick  with  75 mm wide and  1 mm thick stainless  steel plat and  finishing etc. complete.</t>
    </r>
  </si>
  <si>
    <t>Bd.K.1 C</t>
  </si>
  <si>
    <t>BDK 1D</t>
  </si>
  <si>
    <r>
      <rPr>
        <sz val="11"/>
        <rFont val="Times New Roman"/>
        <family val="1"/>
      </rPr>
      <t>Providing   expansion   joints   in   R.C.C.   framed   structure   (at   Terrace   level)   with premoulded filler 25 mm thick with 40 mm wide and 1 mm thick stainless steel plate as
required, bitumen poured filler and finishing etc. complete as directed.</t>
    </r>
  </si>
  <si>
    <t>Bd.K.1 D</t>
  </si>
  <si>
    <t>BDK</t>
  </si>
  <si>
    <r>
      <rPr>
        <sz val="11"/>
        <rFont val="Times New Roman"/>
        <family val="1"/>
      </rPr>
      <t>Providing  and fixing of BITUFLEX CLOSE CELL FOAM of size 30 mm x 30 mm in double layer  in  the  expansion  joints  in  R.C.C  framed  structure  (at  floor  level  /  at terrace  level  / interior  columns)  for  overlapping of  closed  cell  foam joints,  applying TP-  40  PRIMER  on both the sides of concrete surface, filling the 25 mm x 25 mm gap with the POLYDEE-41 highly flexible sealant and covering the joint with Polydee-LM,
150 mm width in 2 coats etc. complete.</t>
    </r>
  </si>
  <si>
    <r>
      <rPr>
        <sz val="11"/>
        <rFont val="Times New Roman"/>
        <family val="1"/>
      </rPr>
      <t>Providing  and fixing of BITUFLEX CLOSE CELL FOAM of size 30 mm x 30 mm in double layer in the expansion  joints  in R.C.C.  framed structure (Exterior column)  with closed  cell foam , applying TP-40 PRIMER on both the sides of concrete surface, filling the 25 mm x 25 mm gap with the POLYSEAL, highly flexible sealant and covering the joint with  Polydee- LM, 150  mm width  in 2 coats and  fixing the aluminium plate of 100 mm wide and  3  mm thick on external face of column etc. complete.Note- for item One Number  9  and  10  Prior  approval  of  Superintending  Engineer  is  Necessary  before
execution of work.</t>
    </r>
  </si>
  <si>
    <t>Providing  and  fixing  bituminous  pad  25mm  thick  for  expansion  joints  in  retaining wall, compound wall etc. complete.</t>
  </si>
  <si>
    <r>
      <rPr>
        <sz val="11"/>
        <rFont val="Times New Roman"/>
        <family val="1"/>
      </rPr>
      <t>As directed by Engineer in
charge</t>
    </r>
  </si>
  <si>
    <t>Water Proofing</t>
  </si>
  <si>
    <t>BDJ 2</t>
  </si>
  <si>
    <r>
      <rPr>
        <sz val="11"/>
        <rFont val="Times New Roman"/>
        <family val="1"/>
      </rPr>
      <t>Providing   and   laying   damp   proof   course   50   mm   thick   in   M20   cement   concrete layer  and bitumen / using cement with waterproofing compound  curing, formwork  etc.
complete.</t>
    </r>
  </si>
  <si>
    <t>Bd.J.2 Page One Number 355</t>
  </si>
  <si>
    <t>Damp Proof 50 mm</t>
  </si>
  <si>
    <t>BDJ 3</t>
  </si>
  <si>
    <r>
      <rPr>
        <sz val="11"/>
        <rFont val="Times New Roman"/>
        <family val="1"/>
      </rPr>
      <t>Providing and applying Bitumen VG30/VG40 layer at 2 Kilogram. per One Square Meterr over  the  terrace,  structural  slab  including  cleaning  the  surface  for  waterproofing  as
directed complete</t>
    </r>
  </si>
  <si>
    <t>Bd.J.3 Page One Number 356</t>
  </si>
  <si>
    <t>BDJ</t>
  </si>
  <si>
    <t>One Litre</t>
  </si>
  <si>
    <t>Providing  cement  based  water  proofing  treatment  to  terraces  (Indian  water  proofing  or alike) with brick bats laid in required slope to drain the water for any span after cleaning the base surface. Applying a coat of cement slurry admixed with approved water proofing compound and laying the brick bats on bottom layer in C.M.1:5 admixed with approved water  proofing  compound  filling  up  to  half  depth  of  brick  bats,  curing  this  layer  for  3 days,  applying  cement  slurry over  this  layer  joints  of  brick  bats  with  C.M.1:3  admixed with approved water proofing compound and finally top finishing with average 20 mm. thick layers of same mortar added with jute fiber at 1Kilogramper bag including finishing the  surface  smooth  with   cement  slurry  admixed   with    approved   water    proofing compound.  Marking  finished  surface  with  false squares of 300mm x 300 mm. making the  junctions  at  the  parapet  rounded  and  tapered  top  for  required   height,   with   drip mould   at   the   junction   of   plaster   and   parapet   and   curing   and  covering   10   years Guarantee  against   leakproofness   on  Court   fee  stamp   paper  of   Rs.   500/- including ponding test etc. complete.</t>
  </si>
  <si>
    <r>
      <rPr>
        <sz val="11"/>
        <rFont val="Times New Roman"/>
        <family val="1"/>
      </rPr>
      <t>Providing  water  proof  bedding  for  flooring  of  Bath  and  WC  25  mm  thick  in  C.M. 1:3 including   using   approved   water   proofing   compound   in   specified   proportion as   per manufacturers specifications for per bag of cement including leveling, curing and covering 10 years guarantee on court fee stamp paper of Rs.500/- including ponding test
etc. complete.</t>
    </r>
  </si>
  <si>
    <t>W/F bedding for bath floor 25 mm(1:3)</t>
  </si>
  <si>
    <r>
      <rPr>
        <sz val="11"/>
        <rFont val="Times New Roman"/>
        <family val="1"/>
      </rPr>
      <t>Providing waterproof plaster in W.C. and bath  12 mm thick for dado in cement mortar 1:3 with neat finishing, floating using waterproofing compound at the rate of 1 Kilogram. per  bag  of  cement  of  approved  make  and  manufacturer  and  curing  etc.  complete.
(Excluding Tiles) (As directed by Engineer in Charge)</t>
    </r>
  </si>
  <si>
    <t>W/F Plaster In W.C.&amp; bath 12 mm (1:3)</t>
  </si>
  <si>
    <r>
      <rPr>
        <sz val="11"/>
        <rFont val="Times New Roman"/>
        <family val="1"/>
      </rPr>
      <t>Providing waterproof plaster in W.C. and bath  20 mm thick for dado in cement mortar 1:3 with neat finishing, floating using waterproofing compound at the rate of 1 Kilogram. per bag of cement of approved make and manufacturer and curing  (and filling joints of
Nahani trap and  any outlet by properly) etc. complete.</t>
    </r>
  </si>
  <si>
    <t>W/F Plaster In W.C.&amp; bath 20 mm (1:3)</t>
  </si>
  <si>
    <t>Removing the tar or coba and disposing of the material as directed etc. complete.</t>
  </si>
  <si>
    <r>
      <rPr>
        <sz val="11"/>
        <rFont val="Times New Roman"/>
        <family val="1"/>
      </rPr>
      <t>As directed by
Engineer in charge.</t>
    </r>
  </si>
  <si>
    <t>Providing   and   applying   water   proofing   treatment   using   acrylic   polymer   modified cement based  water  proofing  coating  with  fibre  glass  mesh  mixing  at  the  rate  of powder  to  liquid (2:1)  by  weight  covering  9  to  10  Square  Metre  /Kilogram  with two  coat  using  approved chemicals for masonry and  concrete surface by brush covering 7 years guarantee on Stamp Papers etc. complete.</t>
  </si>
  <si>
    <t>Water proofing treatment with 25 mm plaster</t>
  </si>
  <si>
    <t>Providing    and    applying    a    base    coat    comprising    of    1KilogramPolydee-MC and 1Kilogramfresh cement after wetting the surface followed  by drying the surface for 2 days,   apply   primer    coat  of    TP-40   and    after  drying,    applying  Polydee-11    two component   (mixing ratio 2  A : 1 B)  ) Antibacterial  food grade  coating inside  drinking water tank in two coats with time interval of minimum 8 hrs. covering 7 years guarantee on Court Fee Stamp Paper of Rs. 100/- etc. complete.</t>
  </si>
  <si>
    <t>Providing  and  fixing  20  to  25  mm  thick  rough  shahabad  box  type  waterproofing  for basement or  underground  floor  on  a  base  of  Cement  concrete  1:3:6,  including  sub base  of   2.50 centimeter  thick Cement  mortar 1:3  with conceal,  secrete (RMW),  Algae proof or other alike waterproofing liquids, raking of joints upto 35 mm depth, filling the joints  with   6  mm  size  crushed  metal,  hand  grouting  with  cement  slurry,  curing  and cleaning,  with  7  years  guarantee  on  court  fee  stamp  of  Rs.  100/- with  ponding  test  etc complete. (excluding Cement concrete 1:3:6 base concrete )</t>
  </si>
  <si>
    <t>Rough Shahbad box tpe W/F cm (1:3)</t>
  </si>
  <si>
    <t>Providing and fixing 20 to 25 mm thick rough shahabad box type waterproofing treatment to vertical outside faces of Reinforced Cement concrete walls of basement or underground floor including filling the gap  of 25 mm between  rough shahabad  and R.C.C. walls with cement grout mixed with water proofing liquid Algae proof or other alike with one tile lift method,  brushing   the   joints   horizontally   with   cement   slurry   mixed   with   water proofing  liquid  for width 30 to 35 mm and sloping coping over topmost tile with cement mortar  1:3,  butting  the  bottom most   with   Cement   concrete  1:2:4   mixed   with   water proofing liquid,  curing,  with  7 years  guarantee  on  court  fee  stamp  of  Rs.100/-  with ponding test  etc  complete.  (excluding Cement concrete 1:3:6 base concrete)</t>
  </si>
  <si>
    <t>Providing  and  laying  perforated  PVC  160  mm  dia  pipe  in  proper  line,leveland  slope including necessary material fitting etc. complete.</t>
  </si>
  <si>
    <t>Providing  and  applying  required  coats  of  a  water  based  UV  resistant  Evercrete  Top Seal sealant to protect natural stone, bricks, concrete and wooden structures from water intrusion and staining due to water penetration and algue formation etc complete</t>
  </si>
  <si>
    <t>Providing  and  applying  required  coats  of  a  water  based  Evercrete  Deep  Penetrating Sealer (DPS) on cement concrete surface like roads, beams, and columns, plastered walls, basements, roofs, potable water tanks etc to react with cement and to penetrate concrete structure thereby making it resistant to chemicals / chlorides water to make it dust proof and to act as a water resistant at the same time which Strengthens the treated surface and reduce  the  curing  period  etc  complete.  -  Note  --  for  item  One  Number  7  to  4  prior approval of Superintending Engineer will be necessary</t>
  </si>
  <si>
    <t>Providing  water   proofing  treatment   as  per   IS  :   1346-1966   to  generally  inaccessible sloping Reinforced  Cement Concrete  Terrace slab  with bitumen  felts in  all positions  in five course, consisting of applying cold bitumen primer coat at the rate of 2.5 litre per 10 One  Square  Metre.,  hot  bitumen  layer  at  the  rate  of  14.50Kilogramper  10   One  Square Metre. and over the same layer of bitumen felt of type III grade (I) as per IS: 1332-1965 across  the  slope  with  10  cm  overlap  commencing    at    lowest    level    and    again applying   hot   bitumen   course   at   the   rate   of 14.50Kilogramper  10  Square  Metre. and  finally  spreading  over  it  grit  at  the  rate  of 14.50Kilogramper  10  Square  Metre. including   all   lifts,   leads   and  scaffolding   whenever necessary  complete  as   directed with  four  years'  guarantee  on  requisite  stamp  paper  etc. complete.</t>
  </si>
  <si>
    <t>Providing  waterproofing  in  W.C.  and  bath  including  brick  bat  coba  in  all  position including  providing   and   laying   12mm   bedding   in   cement   mortor   1:3   on   vergin concrete   slab   with  waterproofing  compound  @  1Kilogram/per  bag  of  cement  laying brick  bat  coba  of   required  thickness  in  cm  1:5   with   waterproofing  compound   1 Kilogram/bag  of   cement  grouting  and  finishing  the  top  layer  with  20mm  thick  brick bedding in cm mortor 1:3 with waterproofing compound 1 Kilogram/per bag of cement and testing the treated portion for 48 hours by pond test and covering ten years' guarantee on requisite stamp paper including curing etc. complete.</t>
  </si>
  <si>
    <t>Plastering and
Pointing</t>
  </si>
  <si>
    <t>Plastering and Pointing</t>
  </si>
  <si>
    <t>BDL 1</t>
  </si>
  <si>
    <r>
      <rPr>
        <sz val="11"/>
        <rFont val="Times New Roman"/>
        <family val="1"/>
      </rPr>
      <t>Providing  internal  cement  plaster  6  mm  thick  in  a  single  coat  in  cement  mortar  1:4 without neeru finish to concrete surface in all positions including scaffolding and curing
etc. complete.</t>
    </r>
  </si>
  <si>
    <t>Bd.L.1 Page One Number 367</t>
  </si>
  <si>
    <t>6 mm plaster (1:4)</t>
  </si>
  <si>
    <r>
      <rPr>
        <sz val="11"/>
        <rFont val="Times New Roman"/>
        <family val="1"/>
      </rPr>
      <t>Providing  internal  cement  plaster  6  mm  thick  in  a  single  coat  in  cement  mortar  1:3 without neeru finish to concrete surface in all positions including scaffolding and curing
etc. complete.</t>
    </r>
  </si>
  <si>
    <t>6 mm plaster (1:3)</t>
  </si>
  <si>
    <t>BDL 2</t>
  </si>
  <si>
    <r>
      <rPr>
        <sz val="11"/>
        <rFont val="Times New Roman"/>
        <family val="1"/>
      </rPr>
      <t>Providing  internal  cement  plaster  12mm thick  in  single  coat  in  cement  mortar  1:5 without  neeru finish to concrete or brick surfaces, in all positions  including scaffolding
and curing etc. complete.</t>
    </r>
  </si>
  <si>
    <t>Bd. L.2 Page One Number 368</t>
  </si>
  <si>
    <t>12 mm plaster (1:5)</t>
  </si>
  <si>
    <t>BDL 2A</t>
  </si>
  <si>
    <r>
      <rPr>
        <sz val="11"/>
        <rFont val="Times New Roman"/>
        <family val="1"/>
      </rPr>
      <t>Providing  internal  cement  plaster  12mm thick  in  single  coat  in  cement  mortar  1:4 without  neeru finish to concrete or brick surfaces, in all positions  including scaffolding
and curing etc. complete.</t>
    </r>
  </si>
  <si>
    <t>12 mm plaster (1:4)</t>
  </si>
  <si>
    <t>BDL 2B</t>
  </si>
  <si>
    <r>
      <rPr>
        <sz val="11"/>
        <rFont val="Times New Roman"/>
        <family val="1"/>
      </rPr>
      <t>Providing  internal  cement  plaster  12mm thick  in  single  coat  in  cement  mortar  1:3 without neeru finish to concrete or brick surfaces, in all position including scaffolding and
curing etc. complete.</t>
    </r>
  </si>
  <si>
    <t>Bd.L.2 Page One Number 368</t>
  </si>
  <si>
    <t>12 mm plaster (1:3)</t>
  </si>
  <si>
    <t>BDL 4</t>
  </si>
  <si>
    <t>Bd.L.4 Page One Number 368</t>
  </si>
  <si>
    <t>20 mm plaster (1:5)</t>
  </si>
  <si>
    <t>BDL 4A</t>
  </si>
  <si>
    <r>
      <rPr>
        <sz val="11"/>
        <rFont val="Times New Roman"/>
        <family val="1"/>
      </rPr>
      <t>Providing  internal  cement  plaster  20mm  thick  in   Single  coats  in  cement  mortar  1:4
without   neeru    finish,    to    concrete,    brick    surface,    in    all    positions    including scaffolding  and  curing etc.complete.</t>
    </r>
  </si>
  <si>
    <t>20 mm plaster (1:4)</t>
  </si>
  <si>
    <t>BDL 4B</t>
  </si>
  <si>
    <r>
      <rPr>
        <sz val="11"/>
        <rFont val="Times New Roman"/>
        <family val="1"/>
      </rPr>
      <t>Providing  internal  cement  plaster  20mm.  thick  in  Single  coats  in  cement  mortar  1:3 without neeru finish, to concrete, brick surface, in all positions including scaffolding and
curing etc. complete.</t>
    </r>
  </si>
  <si>
    <t>20 mm plaster (1:3)</t>
  </si>
  <si>
    <t>BDL 7</t>
  </si>
  <si>
    <t>Providing sand faced plaster externally in cement mortar using approved screened sand, in all  positions   including   base   coat   of   15   mm   thick   in   cement   mortar   1:4   using waterproofing compound at 1Kilogramper cement bag curing the same for not less than 2 days  and  keeping  the   surface   of   the   base   coat   rough   to   receive   the   sand   faced treatment  6  to  8  mm thick  in cement  mortar  1:4  finishing  the  surface  by  taking  out grains  and  curing  for  fourteen  days scaffolding etc.complete.</t>
  </si>
  <si>
    <t>Bd.L.7 Page One Number 369</t>
  </si>
  <si>
    <t>Sand Faced plaster (1:4)</t>
  </si>
  <si>
    <t>BDL 8</t>
  </si>
  <si>
    <r>
      <rPr>
        <sz val="11"/>
        <rFont val="Times New Roman"/>
        <family val="1"/>
      </rPr>
      <t>Providing  rough  cast  cement  plaster  externally  in  two  coats  to  concrete,  brick  or stone masonry surfaces in all positions with base coat of 12 to 15 mm thick in C.M. 1:4 and  rough  cast   treatment   12mm thick   in   proportion   1:1   1/2:3   including  scaffolding
and  fourteen  days curing complete.</t>
    </r>
  </si>
  <si>
    <t>Bd.L.8 Page One Number 370</t>
  </si>
  <si>
    <t>Rough cast plaster (1:4)</t>
  </si>
  <si>
    <t>BDL 9</t>
  </si>
  <si>
    <r>
      <rPr>
        <sz val="11"/>
        <rFont val="Times New Roman"/>
        <family val="1"/>
      </rPr>
      <t>Providing  rough   cast   cement  plaster   externally  in   two  coats   with   coloured   cement finish  to concrete/ brick/ stone masonry surfaces in all positions with base coat 12 to 15 mm.  thick  in  C.M.  1:4  using  gray  cement  and  rough  cast  treatment  12  mm  thick  in proportion  of  1:1  1/2:3  using  colour  pigment  including  scaffolding  and  fourteen  days
curing etc. complete.</t>
    </r>
  </si>
  <si>
    <t>Bd.L.9, Page One Number370</t>
  </si>
  <si>
    <r>
      <rPr>
        <sz val="11"/>
        <rFont val="Times New Roman"/>
        <family val="1"/>
      </rPr>
      <t>Plastering and
Pointing</t>
    </r>
  </si>
  <si>
    <t>BDL 10</t>
  </si>
  <si>
    <r>
      <rPr>
        <sz val="11"/>
        <rFont val="Times New Roman"/>
        <family val="1"/>
      </rPr>
      <t>Providing  neeru  finish  to  plastered  surfaces  in  all  positions  including  scaffolding  and
curing etc. complete.</t>
    </r>
  </si>
  <si>
    <r>
      <rPr>
        <sz val="11"/>
        <rFont val="Times New Roman"/>
        <family val="1"/>
      </rPr>
      <t>Bd. L.10, Page
One Number370</t>
    </r>
  </si>
  <si>
    <t>BDL 15A</t>
  </si>
  <si>
    <r>
      <rPr>
        <sz val="11"/>
        <rFont val="Times New Roman"/>
        <family val="1"/>
      </rPr>
      <t>Providing  flush  grooved  pointing  with  cement  mortar  1:3  for  brick  work  including
scaffolding and curing etc. complete.</t>
    </r>
  </si>
  <si>
    <r>
      <rPr>
        <sz val="11"/>
        <rFont val="Times New Roman"/>
        <family val="1"/>
      </rPr>
      <t>Bd. L.15 Page
One Number 372</t>
    </r>
  </si>
  <si>
    <t>Flush grooved Pointing to brick (1:3)</t>
  </si>
  <si>
    <t>BDL 15B</t>
  </si>
  <si>
    <r>
      <rPr>
        <sz val="11"/>
        <rFont val="Times New Roman"/>
        <family val="1"/>
      </rPr>
      <t>Providing  flush  grooved  pointing  with  cement  mortar  1:3  for  stone  masonry  work
including scaffolding and curing etc. complete.</t>
    </r>
  </si>
  <si>
    <t>Flush grooved Pointing to stone (1:3)</t>
  </si>
  <si>
    <t>BDL 16</t>
  </si>
  <si>
    <r>
      <rPr>
        <sz val="11"/>
        <rFont val="Times New Roman"/>
        <family val="1"/>
      </rPr>
      <t>Providing    tuck    pointing    with    cement    mortar    1:3    for    stone/Brick    masonry
including scaffolding and curing etc. complete.</t>
    </r>
  </si>
  <si>
    <r>
      <rPr>
        <sz val="11"/>
        <rFont val="Times New Roman"/>
        <family val="1"/>
      </rPr>
      <t>Bd. L. 16 Page
One Number 373</t>
    </r>
  </si>
  <si>
    <t>Tuck Pointing to Stone (1:3)</t>
  </si>
  <si>
    <t>BDL 17</t>
  </si>
  <si>
    <r>
      <rPr>
        <sz val="11"/>
        <rFont val="Times New Roman"/>
        <family val="1"/>
      </rPr>
      <t>Providing   weathered   pointing   with   cement   mortar   1:3   for   stone/   Brick   masonary
including scaffolding and curing etc. complete.</t>
    </r>
  </si>
  <si>
    <r>
      <rPr>
        <sz val="11"/>
        <rFont val="Times New Roman"/>
        <family val="1"/>
      </rPr>
      <t>Bd. L. 17 Page
One Number 373</t>
    </r>
  </si>
  <si>
    <t>Weathered Pinting to Stone (1:3)</t>
  </si>
  <si>
    <t>BDL 18</t>
  </si>
  <si>
    <r>
      <rPr>
        <sz val="11"/>
        <rFont val="Times New Roman"/>
        <family val="1"/>
      </rPr>
      <t>Providing  vee  pointing  with  cement  mortar  1:3  for  stone  /  Brick  masonry  including
scaffolding and curing etc. complete</t>
    </r>
  </si>
  <si>
    <r>
      <rPr>
        <sz val="11"/>
        <rFont val="Times New Roman"/>
        <family val="1"/>
      </rPr>
      <t>Bd. L. 18 Page
One Number 373</t>
    </r>
  </si>
  <si>
    <t>Vee Pointing to Stone (1:3)</t>
  </si>
  <si>
    <t>BDL</t>
  </si>
  <si>
    <t>Providing  fine  cement   finish   1.5  mm  thick  over   green  plaster   surface  including scaffolding curing etc. complete.</t>
  </si>
  <si>
    <t>Fine Cement Finish 1.5 mm thk.</t>
  </si>
  <si>
    <t>Labour  charges  for  providing  groove  in  external  plaster  having  width  and  spaced  as directed by engineer incharge etc. complete.</t>
  </si>
  <si>
    <r>
      <rPr>
        <sz val="11"/>
        <rFont val="Times New Roman"/>
        <family val="1"/>
      </rPr>
      <t>As directed by Engineer in
charge.</t>
    </r>
  </si>
  <si>
    <t>Providing patti/ band 75mm wide on plastered surface 12 mm to 15 mm thick in C.M. 1:3 line and level including neat finishing scaffolding curing etc. complete.</t>
  </si>
  <si>
    <t>75 mm wide patti/band (1:3) 15 mm thk.</t>
  </si>
  <si>
    <t>Providing patti/ band 100mm wide on plastered surface 12 mm to 15 mm thick in C.M. 1:3 line and level including neat finishing scaffolding curing etc. complete.</t>
  </si>
  <si>
    <t>100 mm wide patti/band (1:3) 15 mm thk.</t>
  </si>
  <si>
    <t>Providing patti/ band 150mm wide on plastered surface 12 mm to 15 mm thick in C.M. 1:3 line and level including neat finishing scaffolding curing etc. complete.</t>
  </si>
  <si>
    <t>150 mm wide patti/band (1:3) 15 mm thk.</t>
  </si>
  <si>
    <r>
      <rPr>
        <sz val="11"/>
        <rFont val="Times New Roman"/>
        <family val="1"/>
      </rPr>
      <t>Providing and fixing chicken mesh of 22 gauge, with about 30 cm. width at the junction of R.C.C   members  and  brick  work,  of  approved   quality  including   fixing mesh   in position  by necessary drilling in concrete /B.B.masonry and or tying by binding wire etc.
complete.</t>
    </r>
  </si>
  <si>
    <t>As directed by Engineer in Charge:</t>
  </si>
  <si>
    <t>Providing  and   applying  plaster  with   plaster  of  paris  in  6mm  thickness  to  previously plaster surface in all position including preparing the surface scaffolding etc. complete.</t>
  </si>
  <si>
    <r>
      <rPr>
        <sz val="11"/>
        <rFont val="Times New Roman"/>
        <family val="1"/>
      </rPr>
      <t>Providing and  applying spray  plaster  made  with  finely  graded  marble  and  quartz  in
2   mm  thickness  in  two  coats  using  putty  knife  or  trowel  to  newly  plaster  fairly  even surface after minimum 30 days gap in all position including finishing the surface using zero One Number sand paper or fine emry paper gently level the area by moving paper in round  circles  removing  the  dust  and  clean  the  surface  with  dry  cloth  and  scaffolding including all materials and labour etc. complete.</t>
    </r>
  </si>
  <si>
    <t>Providing   and   applying   laying   Aggregate   plaster   in   granite   /   marble   stones,   as decorative  finish   to   give   granite   /   marble   like   appearance   to   concrete,   brick   or block  surfaces  in  all position  including  preparation  of  surface  smoothly,  evenly  by racking   of   joints   in   case   of  Brick  or  block  work  including  backing  layer  of  12  mm thick  with  cement  mortar  1:3  with  2%  integral  cement  water  proofing  compound, roughening  for  wall  keying  hardening  and  drying  the  surface  for  a  minimum five  days gaps  including  second  coat  of  cement  lime  mortar  into  a  proportion  1:4  preparing  the surface for three coat of marble finish plaster giving a thin coat of white cement and two parts of course calcite powder, applying the mortar with steel float on the surface in proper evenness applying at coat of white cement and lime to set a smooth finish  then  applying a   thin   coat   of   slurry  made  of   white  cement   and   black   oxide  colour   in  required proportion by the steel float to get black streaks on the surface and curing the surface for two days including all materials and labour etc. complete.</t>
  </si>
  <si>
    <t>Providing  and  applying  plaster  /  wall  punning  with  plaster  of  paris  (  with  plaster of  paris material)  in  10  to  13  millimeter  thickness  to previously plastered surface / or on newly brick surface ( Excluding rough cast plaster ) in all position including preparing and Finishing the surface scaffolding etc.complete.</t>
  </si>
  <si>
    <r>
      <rPr>
        <sz val="11"/>
        <rFont val="Times New Roman"/>
        <family val="1"/>
      </rPr>
      <t>Providing  and  applying  gypsum  plaster  (  with  Gypsum  material   )  with  finishing  with gypsum material in 10 to 13 millimeter thickness to previously plastered surface / or on newly brick surface ( Excluding rough cast plaster ) in all position including preparing and
Finishing the surface scaffolding etc.complete.</t>
    </r>
  </si>
  <si>
    <t>Providing   and   applying   Texture   plaster   with   finishing   with   texture   material    of approved make  in 3 to 4 millimeter  thickness on previously plastered surface, including Plaster  Groove  6mm   thickness   or   Tape   Grooves   35   to   45   mm   thickness   or   as required,  in  all  position including preparing the surface, scaffolding etc. complete.</t>
  </si>
  <si>
    <r>
      <rPr>
        <sz val="11"/>
        <rFont val="Times New Roman"/>
        <family val="1"/>
      </rPr>
      <t>Removing   the   existing   cement   plaster   of   any   thickness   without   causing   dust
nuisance   and  stacking  the  debris  upto  a  distance  of  50  metres  or  spreading  in  the compound and cleaning the site etc. complete.</t>
    </r>
  </si>
  <si>
    <t>Providing and  applying Two  coats of  wall care Putty on  plastered surface and  Ceiling and Walls to prepare surface even and smooth of approved make, etc complete.</t>
  </si>
  <si>
    <t>Providing cement patta / band of 2.50 cm width on either side of edges of plaster for doors and windows including scaffolding ,finishing, curing etc. complete.</t>
  </si>
  <si>
    <r>
      <rPr>
        <sz val="11"/>
        <rFont val="Times New Roman"/>
        <family val="1"/>
      </rPr>
      <t>Providing groove to required size at specified location as directed by Engineer, at junction of brick masonry wall and R.C.C beams or Column, at junction  of composite  masonry,
including scaffolding, finishing, curing etc. complete.</t>
    </r>
  </si>
  <si>
    <t>Paving Flooring and dado</t>
  </si>
  <si>
    <t>BDM 1</t>
  </si>
  <si>
    <t>Providing  and  laying  Rough  Shahabad  Stone  Flooring  25mm  to  30mm  thick  and  of required  width  in  plain/  diamond  pattern  on  a  bed  of  1:6  C.M.  including  cement  float, striking joints, pointing in cement mortar 1:3 curing and cleaning  etc. complete.</t>
  </si>
  <si>
    <t>Bd.M.1 Page One Number 379</t>
  </si>
  <si>
    <t>Rough shahabad Stone flooring 20to 30 mm (1:6)</t>
  </si>
  <si>
    <t>BDM 1A</t>
  </si>
  <si>
    <r>
      <rPr>
        <sz val="11"/>
        <rFont val="Times New Roman"/>
        <family val="1"/>
      </rPr>
      <t>Providing  and laying Rough Shahabad Stone Flooring 40mOne Metric  Tonneo 45  mm. thick  and  of  required  width  in  plain/  diamond  pattern  on  a  bed  of  1:6  C.M.  including cement float, striking joints, pointing in cement mortar 1:3 curing and cleaning etc. etc.
complete</t>
    </r>
  </si>
  <si>
    <t>Rough shahabad Stone flooring 40 to 45 mm (1:6)</t>
  </si>
  <si>
    <t>BDM 1B</t>
  </si>
  <si>
    <t>Providing  and  laying  Rough  Shahabad  Stone  Flooring  50mm  to  60mm  thick  and  of required  width  in  plain/  diamond  pattern  on  a  bed  of  1:6  C.M.  including  cement  float, striking joints, pointing in cement mortar 1:3 curing and cleaning etc. etc. complete.</t>
  </si>
  <si>
    <t>Rough shahabad Stone flooring 50 to 60 mm (1:6)</t>
  </si>
  <si>
    <t>BDM 3</t>
  </si>
  <si>
    <r>
      <rPr>
        <sz val="11"/>
        <rFont val="Times New Roman"/>
        <family val="1"/>
      </rPr>
      <t>Providing  and  laying  Polished  Shahabad  Stone  flooring  25mm  to  30mm  thick  and required  width   wide   in   plain/   diamond   pattern   on   a   bed   of   1:6   C.M.   including cement  float,  filling joints, with neat cement slurry, curing, polishing and cleaning etc.
complete.</t>
    </r>
  </si>
  <si>
    <t>Bd.M.3 Page One Number 380</t>
  </si>
  <si>
    <t>Polished Shahabad Flooring (1:6)</t>
  </si>
  <si>
    <t>BDM 3A</t>
  </si>
  <si>
    <t>Providing and laying Polished Tandur Stone flooring 25mm to 30mm thick required width in plain/ diamond pattern on a bed of 1:6 C.M. including cement float, filling joints with neat cement slurry, curing, polishing and cleaning etc. complete.</t>
  </si>
  <si>
    <t>Polished Tandur Flooring (1:6)</t>
  </si>
  <si>
    <t>BDM 3B</t>
  </si>
  <si>
    <r>
      <rPr>
        <sz val="11"/>
        <rFont val="Times New Roman"/>
        <family val="1"/>
      </rPr>
      <t>Providing and laying machine cut machine Polished Kota stone flooring 25mm to 30mm thick and  required  width  in  plain/  diamond  pattern  on  bed  of  1:6  C.  M.  including cement   float, filling joints with neat cement slurry,  curing, polishing  and cleaning   etc.
complete.</t>
    </r>
  </si>
  <si>
    <t>Machine cut Polished Kota Flooring (1:6)</t>
  </si>
  <si>
    <t>BDM</t>
  </si>
  <si>
    <t>Providing  and  laying handcut  polished Kotah  Stone flooring  25mm to  30mm thick  and 30cm wide in plain/diamond pattern on a bed of 1:6 C.M. including cement float, filling joints with neat cement slurry, curing, polishing and cleaning  etc. complete.</t>
  </si>
  <si>
    <t>Bd.M.3 Page One Number380</t>
  </si>
  <si>
    <t>Hand cut Polished Kota Flooring , 30cm wide(1:6)</t>
  </si>
  <si>
    <t>Providing and laying polished hand cut Kotah Stone flooring 25mm to 30mm thick and 45cm to 55cm wide in plain/diamond pattern on a bed of 1:6 C.M. including cement float, filling joints with neat cement slurry, curing, polishing and cleaning complete.</t>
  </si>
  <si>
    <t>Hand cut Polished Kota Flooring , 45 to 55 cm wide(1:6)</t>
  </si>
  <si>
    <t>BDM 7</t>
  </si>
  <si>
    <t>Providing  and laying cement concrete flooring 40 mm thick with M15 cement concrete laid  to  proper  level  and  slope  in  alternate  bays  including  compaction,  filling  joints, marking lines to give  the  appearance  of  tiles  of  30  cm  x  30  cm  or  other  size  laid diagonally  /square  etc finishing smooth (with extra cement) in any colour as directed and curing etc.  complete.with Crushed sand VSI Grade</t>
  </si>
  <si>
    <t>Bd.M.7 Page One Number 383</t>
  </si>
  <si>
    <t>C.C. Flooring 40 mm ,M-15</t>
  </si>
  <si>
    <r>
      <rPr>
        <sz val="11"/>
        <rFont val="Times New Roman"/>
        <family val="1"/>
      </rPr>
      <t>Providing  and laying cement concrete flooring 40 mm thick with M15 cement concrete laid  to  proper  level  and  slope  in  alternate  bays  including  compaction,  filling  joints, marking lines to give  the  appearance  of  tiles  of  30  cm  x  30  cm  or  other  size  laid diagonally/  square  etc finishing smooth (with extra cement) in any colour as directed and
curing etc. complete. With Crushed Sand.</t>
    </r>
  </si>
  <si>
    <t>BDM 6</t>
  </si>
  <si>
    <r>
      <rPr>
        <sz val="11"/>
        <rFont val="Times New Roman"/>
        <family val="1"/>
      </rPr>
      <t>Providing  and  laying  cement  concrete  flooring  40mm  thick  with  M20  cement  concrete laid  to  proper  level  and  slope  in  alternate  bays,  including  compaction,  filling  joints, marking  lines  to  give  appearance  of   tiles   of   30cm  x   30cm  or  other   size  laid diagonally/square etc.  finishing smooth (with extra cement) in any colour as directed and
Curing etc. complete. With Crushed sand VSI Grade</t>
    </r>
  </si>
  <si>
    <t>Bd.M.6 Page One Number 381</t>
  </si>
  <si>
    <t>C.C. Flooring 40 mm ,M-20</t>
  </si>
  <si>
    <t>BDM 7A</t>
  </si>
  <si>
    <r>
      <rPr>
        <sz val="11"/>
        <rFont val="Times New Roman"/>
        <family val="1"/>
      </rPr>
      <t>Providing  and laying cement concrete flooring 50 mm thick with M15 cement concrete laid  to  proper  level  and  slope  in  alternate  bays  including  compaction  filling  joints, marking lines to give the appearance of tiles of 30cm x 30cm or other size laid diagonally/ square etc finishing smooth (with extra cement) in any colour as directed and curing etc.
complete.with Crushed sand VSI Grade</t>
    </r>
  </si>
  <si>
    <t>C.C. Flooring 50 mm ,M-15</t>
  </si>
  <si>
    <r>
      <rPr>
        <sz val="11"/>
        <rFont val="Times New Roman"/>
        <family val="1"/>
      </rPr>
      <t>Providing  and laying cement concrete flooring 50 mm thick with M15 cement concrete laid  to  proper  level  and  slope  in  alternate  bays  including  compaction  filling  joints, marking  lines  to  give  the  appearance  of  tiles  of  30cm  x  30cm  or  other  size  laid diagonally/square etc finishing smooth (with extra cement) in any colour as directed and
curing etc. complete. With Crushed Sand.</t>
    </r>
  </si>
  <si>
    <t>BDM 6A</t>
  </si>
  <si>
    <r>
      <rPr>
        <sz val="11"/>
        <rFont val="Times New Roman"/>
        <family val="1"/>
      </rPr>
      <t>Providing  and  laying  cement  concrete  flooring  50mm  thick  with  M20  cement  concrete laid  to  proper  level  and  slope  in  alternate  bays  including  compaction,  filling  joints, marking lines to give the appearance of tiles of 30cm x 30cm or other size laid diagonally/ square etc. finishing smooth (with extra cement) in any colour as directed and curing etc.
complete.with Crushed sand VSI Grade</t>
    </r>
  </si>
  <si>
    <t>C.C. Flooring 50 mm ,M-20</t>
  </si>
  <si>
    <r>
      <rPr>
        <sz val="11"/>
        <rFont val="Times New Roman"/>
        <family val="1"/>
      </rPr>
      <t>Providing  and  laying  cement  concrete  flooring  50mm  thick  with  M20  cement  concrete laid  to  proper  level  and  slope  in  alternate  bays  including  compaction,  filling  joints, marking lines to give the appearance of tiles of 30cm x 30cm or other size laid diagonally/ square etc. finishing smooth (with extra cement) in any colour as directed and curing etc.
complete. With Crushed Sand.</t>
    </r>
  </si>
  <si>
    <t>BDM 22</t>
  </si>
  <si>
    <r>
      <rPr>
        <sz val="11"/>
        <rFont val="Times New Roman"/>
        <family val="1"/>
      </rPr>
      <t>Providing  and  laying  machine  cut  machine  polished  shahabad  Stone  slabs  20  to  25mm thick for treads and risers of steps and staircases, with rounded nosing for the treads on a bed  of 1:4  cement mortar  including cement  float, filling  joints  with  neat cement  slurry,
curing, polishing and cleaning etc. complete.</t>
    </r>
  </si>
  <si>
    <t>Bd.M.22 Page One Number 390</t>
  </si>
  <si>
    <t>Machine cut Machine Polished Shahabad Flooring (1:4)</t>
  </si>
  <si>
    <t>BDM 22B</t>
  </si>
  <si>
    <t>Providing and laying machine cut machine polished machine cut Kota stone slabs 20 to 25 mm thick for treads and risers of steps and staircases, with rounded nosing for the treads on  a  bed  of  1:4  cement  mortar  including  cement  float,  filling  joints  with  neat  cement slurry, curing, polishing and cleaning etc. complete.</t>
  </si>
  <si>
    <t>Machine cut Machine Polished Kota Flooring (1:4)</t>
  </si>
  <si>
    <r>
      <rPr>
        <sz val="11"/>
        <rFont val="Times New Roman"/>
        <family val="1"/>
      </rPr>
      <t>Paving Flooring and
dado</t>
    </r>
  </si>
  <si>
    <t>BDM 29B</t>
  </si>
  <si>
    <r>
      <rPr>
        <sz val="11"/>
        <rFont val="Times New Roman"/>
        <family val="1"/>
      </rPr>
      <t>Providing  sills  of  polished  Kota  stone  25  mm  to  30mm  thick,  on  a  bed  of  1:4  cement mortar  including   cement   float,   filling   joints   with   slurry,   curing,moulding   edges,
polishing  and cleaning etc. complete.</t>
    </r>
  </si>
  <si>
    <t>Bd.M.29 Page One Number 391</t>
  </si>
  <si>
    <t>Sills of Polished Kota stone (1:4)</t>
  </si>
  <si>
    <t>BDM 29C</t>
  </si>
  <si>
    <r>
      <rPr>
        <sz val="11"/>
        <rFont val="Times New Roman"/>
        <family val="1"/>
      </rPr>
      <t>Providing  sills  of  polished  Kadappa  stone  25mm  to  30mm  thick,  on  a  bed  of  1:4 cement mortar  including  cement  float,  filling joints  with  slurry,  curing  polishing  and
cleaning  etc. complete.</t>
    </r>
  </si>
  <si>
    <t>Sills of Polished Kadappa stone (1:4)</t>
  </si>
  <si>
    <t>Providing   sills   of   required   material   20mm   to   25mm   thick,   on   a   bed   of   cement mortar   1:4  including   cement   float,   filling   joints   with   neat   cement   slurry,   curing, polishing,  moulding edges, cleaning complete. a) Marble other than white makrana</t>
  </si>
  <si>
    <t>Spec.One Number: Bd.M.31/Page One Number392</t>
  </si>
  <si>
    <t>Sills of Marble other than white makrana (1:4)</t>
  </si>
  <si>
    <t>Providing   sills   of   required   material   20mm   to   25mm   thick,   on   a   bed   of   cement mortar   1:4  including   cement   float,   filling   joints   with   neat   cement   slurry,   curing, moulding  edges, polishing,cleaning complete.  b) Granite</t>
  </si>
  <si>
    <t>Spec.One Number: Bd.M.31/Page One Number393</t>
  </si>
  <si>
    <t>Sills of Granite (1:4)</t>
  </si>
  <si>
    <t>BDM 15</t>
  </si>
  <si>
    <r>
      <rPr>
        <sz val="11"/>
        <rFont val="Times New Roman"/>
        <family val="1"/>
      </rPr>
      <t>Providing   and   fixing   black   kadappa   stone   as   shelves   25mm.   thick   machine polished, extending  the  polish  upto   20  cm  width  on  lowerside,  rounding   corners, laying   in   position  jointing  with  bedding  cement  mortar  1:4  proportion  curing  etc  etc.
complete.</t>
    </r>
  </si>
  <si>
    <t>Black Kadappa stone Shelves 25 mm(1:4)</t>
  </si>
  <si>
    <t>BDM 12</t>
  </si>
  <si>
    <t>Bd.M.12 Page One Number 385.</t>
  </si>
  <si>
    <t>Matt Finish Ceramic Tiles flooring (1:4)</t>
  </si>
  <si>
    <t>BDM 13</t>
  </si>
  <si>
    <t>Providing   and   laying   ceramic   tiles   of    having   size   30   cm.   x   30   cm.   and confirming   to  corresponding  I.S.  for  dado  and  skirting  in  required  position  with readymade adhesive mortar of approved quality on plaster of 1:2 cement mortar including joint filling with white/ colour cement slurry cleaning curing etc. complete.</t>
  </si>
  <si>
    <t>Bd.M.13 Page One Number 386.</t>
  </si>
  <si>
    <t>Ceramic tiles dado 30x30 cm (1:2)</t>
  </si>
  <si>
    <r>
      <rPr>
        <sz val="11"/>
        <rFont val="Times New Roman"/>
        <family val="1"/>
      </rPr>
      <t>Providing   and  laying   ceramic  tiles    having   size   30  cm.   x  45   cm.  confirming   to corresponding  I.S.  for  dado  and  skirting  in  required  position  with  readymade  adhesive mortar  of  approved  quality on  plaster  of  1:2  cement  mortar  including  joint  filling  with
white/ colour cement slurry cleaning curing etc. complete.</t>
    </r>
  </si>
  <si>
    <t>Ceramic tiles dado 30x45 cm (1:2)</t>
  </si>
  <si>
    <r>
      <rPr>
        <sz val="11"/>
        <rFont val="Times New Roman"/>
        <family val="1"/>
      </rPr>
      <t>Providing   and   laying   ceramic   tiles   having   size   30   cm.   x   60   cm.   confirming   to corresponding  I.S.   for  dado  and  skirting  in  required  position  with  readymade  adhesive mortar  of  approved  quality on  plaster  of  1:2  cement  mortar  including  joint  filling  with
white/ colour cement slurry cleaning curing etc. complete.</t>
    </r>
  </si>
  <si>
    <t>Ceramic tiles dado 30x60 cm (1:2)</t>
  </si>
  <si>
    <t>Providing  Mirror  polishing  to  Kota  Stone  including  using  all  necessary  stones  and equipments cleaning, washing  etc. complete. For Flooring</t>
  </si>
  <si>
    <t>Providing  Mirror  polishing  to  Kota  Stone  including  using  all  necessary  stones  and equipments cleaning, washing  etc. complete. For Skirting</t>
  </si>
  <si>
    <r>
      <rPr>
        <sz val="11"/>
        <rFont val="Times New Roman"/>
        <family val="1"/>
      </rPr>
      <t>Providing  and  laying  in  situ  cement  concrete  M20  with  tremix  treatment  for  100 mm thickness  for  flooring  with  groove  cutting  of  4mm  wide  and  20mm deep  with
necessary refilling with bitumen  etc. complete.</t>
    </r>
  </si>
  <si>
    <t>C.C. Flooring M-20 for 100 mmthk.</t>
  </si>
  <si>
    <r>
      <rPr>
        <sz val="11"/>
        <rFont val="Times New Roman"/>
        <family val="1"/>
      </rPr>
      <t>Providing  and  laying  in  situ  cement  concrete  M30  with  tremix  treatment  for  200 mm thickness  for  flooring  with  groove  cutting  of  4mm  wide  and  20mm  deep  with
necessary refilling with bitumen  etc. complete.</t>
    </r>
  </si>
  <si>
    <t>C.C. Flooring M-30 for 200 mmthk.</t>
  </si>
  <si>
    <t>BDM 35</t>
  </si>
  <si>
    <r>
      <rPr>
        <sz val="11"/>
        <rFont val="Times New Roman"/>
        <family val="1"/>
      </rPr>
      <t>Providing  25  mm  to  30  mm  thick  partition  of  polished  black  kadappa  stone  slab  of approved quality including giving  required size  and shape  etc. Fixing  in cement  mortar
1:3 curing and cement etc. complete. a) One side polish</t>
    </r>
  </si>
  <si>
    <r>
      <rPr>
        <sz val="11"/>
        <rFont val="Times New Roman"/>
        <family val="1"/>
      </rPr>
      <t>Bd.M.35 B/P
One Number393</t>
    </r>
  </si>
  <si>
    <t>Kadappa Partition One side polish (1:3)</t>
  </si>
  <si>
    <r>
      <rPr>
        <sz val="11"/>
        <rFont val="Times New Roman"/>
        <family val="1"/>
      </rPr>
      <t>Providing  25  mm  to  30  mm  thick  partition  of  polished  black  kadappa  stone  slab  of
approved quality including giving  required size  and shape  etc. Fixing  in cement  mortar 1:3 curing and cement etc. complete. b) Both side polish</t>
    </r>
  </si>
  <si>
    <t>Kadappa Partition Both side polish (1:3)</t>
  </si>
  <si>
    <r>
      <rPr>
        <sz val="11"/>
        <rFont val="Times New Roman"/>
        <family val="1"/>
      </rPr>
      <t xml:space="preserve">Providing  and  laying  in  position </t>
    </r>
    <r>
      <rPr>
        <b/>
        <sz val="11"/>
        <color rgb="FFFF0000"/>
        <rFont val="Times New Roman"/>
        <family val="1"/>
      </rPr>
      <t xml:space="preserve"> flooring  of  telephone  black  /  Amba  White  /  Cat  bary brown / Ruby  red / Ocean Brown granite stone</t>
    </r>
    <r>
      <rPr>
        <sz val="11"/>
        <rFont val="Times New Roman"/>
        <family val="1"/>
      </rPr>
      <t xml:space="preserve"> of approved shade and size 18 mm to 20 mm thick  on bed 1:6  cement mortar  including cement  floats striking  joints, pointing  in
C.M. 1:3 curing and cleaning etc. complete.</t>
    </r>
  </si>
  <si>
    <r>
      <rPr>
        <sz val="11"/>
        <rFont val="Times New Roman"/>
        <family val="1"/>
      </rPr>
      <t>Bd.M. 3 B/Page
One Number 380</t>
    </r>
  </si>
  <si>
    <t>Granite Flooring (1:3)</t>
  </si>
  <si>
    <r>
      <t xml:space="preserve">Providing  and  fixing  machine  cut  machine  polished  18  mm  to  20  mm  thick  </t>
    </r>
    <r>
      <rPr>
        <b/>
        <sz val="11"/>
        <color rgb="FFFF0000"/>
        <rFont val="Times New Roman"/>
        <family val="1"/>
      </rPr>
      <t>telephone black / Amba White / Cat bary brown / RBI red / Ocean Brown granite stone for</t>
    </r>
    <r>
      <rPr>
        <sz val="11"/>
        <rFont val="Times New Roman"/>
        <family val="1"/>
      </rPr>
      <t xml:space="preserve"> </t>
    </r>
    <r>
      <rPr>
        <b/>
        <sz val="12"/>
        <color rgb="FFFF0000"/>
        <rFont val="Times New Roman"/>
        <family val="1"/>
      </rPr>
      <t xml:space="preserve">treads and risers of steps and staircases </t>
    </r>
    <r>
      <rPr>
        <sz val="11"/>
        <rFont val="Times New Roman"/>
        <family val="1"/>
      </rPr>
      <t>of approved colour and shade with  full  moulding and three grooved line for  the  treads  on  bed  of  1:4  Cement  mortar  including  float  filling joints  with  neat  cement slurry curing polishing and cleaning  etc. complete.</t>
    </r>
  </si>
  <si>
    <r>
      <rPr>
        <sz val="11"/>
        <rFont val="Times New Roman"/>
        <family val="1"/>
      </rPr>
      <t>Bd. M.22
B/Page One Number 390</t>
    </r>
  </si>
  <si>
    <t>Machine cut machine polished granite for trade &amp; riser (1:4)</t>
  </si>
  <si>
    <t>Providing  and  fixing  machine  cut  mirror  polished  18  mm to  20  mm thick  telephone black  granite  /  Amba  White  /  Cat  bary brown  /  RBI red  /  Ocean  Brown  granite  stone partition with full moulding the edges etc.  complete . Both side polish</t>
  </si>
  <si>
    <t>Bd.M.35 B/Page One Number393</t>
  </si>
  <si>
    <t>Granite Stoe -Both side polish</t>
  </si>
  <si>
    <r>
      <rPr>
        <sz val="11"/>
        <rFont val="Times New Roman"/>
        <family val="1"/>
      </rPr>
      <t>Providing and fixing machine cut mirror polished 18 mm to 20 mm thick telephone black
/ Amba  White  /  Cat  bary  brown  /  RBI  red  /  Ocean  Brown  granite  stone  partition with  full moulding the edges  etc. complete. One side polish</t>
    </r>
  </si>
  <si>
    <t>Granite Stoe -One side polish</t>
  </si>
  <si>
    <t>Providing and preparing kitchen otta up to 75 cm width,made up from 30 mm thick and 75  cm  high  vertical  support  for  kadppa  at  1  m.  c/c  of  25  mm thick  both  side  polished kadappa middle shelf and bottom of 20 mm thick one side polished kadappa with facia patti of 20 x 50 mm  kadappa  including  all  material  labour  cutting  fixing  with  cement mortar  and  araldite curing polished and cleaning  etc. complete.</t>
  </si>
  <si>
    <r>
      <rPr>
        <sz val="11"/>
        <rFont val="Times New Roman"/>
        <family val="1"/>
      </rPr>
      <t>Bd.M.35C /
Page One Number 393</t>
    </r>
  </si>
  <si>
    <t>Kadappa Kitchen Otta</t>
  </si>
  <si>
    <r>
      <rPr>
        <sz val="11"/>
        <rFont val="Times New Roman"/>
        <family val="1"/>
      </rPr>
      <t>Providing  and fixing 1.5 mm thick polyvenyl venyl chloride  flooring including  leveling the  base  with  white  cement  including  pasting  with  appropriate  material  cleaning  the
surface etc. complete</t>
    </r>
  </si>
  <si>
    <r>
      <t xml:space="preserve">Providing and laying vitrified mirror / glossy finish tiles decorative type  having size 590 mm to  605  mm x  590  mm to  605  mm of  8  to  10  mm thickness  and  confirming  to  IS. 15622-2006  (  group  Bla)  of  approved  make,  shade  and  pattern </t>
    </r>
    <r>
      <rPr>
        <b/>
        <sz val="11"/>
        <color rgb="FFFF0000"/>
        <rFont val="Times New Roman"/>
        <family val="1"/>
      </rPr>
      <t xml:space="preserve"> for  flooring  </t>
    </r>
    <r>
      <rPr>
        <sz val="11"/>
        <rFont val="Times New Roman"/>
        <family val="1"/>
      </rPr>
      <t>in  required position  laid  on  a  bed  of   1:4   cement   mortar   including   neat   cement   float,   filling joints,  curing  and  clearing   etc. complete.</t>
    </r>
  </si>
  <si>
    <t>Bd.M. 12 Page One Number385</t>
  </si>
  <si>
    <t>Vetrified  mirror/glossy tiles for flooring (1:4)</t>
  </si>
  <si>
    <r>
      <rPr>
        <sz val="11"/>
        <rFont val="Times New Roman"/>
        <family val="1"/>
      </rPr>
      <t xml:space="preserve">Providing and laying vitrified mirror / glossy finish tiles   having size 590 mm to 605 mm x 590 mm to 605 mm of 8 to 10 mm thickness and confirming to IS. 15622-2006 ( group Bla) of approved make, shade and pattern </t>
    </r>
    <r>
      <rPr>
        <b/>
        <sz val="11"/>
        <color rgb="FFFF0000"/>
        <rFont val="Times New Roman"/>
        <family val="1"/>
      </rPr>
      <t>for dado and skirting</t>
    </r>
    <r>
      <rPr>
        <sz val="11"/>
        <rFont val="Times New Roman"/>
        <family val="1"/>
      </rPr>
      <t xml:space="preserve"> in required position fixed in 1:4 cement mortar including neat cement float, filling joints, curing and clearing  etc.
complete</t>
    </r>
  </si>
  <si>
    <t>Vetrified  mirror/glossy tiles for dado / Skirting(1:4)</t>
  </si>
  <si>
    <r>
      <rPr>
        <sz val="11"/>
        <rFont val="Times New Roman"/>
        <family val="1"/>
      </rPr>
      <t>Providing and laying vitrified matt fininsh tiles  having size 590 mm to 605 mm x to 605 mm  of   8   to   10   mm   thickness   and   confirming   IS.   15622-2006   (Group   Bla)   of approved  make, shade  and  pattern  for  flooring  in  required  position  laid  on  a  bed of  1:4  cement  morar including neat cement float, filling joints, curing and cleaning etc.
complete.</t>
    </r>
  </si>
  <si>
    <t>Bd.M.12 Page One Number 385</t>
  </si>
  <si>
    <t>Vetrified matt finish  tiles for flooring (1:4)</t>
  </si>
  <si>
    <r>
      <rPr>
        <sz val="11"/>
        <rFont val="Times New Roman"/>
        <family val="1"/>
      </rPr>
      <t>Providing and laying vitrified matt finish tiles  having size 590 mm to 605 mm x to 605 mm  of   8   to   10   mm   thickness   and   confirming   IS.   15622-2006   (Group   Bla)   of approved  make, shade  and  pattern  for  dado  and  skirting  in  required  position  fixed in  1:4  cement  mortar including neat cement float, filling joints, curing and cleaning etc.
complete.</t>
    </r>
  </si>
  <si>
    <t>Vetrified matt finish  tiles for dado /skirting  (1:4)</t>
  </si>
  <si>
    <r>
      <rPr>
        <sz val="11"/>
        <rFont val="Times New Roman"/>
        <family val="1"/>
      </rPr>
      <t>Providing  and laying vitrified rustic matt  stone finish  tiles   having  size 590  mm to  605 mm  x  590  mm  to  605  mm of  8  to  10mm thickness  and  confirming  to  IS.  15622-2006 (Group Bla) of approved  make,  shade  and  pattern  for  flooring  in  required  position laid   on  a  bed  of  1:4 cement mortar including neat cement float, filling joints, curing
and cleaning etc. complete.</t>
    </r>
  </si>
  <si>
    <t>Vetrified rustic  matt finish  tiles for flooring (1:4)</t>
  </si>
  <si>
    <r>
      <rPr>
        <sz val="11"/>
        <rFont val="Times New Roman"/>
        <family val="1"/>
      </rPr>
      <t>Providing  and laying vitrified rustic matt  stone finish  tiles   having  size 590  mm to  605 mm  x  590  mm  to  605  mm  to  8  to  10mm thickness  and  confirming  to  IS.  15622-2006 (Group Bla) of approved  make,  shade  and  pattern  for  dado  and  skirting  in  required position  fixed  in  1:4 cement mortar including neat cement float, filling joints, curing and
cleaning. etc. complete.</t>
    </r>
  </si>
  <si>
    <t>Vetrified rustic  matt finish  tiles for dado / skirting (1:4)</t>
  </si>
  <si>
    <t>Providing and laying vitrified stone effect finish tiles  having size 590 to 605 mm x 590 to 605 mm of 8 to  10 mm thickness  and  confirming to  IS. 15622-2006  (Group Bla)  of approved make, shade and pattern for flooring in required position laid on a bed of 1:4 cement mortar including required position laid on a bed of 1:4 cement mortar including neat cement float, filling joints, curing and cleaning etc.  complete</t>
  </si>
  <si>
    <r>
      <rPr>
        <sz val="11"/>
        <rFont val="Times New Roman"/>
        <family val="1"/>
      </rPr>
      <t>Bd.M. 12 Page
One Number 385</t>
    </r>
  </si>
  <si>
    <t>Vetrified stone effect finish  tiles for flooring (1:4)</t>
  </si>
  <si>
    <t>Providing and laying vitrified stone effect finish tiles  having size 590 to 605 mm x 590 to 605 mm of 8 to  10 mm thickness  and  confirming to  IS. 15622-2006  (Group Bla)  of approved make, shade and pattern for dado and skirting in required position fixed in  1:4 cement   mortar   including   required    position    laid    on    a    bed    of    1:4    cement mortarincluding neat  cement  float, filling joints, curign and cleaning  etc. complete.</t>
  </si>
  <si>
    <t>Vetrified stone effect finish  tiles for dado / skirting (1:4)</t>
  </si>
  <si>
    <t>Providing  and  fixing  green  marble  of  18  to  20  mm  thick  for  door  frame/  dado/ window boxing etc. On C.M. 1:6 including filling joints with polymer base filler nosing / moulding the sharp edges wherever necessary, curing,  etc. complete.</t>
  </si>
  <si>
    <t>Bd. M. 12</t>
  </si>
  <si>
    <t>Green marble for door frame / dado (1:6)</t>
  </si>
  <si>
    <r>
      <rPr>
        <sz val="11"/>
        <rFont val="Times New Roman"/>
        <family val="1"/>
      </rPr>
      <t>Providing  and  fixing  heavy  duty  inter  locking  concrete  Grey  paving  blocks  of  60 mm  thickness  of  having  a  strength  of  300  Kilogram/Sq.cm.  of  approved   quality  and shape  on   a  bed  of  crushed  sand  of  25  to  30  mm  thick  including  skirting  joints  and
cleaning  etc. complete.</t>
    </r>
  </si>
  <si>
    <t>A directed by Engineer in charge</t>
  </si>
  <si>
    <t>Grey Paving block 60 mm</t>
  </si>
  <si>
    <r>
      <rPr>
        <sz val="11"/>
        <rFont val="Times New Roman"/>
        <family val="1"/>
      </rPr>
      <t>Providing  and  fixing  heavy  duty  inter  locking  concrete  Grey  paving  blocks  of  80 mm  thickness  of  having  a  strength  of  300  Kilogram/Sq.cm.  of  approved   quality  and shape  on   a  bed  of  crushed  sand  of  25  to  30  mm  thick  including  skirting  joints  and
cleaning  etc. complete.</t>
    </r>
  </si>
  <si>
    <t>Grey Paving block 80 mm</t>
  </si>
  <si>
    <r>
      <rPr>
        <sz val="11"/>
        <rFont val="Times New Roman"/>
        <family val="1"/>
      </rPr>
      <t>Providing  and  fixing  heavy  duty  inter  locking  concrete  Coloured  paving  blocks  of
60  mm thickness of having a strength of 300 Kilogram/Sq.cm. of approved  quality and shape  on   a  bed  of  crushed  sand  of  25  to  30  mm  thick  including  skirting  joints  and
cleaning etc. complete</t>
    </r>
  </si>
  <si>
    <t>Coloured Paving block 60 mm</t>
  </si>
  <si>
    <r>
      <rPr>
        <sz val="11"/>
        <rFont val="Times New Roman"/>
        <family val="1"/>
      </rPr>
      <t>Providing  and  fixing  heavy  duty  inter  locking  concrete  Coloured  paving  blocks  of
80  mm thickness of having a strength of 300 Kilogram/Sq.cm. of approved  quality and shape  on   a  bed  of  crushed  sand  of  25  to  30  mm  thick  including  skirting  joints  and cleaning etc.  complete</t>
    </r>
  </si>
  <si>
    <t>Coloured Paving block 80 mm</t>
  </si>
  <si>
    <r>
      <rPr>
        <sz val="11"/>
        <rFont val="Times New Roman"/>
        <family val="1"/>
      </rPr>
      <t>Providing    and    fixing    heavy   duty   inter    locking    concrete    RUBBER    MOULD GLOSSY  PAVING  BLOCKS  of  60  millimeter  thickness  of  having  a  strength  of  400 Kilogram/sq.m  of  approved  quality  and  shape  on  a  bed  of  crushed  sand  of  25  to  30 millimeter  thick  including  striking  joints  and  cleaning   etc.  complete.  (using  100%
crushed sand)</t>
    </r>
  </si>
  <si>
    <t>Bd. M-12 page One Number 385</t>
  </si>
  <si>
    <t>Rubber Mould Glossy Paving Block 60 mm</t>
  </si>
  <si>
    <r>
      <rPr>
        <sz val="11"/>
        <rFont val="Times New Roman"/>
        <family val="1"/>
      </rPr>
      <t>Providing  and  fixing  heavy  duty  inter  locking  concrete  Rubber  mould  glossy  paving blocks  of  80  mm  thickness  of  having  a  strength  of  400  Kilogram/Sq.cm.  of  approved quality and shape on a bed  of crushed  sand of 25 to 30 mm thick including skirting joints
and  cleaning etc. complete. (using 100% crushed sand)</t>
    </r>
  </si>
  <si>
    <t>Bd. M.</t>
  </si>
  <si>
    <t>Rubber Mould Glossy Paving Block 80 mm</t>
  </si>
  <si>
    <r>
      <rPr>
        <sz val="11"/>
        <rFont val="Times New Roman"/>
        <family val="1"/>
      </rPr>
      <t>Providing  and  fixing  heavy  duty  inter  locking  concrete  Coloured  paving  blocks  of
40  mm thickness of having a strength of 200 Kilogram/Sq.cm. of approved  quality and shape  on   a  bed  of  crushed  sand  of  25  to  30  mm  thick  including  skirting  joints  and cleaning etc.  complete.</t>
    </r>
  </si>
  <si>
    <t>Coloured Paving block 40 mm</t>
  </si>
  <si>
    <r>
      <rPr>
        <sz val="11"/>
        <rFont val="Times New Roman"/>
        <family val="1"/>
      </rPr>
      <t>Providing  leather  finished  polishing  to  Granite  Stone  slab  by continuous  grinding  in  4 coats  of different bits to receive rough and matt finish including buffing process before laying and fixing  of  stone  as  per  drawing  and  design,  including  cleaning,  washing
and  finishing  etc. complete.</t>
    </r>
  </si>
  <si>
    <t>Providing leather  finished  polishing to Kota  / Marble / Shahabad  / Kadappa  Stone slab by  continuous  grinding  in  4  coats  of  different  bits  to  receive  rough   and   matty  finish including  buffing   process   before   laying   and   fixing   of   stone   as   per   drawing   and design,  including cleaning, washing and finishing  etc. complete.</t>
  </si>
  <si>
    <t>Providing  and  laying  Vitrified  mirror/glossy  finish   having  decorative  type  of  size 590 millimeter to 605 millimeter x 590 millimeter to 605 millimeter of 8 to 10 millimeter thickness  (on  a  existing  flooring)  with  bonding  chemical  and  confirming  to  IS  15622- 2006 (Group Bla) of approved make shade and pattern for flooring in required position laid on a bed of bonding chemical filling joints curing and cleaning etc . complete.</t>
  </si>
  <si>
    <t>Providing   and  laying   Vitrified   MATT   finish    having   decorative   type  of  size  600 millimeter x 600 millimeter of 8 to 10 millimeter thickness (on a existing flooring) with bonding chemical and  confirming  to  IS  15622-2006  (Group  Bla)  of  approved  make shade   and   pattern   for  flooring   in   required   position   laid   on   a   bed   of   bonding chemical  filling  joints  curing  and cleaning etc .complete.</t>
  </si>
  <si>
    <t>Bd. M-12 page One Number 386</t>
  </si>
  <si>
    <t>Providing  and  laying  Vitrified  MATT  finish   having  decorative  type  of  size  1000 millimeter x 1000 millimeter of 8 to 10 millimeter thickness (on a existing flooring) with bonding chemical and  confirming  to  IS  15622-2006  (Group  Bla)  of  approved  make shade   and   pattern   for  flooring   in   required   position   laid   on   a   bed   of   bonding chemical  filling  joints  curing  and cleaning etc .complete.</t>
  </si>
  <si>
    <t>Bd. M-12 page One Number 388</t>
  </si>
  <si>
    <t>Providing  and  laying  Vitrified  RUSTIC  MATT  STONE  finish   having  decorative  type tiles  of  size  600  millimeter   x   600  millimeter  of  8  to  10  millimeter  thickness  (on  a existing flooring) with  bonding  chemical  and  confirming  to  IS  15622-2006  (Group Bla)  of  approved  make shade and pattern for flooring in required position laid on a bed of bonding chemical filling joints curing and cleaning etc. complete.</t>
  </si>
  <si>
    <t>Providing and laying Vitrified STONE EFFECT FINISH  having decorative type tiles of size 590  millimeter  to  605  millimeter  x  590  millimeter  to  605  millimeter  of  8  to 10  millimeter thickness (on a existing flooring) with  bonding chemical and confirming to IS 15622-2006 (Group Bla) of approved make shade and pattern for flooring in required position laid on a bed of bonding chemical filling joints curing and cleaning etc. complete.</t>
  </si>
  <si>
    <r>
      <rPr>
        <sz val="11"/>
        <rFont val="Times New Roman"/>
        <family val="1"/>
      </rPr>
      <t>Providing  and  laying  chequered  tiles  of  approved  quality   of  size  30  cm  x  30  cm, confirming to  corresponding  I.S.  for  flooring  in  required  position  laid  on  a  bed  of 1:4  cement  mortar including cement float, filling joint with cement slurry cleaning curing
etc. complete.</t>
    </r>
  </si>
  <si>
    <t>Chequered tiles (1:4)</t>
  </si>
  <si>
    <r>
      <rPr>
        <sz val="11"/>
        <rFont val="Times New Roman"/>
        <family val="1"/>
      </rPr>
      <t>Providing and laying Antiskid Ceramic tiles of approved quality  of size 30 cm x 30 cm and confirming to IS 15622-2006 (Group-B IIA) for antiskid flooring in required position laid on a bed of 1:4 cement mortar including cement float, filling joint with cement slurry
cleaning curing etc. complete.</t>
    </r>
  </si>
  <si>
    <t>Antiskid Ceramic tiles flooring (1:4)</t>
  </si>
  <si>
    <t>Providing  and  laying  telephone  black  /  Amba  White  /  Cadburybrown  /  Ruby  red  / Ocean Brown granite stone of 18 to 20 mm thick for door frame/ dado/ window boxing etc.  On  C.M.  1:6  including  filling  joints  with  polymer  base  filler  nosing/moulding  the sharp edges wherever necessary, curing,  etc. complete.</t>
  </si>
  <si>
    <t>As directed by Engineer-In- Charge</t>
  </si>
  <si>
    <t>Granite for door frame / dado/window boxing (1:6)</t>
  </si>
  <si>
    <r>
      <rPr>
        <sz val="11"/>
        <rFont val="Times New Roman"/>
        <family val="1"/>
      </rPr>
      <t xml:space="preserve">Providing  and  laying  Polished  Kota  stone  flooring  With  Hand-Cut  Polished  Kota Stones 25mm  to  30mm  thick  and  required  width  in  plain/diamond  pattern  on  bed of  1:6  Cement mortar  including  cement  float,  filling  joints  with  neat  cement  slurry, curing,  cleaning  and Mirror  Polishing  etc.  complete  Note-  Water  absorption  for  </t>
    </r>
    <r>
      <rPr>
        <u/>
        <sz val="11"/>
        <rFont val="Times New Roman"/>
        <family val="1"/>
      </rPr>
      <t>kota 
stone</t>
    </r>
    <r>
      <rPr>
        <sz val="11"/>
        <rFont val="Times New Roman"/>
        <family val="1"/>
      </rPr>
      <t xml:space="preserve">    should    not    exceed   0.05%.(   Item   to   be   used   with   prior   permission   of
Superintending Engineer )</t>
    </r>
  </si>
  <si>
    <t>Bd. M-3 page One Number 380</t>
  </si>
  <si>
    <t>Polished Kota stone flooring (1:6)</t>
  </si>
  <si>
    <r>
      <rPr>
        <sz val="11"/>
        <rFont val="Times New Roman"/>
        <family val="1"/>
      </rPr>
      <t>Providing,  laying  and   fixing  exterior  grade  fibrilling  fibre  reinforcement  heavy  duty designer cement  concrete tiles  for  Flooring of  approved  colour and  design 22  +/ -2 mm  thick   bayer  colour   pigmented   as   per   IS   ..1237   -   1980   having   compressive strength  more  than  500 Kilogram/sq.cm  reaffirmed  in  2006  ,having  wert  transvrse strenghth  of  3.5  /  mm  2,  water absorption less than 10 % abrasion / wear resistance less than 2 mm ,skid resistance more than
25.0  (ASTM:E303)  and  no  fading  as  per  DIN  -  51094  of  size  300  x  300   in  plan  / designed pattern on a bed of 1:4 cement mortar including cement float ,filling joints with
neat cement slurry ,curing, polishing and cleaning etc. complete. For flooring.</t>
    </r>
  </si>
  <si>
    <t>As directed by Engineer-In- Char</t>
  </si>
  <si>
    <t>Heavy duty c.c. Tiles for flooring (1:4)</t>
  </si>
  <si>
    <r>
      <rPr>
        <sz val="11"/>
        <rFont val="Times New Roman"/>
        <family val="1"/>
      </rPr>
      <t>Providing,  laying  and  fixing  exterior  grade  fibrilling  fibre  reinforcement  heavy  duty designer cement concrete tiles for  steps and dado of approved colour and design 22 +/ -2 mm  thick  bayer   colour   pigmented   as   per   IS   1237   -   1980   reaffirmed   in   2006
,having  wert  transvrse strenghth of 3.5 / mm 2, water absorption less than 10 % abrasion
/ wear resistance less than 2 mm ,skid resistance more than 25.0 (ASTM:E303) and no fading  as  per  DIN  -  51094  in  plan  /  designed  pattern  on  a  bed  of  1:4  cement  mortar including cement float ,filling joints with neat cement slurry ,curing,polished and cleaning etc. complete. For steps, and dado</t>
    </r>
  </si>
  <si>
    <t>Heavy duty c.c. Tiles for Dado / Skirting (1:4)</t>
  </si>
  <si>
    <t>Machine   polishing   to   cement/marble   mosaic   tiled   flooring   or   any   other   type   of flooring including cleaning, washing, etc. complete.</t>
  </si>
  <si>
    <r>
      <rPr>
        <sz val="11"/>
        <rFont val="Times New Roman"/>
        <family val="1"/>
      </rPr>
      <t>As directed by Engineer in
Charge</t>
    </r>
  </si>
  <si>
    <t>Hand polishing to dado, skirting including cleaning, washing etc. complete.</t>
  </si>
  <si>
    <t>Providing  wax  polishing  to  floors  and  dado,  preparing  the  surface,  scaffolding  etc. complete.</t>
  </si>
  <si>
    <r>
      <rPr>
        <sz val="11"/>
        <rFont val="Times New Roman"/>
        <family val="1"/>
      </rPr>
      <t>Providing and  fixing in required position  skirting or dado of polished  Kotah  Stone slab 25  mm  to  30   mm  thick   fixed   on   base  on   plaster   of   cement   mortar  1:4   including cement   float,  filling  joints  with  cement  slurry,  curing  rubbing,  polishing  and  cleaning
complete.</t>
    </r>
  </si>
  <si>
    <t>Polished kota stone dado / skirting (1:6)</t>
  </si>
  <si>
    <t>Wood Finish</t>
  </si>
  <si>
    <t>BDN 1.1</t>
  </si>
  <si>
    <t>Providing   and   applying   boiled   linseed   oil   in   one   coat,   to   the   new   wood   work, including knotting, preparing the surface, scaffolding etc. complete as directed.</t>
  </si>
  <si>
    <r>
      <rPr>
        <sz val="11"/>
        <rFont val="Times New Roman"/>
        <family val="1"/>
      </rPr>
      <t>Bd. N. 1. 1 Page
One Number 399</t>
    </r>
  </si>
  <si>
    <t>Providing   and   applying   boiled   linseed   oil  in   two   coats   to  the   new  wood   work, including knotting, preparing the surface, scaffolding etc. complete as directed.</t>
  </si>
  <si>
    <t>Bd.N.1.1 Page One Number 399</t>
  </si>
  <si>
    <t>BDN 1.2</t>
  </si>
  <si>
    <r>
      <rPr>
        <sz val="11"/>
        <rFont val="Times New Roman"/>
        <family val="1"/>
      </rPr>
      <t>Providing and applying Wax polish to the new wood work including knotting, preparing
the surface, scaffolding etc. complete as directed.</t>
    </r>
  </si>
  <si>
    <r>
      <rPr>
        <sz val="11"/>
        <rFont val="Times New Roman"/>
        <family val="1"/>
      </rPr>
      <t>Bd.N.1.2 Page
One Number 399</t>
    </r>
  </si>
  <si>
    <r>
      <rPr>
        <sz val="11"/>
        <rFont val="Times New Roman"/>
        <family val="1"/>
      </rPr>
      <t>Providing and applying Wax polish to the old wood work including knotting, preparing
the surface, scaffolding etc. complete as directed.</t>
    </r>
  </si>
  <si>
    <r>
      <rPr>
        <sz val="11"/>
        <rFont val="Times New Roman"/>
        <family val="1"/>
      </rPr>
      <t>Bd. N. 1.2 Page One
Number 399</t>
    </r>
  </si>
  <si>
    <t>BDN 1.3</t>
  </si>
  <si>
    <t>Providing   and   applying   French   polish   for   required   finish   on   previously   polished wood including knotting, preparing the surfaces, scaffolding etc. complete as directed</t>
  </si>
  <si>
    <t>Bd.N.1.3 Page One Number 399</t>
  </si>
  <si>
    <t>Providing  and   applying  french   polish   to   new   wood   work,   for   required   finishing including. knotting, preparing the surfaces, scaffolding etc. complete as directed.</t>
  </si>
  <si>
    <t>BDN 1.4</t>
  </si>
  <si>
    <t>Providing   and   applying   varnish   in   one  coat   on  previously  varnished   wood   work including knotting, preparing the surface, scrapping, scaffolding, etc. complete.</t>
  </si>
  <si>
    <t>Bd.N.1.4 Page One Number 400</t>
  </si>
  <si>
    <r>
      <rPr>
        <sz val="11"/>
        <rFont val="Times New Roman"/>
        <family val="1"/>
      </rPr>
      <t>Providing   and   applying   Varnish   in   two   coats   on   new   wood   work   including
knotting, preparing the surface, scaffolding etc. Complete.</t>
    </r>
  </si>
  <si>
    <r>
      <rPr>
        <sz val="11"/>
        <rFont val="Times New Roman"/>
        <family val="1"/>
      </rPr>
      <t>Bd.N.1.4 Page
One Number 400</t>
    </r>
  </si>
  <si>
    <t>BDN</t>
  </si>
  <si>
    <r>
      <rPr>
        <sz val="11"/>
        <rFont val="Times New Roman"/>
        <family val="1"/>
      </rPr>
      <t>Providing  and  applying  melamine  polish  of  required  finish  to  the  wood  work  by spray  machine   including   knotting   and   preparing   the   even   surface   by   scraping, applying  French polish , scaffolding if required etc. complete.
Note:The  work  to  be  executed  on  prior  approval  of  Superintending  Engineer  will  be
necessary.</t>
    </r>
  </si>
  <si>
    <t>As directed by Engineer-in charge.</t>
  </si>
  <si>
    <r>
      <rPr>
        <sz val="11"/>
        <rFont val="Times New Roman"/>
        <family val="1"/>
      </rPr>
      <t>Providing   and   applying   coal   tar   in   one   coat   on   previously   coal   tarred   wood including preparing the surface,  scaffolding etc.  complete. (coal  tar shall  be minimum
300 grams  per  One Square Metre.)</t>
    </r>
  </si>
  <si>
    <r>
      <rPr>
        <sz val="11"/>
        <rFont val="Times New Roman"/>
        <family val="1"/>
      </rPr>
      <t>Providing   and   applying   coal   tar   in   two   coats   on   new   wood   work   including
preparing   the surface, scaffolding etc. complete. (coal tar shall be minimum 500 grams per  One Square Metre.)</t>
    </r>
  </si>
  <si>
    <r>
      <rPr>
        <sz val="11"/>
        <rFont val="Times New Roman"/>
        <family val="1"/>
      </rPr>
      <t>As directed by
Engineer-in charge.</t>
    </r>
  </si>
  <si>
    <t>SSR 2022-23 :- Oil Painting</t>
  </si>
  <si>
    <t>Oil Painting</t>
  </si>
  <si>
    <t>BDO 1</t>
  </si>
  <si>
    <t>Providing  and  applying  two  coats  of  lead/zinc  base  oil  paint/   bituminous  paint  of approved colour  and  shade  to  new  wood  work  and  fiber  boards  including  preparing the  surface, knotting, scaffolding if necessary, excluding primer coat etc. complete.</t>
  </si>
  <si>
    <r>
      <rPr>
        <sz val="11"/>
        <rFont val="Times New Roman"/>
        <family val="1"/>
      </rPr>
      <t>Bd.O. 1 Page
One Number 403</t>
    </r>
  </si>
  <si>
    <t>BDO 2</t>
  </si>
  <si>
    <t>Providing  and   applying  one  coat   of   lead/zinc   base  oil   paint/   bituminous   paint   of approved  colour  and  shade  to  old  wood  work  previously  painted  and  fiber  boards including if necessary scaffolding, preparing surface excluding primer coat etc. complete.</t>
  </si>
  <si>
    <t>Bd.0.2 Page One Number 404</t>
  </si>
  <si>
    <t>BDO 2A</t>
  </si>
  <si>
    <r>
      <rPr>
        <sz val="11"/>
        <rFont val="Times New Roman"/>
        <family val="1"/>
      </rPr>
      <t>Providing  and  applying  two  coats  of  lead/zinc  base  oil  paint/bituminious  paint  of approved  colour  and  shade  to  old  wood  work  and  fiber  boards  previously  painted including  if  necessary  scaffolding,  preparing  the  surface  excluding  priming  coat  etc.
complete.</t>
    </r>
  </si>
  <si>
    <t>BDO 3</t>
  </si>
  <si>
    <r>
      <rPr>
        <sz val="11"/>
        <rFont val="Times New Roman"/>
        <family val="1"/>
      </rPr>
      <t>Providing  and  applying  two  coats  of  lead/zinc  base  oil  paint/  bituminious  paint  of approved colour  to  new  structural  steel  work  and  iron  work  in  buildings  including scaffolding   if  necessary,  cleaning  and  preparing  the  surface  etc.   complete.  (excluding
primer coat).</t>
    </r>
  </si>
  <si>
    <t>Bd.0.3 Page One Number 404</t>
  </si>
  <si>
    <t>BDO 4</t>
  </si>
  <si>
    <t>Providing and applying one coat of aluminium paint of approved make to new structural steel  work   in   building   and   workshop   including   scaffolding   if   necessary,   cleaning and  preparing surface (excluding primer coat)  etc. complete.</t>
  </si>
  <si>
    <t>Bd.O.4 Page One Number 405</t>
  </si>
  <si>
    <t>BDO 4A</t>
  </si>
  <si>
    <t>Providing and applying 2 coats of alluminium paint of approved make to new structural steel  work  in  buildings  and  workshops  including  scaffolding  if  necessary,  cleaning  and preparing the surface (excluding primer coat)etc.  complete.</t>
  </si>
  <si>
    <t>Bd.0.4 Page One Number 405</t>
  </si>
  <si>
    <t>BDO 5</t>
  </si>
  <si>
    <t>Bd.O.5 Page One Number 405</t>
  </si>
  <si>
    <t>BDO 6</t>
  </si>
  <si>
    <t>Providing and applying one coat of flat oil paint of approved colour to the old structural steel work   and  iron   work  previously  painted   in  building   including   scaffolding,   if necessary, cleaning and preparing surface (excluding primer coat)  etc. complete.</t>
  </si>
  <si>
    <t>Bd.0.6 Page One Number 406</t>
  </si>
  <si>
    <t>BDO 6A</t>
  </si>
  <si>
    <t>Providing and applying two coats of flat oil paint of approved colour to the old structural steel work   and  iron   work  previously  painted   in  building   including   scaffolding,   if necessary, cleaning and preparing the surface (excluding primer coat)  etc. complete.</t>
  </si>
  <si>
    <t>BDO 7</t>
  </si>
  <si>
    <r>
      <rPr>
        <sz val="11"/>
        <rFont val="Times New Roman"/>
        <family val="1"/>
      </rPr>
      <t>Providing and applying one coat of flat oil paint of approved colour and shade to internal / external  plastered  surfaces  including  scaffolding  if  necessary,  cleaning  and  preparing
the surface (excluding primer coat)  etc. complete.</t>
    </r>
  </si>
  <si>
    <t>Bd.0.7 Page One Number 406</t>
  </si>
  <si>
    <t>BDO</t>
  </si>
  <si>
    <r>
      <rPr>
        <sz val="11"/>
        <rFont val="Times New Roman"/>
        <family val="1"/>
      </rPr>
      <t>Providing  and applying two coats (exterior quality)  of flat oil paint of approved colour and  shade  to  the  plastered  surface  in  buildings  and  workshops  including  scaffolding  if necessary,  cleaning  the  surface  and  preparing  surface  etc.  complete.  (excluding  primer
coat)</t>
    </r>
  </si>
  <si>
    <t>As directed by Engineer- in- charge.</t>
  </si>
  <si>
    <t>BDO 7A</t>
  </si>
  <si>
    <r>
      <rPr>
        <sz val="11"/>
        <rFont val="Times New Roman"/>
        <family val="1"/>
      </rPr>
      <t>Providing and applying two coats of flat oil paint of approved colour and shade to internal
/   external   plastered    surfaces    including    scaffolding    if    necessary,    cleaning    and preparing  the surface (excluding primer coat) etc. complete.</t>
    </r>
  </si>
  <si>
    <t>Bd.O.7 Page One Number 406</t>
  </si>
  <si>
    <t>BDO 8</t>
  </si>
  <si>
    <t>Providing and applying two coats of water proof cement paint of approved manufacture and  of  approved  colour  to  the  plastered  surfaces  including  scaffolding  if  necessary, cleaning and preparing the surface, watering for two days etc.  complete.</t>
  </si>
  <si>
    <t>Bd.0.8 Page One Number 406</t>
  </si>
  <si>
    <t>Providing and applying two coats of water proof cement paint of approved manufacture and  of  approved  colour  to  old   plastered  surfaces  including  scaffolding  if  necessary, cleaning and preparing the surface, watering for two days etc.  complete.</t>
  </si>
  <si>
    <t>Providing and applying three coats of water proof cement paint of approved manufacture and  of  approved  colour  to   new  plastered  surfaces  including  scaffolding  if  necessary, cleaning and preparing the surface, watering for two days etc. complete.</t>
  </si>
  <si>
    <t>Spec.One Number: Bd.O.8/Page One Number406</t>
  </si>
  <si>
    <t>Providing and applying three coats of water proof cement paint of approved manufacture and  of  approved  colour  to  old   plastered  surfaces  including  scaffolding  if  necessary, cleaning and preparing the surface, watering for two days etc. complete.</t>
  </si>
  <si>
    <t>BDO 8B</t>
  </si>
  <si>
    <t>Removing old paint from steel and  other metal surfaces and   making the surfaces even with hand scrapping, scaffolding etc. complete.</t>
  </si>
  <si>
    <t>BDO 8C</t>
  </si>
  <si>
    <t>Providing   and   applying   priming   coat   over   new   wood   and   wood   based   surfaces, including preparing the surface by thoroughly cleaning oil, grease, dirt and other foreign matter, sand papering and knotting, scaffolding etc. complete.</t>
  </si>
  <si>
    <t>BDO 8D</t>
  </si>
  <si>
    <r>
      <rPr>
        <sz val="11"/>
        <rFont val="Times New Roman"/>
        <family val="1"/>
      </rPr>
      <t>Providing  and   applying  priming  coat  over  new/old   steel  and   other   metal  surfaces including  preparing   the  surface  by  thoroughly  cleaning   oil,   grease,   dirt   and  other foreign  matter  and scoured  with  wire  brushes,  fine  steel  wool,  scrappers  and  sand paper,  scaffolding  etc.
complete.</t>
    </r>
  </si>
  <si>
    <t>As directed by En- gineer in charge.</t>
  </si>
  <si>
    <t>BDO 8E</t>
  </si>
  <si>
    <r>
      <rPr>
        <sz val="11"/>
        <rFont val="Times New Roman"/>
        <family val="1"/>
      </rPr>
      <t>Providing   and   applying   priming   coat   on   concrete/   masonary/   Asbestos   Cement plastered surfaces including scaffolding if necessary, preparing the surface by thoroughly cleaning  oil,  grease,  dirt  and  other  foreign  matter  and  sand  papering  as  required  etc.
complete.</t>
    </r>
  </si>
  <si>
    <t>BDO 8F</t>
  </si>
  <si>
    <t>Providing and  applying one coat  of  seal  cement  primer  of  approved  manufacture and shed including  scaffolding  preparing  the  surface  by  cleaning  dirt  and  other  foreign matters, scrapping if necessary including scaffolding etc. complete.</t>
  </si>
  <si>
    <r>
      <rPr>
        <sz val="11"/>
        <rFont val="Times New Roman"/>
        <family val="1"/>
      </rPr>
      <t>Providing  and  applying  pearl/  luster  finish  paint  of  approved  colour  and  shade  to  the existing plaster surface including scaffolding, preparing the surface, applying the acrylic wall putti etc.
complete.</t>
    </r>
  </si>
  <si>
    <r>
      <rPr>
        <sz val="11"/>
        <rFont val="Times New Roman"/>
        <family val="1"/>
      </rPr>
      <t>Providing  and  applying  two  coats  of  textured  synthetic  paint  of  approved  shade  and quality and  one  coat  of  primer  before  applying  textured  paint  including  scaffolding if  necessary preparing surface by thoroughly cleaning oil, grease, dirt and other materials
as required, etc. complete.</t>
    </r>
  </si>
  <si>
    <r>
      <rPr>
        <sz val="11"/>
        <rFont val="Times New Roman"/>
        <family val="1"/>
      </rPr>
      <t>Providing  and   applying  two  coats  of   exterior  acraylic  emulsion   paint  confirming to  corresponding  I.S.  of  approved  manufacture  and  of  approved  colour  to  the  plastered surfaces  including   cleaning   ,preparing   the   plaster   surface,   applying   primer   coat
,scaffolding  if necessary , and watering the surface for two days etc complete.</t>
    </r>
  </si>
  <si>
    <t>Providing  and  applying  external  raincoat  painting  with  crack  filling acrylic  polymer based  chemical  compound  coating  to  the  external  surface  of  walls  to  prevent  water seepage in the masonry walls during monsoon added with required shade Steiner to give required shade to the surface in two coats. Including providing three coat of priming of polymer base primer including preparing surface scrapping  the existing  loose old  paint, removing  loose  particles  of  sand   on   the   surface   opening   and   cleaning   the   cracks developed   in   the   external   plaster,  removing   loose   particles   by   chiseling,   filling cracks   by   chemicals   compound   of   approved  make   with   proper   penetration   etc. Coating  of  Raincoat  with  the  help  of  brush  and  as  per instructions and  specification given  by manufacturer  and  with  instruction  from Engineer in- charge. Work shall be executed  by  certified  applicator  only  and  covering  gurantee  of  3  years  on  court  stamp paper of Rs. 500/- and necessary testing etc. complete.</t>
  </si>
  <si>
    <t>Colouring</t>
  </si>
  <si>
    <t>BDP 1</t>
  </si>
  <si>
    <r>
      <rPr>
        <sz val="11"/>
        <rFont val="Times New Roman"/>
        <family val="1"/>
      </rPr>
      <t>Providing and applying white-wash in one coat on old / new plastered or masonry surfaces and asbestos  cement sheets including scaffolding and preparing the surface by brushing
and brooming down  etc. complete.</t>
    </r>
  </si>
  <si>
    <t>Bd.P.1 Page One Number 411</t>
  </si>
  <si>
    <t>BDP 1A</t>
  </si>
  <si>
    <r>
      <rPr>
        <sz val="11"/>
        <rFont val="Times New Roman"/>
        <family val="1"/>
      </rPr>
      <t>Providing  and  applying  white-wash  in  two  coats  on  old  /  new  plastered  or  masonry surfaces  and  asbestos  cement  sheets  including  scaffolding  and  preparing  the  surface  by
brushing and brooming down etc. complete.</t>
    </r>
  </si>
  <si>
    <t>Bd. P. I Page One Number 411</t>
  </si>
  <si>
    <t>BDP 2</t>
  </si>
  <si>
    <r>
      <rPr>
        <sz val="11"/>
        <rFont val="Times New Roman"/>
        <family val="1"/>
      </rPr>
      <t>Providing  and  applying  colour-wash  of  approved  colour  and  shade  in  one  coat  to  new surface  including  scaffolding,  brushing  and  brooming  down  (excluding  base  coats  of
white wash) etc. complete.</t>
    </r>
  </si>
  <si>
    <t>Bd. P.2 Page One Number 412</t>
  </si>
  <si>
    <t>BDP 2A</t>
  </si>
  <si>
    <r>
      <rPr>
        <sz val="11"/>
        <rFont val="Times New Roman"/>
        <family val="1"/>
      </rPr>
      <t>Providing  and  applying  colour-wash  of  approved  colour  and  shade  in  two  coats  to new  surface   including   scaffolding,   brushing   and   brooming   down   (excluding   base
coat  of  white- wash) etc. complete.</t>
    </r>
  </si>
  <si>
    <t>Bd.P.2 Page One Number 412</t>
  </si>
  <si>
    <t>BDP 3</t>
  </si>
  <si>
    <r>
      <rPr>
        <sz val="11"/>
        <rFont val="Times New Roman"/>
        <family val="1"/>
      </rPr>
      <t>Providing  and  applying  colour-wash  of  approved  colour  and  shade  in  one  coat  to  old surfaces which are to be recoloured including scaffolding, brushing and brooming down.
(excluding base coat of white wash) etc. complete.</t>
    </r>
  </si>
  <si>
    <t>Bd.P.3 Page One Number 412</t>
  </si>
  <si>
    <t>BDP 3A</t>
  </si>
  <si>
    <t>Providing  and  applying  colour-wash  of  approved  colour  and  shade  in  two  coats  to old  surfaces   which   are   to   be   recoloured   including   scaffolding,   brushing   and brooming  down. (excluding base coat of white-wash) etc. complete.</t>
  </si>
  <si>
    <t>BDP 4</t>
  </si>
  <si>
    <r>
      <rPr>
        <sz val="11"/>
        <rFont val="Times New Roman"/>
        <family val="1"/>
      </rPr>
      <t>Providing and applying washable powder distemper of approved colour and shade to old
and new surfaces in one coat including scaffolding, preparing the surfaces (excluding the priming coat)etc. complete.</t>
    </r>
  </si>
  <si>
    <t>Bd.P.4 Page One Number 413</t>
  </si>
  <si>
    <t>BDP 4A</t>
  </si>
  <si>
    <r>
      <rPr>
        <sz val="11"/>
        <rFont val="Times New Roman"/>
        <family val="1"/>
      </rPr>
      <t>Providing and applying washable powder distemper of approved colour and shade to old and  new surfaces  in two  coats including  scaffolding, preparing  the surfaces.  (excluding
the primer coat) etc .complete.</t>
    </r>
  </si>
  <si>
    <t>Bd. P.4 Page One Number 413</t>
  </si>
  <si>
    <t>BDP 5</t>
  </si>
  <si>
    <r>
      <rPr>
        <sz val="11"/>
        <rFont val="Times New Roman"/>
        <family val="1"/>
      </rPr>
      <t>Providing and applying washable oil-bound distemper of approved  colour and  shade to old  and   new   surfaces   in   one   coat   including   scaffolding,   preparing   the   surfaces.
(excluding  the primer coat.)etc. complete.</t>
    </r>
  </si>
  <si>
    <t>Bd. P.5 Page One Number 413</t>
  </si>
  <si>
    <t>BDP 5A</t>
  </si>
  <si>
    <r>
      <rPr>
        <sz val="11"/>
        <rFont val="Times New Roman"/>
        <family val="1"/>
      </rPr>
      <t>Providing and applying washable oil-bound distemper of approved  colour and  shade to old  and   new   surfaces  in  two  coats  including  scaffolding,  preparing  the  surfaces.
(excluding the primer coat.) etc. complete.</t>
    </r>
  </si>
  <si>
    <t>Bd.P.5 Page One Number 413</t>
  </si>
  <si>
    <t>BDP 6</t>
  </si>
  <si>
    <r>
      <rPr>
        <sz val="11"/>
        <rFont val="Times New Roman"/>
        <family val="1"/>
      </rPr>
      <t>Providing and applying plastic emulsion paint of approved quality, colour and shade to old
and   new   surfaces   in   two   coats   including   scaffolding,   preparing   the   surface. (excluding  the primer coat)etc. complete.</t>
    </r>
  </si>
  <si>
    <t>Bd.P.6 Page One Number 414</t>
  </si>
  <si>
    <t>BDP 6A</t>
  </si>
  <si>
    <t>Providing and applying plastic emulsion paint of approved quality, colour and shade to old surface in three coats including scaffolding, preparing the surface. (excluding primer coat) etc. complete.</t>
  </si>
  <si>
    <r>
      <rPr>
        <sz val="11"/>
        <rFont val="Times New Roman"/>
        <family val="1"/>
      </rPr>
      <t>Bd.P.6 Page One Number 414 and Pre- approval of Superintending
Engineer</t>
    </r>
  </si>
  <si>
    <t>Providing and applying plastic emulsion paint of approved quality, colour and shade to new surface in three coats including scaffolding, preparing the surface. (excluding primer coat) etc. complete.</t>
  </si>
  <si>
    <t>BDP</t>
  </si>
  <si>
    <t>Washing and cleaning of decorated wall surfaces with soap, soda and water etc. complete.</t>
  </si>
  <si>
    <r>
      <rPr>
        <sz val="11"/>
        <rFont val="Times New Roman"/>
        <family val="1"/>
      </rPr>
      <t>Providing and applying plastic emulsion paint of approved quality, colour and shade to old and new surfaces in single coat including scaffolding, preparing the surface. (excluding
the primer coat)etc. complete.</t>
    </r>
  </si>
  <si>
    <r>
      <rPr>
        <sz val="11"/>
        <rFont val="Times New Roman"/>
        <family val="1"/>
      </rPr>
      <t>Scrapping the old  plastered  internal  surface with  sand  paper  and  coating  the entire surface with mixture of whiting or glue and linseed oil including scaffolding etc. complete
as directed.</t>
    </r>
  </si>
  <si>
    <t>Providing  and  applying  interior  wall  finish  luster  of  approved  make  on  internal  wall surface  as  detailed  below Scrapping  the surface  with emery paper and   wipe clean  wall primer with brush   with  mineral  turpentine  with  brush  8  to  10%  and  oil  15  to  20% with   roller   and  allowing   to   dry   for   a   period   6   to   8   hours.   wall   putty   with appropriate   proportion   of  water allowing to dry for  period   4  to 6  hours.   Scrapping with  Emery  paper  180  and  wipe clean. Applyingwall primer with  brush  with  mineral turpentine 8 to 10% and  oil 15 to 20% with roller  Scrapping  Emery  paper  320  and wipe  clean,  interior  wall  finish  luster  1st  coat  with brush/rubber/spray  with  mineral turpentine 7  to 9%  and  Oil  with  roller  19 to 21% After  8 hours of activity Applying 2nd coat or wall finish Lustre with mineral turpentine 7 to 9  % with  brush  and  Oil with roller 19 to 21% after allowing dry for the  period of  6 to  8 hours  activity.   (With  prior approval of S.E.)</t>
  </si>
  <si>
    <t>Providing  and  applying  Royale  Luxury  Emulsion  of  approved  make  on  internal  wall surface as  detailed  below  Scrapping  for  surface  with  emery  paper  and  wipe  clean for  area.    wall primer with   brush   by adding mineral     turpentine oil by 8 to 10 % or water by 15 to 20% allowing to dry  for 6 to  8 hoursAfter applying acrylic wall putty with appropriate prpportion of water of allow to dry for period of  4  to  6  hours  of  activity. Scrapping  with  emery  paper   and  wipe  clean  Applying paints Royale Luxury emulsion 1st coat with brush water content water 40 to 45%   or 65 to 70% by role Applying paints Royale luxury emulsion 2nd coat with brush with water content 40 to 45%  or 65 to 70 % by roller. (With prior approval of S.E.)</t>
  </si>
  <si>
    <t>Wood Work</t>
  </si>
  <si>
    <t>BDQ 1</t>
  </si>
  <si>
    <r>
      <rPr>
        <sz val="11"/>
        <rFont val="Times New Roman"/>
        <family val="1"/>
      </rPr>
      <t xml:space="preserve">Providing and  fixing </t>
    </r>
    <r>
      <rPr>
        <u/>
        <sz val="11"/>
        <rFont val="Times New Roman"/>
        <family val="1"/>
      </rPr>
      <t>Indian</t>
    </r>
    <r>
      <rPr>
        <sz val="11"/>
        <rFont val="Times New Roman"/>
        <family val="1"/>
      </rPr>
      <t xml:space="preserve">   teak wood  planking 25 mm thick for flooring plained on both  sides,  tongued  and  grooved  including  scaffolding,  if  necessary,  and   one  coat  of
primer etc. complete.</t>
    </r>
  </si>
  <si>
    <r>
      <rPr>
        <sz val="11"/>
        <rFont val="Times New Roman"/>
        <family val="1"/>
      </rPr>
      <t>Bd.Q. 1 Page
One Number 419</t>
    </r>
  </si>
  <si>
    <t>BDQ 1A</t>
  </si>
  <si>
    <r>
      <rPr>
        <sz val="11"/>
        <rFont val="Times New Roman"/>
        <family val="1"/>
      </rPr>
      <t xml:space="preserve">Providing and fixing   </t>
    </r>
    <r>
      <rPr>
        <u/>
        <sz val="11"/>
        <rFont val="Times New Roman"/>
        <family val="1"/>
      </rPr>
      <t>Indian</t>
    </r>
    <r>
      <rPr>
        <sz val="11"/>
        <rFont val="Times New Roman"/>
        <family val="1"/>
      </rPr>
      <t xml:space="preserve">   teak wood planking 50 mm thick for flooring plained on both sides,  tongued  and  grooved including scaffolding, if  necessary, and  one coat  of
primer  etc. complete.</t>
    </r>
  </si>
  <si>
    <t>Bd.Q.1 Page One Number 419</t>
  </si>
  <si>
    <t>BDQ 2</t>
  </si>
  <si>
    <r>
      <rPr>
        <sz val="11"/>
        <rFont val="Times New Roman"/>
        <family val="1"/>
      </rPr>
      <t xml:space="preserve">Providing and fixing </t>
    </r>
    <r>
      <rPr>
        <u/>
        <sz val="11"/>
        <rFont val="Times New Roman"/>
        <family val="1"/>
      </rPr>
      <t>Indian</t>
    </r>
    <r>
      <rPr>
        <sz val="11"/>
        <rFont val="Times New Roman"/>
        <family val="1"/>
      </rPr>
      <t xml:space="preserve"> teak wood joists and girders in timber floors of single, double or framed type including scaffolding if necessary, and one coat of primer etc. complete.</t>
    </r>
  </si>
  <si>
    <t>Bd.Q.2 Page One Number 420</t>
  </si>
  <si>
    <t>BDQ 2A</t>
  </si>
  <si>
    <r>
      <rPr>
        <sz val="11"/>
        <rFont val="Times New Roman"/>
        <family val="1"/>
      </rPr>
      <t>Providing and fixing Jungle (hard) wood of approved species joists and girders in timber floor of single, double or framed type including scaffolding if necessary and one primer
coat etc. complete.</t>
    </r>
  </si>
  <si>
    <t>BDQ 3</t>
  </si>
  <si>
    <t>Providing  and  fixing  Indian   teak  wood  plank  ceiling  20  mm  thick  plain  underside tongued and  grooved  including iron  screws,  scaffolding,  if  necessary,  including one primer  coat  on under side and one coat of coal tar on upper side etc. complete.</t>
  </si>
  <si>
    <t>Bd.Q.3 Page One Number 421</t>
  </si>
  <si>
    <t>BDQ 4</t>
  </si>
  <si>
    <r>
      <rPr>
        <sz val="11"/>
        <rFont val="Times New Roman"/>
        <family val="1"/>
      </rPr>
      <t>Providing and fixing Indian teak wood framed collar beam / king post / queen post truss,
with  all  Iron  work  including  scaffolding,  if  necessary,  and  one  coat  of  primer  etc. complete.</t>
    </r>
  </si>
  <si>
    <t>Bd.Q.4, Page One Number 422</t>
  </si>
  <si>
    <t>BDQ 4A</t>
  </si>
  <si>
    <t>Providing and fixing in teak wood framed collar beam / king post / queen post truss, with all iron work including scaffolding, if necessary and primer coat etc. complete.</t>
  </si>
  <si>
    <t>BDQ 5</t>
  </si>
  <si>
    <t>Providing  and  fixing  country teak  wood  common  rafters,  purlins  and  purlin  cleats,  hip rafters,  jack  rafters,  ridges,  wall  plates,  post  plates  and  posts  for  roofing  etc.  including scaffolding, if necessary, all iron work and one coat of primer etc. complete.</t>
  </si>
  <si>
    <t>Bd.Q.5, Page One Number 423</t>
  </si>
  <si>
    <t>BDQ 5A</t>
  </si>
  <si>
    <t>Providing  and  fixing  teak   wood  common  rafters,  purlins  and  purlin  cleats,  hip  rafters, jack  rafters,   ridges,   wall   plates,   post   plates   and   posts   for   roofing,   etc.   including scaffolding,  if necessary all iron work and one coat of primer etc.  complete.</t>
  </si>
  <si>
    <t>BDQ 8</t>
  </si>
  <si>
    <r>
      <rPr>
        <sz val="11"/>
        <rFont val="Times New Roman"/>
        <family val="1"/>
      </rPr>
      <t>Providing and fixing  teak wood hand rail of 60 mm x 75 mm as per detailed drawings or as directed by the Engineer, including french polishing, etc. complete.
(Note : The work to be executed on preapproval of Superintending Engineer).</t>
    </r>
  </si>
  <si>
    <t>Bd.Q.8, Page One Number 425</t>
  </si>
  <si>
    <t>BDQ 6</t>
  </si>
  <si>
    <r>
      <rPr>
        <sz val="11"/>
        <rFont val="Times New Roman"/>
        <family val="1"/>
      </rPr>
      <t>Providing and fixing country teak wood two way trellis work with battens or laths 2.5 cm
x  1.2  cm  and   5  cm  x  5  cm  openings  including  frame  of  8  cm  x  5  cm  vertical  and horizontal scantlings and coat of primer etc. complete.</t>
    </r>
  </si>
  <si>
    <t>Bd/Q-6 P-424</t>
  </si>
  <si>
    <t>Providing   and  fixing   hard   wood  of   approved   species   two   way  trellis   work   with battens  or laths 2.5 cm x 1.2 cm and 5 cm x 5 cm openings including frame of 8 cm x 5 cm vertical and horizontal scantlings and coat of primer etc. complete.</t>
  </si>
  <si>
    <t>Bd/Q-6 P-425</t>
  </si>
  <si>
    <t>BDQ 18</t>
  </si>
  <si>
    <r>
      <rPr>
        <sz val="11"/>
        <rFont val="Times New Roman"/>
        <family val="1"/>
      </rPr>
      <t>Providing and fixing decorative teak plywood veneer lining 4 mm thick with backing of teak wood frame work of battens 12 mm X 25 mm at 30 cm center to center fixed to walls and pillars  with  12  mm  thik  phywood  building  without  skirting  and  cornice  as  per drawings including necessary iron work and finishing the exposed wood work with french
polish etc. complete.</t>
    </r>
  </si>
  <si>
    <r>
      <rPr>
        <sz val="11"/>
        <rFont val="Times New Roman"/>
        <family val="1"/>
      </rPr>
      <t>Bd.Q. 18 Page
One Number 431</t>
    </r>
  </si>
  <si>
    <t>BDQ</t>
  </si>
  <si>
    <t>Providing and fixing 20 mm thick superior veneer board pelmet box 150 to 200 mm wide to  doors   or   window   frames   including   20mm   dia.   Aluminium   curtain   rod   with sockets  and finishing with french polishing (without top)etc. complete.</t>
  </si>
  <si>
    <t>Providing and fixing 20 mm thick Laminated sheet board pelmet box 150 to 200mm wide to  doors   or   window   frames   including   20   mm   dia.   Aluminium   curtain   rod   with sockets  and finishing with french polishing (without top) etc.complete.</t>
  </si>
  <si>
    <t>BDQ 19</t>
  </si>
  <si>
    <r>
      <rPr>
        <sz val="11"/>
        <rFont val="Times New Roman"/>
        <family val="1"/>
      </rPr>
      <t xml:space="preserve">Providing  and  fixing   </t>
    </r>
    <r>
      <rPr>
        <u/>
        <sz val="11"/>
        <rFont val="Times New Roman"/>
        <family val="1"/>
      </rPr>
      <t>Indian</t>
    </r>
    <r>
      <rPr>
        <sz val="11"/>
        <rFont val="Times New Roman"/>
        <family val="1"/>
      </rPr>
      <t xml:space="preserve">   teak  wood  eaves  boards  15  cm wide and  25  mm thick plain decorative type including scaffolding and painting with two coats etc. complete.</t>
    </r>
  </si>
  <si>
    <r>
      <rPr>
        <sz val="11"/>
        <rFont val="Times New Roman"/>
        <family val="1"/>
      </rPr>
      <t>Bd.Q. 19 Page
One Number 432</t>
    </r>
  </si>
  <si>
    <t>BDQ 19A</t>
  </si>
  <si>
    <r>
      <rPr>
        <sz val="11"/>
        <rFont val="Times New Roman"/>
        <family val="1"/>
      </rPr>
      <t>Providing and fixing seasoned and treated jungle wood of approved species eaves board 15  cm  wide  and  25  mm  thick  plain  decorative  type  including  scaffolding  and  painting
with two coats etc. complete.</t>
    </r>
  </si>
  <si>
    <t>BDQ 20</t>
  </si>
  <si>
    <r>
      <rPr>
        <sz val="11"/>
        <rFont val="Times New Roman"/>
        <family val="1"/>
      </rPr>
      <t>Providing  and  fixing  Teak  wood  eaves  plate  of  size  10cm  wide  and  20  mm  thick
includingscaffolding and painting in two coats etc. complete.</t>
    </r>
  </si>
  <si>
    <r>
      <rPr>
        <sz val="11"/>
        <rFont val="Times New Roman"/>
        <family val="1"/>
      </rPr>
      <t>Bd.Q.20 Page
One Number 432</t>
    </r>
  </si>
  <si>
    <t>BDQ 21</t>
  </si>
  <si>
    <r>
      <rPr>
        <sz val="11"/>
        <rFont val="Times New Roman"/>
        <family val="1"/>
      </rPr>
      <t>Providing and fixing country teak wood barge board 22 cm wide and 20mm thick plain
type including scaffolding and painting in two coats etc. complete.</t>
    </r>
  </si>
  <si>
    <r>
      <rPr>
        <sz val="11"/>
        <rFont val="Times New Roman"/>
        <family val="1"/>
      </rPr>
      <t>Bd.Q.21 Page One
Number 433</t>
    </r>
  </si>
  <si>
    <t>BDQ 21A</t>
  </si>
  <si>
    <r>
      <rPr>
        <sz val="11"/>
        <rFont val="Times New Roman"/>
        <family val="1"/>
      </rPr>
      <t>Providing and fixing seasoned and treated jungle wood of approved species barge board 22 cm  wide  and  20  mm  thick  plain  type  including  scaffolding  and  painting  in  two
coats  etc. complete.</t>
    </r>
  </si>
  <si>
    <t>Bd.Q.21 Page One Number 433</t>
  </si>
  <si>
    <t>Providing  and   fixing  shutter  to  wall  cupboard  made  from  19  mm  thick  Teak  particle board  with   approved   coloured   laminated   face   1.5   mm   thick   bonded   with   phenol formaldehyde  synthetic  resin  B.W.P.  grade  including  lipping  beading  iron  oxidised fixtures and  fastening and oil primer coat etc. complete. (Excluding cupboard frame).</t>
  </si>
  <si>
    <t>Providing and fixing Shutter to wall Cupboard consisting of Teak Wood styles and Rails 25 mm thick and 75 mm wide with panel insert of 12 mm thick particle Board with one approved coloured  Laminated  Face  on  one  side  1.5  mm  thick,  bonded  with  Phenol Formaldehyde Synthetic  Resin  including  Lipping  Beading.  Iron  oxidised  fixtures  and fastening  and  oil primer coat etc. complete. (Excluding cupboard frame).</t>
  </si>
  <si>
    <t>BDQ 22</t>
  </si>
  <si>
    <r>
      <rPr>
        <sz val="11"/>
        <rFont val="Times New Roman"/>
        <family val="1"/>
      </rPr>
      <t>Providing  and  fixing  jungle  wood  ballies  of   approved  species  85  mm  average  dia. for common  rafters, purlins, ridges, hip  and  valley rafters, jack rafters, wall  plates, post plates, posts etc. including all iron work scaffolding if necessary and oiling in one coat
etc. complete.</t>
    </r>
  </si>
  <si>
    <t>Bd.Q.22/Page One Number434</t>
  </si>
  <si>
    <t>BDQ 23</t>
  </si>
  <si>
    <r>
      <rPr>
        <sz val="11"/>
        <rFont val="Times New Roman"/>
        <family val="1"/>
      </rPr>
      <t>Providing and fixing 100 mm dia. Country  teak wood ballies for post truss of 6.00 m. span as  per  drawing  or  as  directed  by  Engineerin-charge  including  all  iron  work,
scaffolding  if necessary and oiling  etc. complete.</t>
    </r>
  </si>
  <si>
    <t>3 BDN 12 B</t>
  </si>
  <si>
    <r>
      <rPr>
        <sz val="11"/>
        <rFont val="Times New Roman"/>
        <family val="1"/>
      </rPr>
      <t>Providing  and   applying  Wax  polishing  to  the  old   wood  work  including  knotting,
preparing the surface, scaffolding etc. complete as directed.</t>
    </r>
  </si>
  <si>
    <r>
      <rPr>
        <sz val="11"/>
        <rFont val="Times New Roman"/>
        <family val="1"/>
      </rPr>
      <t>Bd.N.1.2/Page
One Number399</t>
    </r>
  </si>
  <si>
    <t>Providing and fixing 3.5 to 4 mm thick Veneer finish wall Panaling made out of 50 x 25 mm (finished size) C.C.T.W. frame work or size of 600 x 600 mm center or as per site condition covered  by  6  mm  thick  marine  plywood  of  the  generally  confiriming  to I:S  710-1980 finished  with  3.5  to  4  mm  thick  matching  Veneer  of  approved  color and  in  satin  wallnut groov  matched  veneer  pattern  and  design  including  melamine polishing  &amp;  design  with antitermite  treatment  etc.  to  plywood  and  woodwork  with ten   years   guarantee   bond  etc.  including all lead and  lifts    complete  as per  Architects Drawing and instructions of Engineer Incharge.</t>
  </si>
  <si>
    <t>Roofing and Ceiling</t>
  </si>
  <si>
    <t>BDR 1</t>
  </si>
  <si>
    <t>Providing and fixing Mangalore tiled roofing with class ' AA' tiles including securing the last course of tiles near the eaves with steel flat 40 mm x 3 mm and 1.22 mm wire fixing 50  mm  x  25   mm   horizontal   teak   wood   battens   and   iron   works   and   oiling   the battens  etc.  complete. (Excluding ridge and hip tiles).</t>
  </si>
  <si>
    <t>Bd.R.1, Page One Number 449</t>
  </si>
  <si>
    <t>BDR 2</t>
  </si>
  <si>
    <r>
      <rPr>
        <sz val="11"/>
        <rFont val="Times New Roman"/>
        <family val="1"/>
      </rPr>
      <t>Providing and fixing Mangalore tiled roofing with class 'AA' tiles including securing the last course of tiles near the eaves with steel flat 40 mm x 3 mm and 1.22 mm wire fixing country teak  wood   sloping  battens  of  25   x  12   mm  teak  wood   horizontal   battens  of 50mm x  25mm over the slopping battens, all iron work and coal tarring the battens etc.
complete (Excluding ridge and hip tiles).</t>
    </r>
  </si>
  <si>
    <t>Bd.R.2, Page One Number 450</t>
  </si>
  <si>
    <t>BDR 3</t>
  </si>
  <si>
    <t>Providing and fixing Mangalore tile ridge and hip tiles of class 'AA' including scaffolding if necessary, pointing with coloured cement mortar and curing etc. complete.</t>
  </si>
  <si>
    <t>Bd.R.3, Page One Number 450</t>
  </si>
  <si>
    <t>BDR 5</t>
  </si>
  <si>
    <r>
      <rPr>
        <sz val="11"/>
        <rFont val="Times New Roman"/>
        <family val="1"/>
      </rPr>
      <t>Providing   and   fixing   corrugated   galvanised   iron   sheets   of   0.63mm   thick   (24 B.W.G.)  for roofing without wind tiles including fastening with galvanised iron screws and  bolts,  lead  and  bitumen  washers  as  per  drawing  etc.  complete.(Weight  of  5.5
Kilogram/sq.m.).</t>
    </r>
  </si>
  <si>
    <t>Bd.R.5, Page One Number 453</t>
  </si>
  <si>
    <t>Providing and fixing plain zinc sheeting of 0.80 mm thick (22 B.W.G.) over the ridge hip or valley to galvanized iron sheet roofing including all fastening and bolt galvanised iron screws and bolts, lead and bitumen washers etc. complete.(Weight of 6.8 Kilogram/sq.m.).</t>
  </si>
  <si>
    <t>BDR 7</t>
  </si>
  <si>
    <t>Providing  and  fixing  6.00  mm  thick  ISI  mark  Asbestos  Cement  Corrugated  sheet roofing including galvanised iron 'J' or 'L' hook bolts galvanised iron band bituminous G.I. washers, galvanised iron clamps, bolts, nuts and scaffolding etc. complete.</t>
  </si>
  <si>
    <t>Bd. R.7, Page One Number 453</t>
  </si>
  <si>
    <t>BDR 9</t>
  </si>
  <si>
    <t>Providing   and   fixing   6   mm   thick   ISI   mark   Asbestos   Cement   ridge   capping   for roofing including galvanised  iron hooks, bolts, galvanised  iron and  bituminous washers, galvanised iron clamps, bolts, nuts including scaffolding etc. complete.</t>
  </si>
  <si>
    <t>Bd.R.9, Page One Number 455</t>
  </si>
  <si>
    <t>BDR 10</t>
  </si>
  <si>
    <t>Providing and fixing valley gutter of 22 B.W.G. (0.8 mm) plain galvanised iron sheets 120 cm wide  with  teak  wood  planking  20  mm  thick  including  two  coats  of  coal-tarring the  upper surface of plank etc. complete. (excluding painting to underside of plank).</t>
  </si>
  <si>
    <t>Bd. R. 10, Page One Number 455</t>
  </si>
  <si>
    <t>BDR 10A</t>
  </si>
  <si>
    <t>Providing and fixing valley gutter of 22 B.W.G. (0.8 mm) plain galvanised iron sheets 90 cm wide  with  teak  wood  planking  20  mm  thick  including  two  coats  of  coal-tarring the  upper surface of plank etc. complete.  (excluding painting to underside of plank).</t>
  </si>
  <si>
    <t>BDR 10B</t>
  </si>
  <si>
    <t>Providing and fixing valley gutter of 24 B.W.G. (0.63 mm) thick G.I. sheet 120 cm wide with 20 mm thick teak wood planking underneath coal tarring etc. complete.</t>
  </si>
  <si>
    <r>
      <rPr>
        <sz val="11"/>
        <rFont val="Times New Roman"/>
        <family val="1"/>
      </rPr>
      <t>Roofing and
Ceiling</t>
    </r>
  </si>
  <si>
    <t>BDR 11</t>
  </si>
  <si>
    <r>
      <rPr>
        <sz val="11"/>
        <rFont val="Times New Roman"/>
        <family val="1"/>
      </rPr>
      <t>Providing  and  fixing  glass  tiles  of  Mangalore  type  at  required  places  in  Mangalore  tile
roof including scaffolding if necessary etc. complete.</t>
    </r>
  </si>
  <si>
    <r>
      <rPr>
        <sz val="11"/>
        <rFont val="Times New Roman"/>
        <family val="1"/>
      </rPr>
      <t>Bd. R. 11, Page
One Number 456</t>
    </r>
  </si>
  <si>
    <t>BDR 13</t>
  </si>
  <si>
    <t>Providing  and  fixing  Mangalore  pattern  cowl  ventilator  tiles  in  the  required  places in  a Mangalore tiled roof including scaffolding if necessary etc. complete.</t>
  </si>
  <si>
    <t>Bd. R. 13, Page One Number 459</t>
  </si>
  <si>
    <t>BDR 16</t>
  </si>
  <si>
    <r>
      <rPr>
        <sz val="11"/>
        <rFont val="Times New Roman"/>
        <family val="1"/>
      </rPr>
      <t>Providing and fixing false ceiling of plain asbestos cement sheets 4 mm thick with teak wood beadings 45 x 12 mm with frame work of teak wood battens of size 70 x 60 mm at
1.00  M  center   to   center   including   scaffolding,   if   necessary,   all   iron   work   and painting   (visible  surfaces)  to  A.C.  sheet  and  beading  in  two  coats  etc.  complete.
(excluding T.W. runner to be paid separately).</t>
    </r>
  </si>
  <si>
    <t>Bd.R.16, Page One Number 460</t>
  </si>
  <si>
    <t>BDR</t>
  </si>
  <si>
    <r>
      <rPr>
        <sz val="11"/>
        <rFont val="Times New Roman"/>
        <family val="1"/>
      </rPr>
      <t>Providing  and  fixing  frame  work  of  anodised  aluminium  sections  for  suspended  false ceiling consisting of aluminium T 50 mm x 40 mm weighing 0.39 Kilogram/m. at 60 cms c/c and fixed with ( 15 x 15 mm) flanges weighing 0.119 Kilogram/m suspended on 6 mm dia. mild steel rod weighing 0.22 Kilogram/m fixed on wall and beams including rounding of  the  edges  with  aluminium  T  of  50  mm  x  40  mm  weighing  0.39  Kilogram/m  etc.
including all labour etc. complete.</t>
    </r>
  </si>
  <si>
    <t>Providing   and   fixing   frame   work   of   galvanised   iron   for   suspended   false   ceiling which  includes   galvanised   iron   perimeter   channels   of   size   27   mm   and   0.5   mm thick   having   one flange of 20 mm and another of 30 mm along with   perimeter of the ceiling,  fixing  in  brick  wall   /   partition   with   the   help   of   rawal   plugs   and   screws, suspending  galvenised  iron intermediate channels of size 45 mm and 0.9 mm thick with two flanges of 15 mm each from the soffit at 1200 mm centers with  steel galvanised  iron hanger  of  width   25  mm  x  0.5   mm  fasteners,   ceiling   section   of   0.5   mm   thickness having  curved  wedge  of  51.5  mm  and  two flanges of 26 mm each with lips of 10.5 mm fixed to the intermediate channel with the help of connecting clips and in direction perpendicular to the intermediate channel at 450 mm centers, 12.5 mm dry walls screws at 230 mm centers; fixing screws mechanically either with screw driver or drilling machine with suitable attachment etc. complete.</t>
  </si>
  <si>
    <t>BDR 17</t>
  </si>
  <si>
    <t>Providing and  fixing false ceiling of teak wood  particle board  half perforated sheet 12 mm thick including scaffolding, if necessary, all iron work and two coats of oil painting to boards and beading i.e. visible surface  etc. complete. (excluding frame work and runners)</t>
  </si>
  <si>
    <t>Bd. R. 17 Page One Number 461</t>
  </si>
  <si>
    <r>
      <rPr>
        <sz val="11"/>
        <rFont val="Times New Roman"/>
        <family val="1"/>
      </rPr>
      <t>Providing  and  fixing  false  ceiling  of  10  to  12  mm  thick  decorative  boards  of  fibrous plaster of paris including scaffolding if necessary all architectural  work like  mouldings, cornices,  coves,  domes,   cups   as   per   detailed   drawings   and   three   coats   of   spray painting   to   boards   etc.  complete.  (excluding  frame  work,  runners  and  mild  steel
suspenders).</t>
    </r>
  </si>
  <si>
    <t>BDR 19</t>
  </si>
  <si>
    <t>Providing  and  fixing  false  ceiling  of  12mm  thick   as  per  drawings  including  powder coated G.I. wall angle of 20mm x 20mm size, G.I. grid  runners of size 20mm x 38mm at 600mm center  to  center  both  ways  and  suspended  using  G.I.  3mm  wire  including fixing   using  butterfly   clips   and   fasteners   including   transporting,   scaffolding   all necessary  labour  and machinery, finishing etc. complete.</t>
  </si>
  <si>
    <t>Bd. R. 19 Page One Number 462</t>
  </si>
  <si>
    <r>
      <rPr>
        <sz val="11"/>
        <rFont val="Times New Roman"/>
        <family val="1"/>
      </rPr>
      <t>Providing  and   fixing  false  ceiling  of  15mm  thick  as  per  drawings  including  powder coated G.I. wall angle of 20 mm x 20 mm x 0.60 mm size, G.I. grid runners of size 15 mm x  38  mm  at  600  mm  center  to  center  both  ways  and  suspended  using  G.I.  3  mm  wire including fixing using butterfly clips and fasteners including transporting, scaffolding all
necessary labour and machinery, finishing etc. complete.</t>
    </r>
  </si>
  <si>
    <r>
      <rPr>
        <sz val="11"/>
        <rFont val="Times New Roman"/>
        <family val="1"/>
      </rPr>
      <t>Providing  and  fixing  false  ceiling  of  T.W.  partical  board  half  perforated  sheets  12  mm thick with frame work of M.S. angle 40 x 40 x 5 mm and T of size 40 x 40 x 6 mm at 60 cm center to center including 12 mm dia. hangers, T.W. battens 50 x 25 mm and beading 25  x  15  mm thick  scaffolding,  if  necessary,  all iron  work  and  two  coats  of  painting  to
boards and beading i.e. visible surface etc. complete.</t>
    </r>
  </si>
  <si>
    <t>Bd. R. 17, Page One Number 461</t>
  </si>
  <si>
    <r>
      <rPr>
        <sz val="11"/>
        <rFont val="Times New Roman"/>
        <family val="1"/>
      </rPr>
      <t>Providing and fixing False ceiling of 12 mm thick Laminated board with frame of M.S. angle 40 x 40 x 5 mm and Tee of size 40 x 40 x 6mm at 60 cm c/c including 12 mm dia. hangers,  T.W.  battens  50  x  25  mm  and   beading  25  x  15   mm  thick  scaffolding  if
necessary, all Iron work etc. complete.</t>
    </r>
  </si>
  <si>
    <t>Providing and applying two coats of bitumen to roof on new dungaree cloth one coat on each side etc. complete as directed.</t>
  </si>
  <si>
    <t>Providing and applying one coat of bitumen to roof (without cloth) including scaffolding etc. complete as directed.</t>
  </si>
  <si>
    <r>
      <rPr>
        <sz val="11"/>
        <rFont val="Times New Roman"/>
        <family val="1"/>
      </rPr>
      <t>Removing  and  resetting  Mangalore  tiles  from  roof  including  refixing  loose  battens
etc. complete.</t>
    </r>
  </si>
  <si>
    <r>
      <rPr>
        <sz val="11"/>
        <rFont val="Times New Roman"/>
        <family val="1"/>
      </rPr>
      <t>Removing  the  tiles,  battens  and  dungry cloth  purlins,  rafters  and  ridges  etc.  from  roof, sorting  out  the  serviceable  and  unserviceable  materials  and  stacking  the  same  as  and
where directed in the compound, scaffolding etc. complete.</t>
    </r>
  </si>
  <si>
    <r>
      <rPr>
        <sz val="11"/>
        <rFont val="Times New Roman"/>
        <family val="1"/>
      </rPr>
      <t>Removing  G.I.  or  A.C.  sheet  roofing  including  purlins,  principal  rafters  etc.  including
sorting  serviceable   and   unserviceable   materials,   stacking   the   same   as   and   where directed  in  the compound including scaffolding etc. complete.</t>
    </r>
  </si>
  <si>
    <t>Removing  and  lowering  the  roof  truss  carefully  without  damaging  the  members  and stacking as and where directed in the compound including scaffolding etc. complete.</t>
  </si>
  <si>
    <t>Removing  R.S.  girders  of  any  size  and  span  lowering  the  same  and  stacking  neatly wherever directed in the compound scaffolding etc. complete.</t>
  </si>
  <si>
    <r>
      <rPr>
        <sz val="11"/>
        <rFont val="Times New Roman"/>
        <family val="1"/>
      </rPr>
      <t xml:space="preserve">Providing fixing </t>
    </r>
    <r>
      <rPr>
        <u/>
        <sz val="11"/>
        <rFont val="Times New Roman"/>
        <family val="1"/>
      </rPr>
      <t>country</t>
    </r>
    <r>
      <rPr>
        <sz val="11"/>
        <rFont val="Times New Roman"/>
        <family val="1"/>
      </rPr>
      <t xml:space="preserve">  teak wood battens 50 mm x 25 mm for Mangalore tile roof work
with all iron work scaffolding and oiling the battens etc. complete.</t>
    </r>
  </si>
  <si>
    <t>Providing fixing teak wood battens 25 mm x 12 mm for Mangalore tile roof work with iron work scaffolding and oiling the battens  etc. complete.</t>
  </si>
  <si>
    <r>
      <rPr>
        <sz val="11"/>
        <rFont val="Times New Roman"/>
        <family val="1"/>
      </rPr>
      <t xml:space="preserve">Providing and fixing sky light in R.C.C. roof including frame made of M.S. angle 50 x 50 x  6  mm  with  hold  fast,  sheet  glass  </t>
    </r>
    <r>
      <rPr>
        <u/>
        <sz val="11"/>
        <rFont val="Times New Roman"/>
        <family val="1"/>
      </rPr>
      <t>12 mm</t>
    </r>
    <r>
      <rPr>
        <sz val="11"/>
        <rFont val="Times New Roman"/>
        <family val="1"/>
      </rPr>
      <t xml:space="preserve">  thick,  Chicken  mesh  24  gauge  with  all accessories and required fixtures and fastening fitting including painting etc. complete.</t>
    </r>
  </si>
  <si>
    <r>
      <rPr>
        <sz val="11"/>
        <rFont val="Times New Roman"/>
        <family val="1"/>
      </rPr>
      <t>Providing   and  fixing   12  mm  dia.   mild  steel  bar  upto   0.5  M.   length   for   anchor
rods  with necessary threading nuts and bolts etc. complete.</t>
    </r>
  </si>
  <si>
    <r>
      <rPr>
        <sz val="11"/>
        <rFont val="Times New Roman"/>
        <family val="1"/>
      </rPr>
      <t>Providing  fixing  Mangalore  tile  roofing  with  class  AA  tiles  in  cement  mortar  1:4  on
sloping slab including necessary scaffolding, curing, finishing, etc. complete.</t>
    </r>
  </si>
  <si>
    <r>
      <rPr>
        <sz val="11"/>
        <rFont val="Times New Roman"/>
        <family val="1"/>
      </rPr>
      <t>Bd. R. 3A., Page
One Number 449</t>
    </r>
  </si>
  <si>
    <t>Providing and  fixing colour  coated  Zincalume (  R  )  AZ150  (  min  150  gms/sq.mt. total  on each side ) profiled sheets for roofing. The feed material is manufactured out of nominal 0.45 mm Base Metal Thickness ( BMT ) (0.5 mm TCT ), Hi-strength steel with min.550  MPa  yield  strength,   metallic   hot   dip   coated   with   Aluminium-Zinc   alloy (55%  aluminium 43.4%  zinc 1.6% silicon) with COLORBOND ( R ) steel quality super durable polyester paint coat ( with inorganic  pigment).  The  paint  shall  have  a  total coating  thickness  of  nominal  35  um, comprising of nominal 25 um exterior coat on top surface and nominal 10 um reverse coat on back surface. Profile sheet shall have nom. 950- 1050  mm  effective  cover  width  and  nominal  25-30  mm  deep  ribs  with  subtle  square fluting in the five pan at nominal 180-250 mm center- to-center.  The end  rib  shall  be designed  for  anti-capillary  groove.  and  return  leg.  The  feed material should have coil manufacturers  product  details  marked  a  regular  interval.  Including  fasteners  with  min. fastened  with  min.  25  um  Zinc-Tin  alloy  coated,  Hex  head,  self-drilling  screw  etc. complete. (weight of profile 4.52 Kilogram/ One Square Metre)</t>
  </si>
  <si>
    <t>Providing and fixing of colour coated Zincaluminium( R ) AZ150 ( min 150 gms/sq.mt. total on each side ) profiled sheets for roofing. The feed material is manufactured out of nominal 0.45 mm Base Metal Thickness ( BMT ) (0.5 mm TCT ), Hi-strength steel with min.550  MPa  yield  strength,  metallic  hot  dip  coated  withAluminium-Zinc  alloy  (55% aluminiumm  43.4%  zinc  1.6%  silicon)  with  COLORBOND  (  R  )  steel  quality  super durable  polyster  paint  coat  (  with   inorganic  pigment).  The  paint  shall   have  a   total coating thickness of  nominal 35  mm, comprising of nominal 25mmexterior coat on top surface and nominal 10 um reverse coat on back surface. Profile sheet shall have nom. 950- 1050  mm  effective  cover  width  and  nominal  25-30  mm  deep  ribs  with  sublet  square fluting in the five pan at nominal 180-250 mmcenter- to-center.  The  end  rib  shall  be designed  for  anti-capacity  groove.  and  return  leg.  The  feed material should have coil manufacturers  product  details  marked  a  regular  interval.  including  fasteners  with  min. fastened  with  min.  25  um  Zinc-Tin  alloy  coated,  Hex  head,  self-drilling  screw  etc. complete. (weight of profile 4.52 Kilogram/ One Square Metre)  600 mm girth (Surface Width).</t>
  </si>
  <si>
    <t>Providing and fixing of colour coated Zinc aluminium ( R ) AZ150 ( min 150 gms/sq.mt. total on each side ) profiled sheets for roofing. The feed material is manufactured out of nominal 0.45 mm Base Metal Thickness ( BMT ) (0.5 mm TCT ), Hi-strength steel with min.550  MPa  yield  strength,  metallic  hot  dip  coated  with  Aluminium-Zinc  alloy  (55% aluminiumm  43.4%  zinc  1.6%  silicon)  with  COLORBOND  (  R  )  steel  quality  super durable  polyster  paint  coat  (  with   inorganic   pigment).   The   paint   shall   have  a   total coating  thickness  of  nominal  35  um, comprising of nominal 25um exterior coat on top surface and nominal 10 um reverse coat on back surface. Profile sheet shall have nom. 950- 1050  mm  effective  cover  width  and  nominal  25-30  mm  deep  ribs  with  subtle  square fluting in the five pan at nominal 180-250 mm center- to-center.  The  end  rib  shall  be designed  for  anti-capacity  groove.  and  return  leg.  The  feed material should have coil manufacturers  product  details  marked  a  regular  interval.  including  fasteners  with  min. fastened  with  min.  25  um  Zinc-Tin  alloy  coated,  Hex  head,  self-drilling  screw  etc. complete. (weight of profile 4.52 Kilogram/ One Square Metre)  900 mm girth (Surface Width).</t>
  </si>
  <si>
    <r>
      <rPr>
        <sz val="11"/>
        <rFont val="Times New Roman"/>
        <family val="1"/>
      </rPr>
      <t>Providing   and   fixing   UPVC   Roof   made   up   of   3   layers   roofing  material   of thickness  2mm having width of 1130 mm and of required Length having Tensile strength not  less  than  330  Kilogram/cm2,  including  fastening  with  self  drilling  screw  having
washers made of stainless steel etc. complete.</t>
    </r>
  </si>
  <si>
    <r>
      <rPr>
        <sz val="11"/>
        <rFont val="Times New Roman"/>
        <family val="1"/>
      </rPr>
      <t>Providing  and   fixing  PVC   coloured   Ridge  tiles  over   UPVC  roofing  where  required
having size  113cm  x  41cm   for  ridge  including  fastening  with  self  drilling  screw having  washers made of stainless steel etc. complete.</t>
    </r>
  </si>
  <si>
    <t>Providing  and  fixing  15  mm  thick  eco-friendly  densified  edge  calcium  silicate  false ceiling  of   approved   texture   of   size   595mm   x   595mm   in   true  horizontal  level, suspended on interlocking metal grid of hot dipped galvanized steel sections (galvanising at  @12  gm/sq.m  including  both  sides) consisting  of  main  T  runner  suitably spaced at    joints    to    get    required    length    and    size    24X38mm.    made    from    0.33mm thick(minimum ) sheet, spaced 1200mm center to center and cross T  of size 24X28mm made of 0.33mm thick(minimum ) sheet to be interlocked at the middle of the 1200x600 mm panel to form the grid of size 600x600mm resting on periphery walls/partitions on a perimeter  wall  angle  precoated   steel  of  size  24x24x3000  made  of  0.4  mm  thick (minimum) sheet with  the help of all plugs at 450mm and laying 15 mm thick densified edges calcium silicate ceiling tiles of approved texture (spintone/cosmos/hexa) in the grid, including light fittings , fixtures , smoke detectors etc., wherever required. Main T runners suspended  from  ceiling  with  using  G.I.  slotted  cleats  of  size  25x35x1.6  mm  fixed  to ceiling using 12.5mm dia. And 50mm long dash   fasteners,   4mm   G.I.   adjustable   rods with   galvanized   steel   levels   clips   of   size 85x30x0.8mm, spaced at 1200mm center to  center  along  main  T  bottom  exposed  with  24mm  of   all   T-sections   shall   be prepainted  with  polyester  baked  paint,  for  all  heights,  as  per specifications, drawings etc. complete.(currently this item should be used only for VIP cabins)</t>
  </si>
  <si>
    <r>
      <rPr>
        <sz val="11"/>
        <rFont val="Times New Roman"/>
        <family val="1"/>
      </rPr>
      <t>Providing   and   fixing   false   ceiling   with   eco-friendly   light-weight   calcium   silicate tiles   of  spintone  surface  texture  aerolite  make  or  equivalent  of  size  595mm  x  595mm having  15mm  thick   densified   micro   look   edge   and   100%   humidity   resistance incombustible  as  per  BS 46part IV and thermal conductivity 0.043 w/m 0 KC and NRC
0.50 placed in true horizontal level  suspended  grid   of  size  600x600mm  made  from hot   dipped   G.I.   steel   sections   ion  silhouette  profile,  rotary  stitched  double  webbed white   with   6mm   reveal   profile   (white/black),   wherein,   main    T   runner   of   size 42mmx14mm  between  main  tee  600mm  center-tocenter  and  secondary  cross  T  of  size 33x14x0.43mm thick of length 600mm long spaced inter-locked at middle  of  the  first crossed  T  in  each  panel  to  form  grid  of  1200mmx600mm  resting  on periphery  wall Profile  wall  section  19mm (7+7)  x  19mmx0.40thicknesses  and  laying  false ceiling for   services  like  diffusers   grills   including cutting,   making opening  for  light   fittings, fixtures,  ,  smoke detectors  etc.,  wherever  required. Main  T runners  suspended  from ceiling with using G.I. soffit cleats of size 25x35x1.6 mm of required length fixed to the ceiling with 6mm  dia  and   50mm  long  dash   fastener,  4mm  dia  G.I.   adjustable  rods
with    powder-  coated/good   quality   G.I.   level   adjustment   clips   of   35x35x0.8mm spaced   @1200,   center-to-  center  along  main  T  all  complete  at  all  heights  as  per  the specifications, drawings and as per</t>
    </r>
  </si>
  <si>
    <r>
      <rPr>
        <sz val="11"/>
        <rFont val="Times New Roman"/>
        <family val="1"/>
      </rPr>
      <t>Providing and fixing self supporting steel roofing system  for a Godown or alike made up of  structural  grade  steel  sheet  of  912  millimeter  width  (  tolerance  +/-  2  millimeter  ), moulded at site using mechanical press dies to the desired curve and shape to form 605 millimeter wide interlocking panels . The interlocking panels shall be pressed to close the seam forming water tight joints for a span of 15.30 meter having arch rise as 3.06 meter, arch  length  17.75  meter.  The  base  material  made  up  of  imported   galvalume  steel complying to ASTM A792  having base metal thickness of 0.80 millimeter ( tolerace + / -
0.02 millimeter ) with alloy coating AZ 150 and paint coating of regular modified polyster
, top coat 25 micron and bottom coat 12 micron as per approved colour , including fixing hangers , clamps etc.as may be necessary of Proflex standard, including fixing sky light of 2 millimeter thick polycarbonate sheet of size 2' x 7' and turbo ventilator of 24'' diameter to be installed at every 30 feet  along the  length of  roof including  finishing, testing  and cleaning etc. complete.</t>
    </r>
  </si>
  <si>
    <r>
      <rPr>
        <sz val="11"/>
        <rFont val="Times New Roman"/>
        <family val="1"/>
      </rPr>
      <t>Providing and fixing self supporting steel roofing system  for a Godown or alike made up of  structural  grade  steel  sheet  of  912  millimeter  width  (  tolerance  +  /  -  2  millimeter  ), moulded at site using mechanical press dies to the desired curve and shape to form 605 millimeter wide interlocking panels . The interlocking panels shall be pressed to close the seam forming water tight joints for a span of 21.30 meter having arch rise as 4.26 meter, arch  length  25.13  meter.  The  base  material  made  up  of  imported   galvalume  steel complying to ASTM A792  having base metal thickness of 1.00 millimeter ( tolerace + / -
0.02 millimeter ) with alloy coating AZ 150 and paint coating of regular modified polyster
, top coat 25 micron and bottom coat 12 micron as per approved colour , including fixing hangers , clamps etc.as may be necessary of Proflex standard, including fixing sky light of 2 millimeter thick polycarbonate sheet of size 2' x 14' and turbo ventilator of 24'' diameter to be installed at every 30 feet along the length of roof including finishing , testing and cleaning etc. complete.</t>
    </r>
  </si>
  <si>
    <r>
      <rPr>
        <sz val="11"/>
        <rFont val="Times New Roman"/>
        <family val="1"/>
      </rPr>
      <t>Providing and fixing self supporting steel roofing system for a Godown or alike made up of  structural  grade  steel  sheet  of  912  millimeter  width  (  tolerance  +  /  -  2  millimeter  ), moulded at site using mechanical press dies to the desired curve and shape to form 605 millimeter wide interlocking panels . The interlocking panels shall be pressed to close the seam forming water tight joints for a span of 25.00 meter having arch rise as 5.00 meter, arch  length  29.00  meter  The  base  material  made  up  of  imported   galvalume  steel complying to ASTM A792  having base metal thickness of 1.20 millimeter ( tolerace + / -
0.02 millimeter ) with alloy coating AZ 150 and paint coating of regular modified polyster
, top coat 25 micron and bottom coat 12 micron as per approved colour , including fixing hangers , clamps etc.as may be necessary of Proflex standard, including fixing sky light of 2 millimeter thick polycarbonate sheet of size 2' x 14' and turbo ventilator of 24'' diameter to be installed at every 30 feet along the length of roof including finishing , testing and cleaning etc. complete.</t>
    </r>
  </si>
  <si>
    <r>
      <rPr>
        <sz val="11"/>
        <rFont val="Times New Roman"/>
        <family val="1"/>
      </rPr>
      <t>Providing and fixing self supporting steel roofing system  for a Godown or alike made up of  structural  grade  steel  sheet  of  912  millimeter  width  (  tolerance  +  /  -  2  millimeter  ), moulded at site using mechanical press dies to the desired curve and shape to form 605 millimeter wide interlocking panels . The interlocking panels shall be pressed to close the seam forming water tight joints for a span of 28.75 meter having arch rise as 5.75 meter, arch  length  33.92  meter.  The  base  material  made  up  of  imported   galvalume  steel complying to ASTM A792  having base metal thickness of 1.40 millimeter ( tolerace + / -
0.02 millimeter ) with alloy coating AZ 150 and paint coating of regular modified polyster
, top coat 25 micron and bottom coat 12 micron as perapproved colour , including fixing hangers , clamps etc.as may be necessary of Proflex standard, including fixing sky light of 2 millimeter thick polycarbonate sheet of size 2' x 14' and turbo ventilator of 24'' diameter to be installed at every 30 feet along the length of roof including finishing , testing and cleaning etc. complete.</t>
    </r>
  </si>
  <si>
    <t>Providing   and   Fixing   of    Mineral   Fibre   Board   Acoustical   Suspended   Ceiling System  with ultima  (Bevelled  Tegular)  Edge Tiles  of  size 15mm Exposed  GRID.  The tiles  should  have Humidity Resistance (RH) of 99%, NRC 0.7, Light Reflectance 85%, Thermal  Conductivity  k  =  0.052  -  0.057  w/m  K,  Colour  White,  Fire  Performance  UK Class 0 / Class 1 (BS 476 pt - 6 &amp;7) in module size of 600 x 600 x 20mm , suitable for Green  Building  application,  with  Recycled  content  of  32%.  The  tile  shall  be  laid  on precoated G.I.channel on  XL2 Clip having a web height of 32 mm   with  15 mm wide T - section flanges colour white having rotary stitching on all T sections i.e. the Main Runner, 1200  mm  and  600  mm  Cross  Tees  with  a  web  height  of  32  mm  and   a  load  carrying capacity of 7.7 Kilograms/M2 and  minimum pull out strength of 100 Kilograms.. The T Sections have a Galvanizing of 90 grams per M2 and need to be installed with Suspension system. The Tile and Grid system used together should carry a 10 year warranty. products approved as per GRIHA and BS 476 etc. complete.</t>
  </si>
  <si>
    <r>
      <rPr>
        <sz val="11"/>
        <rFont val="Times New Roman"/>
        <family val="1"/>
      </rPr>
      <t>Providing  and  Fixing  of  Mineral  Fibre  Suspended   Ceiling  System  with  Bioguard (Bevelled Tegular)  EDGE  TILES   WITH   15mm  Exposed  GRID.  The  tiles   should have  Humidity Resistance (RH) of  99%, Light  Reflectance 90%,  Thermal Conductivity k =  0.052  -  0.057 w/m K,  Colour  White,  Fire  Performance  UK  Class  0/Class  1  (BS
476  Part  6  and  7),     in module size of 600x600 x 16mm with Anti Microbial coating on the face of the tile, suitable for  Green  Building  application,  with  Recycled  content of  34%.  The  tile  shall  be  laid  on precoated G.I. channel on  XL2 Clip having  a web height  of  32  mm   32  with  15  mm  wide  T  - section  flanges  colour  white  having  rotary stitching on all T sections i.e. the Main Runner and 1200  mm  Cross  Tees  with  a  web height   of   32   mm   and   a   load   carrying   capacity  of   7.7  Kilograms/M2  and  pull  out strength of 100Kilograms. . The T Sections have a Galvanizing of 90 grams per M2 and need  to  be  installed  with  Suspension  system   The  Tile  and  Grid  system  used  together should carry a 10 year warranty. products approved at GRIHA and BS 476 etc. complete.</t>
    </r>
  </si>
  <si>
    <t>Providing  and  Fixing   Soft  Fibre  Acoustical  Suspended  Ceiling  System  with  Optra (Bevelled  Tegular)  Edge  Tiles  of  size  15mm  Exposed  Grid.  The  tiles  should  have Humidity  Resistance  (RH)  of  95%,  NRC  0.9  -  1.0,  Light  Reflectance  ?85%,  Colour White, Fire Performance UK Class 0 / Class 1 (BS 476 pt - 6 &amp;7) in module size of 600 x 600 x 15mm , suitable for Green Building application, with Recycled content of 66% GW and 74% RW. The tile shall be laid on precoated G.I channel 32 with 15 mm wide T  - section flanges colour white having rotary stitching on all T sections i.e. the Main Runner, 1200  mm  and  600  mm  Cross  Tees  with  a  web  height  of  32  mm  and  a  load  carrying capacity of 7 Kilograms/M2 with a minimum pull out strength of 100 Kilograms. The T Sections have a Galvanizing of 90 grams per M2 and need to be installed with Suspension system The Tile and Grid system used together should carry a 10 year warranty.  products approved as per GRIHA and BS 476 etc. complete.</t>
  </si>
  <si>
    <r>
      <rPr>
        <sz val="11"/>
        <rFont val="Times New Roman"/>
        <family val="1"/>
      </rPr>
      <t>Providing and Fixing of GI Lay in Plain metal ceiling consisting of 600x600mm Lay in tiles of pre coated galvanized steel in 0.5 mm thickness  in Global white color tile to be laid  on   grid  systems  with  15mm  wide  T  -  section  flanges  color  white  having  rotary stitching on the Main Runner, 1200  mm and  600 mm Cross Tees.Providing and  Fixing of GI Lay in Plain  metal ceiling  consisting  of  600x600mm  Lay  in  tiles  of  pre  coated galvanized   steel   in   0.5   mm  thickness  in  Global  white  color  tile  to  be  laid  on  grid systems  with 15mm wide T  - section flanges color white having rotary stitching on the Main Runner, 1200 mm and 600 mm Cross Tees.products approved as per GRIHA and
BS 476 etc. complete.</t>
    </r>
  </si>
  <si>
    <t>Providing   and   Fixing    Mineral   Fibre   Acoustical   Suspended   Ceiling   System   with Dune (Bevelled Tegular) Edge Tiles of size 15mm Exposed Grid. The tiles should have Humidity   Resistance   (RH)   of   99%,NRC   0.5,   Light   Reflectance   85%,   Thermal Conductivity k  =  0.052  - 0.057  w/m K,  Colour  White,  Fire  Performance  UK  Class  0  / Class 1 (BS 476 pt - 6 &amp;7) in module size of 600 x 600 x 16mm , with Recycled content of 35 %. The tile shall be laid on precoated  G.I.channel  height 32  with  15  mm wide T - section flanges  colour white having rotary stitching and XL2 CLIP on all T sections i.e. the Main Runner, 1200 mm and 600 mm Cross Tees with a web height of 32mm and a load  carrying  capacity  of  7.57  Kilograms/M2  and  pull  out  stength  of  minimum  100 Kilograms..  The  T  Sections  have  a  Galvanizing  of  90  grams   per  M2   and   need   to  be installed  with   Suspension   system.   The  Tile  and   Grid   system  used   together   should carry  a  10  year  warranty.approved  as  per  GRIHA  and  BS  476  etc. complete.</t>
  </si>
  <si>
    <t>Providing  and  Fixing  Mineral  Fibre  Acoustical  Suspended  Ceiling  System  with  Fine Fissured (Bevelled Tegular) Edge Tiles of size 15mm Exposed Grid. The tiles should have Humidity   Resistance   (RH)   of   99%,NRC   0.6,   Light   Reflectance   85%,   Thermal Conductivity k  =  0.052  - 0.057  w/m K,  Colour  White,  Fire  Performance  UK  Class  0  / Class 1 (BS 476 pt - 6 &amp;7) in module size of 600 x 600 x 16mm , with Recycled content of 31 %. The tile shall be laid on precoated G.I channel height of 32 with 15 mm wide T - section flanges colour white having rotary stitching and XL2 CLIP on all T sections i.e. the Main Runner, 1200 mm and 600 mm Cross Tees with a web height of 32mm and a load  carrying  capacity  of  7.57  Kilograms/M2  and  pull  out  stength  of  minimum  100 Kilograms..  The  T  Sections  have  a  Galvanizing  of  90  grams   per  M2   and   need   to  be installed with  Suspension  system.  The Tile and  Grid  system used together should carry a 10 year warranty. product approved in GRIHA and BS 476 etc. complete.</t>
  </si>
  <si>
    <r>
      <rPr>
        <sz val="11"/>
        <rFont val="Times New Roman"/>
        <family val="1"/>
      </rPr>
      <t>Providing   and  fixing  in  position  Gypsum board  false  ceiling  with   12.5  mm thick Gypsum  boards,    screwed/fixed   to   the   under   structure   of   suspended   G.I.   Grid constructed  and suspended from the main ceiling consisting of ceiling sections of size 25 x 50 mm maximum center  to  center  distance  of  600  milimetre  perimeter  channel  and intermediate   channels   at  maximum   center   to   center   distance   1200   milimetre galvanized  grid  should  be  fixed  to reinforced cement concrete slab. The gypsum board should  be  fixed  to  galvanized  iron  grid  with  necessary  screws.   The  boards  should  be
taped and filled from underside to give smooth, seamless   ceiling.    The   rate    should include   necessary   additional   ceiling   sections   and intermediate channels.  Additional intermediate channels should be fixed to strap hangers for additional support to prevent strapping at every 1200 milimetre item to be completed in  all respect including necessary sleeves for ducts finishing of joints cut outs, painting including labour, material, lifts etc. all complete.</t>
    </r>
  </si>
  <si>
    <t>Providing and fixing Modular false ceiling of 600 x 600 mm center to center and 13 mm thick  square  mineral fiber  board  to  be  fixed  on  frame  work  of  alluminium sections  for suspended false  ceiling   consisting   of  alluminium  T   2”x1  ½”  (50  mm  x  40  mm) weighing  0.39 Kilogram/m at 60 cms center center and fixed with ½” x ½” (15 x 15 mm) flanges weighing 0.19 Kilogram/m suspended on 6 mm dia mild steel rod weighing 0.22 Kilogram/m, fixed on wall and beams including rounding of the edges with alluinium T of 2” x 1 ½” (50 mm x 40 mm) weighing 0.39 Kilogram/m etc. (all alluminium sections shall be anodized) including all labour, material, lifts etc. complete.</t>
  </si>
  <si>
    <t>Roofing and Ceiling ( New Item)</t>
  </si>
  <si>
    <r>
      <rPr>
        <sz val="11"/>
        <rFont val="Times New Roman"/>
        <family val="1"/>
      </rPr>
      <t>Providing and fixing self supporting steel roofing system (Proflex) for a Godown or alike made  up  of  structural  grade  steel  sheet  of  912  millimeter  width  (  tolerance  +  /  -  2 millimeter ), moulded at site using mechanical press dies to the desired curve and shape to form 605 millimeter wide interlocking panels . The interlocking panels shall be pressed to close the seam forming water tight joints for a span of 32.5 meter having arch rise as 6.5 meter,  arch  length  37.7  meter.  The  base  material  made  up  of  imported  galvalume  steel complying to ASTM A792 having base metal thickness of 1.60 millimeter ( tolerace + / -
0.02 millimeter ) with alloy coating AZ 150 and paint coating of regular modified polyster
, top coat 25 micron and bottom coat 12 micron as perapproved colour , including fixing hangers , clamps etc.as may be necessary of Proflex standard, including fixing sky light of 2 millimeter thick polycarbonate sheet of size 2' x 14' and turbo ventilator of 24'' diameter to be installed at every 30 feet along the length of roof including finishing , testing and cleaning etc. complete.</t>
    </r>
  </si>
  <si>
    <t>Doors and Windows</t>
  </si>
  <si>
    <t>BDT</t>
  </si>
  <si>
    <t>Providing and fixing frame with / without ventilator of size as specified with Country cut teak wood for doors and windows including chamfering, rounding, rebating, iron holdfast of size 300mm x 40mm x 5mm with oil painting, etc. complete</t>
  </si>
  <si>
    <t>Providing and  fixing frame with  /  without ventilator  of size as specified  with  Country non  teak  wood  for  doors  and  windows  including  chamfering,  rounding,  rebating,  iron holdfast of size 300mm x 40mm x 5mm with oil painting, etc. complete.</t>
  </si>
  <si>
    <t>BDT-4</t>
  </si>
  <si>
    <t>Providing  and  fixing  the  Country  cut  teak  wood  second  class  fully  glazed  openable fanlight  rectangular in shape as  per detailed  drawing excluding  the frame,stainless  steel fixtures and fastenings and finishing the wood work with 3 coats of oil painting.</t>
  </si>
  <si>
    <t>BD-T-4 Page One Number 479</t>
  </si>
  <si>
    <t>BDT 7 and 8</t>
  </si>
  <si>
    <r>
      <rPr>
        <sz val="11"/>
        <rFont val="Times New Roman"/>
        <family val="1"/>
      </rPr>
      <t>Providing  and  fixing  Country  cut  teak  wood  double  or  single  leaf  second  class  fully panelled  door  shutter  with  35mm  thick  style  and  rail  with  25  mm  thick  panels  with openable fan light as per detailed  drawings. Excluding the door frame 60mm x 100mm stainless steel fixtures and  fastening  and  finishing  the  wood  work  with  oil  painting
3  coats.  (Excluding  the  door frame)</t>
    </r>
  </si>
  <si>
    <t>BD-T-7 and 8 Page One Number 481-82</t>
  </si>
  <si>
    <t>BDT-11</t>
  </si>
  <si>
    <t>Providing  and  fixing  Country  cut  teak  wood  single  leaf  panelled  door  shutter  without fanlight and 25mm thick as per drawing consisting of  T.W. top rail size 100mm x 25mm and bottom lock  rail  200mm  x  25mm  insert  pannel  12  mm  thick  commercial  ply faced    T.W.    particle   board   with   phenol   formaldehyde   synthetic   resin   (Generally confirming  to  ISI  3097)  excluding  frame,    including   stainless    steel   fixture    and fastening  and  T.W.   beading  to  junctions  of panelled inserts  and as instructed by the Engineer in charge including 3 coats of oil painting etc. complete.</t>
  </si>
  <si>
    <r>
      <rPr>
        <sz val="11"/>
        <rFont val="Times New Roman"/>
        <family val="1"/>
      </rPr>
      <t>Providing  and  fixing  single  leaf  panelled  door  shutter  without  fanlight  and  shutter
35  mm thick as per drawing consisting of T.W. top rail size 100mm x 35 mm and bottom and  lock  rail  200mm  x  35mm  insert  panel  12  mm  thick  commercial  ply  faced  T.W. particle board with phenol  formaldehyde  synthetic  resin  (Generally  confirming  to  ISI 3097)  excluding  frame, including stainless steel fixtures fastening and T.W. beading at junction of panels inserts and as instructed by the Engineer in charge including 3 coats of oil painting etc. complete.</t>
    </r>
  </si>
  <si>
    <r>
      <rPr>
        <sz val="11"/>
        <rFont val="Times New Roman"/>
        <family val="1"/>
      </rPr>
      <t>Providing  and  fixing  single  or  double  leaf  panelled  door  shutter  excluding  frame  with glazed   openable    fanlight    shutter    35    mm    thick    as    per    detailed    drawing consistingpanelled  vertical styles 100 mm x 35 mm and lock and bottom rail 200 mm x 35 mm and panels 12 mm thick both side commercial ply faced particle
board  including  stainless  steel  fixtures  and  fastening  and  T.W.  beading  at  junctions  of panel inserts  and  as  instructed  by  the  Engineer  in  charge  including  3  coats  of  oil painting  etc. complete.</t>
    </r>
  </si>
  <si>
    <t>BDT-12</t>
  </si>
  <si>
    <r>
      <rPr>
        <sz val="11"/>
        <rFont val="Times New Roman"/>
        <family val="1"/>
      </rPr>
      <t>Providing  and  fixing  Country cut  teak wood  double or  single leaf  panelled shutters,  35 mm thick style top and freze rail 95 x 35 thick with lock and bottam rail 195 x 25 mm thick  and  panels   without   ventilator   as   per   detailed   drawing   excluding   the   door frame,   stainless   steel  fixtures  and  fastening  and  finishing  the  wood  work  with  oil
painting 3 coats complete</t>
    </r>
  </si>
  <si>
    <r>
      <rPr>
        <sz val="11"/>
        <rFont val="Times New Roman"/>
        <family val="1"/>
      </rPr>
      <t>BD-T-11 and 12
Page One Number 482-83</t>
    </r>
  </si>
  <si>
    <t>BDT-34</t>
  </si>
  <si>
    <t>Providing and fixing solid core flush door shutter in single leaf 32 mm thick decorative type of exterior grade as per detailed drawings approved face veneers 3 mm thick on both faces or as directed, all necessary beads, mouldings and lipping, wrought iron hold fasts, chromium plated  fixtures  and  fastenings,  with  brass  mortise  lock,  chromium  plated handles  on  both sides, and finishing with French Polish etc. complete.</t>
  </si>
  <si>
    <r>
      <rPr>
        <sz val="11"/>
        <rFont val="Times New Roman"/>
        <family val="1"/>
      </rPr>
      <t>BD-T-34  Page
One Number 499</t>
    </r>
  </si>
  <si>
    <t>BDT-36</t>
  </si>
  <si>
    <r>
      <rPr>
        <sz val="11"/>
        <rFont val="Times New Roman"/>
        <family val="1"/>
      </rPr>
      <t>Providing   and   fixing   solid   core   flush   door   shutter   commercial   in   single   leaf   32 mm  thick without ventilator commercial type of exterior grade as per detailed  drawings with   wrought iron hold fast, stainless steel fixtures and fastenings and handles on both
sides and finishing with oil painting 3 coats complete.</t>
    </r>
  </si>
  <si>
    <r>
      <rPr>
        <sz val="11"/>
        <rFont val="Times New Roman"/>
        <family val="1"/>
      </rPr>
      <t>BD-T-36  Page
One Number 500</t>
    </r>
  </si>
  <si>
    <t>Providing  and fixing solid core flush door commercial type on single leaf 16 mm thick Bison  Panel cement bonded particle Board including Teak wood lipping beading on  all four edges without ventilator commercial type of exterior grade as per detailed  drawings with   wrought  iron  hold  fast,stainless  steel  fixtures  and  fastenings  and  handles  on  both sides and finishing with oil painting three coats complete.</t>
  </si>
  <si>
    <t>BDT-39</t>
  </si>
  <si>
    <r>
      <rPr>
        <sz val="11"/>
        <rFont val="Times New Roman"/>
        <family val="1"/>
      </rPr>
      <t>Providing and fixing Country cut teak wood single leaf door shutter with teak wood style and rail of 25 mm thick including fixing 50 mm x 25 mm size welded mesh of 10 gauge as per detailed drawing or as directed with stainless steel fixture and fastening finishing
with 3 coats of oil painting etc. complete.</t>
    </r>
  </si>
  <si>
    <r>
      <rPr>
        <sz val="11"/>
        <rFont val="Times New Roman"/>
        <family val="1"/>
      </rPr>
      <t>BD-T-39  Page
One Number 500</t>
    </r>
  </si>
  <si>
    <t>Providing and fixing factory made panelled door shutter in single leaf 35 mm thick style and rail without ventilator with CCTW panels 12 mm thick including wrought iron hold fast and stainless steel fixtures with oil painting 3 coats etc. complete.</t>
  </si>
  <si>
    <r>
      <rPr>
        <sz val="11"/>
        <rFont val="Times New Roman"/>
        <family val="1"/>
      </rPr>
      <t>Providing  and  fixing  Country cut  teak  wood  single  leaf  panelled  door  shutters  35  mm thick  style  and  rail  and  19  mm  thick   T.W.  panels  as  per  detailed  drawing  including wrought iron hold fast stainless steel fixtures and fastening and three coats of oil painting
etc. complete.</t>
    </r>
  </si>
  <si>
    <t>BDT-42</t>
  </si>
  <si>
    <r>
      <rPr>
        <sz val="11"/>
        <rFont val="Times New Roman"/>
        <family val="1"/>
      </rPr>
      <t>Providing   and   fixing   fully   glazed   double   leaf   window   shutter   with   openable fanlight including  Country  cut  teak  wood  25  mm  thick  style  and  rails  with  plain  / obscured  glass panels 5 mm thick as per drawing or as directed by the Engineer in charge with stainless steel fixtures and fastening and finishing the wood work with oil painting
three coats etc. complete.</t>
    </r>
  </si>
  <si>
    <r>
      <rPr>
        <sz val="11"/>
        <rFont val="Times New Roman"/>
        <family val="1"/>
      </rPr>
      <t>BD-T-42  Page
One Number 503</t>
    </r>
  </si>
  <si>
    <t>Providing and  fixing Country cut teak wood window  with double leaf half glazed and half  panelled  shutter  with  style  70  x  20  mm  thick  rails  95  x  20  mm  thick  and  pannels 15mm thick with  ventilator  including wrought  iron  hold  fast,  stainless  steel  fixtures and  fastenings  and finishing the wood work with oil painting 3 coats etc. complete.</t>
  </si>
  <si>
    <t>BDT-43</t>
  </si>
  <si>
    <r>
      <rPr>
        <sz val="11"/>
        <rFont val="Times New Roman"/>
        <family val="1"/>
      </rPr>
      <t>Providing  and  fixing  Country  cut  teak  wood  windows  with  double  leaf  25  mm  thick planked shutters  without  ventilators  as  per  detailed  drawings  including  stainless  steel fixtures   and  fastenings  and  finishing  the  wood  work  with  oil  painting  3  coats  etc.
complete</t>
    </r>
  </si>
  <si>
    <r>
      <rPr>
        <sz val="11"/>
        <rFont val="Times New Roman"/>
        <family val="1"/>
      </rPr>
      <t>BD-T-43  Page
One Number 503</t>
    </r>
  </si>
  <si>
    <r>
      <rPr>
        <sz val="11"/>
        <rFont val="Times New Roman"/>
        <family val="1"/>
      </rPr>
      <t>Providing  and  fixing  Country  cut  teak  wood  windows  /  ventilators  with  double  leaf panelled shutters  25  mm  thick  without  ventilators  as  per  detailed  drawing  including stainless   steel fixtures  and  fastenings  and  finishing  the  wood  work  with  oil painting  3
coats etc. complete.</t>
    </r>
  </si>
  <si>
    <t>BDT-53</t>
  </si>
  <si>
    <r>
      <rPr>
        <sz val="11"/>
        <rFont val="Times New Roman"/>
        <family val="1"/>
      </rPr>
      <t>Providing  and fixing steel window of various sizes as per detailed drawing without hot dip zinc coating, without ventilators, including fabricating / glazing with plain  / obscured glass  panels  of  approved   type  and   quality,  iron  oxidised  fixtures  and  fastenings,  oil
painting two coats complete.</t>
    </r>
  </si>
  <si>
    <r>
      <rPr>
        <sz val="11"/>
        <rFont val="Times New Roman"/>
        <family val="1"/>
      </rPr>
      <t>BD-T-53  Page
One Number 509</t>
    </r>
  </si>
  <si>
    <t>Providing  and fixing steel window of various sizes as per detailed drawing without hot dip zinc coating, without ventilators, including fabricating / glazing with plain  / obscured glass panels of approved type and quality, iron oxidised fixtures and fastenings, finishing with oil painting two coats complete (with guard bars 12 mm square at 10 cm c/c.)</t>
  </si>
  <si>
    <r>
      <rPr>
        <sz val="11"/>
        <rFont val="Times New Roman"/>
        <family val="1"/>
      </rPr>
      <t>Providing and fixing steel window C.R.C. sheet as per I.S. 1513 : 1986. gauge sect. 65 x 40  x  25  mm  shutter  single  sheet  of  24  gauge  single  leaf  joined   by  fusion  welding  at appropriate points with vertical grooves of 15 mm wide and 15 mm deep at a distance of 45 mm.  The first  and  last   rib   should   be  60   mm  away  from  vertical   edge  of   the shutter.  the  shutter  shall  be welded, with angle to from the periphery of the shutter. At the  center  of  the  frame  there  shall  be   angle   welded   to   bifurcate   the   frame   into segments   with   two   leaf   shutter   square   12   mm square  guard  bars  at  120  mm center
with all accessories</t>
    </r>
  </si>
  <si>
    <t>Providing  and  fixing  in  position  factory  made  box  type  steel  window  with  glazed fanlight  including   steel   windows   of   cold   rolled   section   of   105mm   x   60mm   x 1.25mm thick  frame section filled with cement concrete (1:2:4) and metal pressed steel shutters of 20 gauge (1mm) as per detailed  drawing and  design or  as directed  including providing horizontal mild  steel 12mm square bars at 10cm center to center, required F7B section, section 76, section 20mm x 5mm  mild  steel  flat  for  shutter  and  F4B  section for   frame,   3mm   thick   glass   of   approved  quality  for  fanlight  necessary  fixtures  and fastening etc. complete finishing with one coat of anticorrosive paint etc.complete</t>
  </si>
  <si>
    <t>Providing   and   fixing   in   position   factory  made   box   type   fully  glazed   window consisting  of cold  rolled  section  of  105mm  x  60mm  x  1.25mm  thick  frame  section filled   with   cement  concrete  (1:2:4)  and  steel  section  F4B  as  per  detailed  drawing  and design including mild steel 12mm  square  bars  at  10cm  center  to  center,  required  F7B section,   section   T6,   section   for  shutter  frame  (Louvered  clips  in  case  of  Louvered window  portion)  and  3mm  thick  glass  of  approved  quality  of  necessaryfixtures  and fastening, finishing with one coat of anticorrosive paint etc. complete .</t>
  </si>
  <si>
    <t>BDT-55</t>
  </si>
  <si>
    <r>
      <rPr>
        <sz val="11"/>
        <rFont val="Times New Roman"/>
        <family val="1"/>
      </rPr>
      <t>Providing and fixing rolling shutter fabricated from steel laths of minimum thickness 0.9 mm with lock plate of 3.15 mm thickness reinforced with 35 x 35 x 5 mm angle section fitted  with sliding bolts and handles for both sides, deep M.S. channel section of depth and thickness not less than 65 mm and 3.15 mm respectively with hold fast arrangements,
M.S.  Bracket  plate  300  x  300  x  3.15  mm  minimum  size  and  shape  with  square  bar, suspension shaft of minimum 32 mm diameter, hood cover of M.S. sheet not less than 0.9 mm  thickness  and  of  any  size  at  top  and  safety  devices  including  mechanical  gear operation arrangement consisting of worm gear wheels and worms of high grade cast iron or  mild  steel  and  one  coat  of  red  lead  primer  etc.  complete.  (I.S.  62481979)  (Without mechanical gear)</t>
    </r>
  </si>
  <si>
    <r>
      <rPr>
        <sz val="11"/>
        <rFont val="Times New Roman"/>
        <family val="1"/>
      </rPr>
      <t>BD-T-55  Page
One Number 510</t>
    </r>
  </si>
  <si>
    <r>
      <rPr>
        <sz val="11"/>
        <rFont val="Times New Roman"/>
        <family val="1"/>
      </rPr>
      <t>Providing and fixing rolling shutter fabricated from steel laths of minimum thickness 0.9 mm with lock plate of 3.15 mm thickness reinforced with 35 x 35 x 5 mm angle section fitted  with sliding bolts and handles for both sides, deep M.S. channel section of depth and thickness not less than 65 mm and 3.15 mm respectively with hold fast arrangements,
M.S.  Bracket  plate  300  x  300  x  3.15  mm  minimum  size  and  shape  with  square  bar, suspension shaft of minimum 32 mm diameter, hood cover of M.S. sheet not less than 0.9 mm  thickness  and  of  any  size  at  top  and  safety  devices  including  mechanical  gear operation arrangement consisting of worm gear wheels and worms of high grade cast iron or  mild  steel  and  one  coat  of  red  lead  primer  etc.  complete.  (I.S.  62481979)  (With mechanical gear)</t>
    </r>
  </si>
  <si>
    <t>BDT-57</t>
  </si>
  <si>
    <t>Providing  and  fixing  collapsible  steel  gate  in  one  /  two  leaves  with  hot  rolled  vertical channels of 18 x 9 x 3 mm minimum size, crossings of M.S. flats of size 18 x 5 mm T or E section for runner of minimum 40 x 6 mm size for flange, M.S. flat for top runner of minimum size 40 x 12  mm  with  roller  wheels  confirming  to  grade  F.G.  150  fitted with  snap  headed  rivets   of minimum size 6 mm max. spacing of vertical channels be 100  mm  enclosed  gate  position  and  clear   space   of   150   mm   between   two   sets   of crossings  with  hold  fasts,  stoppers,  spaces, handles, locking arrangement and one coat of red lead primer and oil painting etc. complete. (I.S. 105211983).</t>
  </si>
  <si>
    <r>
      <rPr>
        <sz val="11"/>
        <rFont val="Times New Roman"/>
        <family val="1"/>
      </rPr>
      <t>BD-T-57  Page
One Number 511</t>
    </r>
  </si>
  <si>
    <t>BDT-67</t>
  </si>
  <si>
    <t>Providing and fixing partition of welded mesh of 3 mm dia. wires 50 mm x 25 mm size mesh including integrated  non  teak seasoned wood  frame 80  x 50  mm of  vertical and horizontal scantling and finishing with oil painting 3 coats etc. complete</t>
  </si>
  <si>
    <r>
      <rPr>
        <sz val="11"/>
        <rFont val="Times New Roman"/>
        <family val="1"/>
      </rPr>
      <t>BD-T-67  Page
One Number 515</t>
    </r>
  </si>
  <si>
    <t>BDS</t>
  </si>
  <si>
    <t>Providing and fixing sheet glass of 24 oz. for all size including putty etc. complete</t>
  </si>
  <si>
    <r>
      <rPr>
        <sz val="11"/>
        <rFont val="Times New Roman"/>
        <family val="1"/>
      </rPr>
      <t>BD-S  Page One Number 465 to
467</t>
    </r>
  </si>
  <si>
    <t>Providing  and  fixing  steel  ventilator  fully  glazed  partly  fixed  as  per  detailed  drawing without hot  dip  zinc  coating  including fabricating  glazing with  plain  /  obscured  glass panes   5   mm  thick  and  approved  type  and  quality  and  iron  oxidized  fixtures  and fastening oil paint 2 coats etc. complete.</t>
  </si>
  <si>
    <r>
      <rPr>
        <sz val="11"/>
        <rFont val="Times New Roman"/>
        <family val="1"/>
      </rPr>
      <t>BD-T-53  Page
One Number 509 As directed by Engineer in
charge.</t>
    </r>
  </si>
  <si>
    <t>Providing and fixing steel ventilator fully glazed partly fixed as per detailed drawing with hot dip   zinc coating including fabricating glazing with   plain   / obscured   glass pans   5 mm thick and approved type quality and iron oxidized fixtures and fastening with guard square bars 12 mm 10 cm c/c and oil painting 2 coats etc. complete.</t>
  </si>
  <si>
    <r>
      <rPr>
        <sz val="11"/>
        <rFont val="Times New Roman"/>
        <family val="1"/>
      </rPr>
      <t>BD-T-53  Page
One Number 509 As directed by Engineer in charge.</t>
    </r>
  </si>
  <si>
    <r>
      <rPr>
        <sz val="11"/>
        <rFont val="Times New Roman"/>
        <family val="1"/>
      </rPr>
      <t>Providing and fixing M.S. grill door 24 Kilogram/ One Square Metre of various size as per detailed drawings without hot dip coating, iron fixtures and fastenings and 3 coats of
oil painting etc</t>
    </r>
  </si>
  <si>
    <r>
      <rPr>
        <sz val="11"/>
        <rFont val="Times New Roman"/>
        <family val="1"/>
      </rPr>
      <t>Doors and
Windows</t>
    </r>
  </si>
  <si>
    <r>
      <rPr>
        <sz val="11"/>
        <rFont val="Times New Roman"/>
        <family val="1"/>
      </rPr>
      <t>Providing and fixing CCTW beading of size 40 mm x 20 mm to the door frame  including
chamfering finishing with 3 coats of oil painting etc. complete</t>
    </r>
  </si>
  <si>
    <t>Providing and fixing steel frame of angle 50 x 50 x 6 mm size for window with 16 mm with mild steel bars horizontally at 10 cm c/c for ventilator portion and at 15 cm c/c for remaining portion with M.S. flat of size 40 x 6 mm vertical at center including iron hold fast boxes for fixing  40  x  6  mm  vertical  at  center  including  iron  hold  fast  boxes for  fixing  40  x  6  mm vertical at center including iron hold fast boxes for fixing shutters including welding finishing painting etc. complete.</t>
  </si>
  <si>
    <t>Providing and fixing steel frame of angle 40 x 40 x 5 mm size for windows with 16 mm dia.  mild  steel  bars  horizontally  at  10  cm  c/c  for  ventilator  portion  and  15  cm  c/c  for remaining portion with M.S. flat of size 40 x 6 mm vertical at center including iron hold fast boxes for fixing 40 x 6 mm vertical at center including iron hold fast boxes for fixing shutters including welding finishing painting etc. complete.</t>
  </si>
  <si>
    <t>Providing and fixing steel frame door of angle 50 x 50 x 6 mm with mild steel bars 16 mm dia.  horizontally  at  10mm  c/c  for  ventilator  portion  including  iron  hold  fast  boxes  for fixing shutters including welding, finishing, painting etc. complete.</t>
  </si>
  <si>
    <t>Providing and fixing steel frame door of angle 40 x 40 x 5 mm with 16 mm dia. mild steel bars  horizontally  at  10cm  c/c  for  ventilator  portion  including  iron  hold  fast  for  the fixing shutters including welding, painting, finishing etc. complete.</t>
  </si>
  <si>
    <r>
      <rPr>
        <sz val="11"/>
        <rFont val="Times New Roman"/>
        <family val="1"/>
      </rPr>
      <t>Providing and fixing in position. (as per I.S.1868 / 1982) Aluminium sliding window of two tracks  with  rectangular  pipe having overall  dimension  63.50  x  38.10  x  1.02  mm at  weight 0.547 Kilogram/One Running Metre. and window frame bottom track section
61.85 x 31.75 x 1.20 mm at  weight  0.695  Kilogram/One Running Metre.  Top  and  side track section  61.85  x  31.75  x 1.30 mm at weight 0.659 Kilogram/One Running Metre. The  shutter   should   be  of   bearing   bottom   40  x   18  x   1.25  mm   at   weight   0.417 Kilogram/One Running Metre. Inter locking section 40 x 18 x 1.10 mm at weight 0.469 Kilogram/One Running Metre. And handle section 40 x 18 x 1.25 mm at weight 0.417 Kilogram/One  Running  Metre.  and  top  section  40  x  18  x  1.25  mm  at  weight  0.417 Kilogram/Running  metre.  As  per  detailed  drawings  and  as  directed  by  Engineer  in charge  with  all  necessary  Aluminium  sections  fixtures  and  fastenings  such  as  roller bearing  in  nylon  casting  and  self  locking  catch  fitted  in  vertical  section  of  shutter including  5 mm thick plain glass with all required screws and nuts  etc, complete.  With colour Anodising with box.</t>
    </r>
  </si>
  <si>
    <r>
      <rPr>
        <sz val="11"/>
        <rFont val="Times New Roman"/>
        <family val="1"/>
      </rPr>
      <t>Providing and fixing in position. (as per I.S.1868 / 1982) Aluminium sliding window of two tracks  with  rectangular  pipe having overall  dimension  63.50  x  38.10  x  1.02  mm at  weight 0.547 Kilogram/One Running Metre. and window frame bottom track section
61.85 x 31.75 x 1.20 mm at  weight  0.695  Kilogram/One Running Metre.  Top  and  side track section  61.85  x  31.75  x 1.30 mm at weight 0.659 Kilogram/One Running Metre. The  shutter   should   be  of   bearing   bottom   40  x   18  x   1.25  mm   at   weight   0.417 Kilogram/One Running Metre.  Inter  locking section  40  x  18  x  1.10  mm at  weight
0.469   Kilogram/Running   metre.  And   handle  section   40  x  18  x  1.25   mm at  weight
0.417  Kilogram/One Running Metre. and  top section  40  x  18  x  1.25  mm  at  weight
0.417   Kilogram/Running   metre.   As   per   detailed  drawings   and   as   directed   by Engineer   in   charge   with   all   necessary   Aluminium   sections  fixtures  and  fastenings such as roller bearing in nylon casting and self locking catch fitted in vertical section of shutter including 5 mm thick plain glass with all required screws and nuts etc, complete. With colour Anodising without box</t>
    </r>
  </si>
  <si>
    <r>
      <rPr>
        <sz val="11"/>
        <rFont val="Times New Roman"/>
        <family val="1"/>
      </rPr>
      <t>Providing and fixing in position. (as per I.S.1868 / 1982) Aluminium sliding window of two tracks with rectangular pipe having overall dimension ?63.50 x 38.10 x 1.02 mm at weight  0.547  Kilogram/One  Running  Metre.  and  window  frame  bottom  track  section
61.85 x 31.75 x 1.20 mm at  weight  0.695  Kilogram/One Running Metre.  Top  and  side track section  61.85  x  31.75  x 1.30 mm at weight 0.659 Kilogram/One Running Metre. The  shutter   should   be  of   bearing   bottom   40  x   18  x   1.25  mm   at   weight   0.417 Kilogram/One Running Metre. Inter locking section 40 x 18 x 1.10 mm at weight 0.469 Kilogram/One Running Metre. And handle section 40 x 18 x 1.25 mm at weight 0.417 Kilogram/One  Running  Metre.  and  top  section  40  x  18  x  1.25  mm  at  weight  0.417 Kilogram/Running  metre.  As  per  detailed  drawings  and  as  directed  by  Engineer  in charge  with  all  necessary  Aluminium  sections  fixtures  and  fastenings  such  as  roller bearing  in  nylon  casting  and  self  locking  catch  fitted  in  vertical  section  of  shutter including  5 mm thick plain glass with all required screws and nuts  etc, complete.  With powder coating without box</t>
    </r>
  </si>
  <si>
    <r>
      <rPr>
        <sz val="11"/>
        <rFont val="Times New Roman"/>
        <family val="1"/>
      </rPr>
      <t>Providing  and   fixing  in  position   (as  per  1868  /  1982)  Alluminium  sliding  window  of three tracks with rectangular pipe 95 x 38.10 x 0.90 mm at weight 0.637 Kilogram/One Running Metre. with   window   frame   bottom   track   section   92   x   31.75   x   1.30 mm   at   weight   1.070 Kilogram/One Running Metre.. Top and side track section 92 x
31.75 x 1.30 mm at weight 0.933 Kilogram/Running  metre.  The  shutter  should  be  of bearing  bottom  40  x  18  x  1.25  mm  at weight 0.417  Kilogram/One Running Metre. Inter locking section 40  x 18  x 1.10  mm at  weight 0.469  Kilogram/Running   metre. and    handle    and    top    section    40    x    18    x    1.25    mm   at    weight   0.417 Kilogram/Running     metre.     As     per     detailed     drawings     and     as     directed     by Engineerincharge with all necessary Aluminium sections fixtures and fastenings such as roller bearing in nylon casting and self locking catch fitted  in vertical section of shutter including 5 mm  thick  plain  glass  and  aluminium  mosquito  net  shutter  with  stainless steel  jail  with  all required screws and nuts etc, complete. With colour Anodising with box</t>
    </r>
  </si>
  <si>
    <r>
      <rPr>
        <sz val="11"/>
        <rFont val="Times New Roman"/>
        <family val="1"/>
      </rPr>
      <t>Providing and  fixing in  position  (as  per  1868  /  1982)  Aluminium sliding window  of three tracks with rectangular pipe 95 x 38.10 x 0.90 mm at weight 0.637 Kilogram/One Running Metre. with   window   frame  bottom  track   section   92   x   31.75   x   1.30 mm  at   weight    1.070 Kilogram/One Running Metre.. Top and side track section 92 x
31.75 x 1.30 mm at weight 0.933 Kilogram/Running  metre.  The  shutter  should  be  of bearing  bottom  40  x  18  x  1.25  mm  at weight 0.417  Kilogram/One Running Metre. Inter locking section 40  x 18  x 1.10  mm at  weight 0.469  Kilogram/Running   metre. and  handle  and  top  section  40  x 18  x  1.25  mm at  weight 0.417    Kilogram/Running metre.     As     per     detailed     drawings     and     as     directed     by  Engineerincharge with  all  necessary Aluminium sections  fixtures  and  fastenings  such  as  roller  bearing  in
nylon casting and self locking catch fitted in vertical section of shutter including 5 mm thick  plain  glass  and  aluminium  mosquito  net  shutter  with  stainless  steel  jail  with all required screws and nuts etc, complete. With colour Anodising without box</t>
    </r>
  </si>
  <si>
    <r>
      <rPr>
        <sz val="11"/>
        <rFont val="Times New Roman"/>
        <family val="1"/>
      </rPr>
      <t>Providing and  fixing in  position  (as  per  1868  /  1982)  Aluminium sliding window  of three tracks with rectangular pipe 95 x 38.10 x 0.90 mm at weight 0.637 Kilogram/One Running Metre. with   window   frame   bottom   track   section   92   x   31.75   x   1.30 mm   at   weight   1.070 Kilogram/One Running Metre.. Top and side track section 92 x
31.75 x 1.30 mm at weight 0.933 Kilogram/Running  metre.  The  shutter  should  be  of bearing  bottom  40  x  18  x  1.25  mm  at weight 0.417  Kilogram/One Running Metre. Inter locking section 40  x 18  x 1.10  mm at  weight 0.469  Kilogram/Running   metre. and    handle    and    top    section    40    x    18    x    1.25    mm   at    weight   0.417 Kilogram/Running     metre.     As     per     detailed     drawings     and     as     directed     by Engineerincharge with all necessary Aluminium sections fixtures and fastenings such as roller bearing in nylon casting and self locking catch fitted  in vertical section of shutter including 5 mm  thick  plain  glass  and  aluminium  mosquito  net  shutter  with  stainless steel  jail  with  all required screws and nuts etc, complete. With powder coating without box</t>
    </r>
  </si>
  <si>
    <r>
      <rPr>
        <sz val="11"/>
        <rFont val="Times New Roman"/>
        <family val="1"/>
      </rPr>
      <t>a)  Supplying  and  fixing  in  position  Aluminium  four  track  sliding  windows  with  outer frame made  from section of over all size 122 mm x 45 mm, bottom section with drain section  track  weighing  1.83Kilogramper  metre  and   top  and   side  section  of  size  122x
31.75 mm weighing 1.15Kilogramper One Running Metre with shutter sections made of 18 mm x 40 mm size having average weight of 0.6Kilogramper One Running Metre (or as required size) with change in proportionate weight, with 6 mm float glass in three equal panels  and  alluminium  coated  stainless   steel   mosquito   net   in   one  (2/3  of   opening) panel   fixed  with   new  neoprene  gasket,  shutters  to  be  provided  with  nylon  encased stainless steel rollers, necessary locks and handles complete.</t>
    </r>
  </si>
  <si>
    <t>39.45 a</t>
  </si>
  <si>
    <t>a) Colour anodized</t>
  </si>
  <si>
    <t>39.45 b</t>
  </si>
  <si>
    <t>b) Powder Coated</t>
  </si>
  <si>
    <t>Providing  and  Fixing  30  MM  thick  BOTH  SIDE  PRELAMINATED  SOLID  PANEL PVC DOOR SHUTTER consisting of frame made out of M.S tubes of 19 guage thickness and, size 19 x 19 mm for styles and 15 x15 mm for the top and bottom rails, M.S frame shall have a coat  of  metel  primer  of approved  make and  manufacture. M.S  frame shall be  covered   with  heat  mouled  PVC  'C'  channel  made  from  5  mm  (+/0.25)  thick prelaminated  sheet  of  density 600  Kilogram/cbm ,of  size  30mm thickness  70mm width out of which 50mm shall be flat and 20mm shall be tapered in 45? angle on either side forming stiles ; and  5 mm thick ,95  mm wide PVC sheet out of which 75 mm shall be falt and 20 mm shall be tapered in 45 on the inner side to form top and bottom rail and 115 mm wide PVC sheet out of which 75 mm shall be falt and 20 mm shall be tapered on both sides to form lock rail.Top,bottom and lock rail shall be provided either side of the panel. An additional 5 mm (+/0.25) thick PVC strip of 20 mm width is to be stuck on the bottom side of the ' c ' channel prelaminated paneling of 5 mm (+/0.25) thick PVC sheet to be fitted inside the M.S. frame welded/ sealed to the styles and rails with 5 mm (+/0.25) x 30  mm  PVC  sheet  beading  on  either  side  and  joined  together  with  solvent  cement adhesive etc ,10 mm thickness (5 mm (+/0.25) x 2 nos ) 20 mm wide cross PVC sheet as gap insert for the rail and bottom rail. Door to be fixed to frames with 3  nos M.S.powder coated  but  hinges  of  size  100  mm  x  25MM  x  2mm  using  32  mm  long  steel screws   drilled   suitable   to   pass   through   both   the   walls   of   the   M.S   tube.   Other hardwares</t>
  </si>
  <si>
    <t>Providing  and fixing  34 mm thick moulded  door shutter  consisting of  solid core  single leaf flush door of 30 mm thickness lipped with 15 mm ( 5mm x 3) thick x 30 mm width on one style and top rail and 10 mm (5mm x 2) thick x 30 mm width on other style and bottom  rails.  The   inner   panels   laminated   with   2   mm   thick   termite   proof,   water proof  and  fire  resistant moulded  PVC sheet with  2,4,6 design in different plain  and /or prelim  colours  on  one  side  after  routing  the  moulded  design  on  flush  doors  and  2  mm plain and /or pre lam PVC on other side using rubber adhesive on flush door and solvent cement adhesive on the PVC lipping etc. as  per  direction  of  Engineer  in  charge  and manufacturers  specification  and  drawing  etc. complete.</t>
  </si>
  <si>
    <t>Providing   and   fixing   cold   rolled   steel   hollow   door   frame   105mm   x   60mm   for anysizes  including  hold   fast   hinges,  tie  members  with   red   oxide and   gray paint  etc. complete  as   per  I.S.I.   specifications   and   code   of   practice   prescribed   including anticorrosive  treatment  as directed by the engineer.</t>
  </si>
  <si>
    <t>Providing  and  fixing  in  position  aluminium  openable  window  of  any  size  as  per detailed  drawing   and   as   directed   by   Engineer   in   charge    with   all   necessary aluminum  sections including necessary fixtures and fastening with 5 mm thick clear float glass etc. complete. a) With colour anodizing Note  While  arriving  at  the  rate  of  item of  item  weight  at  6.90 Kilogram/ One Square Metre is considered.</t>
  </si>
  <si>
    <t>Providing and fixing in position aluminium openable window of any size as per detailed drawing  and  as  directed  by  Engineerincharge  with  all  necessary  alluminium  sections including necessary fixtures and fastening with 5 mm thick clear float glass etc. complete.</t>
  </si>
  <si>
    <r>
      <rPr>
        <sz val="11"/>
        <rFont val="Times New Roman"/>
        <family val="1"/>
      </rPr>
      <t>Providing  and  fixing  in  position  aluminium  fixed  window  fully  glazed  of  any  size as    per   detailed   drawing   and   as   directed   by  Engineerincharge   with   all   necessary alluminium sections including necessary fixtures and fastening such as 5 mm thick clear float glass etc. complete. Note While arriving at  the rate  of  item of  item weight  at  6.90
Kilogram/ One Square Metre is considered.</t>
    </r>
  </si>
  <si>
    <r>
      <rPr>
        <sz val="11"/>
        <rFont val="Times New Roman"/>
        <family val="1"/>
      </rPr>
      <t>Providing and fixing in positionaluminium fixed window fully glazed of any size as per detailed   drawing  and   as  directed  by  Engineerincharge  with   all  necessary  alluminium sections  including necessary fixtures and fastening such as 5 mm thick clear float glass
etc. complete.</t>
    </r>
  </si>
  <si>
    <t>Providing  and fixing in position aluminium partly openable and partly fixed window of any  size   as   per   detailed   drawing   and   as   directed   by   Engineerincharge   with   all necessary  alluminium  sections  including  necessary  fixtures  and   fastening  with   5  mm thick float  glass etc.  complete.  a)  With colour anodizing  Note  While  arriving  at  the rate  of  item  of  item weight at 6.90 Kilogram/ One Square Metre is considered.</t>
  </si>
  <si>
    <r>
      <rPr>
        <sz val="11"/>
        <rFont val="Times New Roman"/>
        <family val="1"/>
      </rPr>
      <t>Providing  and fixing in position aluminium partly openable and partly fixed window of any  size   as   per   detailed   drawing   and   as   directed   by   Engineerincharge   with   all necessary alluminium sections including necessary fixtures and fastening with 5 mm thick float glass etc. complete.
b)  With  powder  coating  Note  While  arriving  at  the rate  of item of item weight at  6.90
Kilogram/ One Square Metre is considered.</t>
    </r>
  </si>
  <si>
    <t>Providing  and  fixing  M40  grade  thick  vibrated  pull cast  or  similar  type  concrete  frame with  chamfer  conforming  to  I.S.  65241983  having  6  mm dia.  bars  3  Nos.  And  stirrups @250 mm c/c  and  fixing in  wall  with  6  Nos  of  hold  fast  of  12  mm dia  bars  500 mm long  including primer and oil painting etc, complete) frame size 60 mm x 100 mm .</t>
  </si>
  <si>
    <t>Providing  and  fixing  M40  grade  thick  vibrated  pull cast  or  similar  type  concrete  frame with chamfer conforming to I.S. 65241983 having 6 mm dia bars 3 Nos. And strips @250 mm  c/c  and  fixing  in  wall  with  6  Nos.  of  hold  fast  of  12  mm  dia  bars  500  mm  long including primer and oil painting etc, complete) frame size 60 mm x 125 mm</t>
  </si>
  <si>
    <r>
      <rPr>
        <sz val="11"/>
        <rFont val="Times New Roman"/>
        <family val="1"/>
      </rPr>
      <t>Providing  and fixing fiber glass reinforced polyster door shutter 30 mm thick  as per  IS 14856 (2000)   (Reaffirmed   2006)    without   ventilator    including  chromium   plated fixtures   and fastening with chromium plated handles on both sides, etc
complete</t>
    </r>
  </si>
  <si>
    <r>
      <rPr>
        <sz val="11"/>
        <rFont val="Times New Roman"/>
        <family val="1"/>
      </rPr>
      <t>Providing  and fixing fiber glass reinforced polyster door shutter 35 mm thick  as per  IS 14856 (2000)   (Reaffirmed   2006)    without   ventilator    including  chromium   plated fixtures   and fastening with chromium plated handles on both sides, etc
complete.</t>
    </r>
  </si>
  <si>
    <r>
      <rPr>
        <sz val="11"/>
        <rFont val="Times New Roman"/>
        <family val="1"/>
      </rPr>
      <t>Providing   and  fixing   acrylic  plastic   sheet   panels   of  approved   quality  in   required thickness   plain   clear  or  any  colour  or  obscured   linings   in  lieu   of  glass   pans   to doors/windows  including  providing  and  fixing  clips,  putty  etc.  complete.  (a)  2.00  mm
thick.</t>
    </r>
  </si>
  <si>
    <r>
      <rPr>
        <sz val="11"/>
        <rFont val="Times New Roman"/>
        <family val="1"/>
      </rPr>
      <t>Providing   and  fixing   acrylic  plastic   sheet   panels   of  approved   quality  in   required thickness   plain   clear  or  any  colour  or  obscured   linings   in  lieu   of  glass   pans   to doors/windows  including  providing  and  fixing  clips,  putty  etc.  complete.  (b)  3.00  mm
thick.</t>
    </r>
  </si>
  <si>
    <r>
      <rPr>
        <sz val="11"/>
        <rFont val="Times New Roman"/>
        <family val="1"/>
      </rPr>
      <t>Providing  and   fixing  24  gauge  plain   aluminium  sheet  on  the  face  of  door  shutter including  cutting  to  required  size  and  fixing  the  screws  including  making  good  the damages  if  any  to  existing  door  shutter  and  frame  etc.  complete  as  directed  or  as  per
detailed drawing</t>
    </r>
  </si>
  <si>
    <r>
      <rPr>
        <sz val="11"/>
        <rFont val="Times New Roman"/>
        <family val="1"/>
      </rPr>
      <t>Providing   and   fixing   in   position,   Double   shuttered   aluminium   extruded   powder coated  openable  door  of  specified  size  with  aluminium  door  frame  of  powder  coated section 101.60 x 44.75mm ,  3.18  mm thick  and  shutter  comprising of  powder coated section having bottom and lock rail of size 150 mm x 44.5 mm x 3.00 mm thick top rails
47.62 x 44.45 mm x 3.00 mm thick , vertical style 47.62 x 44.45 mm, 3.00 mm thick and for  shutter  plain  glass  panes  5  mm  thick  for  top  panels  and  12mm  thick  both  side laminated phenol bonded particle board panels   for   bottom  panels   etc.   ,   I.S.I.   mark
,   heavy   duty,   Hydraulic   floor  spring  of 150Kilogramcapacity , having heavy duty concealed    lock,   necessary  beading,   glazing   clips,   PVC    gaskets,    250mm    length aluminium   tower   bolts,   150mm   dia.   pad   handle,   etc.   as   per  detailed   design   and drawing  or  as  directed  by  engineer  in  charge  including  all  materials  , labours, and equipment etc.complete</t>
    </r>
  </si>
  <si>
    <r>
      <rPr>
        <sz val="11"/>
        <rFont val="Times New Roman"/>
        <family val="1"/>
      </rPr>
      <t>Providing   and   fixing   in   position,   Single   shuttered   aluminium   extruded   powder coated  openable  door  of  overall  size  0.90  m  x  2.40  m  with  aluminium  door  frame  of powder  coated  section  101.60  x  44.75mm  ,  3.18  mm  thick  and  shutter  comprising  of powder coated section having bottom and  lock rail of size 150 mm x 44.5  mm x 3.00 mm thick top rails 47.62  x 44.45 mm x 3.00 mm thick , vertical style 47.62 x 44.45 mm,
3.00  mm  thick  and  for  shutter  plain   glass   panes   5   mm   thick   for   top   panels   and 12mm  thick  both  side  laminated  phenol bonded particle board panels for bottom panels etc. , I.S.I. mark , heavy duty, Hydraulic floor spring  of  150Kilogramcapacity  ,  having heavy   duty   concealed   lock,   necessary   beading,  glazing  clips,  PVC  gaskets,  250mm length tower bolts, 150mm diam. pad handle, etc. as per detailed  design  and  drawing  or as   directed   by  engineer   in   charge   including   all   materials   ,  labours, and  equipment etc.Complete</t>
    </r>
  </si>
  <si>
    <r>
      <rPr>
        <sz val="11"/>
        <rFont val="Times New Roman"/>
        <family val="1"/>
      </rPr>
      <t>Providing   and   fixing   in   position,   Single   shuttered   aluminium   extruded   powder coated  openable  door  of  overall  size  0.90  m  x  2.40  m  with  aluminium  door  frame  of powder  coated  section  101.60  x  44.75mm  ,  3.18  mm  thick  and  shutter  comprising  of powder coated section having bottom and  lock rail of size 150 mm x 44.5  mm x 3.00 mm thick top rails 47.62  x 44.45 mm x 3.00 mm thick , vertical style 47.62 x 44.45 mm,
3.00  mm  thick  and  for  shutter  plain   glass   panes   5   mm   thick   for   top   panels   and 12mm  thick  both  side  laminated  phenol bonded particle board panels for bottom panels etc. , I.S.I. mark , with bijagiri having heavy duty  concealed  lock,  necessary  beading, glazing  clips,  PVC  gaskets,  250mm  length  tower bolts,  150mm  diam.  pad  handle, etc.   as   per   detailed   design   and   drawing   or   as   directed   by  engineer  in  charge including all materials , labours, and equipment etc. complete</t>
    </r>
  </si>
  <si>
    <t>Providing  and fixing 50 mm x 50 mm Mild Steel square pipe framed steel windows of various  sizes  as  per  details  with  welded  square  bars  12  mm  at  10  cm  center  to  center without hot dip zinc  coating  without  /  with  ventilator  including  fabrication,  glazing with  plain  /  obscured glass panes 5 mm thick  of approved type and quality, all fixtures and fastenings and finishing with one coat of primer complete.</t>
  </si>
  <si>
    <t>Providing and fixing in position powder coated aluminium louvered windows / ventilator of  various   sizes   with   powder   coating   as   per   detailed   drawing   and   specifications including aluminium  frames  80  x  38  mm  x  1.22  mm  box  type,  5  mm  thick  sheet glass  louvers,  of approved quality etc. complete.</t>
  </si>
  <si>
    <r>
      <rPr>
        <sz val="11"/>
        <rFont val="Times New Roman"/>
        <family val="1"/>
      </rPr>
      <t>Providing and fixing partitions made up of CCTW frame of size 75 mm x 50 mm at 60 cm
c/c  with  9  mm thick  commercial ply and  4mm  thick  veneer  on  both  sides  with  French polish etc. complete.</t>
    </r>
  </si>
  <si>
    <r>
      <rPr>
        <sz val="11"/>
        <rFont val="Times New Roman"/>
        <family val="1"/>
      </rPr>
      <t>Providing  and fixing Country cut teak wood partly veneered and  partly glazed  partition with 75  mm  x  50  mm  frame  at  60  cm  center  and  9  mm  thick  commercial  ply  on both  sides, decorative veneer of 4 mm thick and plain glass 5 mm thick, including French
polishing etc.complete</t>
    </r>
  </si>
  <si>
    <t>Providing and fixing welded mesh of 50 mm x 25 mm and (11 gauge) to Country cut teak wood  frame  work  as  per  detailed  drawing  or  as  directed,  iron  fastening  with  one coat  of primer, scaffolding, including TW frame work of 70 mm x 75 mm and covering CCTW battens of 45 mm x 10 mm etc. complete.</t>
  </si>
  <si>
    <t>Providng   and   fixing   in   position   anodised   extruded   aluminum   partitions,   partly glazed  and partly laminated having frame made out of extruded tubular section of size 40 mm x 60 mm with 12 mm thick three layered flat pressed teak wood particle board bonded with  BWP  type  exterior  grade  phenol  formaldehyde  synthetic  resin  conforming  to  IS 128231990,  laminated  on  both  sides,Novateakor  equivalent  and  5  mm  thick  selected quality plain/ float glass panels fixed  with  aluminum glass  clips  12  mm x  12  mm and rubber  cushioning  beading  to  glass partitions as per approved drawing etc. compete</t>
  </si>
  <si>
    <t>Providing  and  fixing  in  position  extruded  aluminium  partitions  having  frame  made out  of extruded tubular section of size 65 mm x 40 mm with 12 mm thick three layered flat pressed teak wood  particle  board  bonded  with  BWP  type  exterior  grade  phenol formaldehyde  synthetic resin  conforming  to  IS  129231990,  laminated  on  both  sides, Novateak  or  equivalent  with aluminium glazing clips of size 12 mm x 12 mm (conical) as per drawing etc. complete.</t>
  </si>
  <si>
    <t>Providing and fixing fly proof mesh shutter toventilator / window using CCTW members of size 45 x  22 mm for frame work and  35 x 22 mm for middle support and  fixing fly proof mesh on it and covering  TW battens of size 20 x 10 mm including priming and two coats of oil painting to the new wood and steel work and all labour charges including all fixture and fastenings etc. complete</t>
  </si>
  <si>
    <t>Providing coloured  anodising treatment to aluminium sections of  the doors  , windows, and ventilators including all the intermediate supports , side supports, screws and all the necessary   fixtures   with   all   leads,   lifts,   fixing   charges   etc.   complete   (Complete measurement on actual One Square Meterr basis of opening area shall be paid.)</t>
  </si>
  <si>
    <r>
      <rPr>
        <sz val="11"/>
        <rFont val="Times New Roman"/>
        <family val="1"/>
      </rPr>
      <t>Providing  and  fixing  aluminium  grill  diamond  mesh  type  DG202  of  7.5  mm  thick including  fixing   in  position   anodised   aluminium frame   section   of   80  x   38  mm x
1.22   mm size   box,  cutting  to  the  required  size  with  all wastage  ,  labour,  lead  lift  etc.
complete.</t>
    </r>
  </si>
  <si>
    <r>
      <rPr>
        <sz val="11"/>
        <rFont val="Times New Roman"/>
        <family val="1"/>
      </rPr>
      <t>Providing  and  fixing  in  position  Mild  steel  fixed  staggered  (  Z  Type  )  Ventilator as  per detailed drawing with hot deep zink coating including fabricating with Mild steel 'Z 'Section of size 20mm x 25 mm and 3 mm thick at weight 1.42 Kilogram/One Running Metre,with stainless steel mosquito net of 304 Grade,4  mm thick float glass ?as  directed by  Engineer  In   charge  including  necessary  welding,  grinding,  two  coats  of  oil  paint
etc.complete</t>
    </r>
  </si>
  <si>
    <r>
      <rPr>
        <sz val="11"/>
        <rFont val="Times New Roman"/>
        <family val="1"/>
      </rPr>
      <t>Providing  and  fixing  in  position  anodised  (as  per  IS  1868/1982)  Aluminium  fixed staggered  (  Z Type)  Ventilator  with  aluminium rectangular  pipe  63  mm x  38.10  mm  x
1.22 mm at weight 0.650 Kilogram/One Running Metre, Aluminium angle of size 15 mm x 15 mm x 1 mm,aluminium channel  of  9  mm sizes,  S.S.mosquito  net  of  304  Grade,4 mm  thick  float   glass  per   detailed  drawing  and  as  directed  by  Engineer  in  charge
etc.complete.</t>
    </r>
  </si>
  <si>
    <r>
      <rPr>
        <sz val="11"/>
        <rFont val="Times New Roman"/>
        <family val="1"/>
      </rPr>
      <t>Providing  and  fixing  welded  mesh  of  11  gauge  wires  having  mesh  size  50  mm  x
25  mm including M.S Angle frame of size 35 mm x 35 mm x5 mm in position with oil painting 3 coats etc. complete</t>
    </r>
  </si>
  <si>
    <r>
      <rPr>
        <sz val="11"/>
        <rFont val="Times New Roman"/>
        <family val="1"/>
      </rPr>
      <t>Providing     and     Fixing     32     mm     thick     One     piece     single     moulded     puff ABSTRONE BUTADYNE  STYRINE  (ABS)  Door  shutter  for  internal  use  including toilets  made up  of outer  ABS  sheet  of  1.2  mm  thick  having  puff  insulation  of  35 to  40  Kilogram/One Cubic Metredensity and 10 mm dia.for steel bars 2 Nos., wooden block  to  receive  fixtures,  having  M.S.  hinges  100  mm  length,  M.S.  handles  150  mm
length and 10 mm dia sliding door bolt etc. complete</t>
    </r>
  </si>
  <si>
    <t>Providing   and   fixing   30mm   thick    SOLID   PANEL   PVC   INTERNAL   DOOR SHUTTER consisting of frame made out of M.S. tubes of 19 gauge thickness and size of 40mm x 20mm for stiles ,top, lock and bottom rails. M.S. frame shall have a coat of steel primers of approved make  and  manufacture.  M.S.  frame  shall  be  covered  with  5mm thick   heat   molded    PVC  channel of  size  30  x 100mm forming stiles,  and 5mm thick, 125mm wide PVC sheets for top rail, lock rail and bottom rail on either side, and 15mm (5mm x 3) thick, 20mm wide cross PVC sheet as gap insert for top rail and bottom rail. Paneling of 10 mm thick prelam PVC sheet to be fitted in the M.S. frame welded / sealed to the stiles and rails with 30mm wide x 5mm  thick  PVC  sheet  beading  on  either  side, and  joined  together  with  solvent  cement adhesive etc. An additional 5mm thick PVC strip  of  20mm  width  is  to  be  stuck  on  the  interior  side  of  the  C  Channel  using  PVC solvent cement adhesive. including stainless steel fixtures and fastening Complete as per direction of Engineerincharge,manufacturer'sspecification and drawing.</t>
  </si>
  <si>
    <t>Providing and fixing 30mm thick  PVC FLUSH L DOOR SHUTTER consisting of panel of hollow PVC profile of 20 mm thickness consisting frame made out of M.S. tubes of 19 gauge thickness and size of 19mm x 19mminserted inside the hollow section of stiles rails top ?and bottom rails  and  two  19x  19  mm MS  tubes  inserted  horizontally  inside  the hollow   profile  section  using  4/5  mm sheet  using  screws  hollow  profile  shall be  lipped with  10  mm  (5mm  x2)  thick   x   20   mm   width   on   stiles   and   rails   using   solvent cement.  The  inner  panel  shall  be laminated  with  5mm thick  termite proof  waterproof plain   /prelam  PVC   sheet  using  solvent  cement   on   the   both   sides   of   the   panel including   stainless   steel   fixtures   and   fastening   etc.  Complete  as  per  direction  of Engineer incharge, manufacturers specification and drawing.</t>
  </si>
  <si>
    <t>Providing   and  fixing   partition   4   mm  thick   Indian   teak   Veneer  on   one  side   and 6mm commercial type plywood on the other side including C.T.W. frame of 70 x 35 mm at 60 cm C/C on both ways, including finishing with French polishing to Veneer face and oil painting / french polishing to other face etc.complete. (without skirting)</t>
  </si>
  <si>
    <t>Providing  and  fixing  partitions  with  12  mm  thick  three  layered  flat  pressed  teakwood particle board  both  faces  commercial  bonded  with  phenol  formal  dehyde  synthetic resin  including CTW vertical 70 x 70 mm and top and bottom rail of 70 x 35 mm and covering batten of 20 x 10 mm at 1.00 metre apart on both ways or as directed including finishing with one coat of primer complete.</t>
  </si>
  <si>
    <r>
      <rPr>
        <sz val="11"/>
        <rFont val="Times New Roman"/>
        <family val="1"/>
      </rPr>
      <t>BD-T-63  Page
One Number 518</t>
    </r>
  </si>
  <si>
    <r>
      <rPr>
        <sz val="11"/>
        <rFont val="Times New Roman"/>
        <family val="1"/>
      </rPr>
      <t>Providing   and   fixing   partitions   with   12   mm   thick   three   layerd   flat   pressed teakwood  commercial    board    compressed    one    face    and    other    teak    veneer bonded   with   phenol formaldehyde synthetic resin including CTW vertical 70 x 70 mm and top and bottom rail of 70  x  35  mm  and  covering  batten  of  20  x  10  mm  at  1.00 metre  apart   on  both   ways  or  as directed including finishing with one coat of primer
complete.</t>
    </r>
  </si>
  <si>
    <t>Providing  and  fixing  partition  with  12mm  thick  three  layered  flat  pressed  veneer  teak wood  partical  board  with  both  faces  teak  veneer  bonded  with  phenol  formaldehyde synthetic resin including C.T.W. vertical 70 x 70 mm and top and bottom rail of 70 x 35 mm and covering battern  of 20 x 10 mm at 1.00  metre apart on both  ways or as directed including finishing with one coat of primer complete.</t>
  </si>
  <si>
    <r>
      <rPr>
        <sz val="11"/>
        <rFont val="Times New Roman"/>
        <family val="1"/>
      </rPr>
      <t>BD-T-68  Page
One Number 520</t>
    </r>
  </si>
  <si>
    <r>
      <rPr>
        <sz val="11"/>
        <rFont val="Times New Roman"/>
        <family val="1"/>
      </rPr>
      <t>Providing and fixing in position C.C.T.W. brackets for weather sheds of section 70 x 45 mm  with   mortise   and   tenon   joinery   at   1.2   to  1.5   metre  center   to  center   or   as directed  and  teak wood battens of required section, including fixing three One Numbers of iron nut and bolts to each bracket, necessary scaffolding and two coats of painting to
wood work etc. complete.</t>
    </r>
  </si>
  <si>
    <r>
      <rPr>
        <sz val="11"/>
        <rFont val="Times New Roman"/>
        <family val="1"/>
      </rPr>
      <t>Providing   and  fixing   22   B.W.G.  plain   galvanised   iron   sheets   on   top   of   weather shed, including scaffolding, fixing by means of nut and bolts or as directed etc. complete.
(Brackets of 70 x 45 mm to be paid separately)</t>
    </r>
  </si>
  <si>
    <r>
      <rPr>
        <sz val="11"/>
        <rFont val="Times New Roman"/>
        <family val="1"/>
      </rPr>
      <t>Providing   and   fixing   22   B.W.G.   plain   FRP   sheets   on   top   of   weather   shed,
including  scaffolding,  fixing  by  means  of  nut  and  bolts  or  as  directed  etc.  complete. (Brackets of 70 x 45 mm to be paid separately)</t>
    </r>
  </si>
  <si>
    <t>Providing and  fixing 4  mm thick  plain  A.C.  sheets  (of  IS  std.) on  top of  the weather shed including scaffolding, fixing by means of nuts and bolts or as directed etc. complete as per detailed drawing (Brackets of 70 x 45 mm to be paid separately).</t>
  </si>
  <si>
    <t>Providing  and  fixing  country  teak  wood   runner  size  150  x  75  mm  over  partition, including rounding, fixing in the masonry where necessary beading on sides etc. complete.</t>
  </si>
  <si>
    <r>
      <rPr>
        <sz val="11"/>
        <rFont val="Times New Roman"/>
        <family val="1"/>
      </rPr>
      <t>Providing and fixing teak wood cover moulding 45 x 20 mm over doors and windows in the  required   shape  and   size  as   per   drawing,   including  all   mouldings   and   finishing
with  french polishing etc. complete.</t>
    </r>
  </si>
  <si>
    <t>Providing   and   fixing   aluminium   grill`(5.13   Kilogram/Square   Metre)   decorative   of various sizes as per detail drawing and specification etc. complete. (Prior permission to be obtained from S.E. before execution of this item) ( 5.13 Kilogram/ One Square Metre)</t>
  </si>
  <si>
    <t>Providing and fixing solid core flush door shutter in double leaf 32 mm thick decorative type of exterior grade as per detailed drawings approved face veneers 3 mm thick on both faces or as directed, all necessary beads, mouldings and lipping, wrought iron hold fasts, chromium plated  fixtures  and  fastenings,  with  brass  mortise  lock,  chromium  plated handles  on  both sides, and finishing with French Polish etc. complete.</t>
  </si>
  <si>
    <r>
      <rPr>
        <sz val="11"/>
        <rFont val="Times New Roman"/>
        <family val="1"/>
      </rPr>
      <t>Providing  and fixing Country teak wood Four leaf  paneled shutters, 35 mm thick  style and  rail   and   25   mm  thick   panels   without   ventilator   as   per   detailed   drawing excluding the  door frame, stainless steel  fixtures and fastening and finishing the wood
work with oil painting 3 coats complete</t>
    </r>
  </si>
  <si>
    <t>Iron Work</t>
  </si>
  <si>
    <t>BDU 1</t>
  </si>
  <si>
    <t>Providing and fixing mild steel grill work for windows, ventilators etc. 20 Kilogram/ One Square Metre as  per  drawing including fixtures,  necessary  welding and  painting with one coats  of anticorrosive paint and two coats of oil painting complete.</t>
  </si>
  <si>
    <t>Bd.U.1 Page One Number 537</t>
  </si>
  <si>
    <t>BDU 1A</t>
  </si>
  <si>
    <t>Providing and fixing mild steel grill work for windows, ventilators, etc. 15 Kilogram/ One Square Metre  as  per  drawing  including  fixtures  necessary  welding  and  painting  with one  coat  of anticorrosive paint and two coats of oil painting complete.</t>
  </si>
  <si>
    <t>BDU 2</t>
  </si>
  <si>
    <t>Providing and fixing mild steel grill railing 20 Kilogram/sq.m with   teak wood  hand rail of size  75mm  x  60  mm.and  sill  of  75mm.x  25  mm.and  newel  posts  for  staircases, including fabricating,  fix-tures,  erecting,  painting the grill  work  with  one coat  of  anti- corrosive  paint and two coats of oil painting with approved colour and polishing the sill, hand rail and the newel post with french polish.</t>
  </si>
  <si>
    <t>Bd.U.2 Page One Number 537</t>
  </si>
  <si>
    <t>BDU 2A</t>
  </si>
  <si>
    <t>Providing and fixing mild steel grill railing 15 Kilogram/sq.m with Ghanateak wood hand rail  of  size  75mm  x  60  mm  and  sill  of  75mm.x  25mm  and  newel  posts  for  staircases, including   fabricating,   fixtures,   erecting,   painting   the  grill   work  with   one  coat   of anticorrosive paint and two coats of oil painting with approved colours and polishing the sill, hand rail and the newel post with french polish.</t>
  </si>
  <si>
    <r>
      <rPr>
        <sz val="11"/>
        <rFont val="Times New Roman"/>
        <family val="1"/>
      </rPr>
      <t>Providing and erecting Y type barbed wire fencing with seven rows of wire with 2.45 mm dia  G.I.  pipe  (  Rezan/  concentiDeleted  ire  0.75  mm dia  )  with  hot  dip  and  G.I.  coated hooks as per drawing  supported  on  M.S.  angle  50  x  50  x  6  mm  at  2.5  mtr.  c/c including  fixing  and fastening with wire, painting M.S. angles with one coat of red lead
primer and two coat of oil paint etc. complete.</t>
    </r>
  </si>
  <si>
    <r>
      <rPr>
        <sz val="11"/>
        <rFont val="Times New Roman"/>
        <family val="1"/>
      </rPr>
      <t>Providing  and  fixing  40mm  diameter  and  1.5  mm  thick  Stainless  steel  hand  railing  in
S.S.304 Grade  including  fabricating  ,fixtures,  errecting,  necessary  welding,  grinding, finishing, buffing to stainless steel pipe etc. complete</t>
    </r>
  </si>
  <si>
    <t>Providing  and  fixing  900mm  high  S.S.304  Grade  Stainless  steel  railing  with  40mm diameter and  1.5mm  thick  at  top, 40mm diameter  and  1.5mm thick  vertical  supports spaced   at   1.5m  center   to   center   and   8mm   thick    toughened   glass    including fabricating   ,fixtures,   errecting   ,  necessary  welding  ,  grinding  ,  finishing,  buffing  to stainless steel pipe etc. complete</t>
  </si>
  <si>
    <t>Providing and Fixing mat finish stainless steel (of 302 grade ) railing with top  pipe of 50 mm dia. and vertical pipe of 38 mm dia at 0.60 m c/c or as required and horizontal pipes of 25 mm dia in three rows, all pipes of 2 mm thick including buffing,fabricating fixtures and  fastening  including  pipe  base  of  appropriate  diameter  and  ball  base  of  75  mm  dia above newel post of 75  mm  diameter  etc.  complete  (Prior  approval  of  sample  and brand  by  Ex.Engineer  is necessary before use)</t>
  </si>
  <si>
    <t>Providing  and  fixing mild steel grill railing  weighing 15Kilogram/   One Square  Metre. with  teak wood  hand  rail  of  size  75mm.x  60mm.  and  sill  75mm.x  25mm.and  posts for   verandah  including   fabricating,   fixtures,   erecting   and   painting   the   grill   work with  one  coat  of anticorrosive paint and  two coats of oil paint and  polishing the grill, hand  rail with  French polish. Spec. One Number : Bd.U.3</t>
  </si>
  <si>
    <t>Providing  and  fixing  mild  steel  grill railing  weighing  15Kilogram/   One  Square  Metre. with  PVC  handrail  cover  and  newel  post  for  staircases,  including  fabricating,  fixtures, drilling holes in concrete / other surface, erecting the grill work, necessary welding, fixing by nuts and bolts, fixing PVC handrail cover, with one coat of anticorrosive paint and two coats  of  oil  painting  with  approved  colour  and  shade,  remaking  the  damaged  surface, cleaning, etc. complete. Spec. One Number : As directed by Engineer in charge.</t>
  </si>
  <si>
    <r>
      <rPr>
        <sz val="11"/>
        <rFont val="Times New Roman"/>
        <family val="1"/>
      </rPr>
      <t>Providing  and  fixing  mild  steel  grill railing  weighing  20Kilogram/   One  Square  Metre. with  PVC  handrail  cover  and  newel  post  for  staircases,  including  fabricating,  fixtures, drilling holes in concrete / other surface, erecting the grill work, necessary welding, fixing by nuts and bolts, fixing PVC handrail cover, with one coat of anticorrosive paint and two coats  of  oil  painting  with  approved  colour  and  shade,  remaking  the  damaged  surface, cleaning, etc. complete.
Spec. One Number : As directed by Engineer in charge.</t>
    </r>
  </si>
  <si>
    <t>Water Supply and Sanitary Fitting</t>
  </si>
  <si>
    <t>Water Supply and  Sanitary Fitting</t>
  </si>
  <si>
    <t>BDV 1</t>
  </si>
  <si>
    <t>Providing and  laying cast  iron  pipes  of  B  class  of 80mm diameter with  sockets and spigot  ends/   flanges   and   cast   centrifugally   /   vertically   including   specials,   laying pipes  and  back filling the trench complete including excavation.</t>
  </si>
  <si>
    <t>Bd.V.1 Page One Number 547</t>
  </si>
  <si>
    <r>
      <rPr>
        <sz val="11"/>
        <rFont val="Times New Roman"/>
        <family val="1"/>
      </rPr>
      <t>Water Supply and  Sanitary
Fitting</t>
    </r>
  </si>
  <si>
    <t>BDV 1A</t>
  </si>
  <si>
    <r>
      <rPr>
        <sz val="11"/>
        <rFont val="Times New Roman"/>
        <family val="1"/>
      </rPr>
      <t>Providing  and  laying  cast  iron  pipes  of  B  class  of  100mm  diameter  with  sockets  and spigot ends/ flanges and cast centrifugally/vertically including specials, laying pipes and
back filling the trench complete including excavation.</t>
    </r>
  </si>
  <si>
    <t>BDV 1B</t>
  </si>
  <si>
    <r>
      <rPr>
        <sz val="11"/>
        <rFont val="Times New Roman"/>
        <family val="1"/>
      </rPr>
      <t>Providing  and  laying  cast  iron  pipes  of  B  class  of  150mm  diameter  with  sockets  and spiget ends/ flanges and cast centrifugally/ vertically including specials, laying pipes and
back filling the trench complete including excavation.</t>
    </r>
  </si>
  <si>
    <t>BDV 2</t>
  </si>
  <si>
    <t>Providing  and making lead joints for 80mm diameter cast  iron pipe line including lead and testing.</t>
  </si>
  <si>
    <t>Bd.V.2 Page One Number 549</t>
  </si>
  <si>
    <t>BDV 2A</t>
  </si>
  <si>
    <t>Providing and making lead joints for 100mm diameter cast iron pipes line including lead and testing.</t>
  </si>
  <si>
    <r>
      <rPr>
        <sz val="11"/>
        <rFont val="Times New Roman"/>
        <family val="1"/>
      </rPr>
      <t>Water Supply
and  Sanitary Fitting</t>
    </r>
  </si>
  <si>
    <t>BDV 2B</t>
  </si>
  <si>
    <t>Providing and making lead joints for 150mm diameter cast iron pipe line including lead and testing</t>
  </si>
  <si>
    <t>BDV 3</t>
  </si>
  <si>
    <t>Providing  and  making  flanged  connection  for  the  80mm  diameter  cast  iron  pipe  line including painting rubber insertion, nuts and bolts etc. complete.</t>
  </si>
  <si>
    <t>Bd.V.3 Page One Number 550</t>
  </si>
  <si>
    <t>BDV 3A</t>
  </si>
  <si>
    <t>Providing  and  making  flanged  connection  for  the  100mm  diameter  cast  iron  pipe line including painting rubber insertion, nuts and bolts etc. complete.</t>
  </si>
  <si>
    <t>BDV 3B</t>
  </si>
  <si>
    <t>Providing  and  making  flanged  connection  for  the  150mm  diameter  cast  iron  pipe line including painting rubber insertion, nuts and bolts etc. complete.</t>
  </si>
  <si>
    <t>BDV 5</t>
  </si>
  <si>
    <t>Providing and fixing on walls/ ceiling/ floors, 15 mm dia. heavy grade having embossed as ISI  Mark  galvanised  iron   pipes  weight   of  1.48  Kilogram/metre  with   necessary fittings. remaking good the demolished portion and applying primer of anti-corrosive oil paint 2 coats Including necessary scaffolding and removing existing pipe line if necessary and conveying and stacking the same in PWD chowky or as directed etc. complete.</t>
  </si>
  <si>
    <t>Bd.V.5 Page One Number 551</t>
  </si>
  <si>
    <t>Providing and fixing on walls/ ceiling/ floors 20 mm dia. heavy grade having embossed as ISI Mark galvanised iron pipes of 1.93 Kilogram/meter with necessary fitting  remaking good the demolished  portion  and  applying  primer  of  anti-corrosive  oil  paint,  2  coats Including necessary  scaffolding   and  removing   existing   pipe  line  if  necessary  and conveying  and stacking the same in PWD chowky or as directed etc. complete.</t>
  </si>
  <si>
    <t>Bd.V.5 Page One Number 551c</t>
  </si>
  <si>
    <t>Providing and fixing on walls/ ceiling/ floors, 25 mm dia. heavy grade having embossed as ISI  Mark  galvanised  iron   pipes  weight   of  3.01  Kilogram/meter  with   necessary fittings  . remaking good the demolished portion and applying primer of anti-corrosive oil paint 2 coats Including necessary scaffolding and removing existing pipe line if necessary and conveying and stacking the same in PWD chowky or as directed etc. complete.</t>
  </si>
  <si>
    <t>Providing and fixing on walls/ ceiling/ floors, 32 mm dia. heavy grade having embossed as ISI  Mark  galvanised  iron   pipes  weight   of  3.89  Kilogram/meter  with   necessary fittings  . remaking good the demolished portion and applying primer of anti-corrosive oil paint 2 coats Including necessary scaffolding and removing existing pipe line if necessary and conveying and stacking the same in PWD chowky or as directed etc. complete.</t>
  </si>
  <si>
    <r>
      <rPr>
        <sz val="11"/>
        <rFont val="Times New Roman"/>
        <family val="1"/>
      </rPr>
      <t>Providing and fixing on walls/ ceiling/ floors, 40 mm dia. heavy grade having embossed as ISI  Mark  galvanised  iron   pipes  weight   of  4.49  Kilogram/meter  with   necessary fittings  and remaking good the demolished portion and applying primer of anti-corrosive oil  paint  2  coats  Including  necessary  scaffolding  and  removing  existing  pipe  line  if necessary  and  conveying  and  stacking  the  same  in  PWD  chowky  or  as  directed  etc.
complete.</t>
    </r>
  </si>
  <si>
    <r>
      <rPr>
        <sz val="11"/>
        <rFont val="Times New Roman"/>
        <family val="1"/>
      </rPr>
      <t>Providing and fixing on walls/ ceiling/ floors, 50 mm dia heavy grade having embossed as ISI  Mark   galvanised   iron   pipes   weight   of   6.33   Kilogram/meter   with   necessary fittings.and remaking  good  the  demolished  portion  and  primer  of  anti  corrossive  oil paint   2   coats  Including  necessary  scaffolding  and  removing  existing  pipe  line  if necessary  and  conveying  and  stacking  the  same  in  PWD  chowky  or  as  directed  etc.
complete.</t>
    </r>
  </si>
  <si>
    <t>Bd.V.5Page One Number 551</t>
  </si>
  <si>
    <r>
      <rPr>
        <sz val="11"/>
        <rFont val="Times New Roman"/>
        <family val="1"/>
      </rPr>
      <t>Providing and fixing on walls/ ceiling/ floors, 80 mm dia.heavy grade having embossed as ISI  Mark   galvanised   iron   pipes   weight   of   10.15   Kilogram/meter   with   necessary fittings.  and remaking good the demolished portion and applying primer of anti-corrosive oil  paint  2  coats  Including  necessary  scaffolding  and  removing  existing  pipe  line  if necessary  and  conveying  and  stacking  the  same  in  PWD  chowky  or  as  directed  etc.
complete.</t>
    </r>
  </si>
  <si>
    <t>Providing and fixing on walls/ ceiling/ floors, 100 mm dia.heavy grade having embossed as ISI Mark galvanised iron pipes weight of 14.74 Kilogram/meter with necessary fittings. and remaking good the demolished portion and applying primer of anti-corrosive oil paint 2 coats Including necessary scaffolding and removing existing pipe line if necessary and conveying and stacking the same in PWD chowky or as directed etc. complete.</t>
  </si>
  <si>
    <r>
      <rPr>
        <sz val="11"/>
        <rFont val="Times New Roman"/>
        <family val="1"/>
      </rPr>
      <t>Providing and  laying in  trenches  15  mm dia.  medium grade  having embossed  as  ISI Mark galvanised iron pipes of 1.25 Kilogram/meter necessary fitting remaking good the demolished portion  with  filling  trenches  and  with  primer  of  anti-corrosive  oil  paint,
2   coats   Including  removing   existing   pipe   line   if   necessary   and   conveying   and stacking  the  same  in  PWD chowky or as directed etc. complete.</t>
    </r>
  </si>
  <si>
    <t>Providing and  laying in  trenches  20  mm dia.  medium grade  having embossed  as  ISI Mark galvanised   iron   pipes   ?of   1.63   Kilogram/meter   necessary   fitting   remaking good   the demolished portion with filling trenches and with primer of anti-corrosive oil paint,  2  coats  Including  removing  existing  pipe  line  if  necessary   and   conveying  and stacking the same in PWD chowky or as directed etc. complete.</t>
  </si>
  <si>
    <t>Providing and  laying in  trenches  25  mm dia.  medium grade  having embossed  as  ISI Mark galvanised   iron   pipes   ?of   2.49   Kilogram/meter   necessary   fitting   remaking good   the demolished portion with filling trenches and with primer of anti-corrosive oil paint,  2  coats  Including  removing  existing  pipe  line  if  necessary   and   conveying  and stacking the same in PWD chowky or as directed etc. complete.</t>
  </si>
  <si>
    <t>Providing  and  laying  in  trenches  32  mm  dia.medium  grade  having  embossed  as  ISI Mark galvanised   iron   pipes   ?of   3.20   Kilogram/meter   necessary   fitting   remaking good   the demolished portion with filling trenches and with primer of anti-corrosive oil paint,  2  coats  Including  removing  existing  pipe  line  if  necessary   and   conveying  and stacking the same in PWD chowky or as directed etc. complete.</t>
  </si>
  <si>
    <t>Providing and  laying in  trenches  40  mm dia.  medium grade  having embossed  as  ISI Mark galvanised   iron   pipes   ?of   3.68   Kilogram/meter   necessary   fitting   remaking good   the demolished portion with filling trenches and with primer of anti-corrosive oil paint,  2  coats  Including  removing  existing  pipe  line  if  necessary   and   conveying  and stacking the same in PWD chowky or as directed etc. complete.</t>
  </si>
  <si>
    <t>Providing and  laying in  trenches  50  mm dia.  medium grade  having embossed  as  ISI Mark galvanised   iron   pipes   ?of   5.17   Kilogram/meter   necessary   fitting   remaking good   the demolished portion with filling trenches and with primer of anti-corrosive oil paint,  2  coats  Including  removing  existing  pipe  line  if  necessary   and   conveying  and stacking the same in PWD chowky or as directed etc. complete.</t>
  </si>
  <si>
    <t>Providing and  laying in  trenches  80  mm dia.  medium grade  having embossed  as  ISI Mark galvanised   iron   pipes   ?of   8.57   Kilogram/meter   necessary   fitting   remaking good   the demolished portion with filling trenches and with primer of anti-corrosive oil paint,  2  coats  Including  removing  existing  pipe  line  if  necessary   and   conveying  and stacking the same in PWD chowky or as directed etc. complete.</t>
  </si>
  <si>
    <t>Providing  and  laying  in  trenches  100  mm  dia.  medium  grade  having  embossed  as  ISI Mark   galvanised     iron     pipes     ?of     12.43     Kilogram/meter     necessary     fitting remaking   good    the  demolished  portion  with  filling  trenches  and  with  primer  of  anti- corrosive  oil  paint  ,  2  coats  Including  removing  existing  pipe  line  if  necessary   and conveying and  stacking the same in PWD chowky or as directed etc. complete.</t>
  </si>
  <si>
    <t>BDV 7</t>
  </si>
  <si>
    <r>
      <rPr>
        <sz val="11"/>
        <rFont val="Times New Roman"/>
        <family val="1"/>
      </rPr>
      <t>Providing  and   fixing  15mm  diameter   water   meter   with   non-return   valve  including strainer,  sockets/  union nut including water meter box making locking arrangement and
lock. [Without chamber].</t>
    </r>
  </si>
  <si>
    <t>Bd.V.7 Page One Number 554</t>
  </si>
  <si>
    <r>
      <rPr>
        <sz val="11"/>
        <rFont val="Times New Roman"/>
        <family val="1"/>
      </rPr>
      <t>Providing  and   fixing  20mm  diameter   water   meter   with   non-return   valve  including strainer,  sockets/  union nut including water meter box making locking arrangement and
lock. (without chamber).</t>
    </r>
  </si>
  <si>
    <r>
      <rPr>
        <sz val="11"/>
        <rFont val="Times New Roman"/>
        <family val="1"/>
      </rPr>
      <t>Providing  and   fixing  25mm  diameter   water   meter   with   non-return   valve  including strainer,   sockets/    union    nut    and    including    water    meter    box    making    locking
arrangement  and  lock. [Without chamber].</t>
    </r>
  </si>
  <si>
    <r>
      <rPr>
        <sz val="11"/>
        <rFont val="Times New Roman"/>
        <family val="1"/>
      </rPr>
      <t>Providing  and   fixing  40mm  diameter   water   meter   with   non-return   valve  including strainer,sockets/    union    nut     and    including    water    meter    box    making    locking
arrangements  and  lock. [Withoutchamber].</t>
    </r>
  </si>
  <si>
    <r>
      <rPr>
        <sz val="11"/>
        <rFont val="Times New Roman"/>
        <family val="1"/>
      </rPr>
      <t>Providing  and   fixing  50mm  diameter   water   meter   with   non-return   valve  including strainer,sockets/    union    nut    and    including    water    meter    box    making    locking
arrangement  and  lock. [without chamber]</t>
    </r>
  </si>
  <si>
    <r>
      <rPr>
        <sz val="11"/>
        <rFont val="Times New Roman"/>
        <family val="1"/>
      </rPr>
      <t>Providing  and   fixing  80mm  diameter   water   meter   with   non-return   valve  including strainer,   sockets/    union    nut    and    including    water    meter    box    making    locking
arrangement  and  lock.[Without chamber].</t>
    </r>
  </si>
  <si>
    <r>
      <rPr>
        <sz val="11"/>
        <rFont val="Times New Roman"/>
        <family val="1"/>
      </rPr>
      <t>Providing  and  fixing  100mm  diameter  water  meter  with  non-return  valve  including
strainer,   sockets/    union    nut    and    including    water    meter    box    making    locking arrangements  and  lock. [Without chamber].</t>
    </r>
  </si>
  <si>
    <t>BDV 8</t>
  </si>
  <si>
    <t>Providing and fixing 15 mm dia. screw down bib/ stop tap of brass including necessary socket union nut complete.</t>
  </si>
  <si>
    <t>Bd.V.8 Page One Number 554</t>
  </si>
  <si>
    <t>Providing and fixing 20 mm dia. screw down bib/ stop tap of brass including necessary socket union nut complete.</t>
  </si>
  <si>
    <t>Providing and fixing 25 mm dia. screw down bib/ stop tap of brass including necessary socket union nut complete.</t>
  </si>
  <si>
    <t>BDV 9</t>
  </si>
  <si>
    <t>Providing  and  fixing  screw  down  15  mm  dia.  wheeled  stop  tap  of  brass  including necessary sockets/union nut complete</t>
  </si>
  <si>
    <t>Bd.V.9 Page One Number 555</t>
  </si>
  <si>
    <t>Providing   and   fixing   screw   down   for   20   mm   dia.   wheeled   stop   tap   of   brass including necessary sockets/union nut complete.</t>
  </si>
  <si>
    <t>Providing   and   fixing   screw   down   for   25   mm   dia.   wheeled   stop   tap   of   brass including necessary sockets/union nut complete.</t>
  </si>
  <si>
    <t>Providing   and   fixing   screw   down   for   32   mm   dia.   wheeled   stop   tap   of   brass including necessary sockets/union nut complete.</t>
  </si>
  <si>
    <t>Providing   and   fixing   screw   down   for   40   mm   dia.   wheeled   stop   tap   of   brass including necessary sockets/union nut complete.</t>
  </si>
  <si>
    <t>Providing   and   fixing   screw   down   for   50   mm   dia.   wheeled   stop   tap   of   brass including necessary sockets/ union nut complete.</t>
  </si>
  <si>
    <t>Providing   and   fixing   screw   down   for   65   mm   dia.   wheeled   stop   tap   of   brass including necessary sockets/union nut complete.</t>
  </si>
  <si>
    <t>Providing   and   fixing   screw   down   for   80   mm.   dia.   wheeled   stop   tap   of   brass including necessary sockets/union nut complete.</t>
  </si>
  <si>
    <t>BDV 12</t>
  </si>
  <si>
    <t>Providing  and  fixing  100  mm  dia.  chromium  plated  brass  showers  rose  to  15mm  dia. supply pipe including necessary bend and socket complete.</t>
  </si>
  <si>
    <r>
      <rPr>
        <sz val="11"/>
        <rFont val="Times New Roman"/>
        <family val="1"/>
      </rPr>
      <t>Bd.V. 12 Page
One Number 556</t>
    </r>
  </si>
  <si>
    <t>BDV 14</t>
  </si>
  <si>
    <t>Providing  and  fixing  15mm  diameter  concussion  push  button  type  brass/gun  metal self- closing tap including necessary socket complete.</t>
  </si>
  <si>
    <t>Bd.V.14 Page One Number 557</t>
  </si>
  <si>
    <t>Providing  and  fixing  25mm  diameter  concussion  push  button  type  brass/gun  metal self- closing tap including necessary socket complete</t>
  </si>
  <si>
    <r>
      <rPr>
        <sz val="11"/>
        <rFont val="Times New Roman"/>
        <family val="1"/>
      </rPr>
      <t>Bd.V. 14 Page
One Number 557</t>
    </r>
  </si>
  <si>
    <t>BDV</t>
  </si>
  <si>
    <t>Providing   and   fixing   push   cock   (Self   closing   tap)   symet   type   of   15   mm   dia. including necessary socket, testing etc. complete.</t>
  </si>
  <si>
    <t>Providing   and   fixing   push   cock   (Self   closing   tap)   symet   type   of   20   mm   dia. including necessary socket, testing etc. complete.</t>
  </si>
  <si>
    <r>
      <rPr>
        <sz val="11"/>
        <rFont val="Times New Roman"/>
        <family val="1"/>
      </rPr>
      <t>As directed by Engineer- in-
charge.</t>
    </r>
  </si>
  <si>
    <t>BDV 19</t>
  </si>
  <si>
    <t>Bd. V. 19 Page One Number 559</t>
  </si>
  <si>
    <t>Full stall type urinal</t>
  </si>
  <si>
    <t>BDV 23</t>
  </si>
  <si>
    <t>Providing  and   fixing  White  Glazed   Earthenware  full  stall  type  Urinal  with   P.V.C. flushing cistern of 5 liters capacity with fitting, inlet pipes and stop tap, brackets for fixing the cistern, 32 mm dia. P.V.C flush pipe with fittings and flushing arrangement including lead soil pipe, lead trap, soil pipe connectionup to the outside face of the wall</t>
  </si>
  <si>
    <t>Bd.V.23 Page One Number 562</t>
  </si>
  <si>
    <t>Squating  type urinal</t>
  </si>
  <si>
    <r>
      <rPr>
        <sz val="11"/>
        <rFont val="Times New Roman"/>
        <family val="1"/>
      </rPr>
      <t>Providing  and  fixing  White  Glazed  Earthenware  Squatting  plate  (Ladies  Urinal)  with
P.V.C. flushing cistern of 5 liters capacity with fitting, inlet pipes and stop tap, brackets for  fixing   the  cistern,  32    mm  dia.   P.V.C  flush   pipe  with    fittings  and    flushing arrangement including lead soil pipe, lead trap, soil pipe connectionup to the outside face of the wall</t>
    </r>
  </si>
  <si>
    <t>Providing  and  fixing  coloured  glazed  earthenware  full  stall  type  Urinal  with  P.V.C. flushing cistern of 5 liters capacity with fitting, inlet pipes and stop tap brackets for fixing the cistern 32mm dia. P.V.C. flush pipe with fittings and flushing arrangement including lead soil pipe, lead trap soil pipe connection up to the outside face of the wall.</t>
  </si>
  <si>
    <t xml:space="preserve">Lipped flat back  type urinal </t>
  </si>
  <si>
    <t>BDV 26</t>
  </si>
  <si>
    <t>Providing  and  fixing  white  glazed  earthenware  lipped  flat back/corner  type Urinal with PVC 5 liters flushing cistern with fittings, inlet pipe with stop tap, brackets for fixing the cistern, 32 mm diameter P.V.C. flush pipe with fitting including lead soil pipe, lead trap and soil pipe connection up to the outside face of wall.</t>
  </si>
  <si>
    <t>Bd.V.26 Page One Number 564</t>
  </si>
  <si>
    <t>BDV 27</t>
  </si>
  <si>
    <r>
      <rPr>
        <sz val="11"/>
        <rFont val="Times New Roman"/>
        <family val="1"/>
      </rPr>
      <t>Providing   and   fixing   coloured   glazed   earthenware   lipped   flat   back/corner   type urinal  with PVC   5  liters   flushing  cistern   with   fittings,capacity  with   fittings,   inlet pipe   and   stop   tap,  brackets  for  fixing  the  cistern,  P.V.C.  flush  pipe  with   fittings including lead soil pipe, lead trap and soil pipe connection up to the outside face of the
wall.</t>
    </r>
  </si>
  <si>
    <t>Bd.V.27 Page One Number 564</t>
  </si>
  <si>
    <t>100 mm half round glazed pipe</t>
  </si>
  <si>
    <t>BDV 29</t>
  </si>
  <si>
    <t>Providing  and  laying  100  mm  dia.  half  round  white  glazed  earthenware  pipes  in 1:5:10 cement concrete bedding including bends, etc. complete.</t>
  </si>
  <si>
    <t>Bd.V.29 Page One Number 565</t>
  </si>
  <si>
    <t>Wash Hand basin</t>
  </si>
  <si>
    <t>BDV 30</t>
  </si>
  <si>
    <r>
      <rPr>
        <sz val="11"/>
        <rFont val="Times New Roman"/>
        <family val="1"/>
      </rPr>
      <t>Providing  and  fixing  white  glazed  earthenware  Wash  Hand  Basin  of  55cm.  x  40 cm.   size  including  cold  water  pillar  tap/cold  and  hot  water  pillar  tap  brackets,  rubber plugs  and  brass  chain,  stop  tap  and  necessary pipe  connections  including  P.V.C.  waste pipe and trap up to the outside face of the wall. Making good the damaged surface, testing
etc. complete.</t>
    </r>
  </si>
  <si>
    <t>Bd.V.30 Page One Number 565</t>
  </si>
  <si>
    <t>Providing  and  fixing  white  glazed  earthenware  Wash  Hand  Basin  of  45cm  x  30cm size including cold water pillar tap/cold and hot water pillar tap brackets, rubber plugs and brass chain, stop tap and necessary pipe connection including P.V.C. waste pipe and trap up to the outside face of the wall. Making good the damaged surface, testing etc. complete.</t>
  </si>
  <si>
    <r>
      <rPr>
        <sz val="11"/>
        <rFont val="Times New Roman"/>
        <family val="1"/>
      </rPr>
      <t>Providing  and  fixing  white  glazed  earthenware  Wash  Hand  Basin  of  63cm  x  45cm size  including  Bib  cock  stop  tap  brass  heavy  15mm,  brackets,  rubber  plugs  and  brass chain, stop tap and necessary pipe connection including P.V.C. waste pipe and trap up to
the outside face of the wall.</t>
    </r>
  </si>
  <si>
    <t>Providing  and  fixing  coloured  glazed  earthenware  Wash  Hand  Basin  of  55cm x  40  cm size including cold water pillar tap/cold and hot water pillar tap brackets, rubber plugs and brass chain, stop tap and necessary pipe connection including P.V.C. waste pipe and trap up to the outside face of the wall. Making good the damaged surface, testing etc. complete.</t>
  </si>
  <si>
    <t>Providing and fixing coloured glazed earthenware Wash Hand Basin of 45 cm x 30 cm size including cold water pillar tap/cold and hot water pillar tap brackets, rubber plugs and brass chain, stop tap and necessary pipe connection including P.V.C. waste pipe and trap up to the outside face of the wall. Making good the damaged surface, testing etc. complete.</t>
  </si>
  <si>
    <r>
      <rPr>
        <sz val="11"/>
        <rFont val="Times New Roman"/>
        <family val="1"/>
      </rPr>
      <t>Providing  and  fixing   White  glazed  with  bottle  trap  earthenware  Wash  Hand  Basin  of 55x40 cm  size  including   cold  water  piller  taps,   brackets,   rubber  plugs   and   brass chain,   stop   tap,  chromium  plate  bottle  trap  and  necessary  pipe  connections  including UPAC waste pipe and trap upto the outside face of the wall, making good the damaged
surface, testing etc. complete.</t>
    </r>
  </si>
  <si>
    <r>
      <rPr>
        <sz val="11"/>
        <rFont val="Times New Roman"/>
        <family val="1"/>
      </rPr>
      <t>BDV.-30  Page
One Number616</t>
    </r>
  </si>
  <si>
    <r>
      <rPr>
        <sz val="11"/>
        <rFont val="Times New Roman"/>
        <family val="1"/>
      </rPr>
      <t>Providing   and   fixing   White   glazed   with   bottle   trap        earthenware   Wash   Hand Basin  of 63x45 cm size including cold water piller taps, brackets, rubber plugs and brass chain,  stop  tap,  chromium  plate  bottle  trap  and  necessary  pipe  connections  including UPAC  waste  pipe  and   trap   upto   the   outside   face   of   the   wall,   making   good   the
damaged  surface,  testing  etc. complete.</t>
    </r>
  </si>
  <si>
    <r>
      <rPr>
        <sz val="11"/>
        <rFont val="Times New Roman"/>
        <family val="1"/>
      </rPr>
      <t>Providing   and   fixing    Coloured   glazed   with   bottle   trap    earthenware  Wash   Hand Basin  of 55x40 cm. size including cold water piller taps, brackets, rubber plugs and brass chain,  stop  tap,  chromium  plate  bottle  trap  and  necessary  pipe  connections  including UPAC  waste  pipe  and   trap   upto   the   outside   face   of   the   wall,   making   good   the
damaged  surface,  testing  etc. complete.</t>
    </r>
  </si>
  <si>
    <r>
      <rPr>
        <sz val="11"/>
        <rFont val="Times New Roman"/>
        <family val="1"/>
      </rPr>
      <t>Providing and fixing coloured glazed earthenware Wash Hand Basin of 63 cm x 45 cm size including cold water pillar tap/cold and hot water pillar tap brackets, rubber plugs and brass chain, stop tap and necessary pipe connection including P.V.C. waste pipe and trap
up to the outside face of the wall.</t>
    </r>
  </si>
  <si>
    <t>Earthanware Sink</t>
  </si>
  <si>
    <t>BDV 31</t>
  </si>
  <si>
    <r>
      <rPr>
        <sz val="11"/>
        <rFont val="Times New Roman"/>
        <family val="1"/>
      </rPr>
      <t>Providing and fixing white glazed earthenware sink 600mm x 200mm x 450mm including all connection of the G.I. supply and P.V.C. waste pipes up to the outside face of the wall, cold  water   chromium  plated   screw   down   bib   tap,   rolled   steel   or   C.I.   brackets,
rubber  plug  with chain and stop tap complete.</t>
    </r>
  </si>
  <si>
    <t>Bd.V.31 Page One Number566</t>
  </si>
  <si>
    <r>
      <rPr>
        <sz val="11"/>
        <rFont val="Times New Roman"/>
        <family val="1"/>
      </rPr>
      <t>Providing and fixing white glazed earthenware sink 450mm x 200mm x 300mm including all connection  of the G.I. supply and  lead waste pipes up to the outside face of  the wall, cold  water   chromium  plated   screw   down   bib   tap,   rolled   steel   or   C.I.   brackets,
rubber  plug  with chain and stop tap complete.</t>
    </r>
  </si>
  <si>
    <t>Providing  and  fixing  Autoclosing  pillar  cock  of  pressmatic  tap  of  approved  make or equivalent including all fixtures, fittings etc. complete.</t>
  </si>
  <si>
    <r>
      <rPr>
        <sz val="11"/>
        <rFont val="Times New Roman"/>
        <family val="1"/>
      </rPr>
      <t>Providing and  constructing granite kitchen  platform with  fixing of   stainless  steel  sink 600 mm x 450  mm size as per detailed  drawing including vertical both  side polished kadappah stone 25 to 30 mm thick supports with kadappah  top 35 to 40 mm thick and polished  granite  16  to  20  mm top  with  side  strips  of  granite  at  front  and  both  sides  of platform raised with two vertical  granite  supports  15  cm  height  and  top  granite  of
75  x  40  cm  including  cutting, opening for sink of required size in kadappah as well as granite etc. complete. (Platform top size 5.00 m x 0.60 m and height is 0.75 m)</t>
    </r>
  </si>
  <si>
    <t>Granite Kitchen Otta</t>
  </si>
  <si>
    <t>BDV 32</t>
  </si>
  <si>
    <t>Providing and fixing 8 cm C.I. Nahani Trap including C.I. grating bend and piece of C.I. pipe upto the outside face of the wall complete.</t>
  </si>
  <si>
    <t>Bd.V.32 Page One Number567</t>
  </si>
  <si>
    <t>8 cm Nahani Trap</t>
  </si>
  <si>
    <r>
      <rPr>
        <sz val="11"/>
        <rFont val="Times New Roman"/>
        <family val="1"/>
      </rPr>
      <t>Providing and  fixing 10cm C.I.  Nahani  Trap  including  C.I.  grating  bend  and  piece of
C.I. pipe upto the outside face of the wall complete.</t>
    </r>
  </si>
  <si>
    <t>10 cm Nahani Trap</t>
  </si>
  <si>
    <t>BDV 37</t>
  </si>
  <si>
    <r>
      <rPr>
        <sz val="11"/>
        <rFont val="Times New Roman"/>
        <family val="1"/>
      </rPr>
      <t>Providing   and  laying   100mm  diameter  half  round  salt   glazed   stoneware  pipes   in brick  masonry   including   fittings   such   as   bends,   tees,   single   junction,   necessary
excavation  and jointing complete.</t>
    </r>
  </si>
  <si>
    <t>Bd.V.37, Page One Number 571</t>
  </si>
  <si>
    <t xml:space="preserve">100mm   diameter   half   round   salt   glazed   stoneware   pipes   in   brick  masonry </t>
  </si>
  <si>
    <t>BDV 38</t>
  </si>
  <si>
    <r>
      <rPr>
        <sz val="11"/>
        <rFont val="Times New Roman"/>
        <family val="1"/>
      </rPr>
      <t>Providing  and fixing  15cm x  10cm salt  glazed stoneware  gully trap  in cement  concrete 1:4:8  outside  the  building  including  cast  iron  grating  in  the  sink,  connecting  glazed stoneware  pipe,  brick  masonry chamber  with  cast  iron  lid  and  cast  iron  grating  for  the
gully trap.</t>
    </r>
  </si>
  <si>
    <t>Bd.V.38, Page One Number 572</t>
  </si>
  <si>
    <t xml:space="preserve">15cm  x  10cm  salt  glazed  stoneware  gully  trap </t>
  </si>
  <si>
    <t>BDV 39</t>
  </si>
  <si>
    <r>
      <rPr>
        <sz val="11"/>
        <rFont val="Times New Roman"/>
        <family val="1"/>
      </rPr>
      <t>Providing  and  laying  100  mm dia  salt  glazed  stoneware  pipe  including  fittings  such  as bends, tees,  single junction,  double junctions  laying, jointing  (including excavation  and
refilling the trenches) complete.</t>
    </r>
  </si>
  <si>
    <t>Bd.V.39, Page One Number 573</t>
  </si>
  <si>
    <t xml:space="preserve">100  mm dia  salt  glazed  stoneware pipe </t>
  </si>
  <si>
    <r>
      <rPr>
        <sz val="11"/>
        <rFont val="Times New Roman"/>
        <family val="1"/>
      </rPr>
      <t>Providing and  laying for 150 mm dia salt glazed  stoneware pipe including fittings Such as   bends,    tees,    single    junction,    double    junctions    laying,    jointing    (including
excavation  and refilling the trenches) complete.</t>
    </r>
  </si>
  <si>
    <t xml:space="preserve">150  mm dia  salt  glazed  stoneware pipe </t>
  </si>
  <si>
    <r>
      <rPr>
        <sz val="11"/>
        <rFont val="Times New Roman"/>
        <family val="1"/>
      </rPr>
      <t>Providing  and  laying  for  225mm  dia.  salt  glazed  S.W.  Pipe  including  fitting  such  as bends, tees,  single junction,  double junctions  laying, jointing  (including excavation  and
refilling the trenches) complete</t>
    </r>
  </si>
  <si>
    <t xml:space="preserve">225  mm dia  salt  glazed  stoneware pipe </t>
  </si>
  <si>
    <t>BDV 41</t>
  </si>
  <si>
    <r>
      <rPr>
        <sz val="11"/>
        <rFont val="Times New Roman"/>
        <family val="1"/>
      </rPr>
      <t>Providing  and laying concrete pipes of I.S.NP. class of 100mm diameter in proper line,
level  and  slope  including  necessary  collars,  excavation,  laying,  fixing  with  collars  in cement mortar 1:1 and refilling the trench complete.</t>
    </r>
  </si>
  <si>
    <t>Bd.V.41, Page One Number 573</t>
  </si>
  <si>
    <t>I.S.NP. class of 100mm dia. Pipe</t>
  </si>
  <si>
    <r>
      <rPr>
        <sz val="11"/>
        <rFont val="Times New Roman"/>
        <family val="1"/>
      </rPr>
      <t>Providing  and laying concrete pipes of I.S.NP. class of 150mm diameter in proper line,
level  and  slope  including  necessary  collars,  excavation,  laying,  fixing  with  collars  in cement mortar 1:1 and refilling the trench complete.</t>
    </r>
  </si>
  <si>
    <t>I.S.NP. class of 150 mm dia. Pipe</t>
  </si>
  <si>
    <r>
      <rPr>
        <sz val="11"/>
        <rFont val="Times New Roman"/>
        <family val="1"/>
      </rPr>
      <t>Providing  and laying concrete pipes of I.S.NP. class of 225mm diameter in proper line, level  and  slope  including  necessary  collars,  excavation,  laying,  fixing  with  collars  in
cement mortar 1:1 and refilling the trench complete.</t>
    </r>
  </si>
  <si>
    <t>I.S.NP. class of 225 mm dia. Pipe</t>
  </si>
  <si>
    <t>Providing  and laying concrete pipes of I.S.NP. class of 300mm diameter in proper line, level  and  slope  including  necessary  collars,  excavation,  laying,  fixing  with  collars  in
cement mortar 1:1 and refilling the trench complete.</t>
  </si>
  <si>
    <t>I.S.NP. class of 300mm dia. Pipe</t>
  </si>
  <si>
    <t>BDV 43</t>
  </si>
  <si>
    <r>
      <rPr>
        <sz val="11"/>
        <rFont val="Times New Roman"/>
        <family val="1"/>
      </rPr>
      <t>Providing   and   constructing   Brick   Masonry  Inspection   Chamber   60cm   x   45cm   x 90cm  including   1:4:8   cement   concrete   foundation   1:2:4   cement   concrete   channels half  round G.S.W.   pipes,    Brick   Masonry,    plastering   from   inside   and    airtight
C.   I.   cover   of 75Kilogramwith lid and frame fixed in cement concrete.</t>
    </r>
  </si>
  <si>
    <t>Bd.V.43, Page One Number 574</t>
  </si>
  <si>
    <t>Brick  Masonry  Inspection  Chamber  60cm  x  45cm  x  90c</t>
  </si>
  <si>
    <t>Providing   and   constructing   Brick   Masonry  Inspection   Chamber   90cm   x   45cm   x 90cm  including   1:4:8   cement   concrete   foundation   1:2:4   cement   concrete   channels half   round  G.S.W.pipes,  Brick  Masonry,  plastering  from  inside  and  C.I.  lid  cover  of 75Kilogramwith lid and frame fixed in cement concrete.</t>
  </si>
  <si>
    <t>Bd.V.43 Page One Number 574</t>
  </si>
  <si>
    <t>Brick  Masonry  Inspection  Chamber  90cm  x  45cm  x  90cm</t>
  </si>
  <si>
    <t>Providing   and   constructing   Brick   Masonry  Inspection   Chamber   60cm   x   45cm   x 90cm  including   1:4:8   cement   concrete   foundation   1:2:4   cement   concrete   channels half  round G.S.W. pipes, Brick Masonry, plastering from inside and with frame fixed in cement concrete with R.C.C. Cover medium duty 140Kilogramwith frame etc complete.</t>
  </si>
  <si>
    <t>Brick  Masonry  Inspection  Chamber  60cm  x  45cm  x  90cm</t>
  </si>
  <si>
    <t>Providing   and   constructing   Brick   Masonry  Inspection   Chamber   90cm   x   45cm   x 90cm  including   1:4:8   cement   concrete   foundation   1:2:4   cement   concrete   channels half  round G.S.W.pipes, Brick Masonry, plastering from inside and with frame fixed in cement concrete with R.C.C. Cover medium duty 140Kilogramwith frame etc complete.</t>
  </si>
  <si>
    <t>Brick masonry Inspection chember 90x45x90 cm</t>
  </si>
  <si>
    <t>BDV 44</t>
  </si>
  <si>
    <t>Providing  and constructing Brick Masonry inspection Chamber 90cm x 45cm including 1:4:8 C.C  foundation,  1:2:4  C.C.channels/half  round  glazed  stoneware  pipe  channel, salt   glazed  stone-ware   intercepting   trap   with   rodding   pipe   set   in   1:4:8   cement concrete   block,   brick  masonry  plastering  inside  and  Outside,  with  C.I.  lead  cover  of 75Kilogramwith frame fixed in cement concrete.</t>
  </si>
  <si>
    <t>Bd.V.44, Page One Number 575</t>
  </si>
  <si>
    <t>Brick Inspection chember 90x45x90 cm</t>
  </si>
  <si>
    <t>Providing  and  constructing  Brick  Masonry  inspection  trap  Chamber  90cm  x  45cm including 1:4:8  C.C  foundation,  1:2:4  C.C.channels/half  round  glazed  stoneware  pipe channel,   salt  glazed   stone-ware   intercepting   trap   with   rodding   pipe   set   in   1:4:8 cement   concrete   block,  brick   masonry   plastering   inside   and   Outside,   fixed   in cement  concrete  with  R.C.C.  Cover medium duty 140 Kilogram. etc complete</t>
  </si>
  <si>
    <t>Brick Inspection chember 90x45 cm</t>
  </si>
  <si>
    <r>
      <rPr>
        <sz val="11"/>
        <rFont val="Times New Roman"/>
        <family val="1"/>
      </rPr>
      <t>Providing  and   constructing  Brick  Masonry  Inspection  Chamber  60cm  x  45cm  With
R.C.C. raft  in  B.C.  soil  area  including  cost  of  reinforcement,  1:2:4  cement  concrete channels  half round G.S.W. pipes, Brick Masonry, plastering from inside and airtight 75 mm thick R.C.C. cover medium duty 100Kilogrametc. complete.</t>
    </r>
  </si>
  <si>
    <t>Brick Inspection chember 60x45 cm</t>
  </si>
  <si>
    <r>
      <rPr>
        <sz val="11"/>
        <rFont val="Times New Roman"/>
        <family val="1"/>
      </rPr>
      <t>Providing  and   constructing  Brick  Masonry  Inspection  Chamber  90cm  x  45cm  With
R.C.C. raft  in  B.C.  soil  area  including  cost  of  reinforcement,  1:2:4  cement  concrete channels  half round  G.S.W.  pipes,  Brick  Masonry,  plastering from inside and  airtight with  75  mm thick R.C.C. cover medium duty 140Kilogrametc. complete.</t>
    </r>
  </si>
  <si>
    <t>BDV 45</t>
  </si>
  <si>
    <t>Providing  and  fixing  hume  pipe  septic  tank  900mm  diameter  with  vent  pipe  and  cap including necessary (including excavation and laying)</t>
  </si>
  <si>
    <t>Bd.V.45, Page One Number 575</t>
  </si>
  <si>
    <t>BDV 46</t>
  </si>
  <si>
    <t>Providing  soak  pit  of  size 120cm x  120cm x  120cm  including excavating  and  filling with brick-bats.</t>
  </si>
  <si>
    <t>Bd.V.46, Page One Number 576</t>
  </si>
  <si>
    <t>Providing and  fixing 450mm x  550mm size superior  type Belgium mirror  with  16mm dia. nickel plated towel rod etc. complete.</t>
  </si>
  <si>
    <t>BDV 60</t>
  </si>
  <si>
    <t>Providing,  laying  and  fixing  P.V.C.  pipe  of  15mm  dia.  with  fittings  such  as  bends, tees, reducers, clamps, etc. including necessary excavation, trench filling etc. complete. Including removing  existing  pipe  line  if  necessary  and  conveying  and  stacking  the same  in  PWD chowky or as directed etc. complete.</t>
  </si>
  <si>
    <t>Providing,  laying  and  fixing  P.V.C.  pipe  of  20mm  dia.  with  fittings  such  as  bends, tees, reducers, clamps, etc. including necessary excavation, trench filling etc. complete. Including removing  existing  pipe  line  if  necessary  and  conveying  and  stacking  the same  in  PWD chowky or as directed etc. complete.</t>
  </si>
  <si>
    <t>Providing,  laying  and  fixing  P.V.C.  pipe  of  25mm  dia.  with  fittings  such  as  bends, tees, reducers, clamps, etc. including necessary excavation, trench filling etc. complete. Including removing  existing  pipe  line  if  necessary  and  conveying  and  stacking  the same  in  PWD chowky or as directed etc. complete.</t>
  </si>
  <si>
    <t>Providing,  laying  and  fixing  P.V.C.  pipe  of  32mm  dia.  with  fittings  such  as  bends, tees, reducers, clamps, etc. including necessary excavation, trench filling etc. complete. Including removing  existing  pipe  line  if  necessary  and  conveying  and  stacking  the same  in  PWD chowky or as directed etc. complete.</t>
  </si>
  <si>
    <t>Providing,  laying  and  fixing  P.V.C.  pipe  of  40mm  dia.  with  fittings  such  as  bends, tees, reducers, clamps, etc. including necessary excavation, trench filling etc. complete. Including removing  existing  pipe  line  if  necessary  and  conveying  and  stacking  the same  in  PWD chowky or as directed etc. complete.</t>
  </si>
  <si>
    <t>Providing,  laying  and  fixing  P.V.C.  pipe  of  50mm  dia.  with  fittings  such  as  bends, tees, reducers, clamps, etc. including necessary excavation, trench filling etc. complete. Including removing  existing  pipe  line  if  necessary  and  conveying  and  stacking  the same  in  PWD chowky or as directed etc. complete.</t>
  </si>
  <si>
    <t>Providing,  laying  and  fixing  P.V.C.  pipe  of  75mm  dia.  with  fittings  such  as  bends, tees, reducers, clamps, etc. including necessary excavation, trench filling etc. complete. Including removing  existing  pipe  line  if  necessary  and  conveying  and  stacking  the same  in  PWD chowky or as directed etc. complete.</t>
  </si>
  <si>
    <t>Providing, laying and  fixing P.V.C. pipe of 110  mm. dia. with  fittings  such as bends, tees,  reducers,  clamps,  etc.  including  necessary excavation,  trench  filling  etc.  complete. Including removing  existing  pipe  line  if  necessary  and  conveying  and  stacking  the same  in  PWD chowky or as directed etc. complete.</t>
  </si>
  <si>
    <r>
      <rPr>
        <sz val="11"/>
        <rFont val="Times New Roman"/>
        <family val="1"/>
      </rPr>
      <t>Providing and fixing partition with kadappa stone of all sizes and 25 mm thick polished on both side and edges to original including fixing in position in cement mortor 1:4 curing
polish- ing, cleaning etc complete.</t>
    </r>
  </si>
  <si>
    <t xml:space="preserve"> kadappa Partition</t>
  </si>
  <si>
    <r>
      <rPr>
        <sz val="11"/>
        <rFont val="Times New Roman"/>
        <family val="1"/>
      </rPr>
      <t>Providing  and  fixing  Orissa  type  white  glazed  earthenware  575  mm  water  closet pan including S trap with earthenware foot rests, cast iron soil and vent pipe upto outside face  of  the  wall  1:2:4  brick  bat  lime  concrete  bedding  without  flushing  tank  and  its
accessories etc. complete.</t>
    </r>
  </si>
  <si>
    <t>Orisa Type W.C. Pan</t>
  </si>
  <si>
    <t>Providing  and  fixing  chromium  plated  towel  rod  16  mm  dia  and  75  cm.  in  length including all accessories complete.</t>
  </si>
  <si>
    <t>Providing  and  Fixing  half  turn  25  mm  dia  gun  metal  flushing  cock  including  all accessories etc. complete.</t>
  </si>
  <si>
    <r>
      <rPr>
        <sz val="11"/>
        <rFont val="Times New Roman"/>
        <family val="1"/>
      </rPr>
      <t>Providing and fixing 1st class white glazed earthenware Orissa Type W.C. Pan 580 mm dia  including  P  or  S  trap  cast  iron  soil and  vent  pipe  upto  the  outside  face  of  the  wall (1:5:1 0) cement concrete bedding 15 mm thick, 10 liter P.V.C. flushing cistern with all
necessary pipe connection etc. complete.</t>
    </r>
  </si>
  <si>
    <t>Orisa type W.C. Pan ((1st Class)</t>
  </si>
  <si>
    <r>
      <rPr>
        <sz val="11"/>
        <rFont val="Times New Roman"/>
        <family val="1"/>
      </rPr>
      <t>Providing and fixing European type white glazed earthenware coupled closet symphonic trap  with   symphonic   low   level  white   glazed   10   litres   cistern   with   black   backlite
seat  with  all necessary pipe connection etc. complete.</t>
    </r>
  </si>
  <si>
    <t>European type W.C. Pan</t>
  </si>
  <si>
    <r>
      <rPr>
        <sz val="11"/>
        <rFont val="Times New Roman"/>
        <family val="1"/>
      </rPr>
      <t>Providing  and  fixing  orissa  type  colour  glazed  earthenware  625  x  450  mm.  w.c.  pan including trap, C.I. soil and vent pipe upto the out side face of wall including 100 mm. dia. C.I. plug, bend,  15mm.  thick  10  litre  PVC  flushing  cistern  with  all  necessary
pipe  connection  etc. complete.</t>
    </r>
  </si>
  <si>
    <t>Orisa type W.C. Pan</t>
  </si>
  <si>
    <t>Providing  and   fixing  40  mm.  dia  Ball  cock  medium  type  with  PVC  float  including sockets and necessary fittings and tested as per municipal requirements etc. complete.</t>
  </si>
  <si>
    <t>Providing  and   fixing  15  mm.  dia  Ball  cock  medium  type  with  PVC  float  including sockets and necessary fittings and tested as per municipal requirement etc. complete.</t>
  </si>
  <si>
    <r>
      <rPr>
        <sz val="11"/>
        <rFont val="Times New Roman"/>
        <family val="1"/>
      </rPr>
      <t>Cleaning  elevated  water  storage  Reservoir  within  a  given  period,  by  using  bleaching powder at the rate of 14 gm/sq.m .washing thrice potassium permanganate at the rate of
2.50  gm/sq.m.  finally,  cleaning  washing  by  using  nylon  brush,  coir  string  and  duster, bailing out water etc. complete.                   ii) Tank capacity up to 2,001 to 5000 litre.</t>
    </r>
  </si>
  <si>
    <r>
      <rPr>
        <sz val="11"/>
        <rFont val="Times New Roman"/>
        <family val="1"/>
      </rPr>
      <t>Cleaning  elevated  water  storage  Reservoir  within  a  given  period,  by  using  bleaching powder at the rate of 14 gm/sq.m .washing thrice potassium permanganate at the rate of
2.50  gm/sq.m.  finally,  cleaning  washing  by  using  nylon  brush,  coir  string  and  duster, bailing out water etc. complete.                  iii) Tank capacity up to 5,001 to 7000 litre.</t>
    </r>
  </si>
  <si>
    <r>
      <rPr>
        <sz val="11"/>
        <rFont val="Times New Roman"/>
        <family val="1"/>
      </rPr>
      <t>Cleaning  elevated  water  storage  Reservoir  within  a  given  period,  by  using  bleaching powder at the rate of 14 gm/sq.m .washing thrice potassium permanganate at the rate of
2.50  gm/sq.m.  finally,  cleaning  washing  by  using  nylon  brush,  coir  string  and  duster, bailing out water etc. complete.   iv) Tank capacity up to 7,001 to 10000 litre.</t>
    </r>
  </si>
  <si>
    <r>
      <rPr>
        <sz val="11"/>
        <rFont val="Times New Roman"/>
        <family val="1"/>
      </rPr>
      <t>Cleaning  elevated  water  storage  Reservoir  within  a  given  period,  by  using  bleaching powder at the rate of 14 gm/sq.m .washing thrice potassium permanganate at the rate of
2.50  gm/sq.m.  finally,  cleaning  washing  by  using  nylon  brush,  coir  string  and  duster, bailing out water etc. complete.                  v) Tank capacity upto 10,001 to 15,000 litre.</t>
    </r>
  </si>
  <si>
    <r>
      <rPr>
        <sz val="11"/>
        <rFont val="Times New Roman"/>
        <family val="1"/>
      </rPr>
      <t>Cleaning  elevated  water  storage  Reservoir  within  a  given  period,  by  using  bleaching powder at the rate of 14 gm/sq.m .washing thrice potassium permanganate at the rate of
2.50  gm/sq.m.  finally,  cleaning  washing  by  using  nylon  brush,  coir  string  and  duster, bailing out water etc. complete.                  vi) Tank capacity upto 15,001 to 20,000 litre.</t>
    </r>
  </si>
  <si>
    <r>
      <rPr>
        <sz val="11"/>
        <rFont val="Times New Roman"/>
        <family val="1"/>
      </rPr>
      <t>Cleaning  elevated  water  storage  Reservoir  within  a  given  period,  by  using  bleaching powder at the rate of 14 gm/sq.m .washing thrice potassium permanganate at the rate of
2.50  gm/sq.m.  finally,  cleaning  washing  by  using  nylon  brush,  coir  string  and  duster, bailing out water etc. complete.                 vii) Tank capacity upto 20,001 to 30,000 litre.</t>
    </r>
  </si>
  <si>
    <r>
      <rPr>
        <sz val="11"/>
        <rFont val="Times New Roman"/>
        <family val="1"/>
      </rPr>
      <t>Cleaning  elevated  water  storage  Reservoir  within  a  given  period,  by  using  bleaching powder at the rate of 14 gm/sq.m .washing thrice potassium permanganate at the rate of
2.50  gm/sq.m.  finally,  cleaning  washing  by  using  nylon  brush,  coir  string  and  duster, bailing out water etc. complete.                 viii) Tank capacity upto 30,001 to 40,000 litre</t>
    </r>
  </si>
  <si>
    <r>
      <rPr>
        <sz val="11"/>
        <rFont val="Times New Roman"/>
        <family val="1"/>
      </rPr>
      <t>Cleaning  elevated  water  storage  Reservoir  within  a  given  period,  by  using  bleaching powder at the rate of 14 gm/sq.m .washing thrice potassium permanganate at the rate of
2.50  gm/sq.m.  finally,  cleaning  washing  by  using  nylon  brush,  coir  string  and  duster, bailing out water etc. complete.                    x) capacity 50,001 litre to one lakh.</t>
    </r>
  </si>
  <si>
    <t>1000 Litre</t>
  </si>
  <si>
    <r>
      <rPr>
        <sz val="11"/>
        <rFont val="Times New Roman"/>
        <family val="1"/>
      </rPr>
      <t>Cleaning  elevated  water  storage  Reservoir  within  a  given  period,  by  using  bleaching powder at the rate of 14 gm/sq.m .washing thrice potassium permanganate at the rate of
2.50  gm/sq.m.  finally,  cleaning  washing  by  using  nylon  brush,  coir  string  and  duster, bailing out water etc. complete.                  xi) Capacity above one lakh upto 4.00 lakh</t>
    </r>
  </si>
  <si>
    <r>
      <rPr>
        <sz val="11"/>
        <rFont val="Times New Roman"/>
        <family val="1"/>
      </rPr>
      <t>Cleaning  elevated  water  storage  Reservoir  within  a  given  period,  by  using  bleaching powder at the rate of 14 gm/sq.m .washing thrice potassium permanganate at the rate of
2.50  gm/sq.m.  finally,  cleaning  washing  by  using  nylon  brush,  coir  string  and  duster, bailing out water etc. complete.                      xii) Capacity above 4.00 lakh upto 7.00 lakh .</t>
    </r>
  </si>
  <si>
    <r>
      <rPr>
        <sz val="11"/>
        <rFont val="Times New Roman"/>
        <family val="1"/>
      </rPr>
      <t>Cleaning  elevated  water  storage  Reservoir  within  a  given  period,  by  using  bleaching powder at the rate of 14 gm/sq.m .washing thrice potassium permanganate at the rate of
2.50  gm/sq.m.  finally,  cleaning  washing  by  using  nylon  brush,  coir  string  and  duster,
bailing  out  water  etc.  complete.                      xiii)  Capacity  above  7.00  lakh  upto  12.00 lakh.</t>
    </r>
  </si>
  <si>
    <r>
      <rPr>
        <sz val="11"/>
        <rFont val="Times New Roman"/>
        <family val="1"/>
      </rPr>
      <t>Providing  and  fixing  75  mm  dia  stabiliser  pipe/  P.V.C.  soil  vent/waste  pipe  and with  necessary  fixtures  and   fitting  such  as  bends,  tees,  single  junctions,  slotted  vent,
clamps etc. complete</t>
    </r>
  </si>
  <si>
    <r>
      <rPr>
        <sz val="11"/>
        <rFont val="Times New Roman"/>
        <family val="1"/>
      </rPr>
      <t>Providing  and  fixing  100  mm  dia  stabiliser  pipe/  P.V.C.  soil  vent/waste  pipe  and
with  necessary  fixtures  and   fitting  such  as  bends,  tees,  single  junctions,  slotted  vent, clamps etc. complete.</t>
    </r>
  </si>
  <si>
    <r>
      <rPr>
        <sz val="11"/>
        <rFont val="Times New Roman"/>
        <family val="1"/>
      </rPr>
      <t>Providing  and  fixing  H.D.P  container  one  piece  moulded  water  tank  made  out  of  high density polythyler and built corrugated inclusive of delivery up to destination hoisting and fixing   of   accessories   such   as   inlet,outlet   overflow   pipe   inclusive   of   all   tanks
capacity between 200 to 1000 liters</t>
    </r>
  </si>
  <si>
    <t>As directed by engineer-in- charge.</t>
  </si>
  <si>
    <r>
      <rPr>
        <sz val="11"/>
        <rFont val="Times New Roman"/>
        <family val="1"/>
      </rPr>
      <t>Providing  and  fixing  H.D.P  container  one  piece  moulded  water  tank  made  out of   low density   polythyler   and   built   corrugation   including   of   delivery   up   to   destination hoisting  and   fixing  of  accessories  such  as  inlet,  outlet  overflow  of  all   tanks  capacity
above 1000 to 20,000 litres</t>
    </r>
  </si>
  <si>
    <r>
      <rPr>
        <sz val="11"/>
        <rFont val="Times New Roman"/>
        <family val="1"/>
      </rPr>
      <t>Providing  and  fixing  on  walls/  ceiling/  floor  15  mm  dia.  CPVC  pipe  with  necessary fittings, remaking good the demolished portion etc. complete. Including removing existing pipe line if necessary and conveying and stacking the same in PWD chowky or as directed
etc. complete.</t>
    </r>
  </si>
  <si>
    <r>
      <rPr>
        <sz val="11"/>
        <rFont val="Times New Roman"/>
        <family val="1"/>
      </rPr>
      <t>BD.V 5 page 551 and as directed
by Engineer in
charge</t>
    </r>
  </si>
  <si>
    <t>Providing  and  fixing  on  walls/  ceiling/  floor  25  mm  dia.  CPVC  pipe  with  necessary fittings, remaking good the demolished portion etc. complete. Including removing existing pipe line if necessary and conveying and stacking the same in PWD chowky or as directed etc. complete.</t>
  </si>
  <si>
    <r>
      <rPr>
        <sz val="11"/>
        <rFont val="Times New Roman"/>
        <family val="1"/>
      </rPr>
      <t>BD.V 5 page 551 and as directed
by Engineer in charge</t>
    </r>
  </si>
  <si>
    <r>
      <rPr>
        <sz val="11"/>
        <rFont val="Times New Roman"/>
        <family val="1"/>
      </rPr>
      <t>Providing  and  fixing  on  walls/  ceiling/  floor  32  mm  dia.  CPVC  pipe  with  necessary fittings, remaking good the demolished portion etc. complete. Including removing existing pipe line if necessary and conveying and stacking the same in PWD chowky or as directed
etc. complete.</t>
    </r>
  </si>
  <si>
    <t>Providing  and  fixing  on  walls/  ceiling/  floor  50  mm  dia.  CPVC  pipe  with  necessary fittings, remaking good the demolished portion etc. complete.</t>
  </si>
  <si>
    <r>
      <rPr>
        <sz val="11"/>
        <rFont val="Times New Roman"/>
        <family val="1"/>
      </rPr>
      <t>Providing   and   laying   in   trenches   15   mm   dai.   CPVC   pipe   including   necessary excavation, fittings.  Refilling  trenches  etc.  complete  Including removing  existing pipe line if  necessary and conveying and stacking the same in PWD chowky or as directed etc.
complete.</t>
    </r>
  </si>
  <si>
    <t>Providing   and   laying   in   trenches   20   mm   dai.   CPVC   pipe   including   necessary excavation,  fittings.  Refilling  trenches  etc.  complete.  Including  removing  existing  pipe line if  necessary and conveying and stacking the same in PWD chowky or as directed etc. complete.</t>
  </si>
  <si>
    <r>
      <rPr>
        <sz val="11"/>
        <rFont val="Times New Roman"/>
        <family val="1"/>
      </rPr>
      <t>Providing   and   laying   in   trenches   25   mm   dai.   CPVC   pipe   including   necessary excavation,  fittings.  Refilling  trenches  etc.  complete.  Including  removing  existing  pipe line if  necessary and conveying and stacking the same in PWD chowky or as directed etc.
complete.</t>
    </r>
  </si>
  <si>
    <t>Providing   and   laying   in   trenches   32   mm   dai.   CPVC   pipe   including   necessary excavation,  fittings.  Refilling  trenches  etc.  complete.  Including  removing  existing  pipe line if  necessary and conveying and stacking the same in PWD chowky or as directed etc. complete.</t>
  </si>
  <si>
    <t>Providing   and   laying   in   trenches   40mm   dai.   CPVC   pipe   including   necessary excavation,  fittings.  Refilling  trenches  etc.  complete.  Including  removing  existing  pipe line if  necessary and conveying and stacking the same in PWD chowky or as directed etc. complete.</t>
  </si>
  <si>
    <r>
      <rPr>
        <sz val="11"/>
        <rFont val="Times New Roman"/>
        <family val="1"/>
      </rPr>
      <t>Providing   and   laying   in   trenches   50mm   dai.   CPVC   pipe   including   necessary excavation,  fittings.  Refilling  trenches  etc.  complete.  Including  removing  existing  pipe line if  necessary and conveying and stacking the same in PWD chowky or as directed etc.
complete.</t>
    </r>
  </si>
  <si>
    <t>Providing and fixing 10 cm PVC nahani trap with grating etc. complete.</t>
  </si>
  <si>
    <t>BD.V 32 A page 551 and as directed by Engineer in charge</t>
  </si>
  <si>
    <t>Providing and fixing reinforced cement concrete cover of size 90 cm x 45 cm with frame over inspection chamber etc. complete. Heavy duty (225 Kilogram)</t>
  </si>
  <si>
    <t>Providing and fixing reinforced cement concrete cover of size 90 cm x 45 cm with frame over inspection chamber etc. complete. Medium duty (140 Kilogram)</t>
  </si>
  <si>
    <t>Providing and fixing reinforced cement concrete cover of size 60 cm x 45 cm with frame over inspection chamber etc. complete. Heavy duty (160 Kilogram)</t>
  </si>
  <si>
    <t>Providing and fixing reinforced cement concrete cover of size 60 cm x 45 cm with frame over inspection chamber etc. complete.Medium duty (100 Kilogram)</t>
  </si>
  <si>
    <t>BDV 4</t>
  </si>
  <si>
    <r>
      <rPr>
        <sz val="11"/>
        <rFont val="Times New Roman"/>
        <family val="1"/>
      </rPr>
      <t>Providing  and   making  ISI  Mark  ferrule  connection   of   15   mm  dia.  to  water  main
including ferrule  coupling  cast  iron  bell  mouth  cover,  built  in  non  return  valve  and fixing  including excavation and reinstatement complete.</t>
    </r>
  </si>
  <si>
    <t>Bd.V. 4 page 551</t>
  </si>
  <si>
    <r>
      <rPr>
        <sz val="11"/>
        <rFont val="Times New Roman"/>
        <family val="1"/>
      </rPr>
      <t>Providing  and   making  ISI  Mark  ferrule  connection   of   20   mm  dia.  to  water  main including ferrule  coupling  cast  iron  bell  mouth  cover,  built  in  non  return  valve  and
fixing  including excavation and reinstatement complete.</t>
    </r>
  </si>
  <si>
    <r>
      <rPr>
        <sz val="11"/>
        <rFont val="Times New Roman"/>
        <family val="1"/>
      </rPr>
      <t>Providing   and   making   ISI   Mark   ferrule   connection   of   25mm   dia.to   water   main including ferrule  coupling  cast  iron  bell  mouth  cover,  built  in  non  return  valve  and
fixing  including excavation and reinstatement complete.</t>
    </r>
  </si>
  <si>
    <r>
      <rPr>
        <sz val="11"/>
        <rFont val="Times New Roman"/>
        <family val="1"/>
      </rPr>
      <t>Providing  and   making  ISI  Mark  ferrule  connection   of   32   mm  dia.  to  water  main including ferrule  coupling  cast  iron  bell  mouth  cover,  built  in  non  return  valve  and
fixing  including excavation and reinstatement complete.</t>
    </r>
  </si>
  <si>
    <r>
      <rPr>
        <sz val="11"/>
        <rFont val="Times New Roman"/>
        <family val="1"/>
      </rPr>
      <t>Providing   and  making   ISI  Mark  ferrule  connection  of  40mm  dia.   to  water  main
including ferrule  coupling  cast  iron  bell  mouth  cover,  built  in  non  return  valve  and fixing  including excavation and reinstatement complete.</t>
    </r>
  </si>
  <si>
    <r>
      <rPr>
        <sz val="11"/>
        <rFont val="Times New Roman"/>
        <family val="1"/>
      </rPr>
      <t>Providing  and   making  ISI  Mark  ferrule  connection   of   50   mm  dia.  to  water  main including ferrule  coupling  cast  iron  bell  mouth  cover,  built  in  non  return  valve  and
fixing  including excavation and reinstatement complete.</t>
    </r>
  </si>
  <si>
    <t>Providing  and  fixing  stainless  steel  sink  of  size  600  x  510  x  200  mm incluidng coupling, outlet pipe, elbow and other necessary fitting, finishing etc. complete.</t>
  </si>
  <si>
    <t>Providing  and  fixing  C.P.  Angular  stop  clock  with  wall  flange  of  approved  make continental including necessary sockets/union nut etc. complete.</t>
  </si>
  <si>
    <t>Providing   and   fixing   C.P.Two   way   BIB   cock   of   approved   make   continental including necessary sockets/union nut etc. complete.</t>
  </si>
  <si>
    <r>
      <rPr>
        <sz val="11"/>
        <rFont val="Times New Roman"/>
        <family val="1"/>
      </rPr>
      <t>Providing  and  fixing  C.P.  wall mixer  with  provision  for overhead  shower with  115mm long bend  pipe  and  wall  flange  of  approved  make  including  necessary  sockets/union nut  etc.
complete.</t>
    </r>
  </si>
  <si>
    <t>Providing   and   fixing   C.P.   pillar   cock   long   neck   with   aerator   of   approed   make including necessary sockets/union nut etc. complete.</t>
  </si>
  <si>
    <t>Providing  and  fixing  C.P.  BIB  cock  with  wall  flange  of  approved  make  including necessary sockets/ union nut etc. complete.</t>
  </si>
  <si>
    <t>Providing  and  fixing  C.P.  sink  cock  with  raised  J"  shaped  swinging  casted  spout ofapproved make including necessary sockets/ union nut etc. complete."</t>
  </si>
  <si>
    <r>
      <rPr>
        <sz val="11"/>
        <rFont val="Times New Roman"/>
        <family val="1"/>
      </rPr>
      <t>Providing   and   fixing   P.V.C.   Rain   water   pipes   of   160mm   outer   diameter   and having  wall thickness  of  2.2  to  2.7  mm  confirming  to  I.S.  13592-1992  including proper   rainwater  receiving  recess  with  P.V.C.  plug,  bend,  necessary  fittings,  such  as, offsets, shoes, inluding fixing the pipe on wall using approved wooden cleats projecting 25mm to 40mm from face of wall a fixing with clips of approved quality and One Number
,filing the joint using rubber gasket with  solvent  cement  and  properly  resting  the  shoe of  pipes  on  C.C.  or  masonry  blocks, including necessary scaffolding and maintenance for 3 yrs for any leakages or dislocations of pipes. All the P.V.C. fittings and additional 2 piece socket clips shall be got approved from engineer in charge etc. complete.</t>
    </r>
  </si>
  <si>
    <t>Providing   and   fixing   European   type   wall-hung   white   water   closet   of   approved make   with  push  valve  concealed  type  with  cover  plate  32mm  size  of  approved  make including  soil  pipe,  vent   pipe   up   to   outside   face   of   wall   ,100mm   dia.   G.I.   plug bend  inlet  pipe  all  fittings, cuttingand making good walls, floors etc. complete.</t>
  </si>
  <si>
    <t>Providing and fixing oval type under counter wash hand basin of 16 inch x 22 inch size and of  special  colour  shade  having  telephonic  black  /  coloured  granite  of  180  mm thick  stone black  kadappa  framework  including  chromium  plated  coupling  bottle  - Trap  using  CERA company  or  equivalent  oval  typa  wash  basin  model  no 3448  as per  detailed  drawing or  as directed by engg incharge etc complete. (Counter size 1.20 m
x 0.60 m )</t>
  </si>
  <si>
    <t>oval type under counter wash hand basin</t>
  </si>
  <si>
    <r>
      <rPr>
        <sz val="11"/>
        <rFont val="Times New Roman"/>
        <family val="1"/>
      </rPr>
      <t>Providing  and  fixing  on  walls/  ceiling/  floor  15  mm  dia.  uPVC  pipe  with  necessary fittings, remaking good the demolished portion etc. complete. Including removing existing pipe line if necessary and conveying and stacking the same in PWD chowky or as directed
etc. complete.</t>
    </r>
  </si>
  <si>
    <r>
      <rPr>
        <sz val="11"/>
        <rFont val="Times New Roman"/>
        <family val="1"/>
      </rPr>
      <t>Providing  and   fixing  on   walls/ceiling/floor  20   mm  dia.   uPVC  pipe  with   necessary fittings, remaking good the demolished portion etc. complete. Including removing existing pipe line if necessary and conveying and stacking the same in PWD chowky or as directed
etc. complete.</t>
    </r>
  </si>
  <si>
    <t>Providing  and  fixing  on  walls/  ceiling/  floor  25  mm  dia.  uPVC  pipe  with  necessary fittings, remaking good the demolished portion etc. complete. Including removing existing pipe line if necessary and conveying and stacking the same in PWD chowky or as directed etc. complete.</t>
  </si>
  <si>
    <r>
      <rPr>
        <sz val="11"/>
        <rFont val="Times New Roman"/>
        <family val="1"/>
      </rPr>
      <t>Providing  and  fixing  on  walls/  ceiling/  floor  32  mm  dia.  uPVC  pipe  with  necessary fittings, remaking good the demolished portion etc. complete. Including removing existing pipe line if necessary and conveying and stacking the same in PWD chowky or as directed
etc. complete.</t>
    </r>
  </si>
  <si>
    <r>
      <rPr>
        <sz val="11"/>
        <rFont val="Times New Roman"/>
        <family val="1"/>
      </rPr>
      <t>Providing  and  fixing  on  walls  /ceiling/  floor  40  mm  dia.  uPVC  pipe  with  necessary fittings, remaking good the demolished portion etc. complete. Including removing existing pipe line if necessary and conveying and stacking the same in PWD chowky or as directed
etc. complete.</t>
    </r>
  </si>
  <si>
    <t>Providing  and  fixing  on  walls/  ceiling/  floor  50  mm  dia.  uPVC  pipe  with  necessary fittings, remaking good the demolished portion etc. complete.</t>
  </si>
  <si>
    <r>
      <rPr>
        <sz val="11"/>
        <rFont val="Times New Roman"/>
        <family val="1"/>
      </rPr>
      <t>Providing   and   laying   in   trenches   15   mm   dai.   uPVC   pipe   including   necessary excavation, fittings.  Refilling  trenches  etc.  complete  Including removing  existing pipe line if  necessary and conveying and stacking the same in PWD chowky or as directed etc.
complete.</t>
    </r>
  </si>
  <si>
    <t>Providing   and   laying   in   trenches   20   mm   dai.   uPVC   pipe   including   necessary excavation,  fittings.  Refilling  trenches  etc.  complete.  Including  removing  existing  pipe line if  necessary and conveying and stacking the same in PWD chowky or as directed etc. complete.</t>
  </si>
  <si>
    <r>
      <rPr>
        <sz val="11"/>
        <rFont val="Times New Roman"/>
        <family val="1"/>
      </rPr>
      <t>Providing   and   laying   in   trenches   25   mm   dai.   uPVC   pipe   including   necessary excavation,  fittings.  Refilling  trenches  etc.  complete.  Including  removing  existing  pipe line if  necessary and conveying and stacking the same in PWD chowky or as directed etc.
complete.</t>
    </r>
  </si>
  <si>
    <t>Providing   and   laying   in   trenches   32   mm   dai.   uPVC   pipe   including   necessary excavation,  fittings.  Refilling  trenches  etc.  complete.  Including  removing  existing  pipe line if  necessary and conveying and stacking the same in PWD chowky or as directed etc. complete.</t>
  </si>
  <si>
    <t>Providing   and   laying   in   trenches   40mm   dai.   uPVC   pipe   including   necessary excavation,  fittings.  Refilling  trenches  etc.  complete.  Including  removing  existing  pipe line if  necessary and conveying and stacking the same in PWD chowky or as directed etc. complete.</t>
  </si>
  <si>
    <r>
      <rPr>
        <sz val="11"/>
        <rFont val="Times New Roman"/>
        <family val="1"/>
      </rPr>
      <t>Providing   and   laying   in   trenches   50mm   dai.   uPVC   pipe   including   necessary excavation,  fittings.  Refilling  trenches  etc.  complete.  Including  removing  existing  pipe line if  necessary and conveying and stacking the same in PWD chowky or as directed etc.
complete.</t>
    </r>
  </si>
  <si>
    <r>
      <rPr>
        <sz val="11"/>
        <rFont val="Times New Roman"/>
        <family val="1"/>
      </rPr>
      <t>Providing and laying in walls/ceilings/floors 15 mm dia. medium grade having embossed as ISI Mark galvanised iron pipes of 1.25 Kilogram/metre necessary fitting remaking good the demolished portion with filling trenches and with primer of anti-corrosive oil paint, 2 coats  complete.  Including  necessary  scaffolding  and   removing  existing  pipe  line  if necessary   and  conveying  and  stacking  the  same  in  PWD  chowky  or  as  directed  etc.
complete.</t>
    </r>
  </si>
  <si>
    <r>
      <rPr>
        <sz val="11"/>
        <rFont val="Times New Roman"/>
        <family val="1"/>
      </rPr>
      <t>Providing and laying in walls/ceilings/floors 20 mm dia. medium grade having embossed as ISI Mark galvanised iron pipes of 1.63 Kilogram/metre necessary fitting remaking good the demolished portion with filling trenches and with primer of anti-corrosive oil paint, 2 coats  complete.  Including  necessary  scaffolding  and   removing  existing  pipe  line  if necessary   and  conveying  and  stacking  the  same  in  PWD  chowky  or  as  directed  etc.
complete.</t>
    </r>
  </si>
  <si>
    <r>
      <rPr>
        <sz val="11"/>
        <rFont val="Times New Roman"/>
        <family val="1"/>
      </rPr>
      <t>Providing and laying in walls/ceilings/floors 25 mm dia. medium grade having embossed as ISI Mark galvanised iron pipes of 2.49 Kilogram/metre necessary fitting remaking good the demolished portion with filling trenches and with primer of anti-corrosive oil paint , 2 coats  complete.  Including  necessary  scaffolding  and   removing  existing  pipe  line  if necessary   and  conveying  and  stacking  the  same  in  PWD  chowky  or  as  directed  etc.
complete.</t>
    </r>
  </si>
  <si>
    <r>
      <rPr>
        <sz val="11"/>
        <rFont val="Times New Roman"/>
        <family val="1"/>
      </rPr>
      <t>Providing and laying in walls/ceilings/floors 32 mm dia. medium grade having embossed as ISI Mark galvanised iron pipes of 3.20 Kilogram/metre necessary fitting remaking good the demolished portion with filling trenches and with primer of anti-corrosive oil paint , 2 coats  complete.  Including  necessary  scaffolding  and   removing  existing  pipe  line  if necessary   and  conveying  and  stacking  the  same  in  PWD  chowky  or  as  directed  etc.
complete.</t>
    </r>
  </si>
  <si>
    <r>
      <rPr>
        <sz val="11"/>
        <rFont val="Times New Roman"/>
        <family val="1"/>
      </rPr>
      <t>Providing and laying in walls/ ceilings/floors 40 mm dia. medium grade having embossed as ISI Mark galvanised iron pipes of 3.68 Kilogram/metre necessary fitting remaking good the demolished portion with filling trenches and with primer of anti-corrosive oil paint , 2 coats  complete.  Including  necessary  scaffolding  and   removing  existing  pipe  line  if necessary   and  conveying  and  stacking  the  same  in  PWD  chowky  or  as  directed  etc.
complete.</t>
    </r>
  </si>
  <si>
    <r>
      <rPr>
        <sz val="11"/>
        <rFont val="Times New Roman"/>
        <family val="1"/>
      </rPr>
      <t>Providing and laying in walls/ceilings/floors 50 mm dia. medium grade having embossed as ISI Mark galvanised iron pipes of 5.17 Kilogram/metre necessary fitting remaking good the demolished portion with filling trenches and with primer of anti-corrosive oil paint , 2 coats  complete.  Including  necessary  scaffolding  and   removing  existing  pipe  line  if necessary   and  conveying  and  stacking  the  same  in  PWD  chowky  or  as  directed  etc.
complete.</t>
    </r>
  </si>
  <si>
    <r>
      <rPr>
        <sz val="11"/>
        <rFont val="Times New Roman"/>
        <family val="1"/>
      </rPr>
      <t>Providing and laying in walls/ceilings/floors 80 mm dia. medium grade having embossed as ISI Mark galvanised iron pipes of 8.57 Kilogram/metre necessary fitting remaking good the demolished portion with filling trenches and with primer of anti-corrosive oil paint , 2 coats  complete.  Including  necessary  scaffolding  and   removing  existing  pipe  line  if necessary   and  conveying  and  stacking  the  same  in  PWD  chowky  or  as  directed  etc.
complete.</t>
    </r>
  </si>
  <si>
    <r>
      <rPr>
        <sz val="11"/>
        <rFont val="Times New Roman"/>
        <family val="1"/>
      </rPr>
      <t>Providing and laying in walls/ceilings/floors 100 mm dia. medium grade having embossed as  ISI  Mark  galvanised  iron  pipes  of  12.43  Kilogram/metre  necessary fitting  remaking good  the  demolished  portion  with  filling  trenches  and  with  primer  of  anti-corrosive  oil paint , 2 coats complete. Including necessary scaffolding and  removing existing pipe line if  necessary  and  conveying  and  stacking  the  same  in  PWD  chowky or  as  directed  etc.
complete.</t>
    </r>
  </si>
  <si>
    <t>Providing  and  laying  in  trenches  15  mm  dia.heavy  grade  having  embossed  as  ISI Mark galvanised iron pipes of 1.48 Kilogram/metre necessary fitting remaking good the demolished portion  with  filling trenches  and  with  primer of  anti-corrosive oil  paint , 2 coats  complete. Including removing existing pipe line if necessary  and  conveying and stacking the same in PWD chowky or as directed etc. complete.</t>
  </si>
  <si>
    <t>Providing  and  laying  in  trenches  20  mm  dia.  heavy  grade  having  embossed  as  ISI Mark galvanised iron pipes of 1.93 Kilogram/metre necessary fitting remaking good the demolished portion  with  filling trenches  and  with  primer of  anti-corrosive oil  paint , 2 coats  complete. Including removing existing pipe line if necessary  and  conveying and stacking the same in PWD chowky or as directed etc. complete.</t>
  </si>
  <si>
    <t>Providing  and  laying  in  trenches  25  mm  dia.  heavy  grade  having  embossed  as  ISI Mark galvanised iron pipes of 3.01 Kilogram/metre necessary fitting remaking good the demolished portion  with  filling trenches  and  with  primer of  anti-corrosive oil  paint , 2 coats  complete. Including removing existing pipe line if necessary  and  conveying and stacking the same in PWD chowky or as directed etc. complete.</t>
  </si>
  <si>
    <t>Providing  and  laying  in  trenches  32  mm  dia.  heavy  grade  having  embossed  as  ISI Mark galvanised iron pipes of 3.89 Kilogram/metre necessary fitting remaking good the demolished portion  with  filling trenches  and  with  primer of  anti-corrosive oil  paint , 2 coats  complete. Including removing existing pipe line if necessary  and  conveying and stacking the same in PWD chowky or as directed etc. complete.</t>
  </si>
  <si>
    <t>Providing  and  laying  in  trenches  40  mm  dia.  heavy  grade  having  embossed  as  ISI Mark galvanised iron pipes of 4.49 Kilogram/metre necessary fitting remaking good the demolished portion  with  filling trenches  and  with  primer of  anti-corrosive oil  paint , 2 coats  complete. Including removing existing pipe line if necessary  and  conveying and stacking the same in PWD chowky or as directed etc. complete.</t>
  </si>
  <si>
    <t>Providing  and  laying  in  trenches  50  mm  dia.  heavy  grade  having  embossed  as  ISI Mark galvanised iron pipes of 6.33 Kilogram/metre necessary fitting remaking good the demolished portion  with  filling trenches  and  with  primer of  anti-corrosive oil  paint , 2 coats  complete. Including removing existing pipe line if necessary  and  conveying and stacking the same in PWD chowky or as directed etc. complete.</t>
  </si>
  <si>
    <t>Providing  and  laying  in  trenches  80  mm  dia.  heavy  grade  having  embossed  as  ISI Mark galvanised   iron   pipes   of   10.15   Kilogram/metre   necessary   fitting   remaking good   the demolished portion with filling trenches and with primer of anti-corrosive oil paint , 2 coats complete. Including removing existing pipe line if necessary and conveying and stacking the same in PWD chowky or as directed etc. complete.</t>
  </si>
  <si>
    <t>Providing  and  laying  in  trenches  100  mm  dia.  heavy  grade  having  embossed  as  ISI Mark galvanised   iron   pipes   of   14.74   Kilogram/metre   necessary   fitting   remaking good   the demolished portion with filling trenches and with primer of anti-corrosive oil paint , 2 coats complete. Including removing existing pipe line if necessary and conveying and stacking the same in PWD chowky or as directed etc. complete.</t>
  </si>
  <si>
    <r>
      <rPr>
        <sz val="11"/>
        <rFont val="Times New Roman"/>
        <family val="1"/>
      </rPr>
      <t>Providing  and  fixing  8  cm  rigid  PVC  Nahani  trap  including  PVC  grating  ,bend, connecting  piece  of  UPVC   pipe  up  to  the  outside  face  of   wall  ,making  the  good damaged  surface and testing etc. complete ( Prior approval of sample and brand by Ex.
Engr. is necessary before use)</t>
    </r>
  </si>
  <si>
    <t>Specfications</t>
  </si>
  <si>
    <t xml:space="preserve"> 8 cm rigid PVC Nahani trap</t>
  </si>
  <si>
    <t>BDV 24</t>
  </si>
  <si>
    <r>
      <rPr>
        <sz val="11"/>
        <rFont val="Times New Roman"/>
        <family val="1"/>
      </rPr>
      <t>Providing     and     fixing     15     cm     rigid     PVC     Nahani     trap     including     PVC grating ,bend,connectingpiece  of  UPVC  pipe  up  to  the  outside  face  of  wall  ,making the  good damaged surface and testing etc. complete ( Prior approval of sample and brand
by Ex. Engr. is necessary before use)</t>
    </r>
  </si>
  <si>
    <t xml:space="preserve"> 15 cm rigid PVC Nahani trap</t>
  </si>
  <si>
    <t>BDV 21</t>
  </si>
  <si>
    <t>Providing  and  fixing  European  type  white  glazed  earthenware  water  closet  pan  with UPVC  seat  and  lid  with  chromium  plated  brass  hinges  and  rubber  buffers  including UPVC and vent pipe up to the outside face of wall 10 litre enameled low level flushing cistern with fittings pipe stop tap brackets for fixing cistern 32 mm dia. UPVC flush pipe with fittings and clamps ,20 mm dia.UPVC overflow pipe ,mosquito proof couplings G.I. chain and pulley,with water Jet  and  fitting  including  cutting  and  making  good  to  the walls   and   floors   testing   etc.  complete.(prior  approval  of  sample  and  brand  by  Ex. Engineer is necessary before use)</t>
  </si>
  <si>
    <t>European  type W.C.</t>
  </si>
  <si>
    <r>
      <rPr>
        <sz val="11"/>
        <rFont val="Times New Roman"/>
        <family val="1"/>
      </rPr>
      <t>Providing  and  fixing  European  type  white  glazed  earthenware  water  closet  pan  with UPVC  seat  and  lid  with  chromium  plated  brass  hinges  and  rubber  buffers  including UPVC  and  vent  pipe  up  to  the  outside  face  of  wall without  flushing  cistern  with  flush cock and with water Jet and necessary fittings including cutting and making good to the walls  and  floors  testing  etc.  complete.(  prior  approval  of  sample  and  brand  by  Ex.
Engineer is necessary before use)</t>
    </r>
  </si>
  <si>
    <t>BDV 22</t>
  </si>
  <si>
    <t>Providing  and  fixing  European  type  Colour  glazed  earthenware  water  closet  pan  with UPVC  seat  and  lid  with  chromium  plated  brass  hinges  and  rubber  buffers  including UPVC and vent pipe up to the outside face of wall 10 liter enameled low level flushing cistern with fittings pipe stop tap brackets for fixing cistern 32 mm dia. UPVC flush pipe with fittings and clamps ,20 mm dia.UPVC overflow pipe ,mosquito proof couplings G.I. chain and pulley,with water Jet  and  fitting  including  cutting  and  making  good  to  the walls   and   floors   testing   etc.  complete.(  prior  approval  of  sample  and  brand  by  Ex. Engineer is necessary before use)</t>
  </si>
  <si>
    <r>
      <rPr>
        <sz val="11"/>
        <rFont val="Times New Roman"/>
        <family val="1"/>
      </rPr>
      <t>Providing  and  fixing  European  type  Colour  glazed  earthenware  water  closet  pan  with UPVC  seat  and  lid  with  chromium  plated  brass  hinges  and  rubber  buffers  including UPVC  and  vent  pipe  up  to  the  outside  face  of  wall without  flushing  cistern  with  flush cock and with water Jet and necessary fittings including cutting and making good to the walls  and  floors  testing  etc.  complete.(  prior  approval  of  sample  and  brand  by  Ex.
Engineer is necessary before use)</t>
    </r>
  </si>
  <si>
    <t>BDV 20</t>
  </si>
  <si>
    <t>Providing and fixing Anglo Indian type white glazed earthenware water closet pan with trap with  UPVC  seat  and  lid  with  chromium  plated  brass  hinges  and  rubber  buffers including UPVC and vent pipe up to the outside face of wall with flushing cistern and necessary fittings including  cutting  and  making  good  to  the  walls  and  floors  testing etc.  complete.(  prior approval of sample and brand by Ex. Engineer is necessary before
use)</t>
  </si>
  <si>
    <t>Anglo Indian type W.C.</t>
  </si>
  <si>
    <r>
      <rPr>
        <sz val="11"/>
        <rFont val="Times New Roman"/>
        <family val="1"/>
      </rPr>
      <t>Providing and  fixing high  level 10 liter capacity with  fittings inlet PVC pipe with  stop tap ,brackets for fixing the cistern,32 mm dia. PVC flush pipe with fitting and clamps 20 mm dia.  PVC  overflow  pipe  with  mosquito  proof  couplings,  galvanised  iron  chain  and pulley painting if ordered to cistern pipe etc. and cutting and making good the damaged wall  and  testing  etc.  complete  (  Prior  approval  of  sample  and  brand  by  Ex.  Engr.  is
necessary before use)</t>
    </r>
  </si>
  <si>
    <r>
      <rPr>
        <sz val="11"/>
        <rFont val="Times New Roman"/>
        <family val="1"/>
      </rPr>
      <t>Providing  and  fixing in position   UPVC ultra violet  stabilized   110  mm outer  diameter cowl  dome  confirming  to  I.S.-4985  including  making  joints  with  solvent  cement  etc.
complete</t>
    </r>
  </si>
  <si>
    <t>Providing  and   fixing  Glass   self  125   mm  wide  and   600   mm  long  with   necessary chromium plated brackets providing T.W.gutties etc. complete</t>
  </si>
  <si>
    <t>Providing  ,  constructing  and  fixing   250  mm  dia.  Inspection  chamber  made  up  of UPVC material of thickness 3.5 mm and height of 259 mm with inlet and outlet of 110 mm dia. with 75 mm dia. U Trap, Ultra shaft pipe of Upvc material having height of 470 mm and fixing Ultra 250 mm dia. UPVC cover and frame in 150 mm thick in c.c.1:2:4, having  crushed  sand  bed   of   100   mm   thick   of   size   550   mm   dia.   Including excavation  and  refilling  the  sides  of chamber  by  crushed  sand  cushioning  150  mm thickness,  connecting  all  required  UPVC fittings with rubber lubricant etc. complete.</t>
  </si>
  <si>
    <t>Bd-V</t>
  </si>
  <si>
    <t>Providing   ,   constructing   and   fixing   450   mm   dia.   Inspection   chamber   made up   of Polypropylene / polyethylene material of thickness 3.5 mm and height of 388 mm with 160 or 200 mm main inlet (s) outlet and 110 and / or 160 mm branch inlets, with 450 mm dia. Ultra shaft pipe of HDPE material having height of 460 mm, having R.C.C. cover and frame fixing in 150 mm thick in c.c.1:2:4, having crushed sand bed of 150 mm thick of  size  750  mm  dia.  Including  excavation  and  refilling  the  sides  of  chamber  by  sand crushed cushioning 150 mm thickness, connecting all required UPVC fittings with rubber lubricant etc. complete.</t>
  </si>
  <si>
    <t>As Directected By Engineer Incharge</t>
  </si>
  <si>
    <t>Providing   ,   constructing   and   fixing    600   mm   dia.   Inspection   chamber   made up     of   Polypropylene    /    polyethylene    material    Having    315    mm    diameter inlet(s)/outlets   and  with eccentric reducers as per requirement  to connect  160 mm and 200 mm pipes having thickness of  5  mm  and  600  mm  in  height,  with  inbuilt  shaft achieve  the  invert  depth  as  per  site condition of wall thickness of 5 mm having R.C.C. cover and frame fixing in 150 mm thick in c.c.1:2:4, having crushed sand bed of 150 mm thick of size 750 mm dia. Including excavation and refilling the sides of chamber by ?sand crushed cushioning 150 mm thickness, connecting all required UPVC fittings with rubber lubricant etc.complete.</t>
  </si>
  <si>
    <t>Cast Iron Waste Water Pipe</t>
  </si>
  <si>
    <t>Providing , laying and fixing ,jointing  Eco- drain 110 mm SN 8 Nu- Drain Upvc pipes or of  equivalent  make,  manufacture  as  per  EN  13476  or  equivalent  as  per  I.S.15328  with fittings such a bends, tees, coupler, etc, jointing with rubber lubricant including necessary excavation, trench refilling with selective excavated material etc. complete.</t>
  </si>
  <si>
    <t>Providing , laying and fixing ,jointing  Eco- drain 160 mm SN 4 Nu- Drain Upvc pipes or of  equivalent  make,  manufacture  as  per  EN  13476  or  equivalent  as  per  I.S.15328  with fittings such   a  bends,  tees  ,  coupler,  etc,  jointing  with   rubber  lubricant  including necessary excavation, trench refilling with selective excavated materialetc. complete.</t>
  </si>
  <si>
    <t>Providing , laying and fixing ,jointing  Eco- drain 200 mm SN 4 Nu- Drain Upvc pipes or of  equivalent  make,  manufacture  as  per  EN  13476  or  equivalent  as  per  I.S.15328  with fittings such  a  bends,  tees  tees,  coupler  etc,  jointing  with  rubber  lubricant  including necessary excavation, trench refilling with selective excavated materialetc. complete.</t>
  </si>
  <si>
    <r>
      <rPr>
        <sz val="11"/>
        <rFont val="Times New Roman"/>
        <family val="1"/>
      </rPr>
      <t>Providing , Laying and fixing, jointing Eco Drain 250 mm SN-04 Nu-Drain Upvc pipe or of  equivalent  make,  manufacture  as  per  EN  13476  or  equivalent  as  per  I.S.15328   &amp; 16098  with  fittings  such  a  bends,  tees,  coupler,  etc.  jointing  with  rubber  lubricant, including  necessary  excavation,  trench  refilling  with  selective  excavated  material  etc.
complete.</t>
    </r>
  </si>
  <si>
    <r>
      <rPr>
        <sz val="11"/>
        <rFont val="Times New Roman"/>
        <family val="1"/>
      </rPr>
      <t>Providing , Laying and fixing, jointing Eco Drain 315 mm SN-04 Nu-Drain Upvc pipe or of  equivalent  make,  manufacture  as  per  EN  13476  or  equivalent  as  per  I.S.15328   &amp; 16098  with  fittings  such  a  bends,  tees,  coupler,  etc.  jointing  with  rubber  lubricant, including  necessary  excavation,  trench  refilling  with  selective  excavated  material  etc.
complete.</t>
    </r>
  </si>
  <si>
    <t>Providing and fixing 15 mm diameter PVC Aqua kraft type of approved make super bib tap with flange including all accessories etc complete</t>
  </si>
  <si>
    <r>
      <rPr>
        <sz val="11"/>
        <rFont val="Times New Roman"/>
        <family val="1"/>
      </rPr>
      <t>As Directected By Engineer
Incharge</t>
    </r>
  </si>
  <si>
    <t>Providing and  fixing 15  mm diameter  PVC  Aqua  kraft  type  of  approved  make super Two Way bib tap with flange and extender including all accessories etc complete</t>
  </si>
  <si>
    <t>Providing and  fixing 15  mm diameter  PVC  Aqua  kraft  type of  approved  make super push button type cock / tap with flange including all accessories etc complete</t>
  </si>
  <si>
    <r>
      <rPr>
        <sz val="11"/>
        <rFont val="Times New Roman"/>
        <family val="1"/>
      </rPr>
      <t>As Directected By
Engineer Incharge</t>
    </r>
  </si>
  <si>
    <t>Providing and fixing 15 mm diameter PVC Aqua kraft type of approved make super wall sink type tap with flange including all accessories etc complete</t>
  </si>
  <si>
    <t>Providing and fixing 15 mm diameter PVC Aqua kraft type of approved make super jet spray with flange 2 in 1 faucet 1.50 metre long including all accessories etc complete</t>
  </si>
  <si>
    <t>Providing and  fixing 15  mm diameter  PVC  Aqua  kraft  type  of  approved  make super right angle stop tap with flange including all accessories etc complete</t>
  </si>
  <si>
    <t>Providing and fixing 15 mm diameter PVC Aqua kraft type of approved make super Pillar tap with flange including all accessories etc complete</t>
  </si>
  <si>
    <t>Providing and fixing ISI 1729/2002 grade 75 mm dia Cast  Iron Waste Water Pipe with lugs necessary fittings such as bends, tees, single junction, double junction, slotted vent, offsets  on  wall  or  into  the  ground  including  filling  joints  with  cement  mortar  1:2 proportion fixing on wall by means by galvanised Mild Steel bracket of 30 x 5 mm plate and 8 mm square rod with Galvanised Iron clamp with washer as per design drawing and as  directed  to  keep  pipe  50  mm  away  from  wall  including  necessary  scaffolding  and painting the exposed faces with one coat of red lead oil paint and two coats of gray oil paint   including  removing  the  existing  pipe  if  necessary and  conveying  and  stacking  in PWD Chowky or as directed by Engineer-in-Charge.</t>
  </si>
  <si>
    <t>Providing  and  fixing  ISI  1729/2002  grade  100  mm  dia  Cast  Iron  Soil  Pipes  With lugs  including  plug  bend  necessary fittings  such  as  bends,  tees,  single  junction,  double junction,  slotted  vent,  offsets  on  wall  or  into  the  ground  including  filling  joints  with cement mortar 1:2 proportion fixing on wall by means of galvanised Mild Steel bracket of 30 x 5 mm plate and 8 mm  square  rod  with  Galvanised  Iron  clamp  with  washer  as per   design,   drawing   and   as  directed  to  keep  pipe  50  mm  away  from  wall  including necessary scaffolding and painting the exposed faces with one coat of red lead oil paint and two coats of white  oil paint including  removing the  existing  pipe  if necessary and conveying and stacking in PWD Chowky or as directed by Engineer-in-Charge.</t>
  </si>
  <si>
    <r>
      <rPr>
        <sz val="11"/>
        <rFont val="Times New Roman"/>
        <family val="1"/>
      </rPr>
      <t>Providing and fixing Wall Mounted European type white glazed earthenware water closet pan with  UPVC  seat  and  lid  with  chromium  plated  brass  hinges  and  rubber  buffers including UPVC and vent pipe up to the outside face of wall 10 liter enameled low level flushing cistern with  fittings  pipe  stop  tap  brackets  for  fixing  cistern  32  mm  dia. UPVC   flush   pipe   with  fittings   and   clamps   ,20   mm  dia.UPVC   overflow   pipe
,mosquito proof  couplings G.I.  chain and  pulley,with  water  Jet  and  fitting  including cutting  and  making  good  to  the  walls  and floors testing etc. complete.( prior approval of sample and brand by Ex. Engineer is necessary before use)</t>
    </r>
  </si>
  <si>
    <t>Building Miscellaneous Item</t>
  </si>
  <si>
    <t>BDW 2</t>
  </si>
  <si>
    <r>
      <rPr>
        <sz val="11"/>
        <rFont val="Times New Roman"/>
        <family val="1"/>
      </rPr>
      <t>Guniting  by dry  mix  process  as  per  IS  9012  (  1978)  to  ceiling  sofit  etc.  in  C.M.  1:3, 20mm   thick      under      pressure      of      2.1Kilogramto      2.8Kilogramper      sq.cm including     forms,  scaffolding,floating  the  surface,  curing  for  14  days  etc.  complete
(Excluding reinforcement)</t>
    </r>
  </si>
  <si>
    <t>Bd.W.2 Page One Number582</t>
  </si>
  <si>
    <t>BDW 2A</t>
  </si>
  <si>
    <r>
      <rPr>
        <sz val="11"/>
        <rFont val="Times New Roman"/>
        <family val="1"/>
      </rPr>
      <t>Guniting  by dry  mix  process  as  per  IS  9012  (  1978)  to  ceiling  sofit  etc.  in  C.M.  1:3, 25mm   thick      under      pressure      of      2.1Kilogramto      2.8Kilogramper      sq.cm including     forms,  scaffolding,floating  the  surface,  curing  for  14  days  etc.  complete  (
Excluding reinforcement)</t>
    </r>
  </si>
  <si>
    <t>BDW 2B</t>
  </si>
  <si>
    <r>
      <rPr>
        <sz val="11"/>
        <rFont val="Times New Roman"/>
        <family val="1"/>
      </rPr>
      <t>Guniting by dry  mix process as per IS 9012 ( 1978) to ceiling sofit etc. in C.M. 1:3,40mm thick     under     pressure     of     2.1Kilogramto     2.8Kilogramper     sq.m     including forms,  scaffolding,floating  the  surface,  curing  for  14  days  etc.  complete  (  Excluding
reinforcement)</t>
    </r>
  </si>
  <si>
    <t>BDW 2C</t>
  </si>
  <si>
    <r>
      <rPr>
        <sz val="11"/>
        <rFont val="Times New Roman"/>
        <family val="1"/>
      </rPr>
      <t>Guniting by dry  mix process as per IS 9012 ( 1978) to ceiling sofit etc. in C.M. 1:3,50mm thick     under     pressure     of     2.1Kilogramto     2.8Kilogramper     sq.cm     including forms,  scaffolding,floating  the  surface,  curing  for  14  days  etc.  complete  (  Excluding
reinforcement)</t>
    </r>
  </si>
  <si>
    <t>BDW 2D</t>
  </si>
  <si>
    <r>
      <rPr>
        <sz val="11"/>
        <rFont val="Times New Roman"/>
        <family val="1"/>
      </rPr>
      <t>Guniting by dry  mix process as per IS 9012 ( 1978) to  beams in C.M. 1:3,20mm thick under    pressure     of     2.1Kilogramto     2.8Kilogramper     sq.cm     including     forms, scaffolding,floating    the   surface,   curing   for   14   days   etc.   complete   (   Excluding
reinforcement)</t>
    </r>
  </si>
  <si>
    <t>BDW 2E</t>
  </si>
  <si>
    <r>
      <rPr>
        <sz val="11"/>
        <rFont val="Times New Roman"/>
        <family val="1"/>
      </rPr>
      <t>Guniting by dry  mix process as per IS 9012 ( 1978) to  beams in C.M. 1:3,25mm thick under    pressure     of     2.1Kilogramto     2.8Kilogramper     sq.cm     including     forms, scaffolding,floating    the   surface,   curing   for   14   days   etc.   complete   (   Excluding
reinforcement)</t>
    </r>
  </si>
  <si>
    <t>BDW 2K</t>
  </si>
  <si>
    <r>
      <rPr>
        <sz val="11"/>
        <rFont val="Times New Roman"/>
        <family val="1"/>
      </rPr>
      <t>Guniting   by  dry   mix   process   as   per  IS   9012  (  1978)  to  the   vertical  surface  ( other  than column)    in   C.M.   1:3,20mm   thick   under   pressure   of   2.1Kilogramto 2.8Kilogramper sq.cm.including  forms,scaffolding,  floating  the  surface  curing  for  14
days  etc.complete  ( excluding reinforcement)</t>
    </r>
  </si>
  <si>
    <t>BDW 2L</t>
  </si>
  <si>
    <t>Guniting   by  dry   mix   process   as   per  IS   9012  (  1978)  to  the   vertical  surface  ( other  than column)    in   C.M.   1:3,   25mm  thick   under   pressure  of  2.1Kilogramto 2.8Kilogramper sq.cm.including  forms,scaffolding,  floating  the  surface  curing  for  14 days  etc.complete  ( excluding reinforcement)</t>
  </si>
  <si>
    <t>BDW 3</t>
  </si>
  <si>
    <t>Providing  and  erecting  1.5  metre  high  wire  fencing  with  seven  rows  of  barbed  wire supported  on  M.S.Angles  (  50mm  x  50mm  x  6mm)  at  2.5  Metres,  Center  to  center including excavating pits for foundqtion, fixing post in cement cocnrete 1:4:8 of size 45 x 45  x  45  cm  fastening  the  wire  and  painting  the  M.S.Angles  with  one  coat  of  red  lead primer and two coats of painting etc.complete.</t>
  </si>
  <si>
    <t>Bd.W.3 Page One Number583</t>
  </si>
  <si>
    <t>BDW 6</t>
  </si>
  <si>
    <r>
      <rPr>
        <sz val="11"/>
        <rFont val="Times New Roman"/>
        <family val="1"/>
      </rPr>
      <t>Providing and fixing mild steel grill gate with angle iron frame 65mm x 65mm x 10mm with  iron  bars  at  150mm  C/C  and  diagonal  flats  as  per  the  detailed  drawing  including hinges, pivot block locking arrangement, welding riveting and oil painting of three coats
of approved shade Weight of gate 35 Kilogram/Smt.</t>
    </r>
  </si>
  <si>
    <t>Bd.W.6 Page One Number585</t>
  </si>
  <si>
    <r>
      <rPr>
        <sz val="11"/>
        <rFont val="Times New Roman"/>
        <family val="1"/>
      </rPr>
      <t>Building Miscellaneous
Item</t>
    </r>
  </si>
  <si>
    <t>BDW 7</t>
  </si>
  <si>
    <t>Providing  and  fixing  90  cm  x  60  cm  Marble  plate  engraving  10  cm.  height  letter, figures including painting the lefters/figures with approved colour and shade complete</t>
  </si>
  <si>
    <t>Bd.W.7 Page One Number586</t>
  </si>
  <si>
    <t>Providing  and  fixing  90  cm  x  60  cm Granite  plate  engraving  10  cm.  Height letter, figures including painting the lefters/figures with approved colour and shade complete</t>
  </si>
  <si>
    <r>
      <rPr>
        <sz val="11"/>
        <rFont val="Times New Roman"/>
        <family val="1"/>
      </rPr>
      <t>Providing  and  erecting  1.2  meter  high  wire  fencing  with  five  rows  of  barbed  wire supported  on   mild   steel   angle   (   50   x   50x   6mm)   post   at   2.5   m   c/c   including excavation   of  pits   of foundation  concrete fixing  the posts  in (  1:4:8) cement  concrete block of 45x45x45 cm and fastening the Wires and painting the angles with one coat with
red lead primer and two coats of oil painting etc.complete</t>
    </r>
  </si>
  <si>
    <r>
      <rPr>
        <sz val="11"/>
        <rFont val="Times New Roman"/>
        <family val="1"/>
      </rPr>
      <t>Providing and  fixing rain tattis with  bamboos and  karve grass with  75 mm thick grass and removing the same after rain is over (size of bamboos 50 mm to 75mm dia and 3 M to
3.5 M long)</t>
    </r>
  </si>
  <si>
    <r>
      <rPr>
        <sz val="11"/>
        <rFont val="Times New Roman"/>
        <family val="1"/>
      </rPr>
      <t>As direected by Engineer in
charge.</t>
    </r>
  </si>
  <si>
    <r>
      <rPr>
        <sz val="11"/>
        <rFont val="Times New Roman"/>
        <family val="1"/>
      </rPr>
      <t>Building
Miscellaneous Item</t>
    </r>
  </si>
  <si>
    <r>
      <rPr>
        <sz val="11"/>
        <rFont val="Times New Roman"/>
        <family val="1"/>
      </rPr>
      <t>Providing   and   fixing   grass   chhapper   (roof)   with   necessary   bamboos   and   karve
frame  with 75mm. thick grass etc.removing the same after rain is over (size of bamboos 50mm to 75mm dia and 3 M to 3.5M long)</t>
    </r>
  </si>
  <si>
    <t>As direected by Engineer in charge.</t>
  </si>
  <si>
    <r>
      <rPr>
        <sz val="11"/>
        <rFont val="Times New Roman"/>
        <family val="1"/>
      </rPr>
      <t>Providing   and   fixing   grass   chhapper   (roof)   with   necessary   bamboos   and   karve frame  with 75mm. thick grass etc.removing the same after rain is over (size of bamboos
25mm dia and 3 M to 3.5 M long)</t>
    </r>
  </si>
  <si>
    <t>Providing and fixing  Bamboo Matting screen for partition with bamboo sticks</t>
  </si>
  <si>
    <r>
      <rPr>
        <sz val="11"/>
        <rFont val="Times New Roman"/>
        <family val="1"/>
      </rPr>
      <t>As direected by
Engineer in charge.</t>
    </r>
  </si>
  <si>
    <t>Providing   and    fixing    lioghtening   conductor    system   comprising    of    erecting   Air- Termination  consisting of tubular copper rod of 25mm dia. 1.2 mm thick with multiple points  head 1.2  mt. long   (  Heavy  Duty)  welded    or  clamped   to  G.I.   pipe  pole   B grade  50  mm diaof  requiired length  with  M.S.  round  bnase  plate  25  Cm  diam  and 10mm  thick   at   bottom  embeded   in cement concrete 1:3:6 dfoundation of size 45 cm diam x 45 cm Height and providing earthing with  copper  earth  plate  of  size  60  x  60 x  0.3  cms  with  cadmium  plated  nut  bolts  to  fix earthing  strip  burried  in  specially prepared  earth  pits  1.5  metre  below  ground  level  with 40Kilogramcharcoal and salt with altemate layers of charcoal and salt and G.I.pipe 40mm dia 2 meter length burried in earthe upto earthling plate remining portion above ground level for watering  and  refilling comcpete  Note-  Copper  strip   fropm  lightening   conductor  is  not considered in this item.</t>
  </si>
  <si>
    <t>BDW 1 Page 581</t>
  </si>
  <si>
    <t>Providing   and   fixing   copper   strip   25mm   wide   and   3mm   thick   for   lightening conductor  including   fixing  with    screws   required    scaffolding  etc.complete    Note- Lightening  conductor and earthinf pits is not considered in this item</t>
  </si>
  <si>
    <t>BdW 1 Page 581 as directed Engineer in Charge</t>
  </si>
  <si>
    <t>Providing  and fixing in position alluminium strips of size 50mm x 3mm for nosing the steps  including  fixing  with screws  and raval plugs, bending  and cutting  to the  required shape and size, finishing with paint, necessary mortar bedding of 1:3 cement mortar to get exact line and level including watering and curing etc.complete</t>
  </si>
  <si>
    <r>
      <rPr>
        <sz val="11"/>
        <rFont val="Times New Roman"/>
        <family val="1"/>
      </rPr>
      <t>Providing and fixing crimped with G.I. mesh and size 20 mm x 20mm 10 guage to iron angle frame  including  welding  crimp  mesh  to  angle  frame  and  steel  flat,  fixing  the frame  in  its original position and oil painting etc.complete ( excluding cost of structural
steel)</t>
    </r>
  </si>
  <si>
    <t>Providig and  fixing wleded  mesh  fabric  for  guniting of  mesh  size 75  mm x  75mm and  10 guage thick including scaffolding etc.complete</t>
  </si>
  <si>
    <t>Providing and fixing welded mesh fabric for guniting of mesh size 150mm x 150mm and 10 guage i.e. 3.25mm thick including scaffolding etc.complete</t>
  </si>
  <si>
    <t>Building Maintenance</t>
  </si>
  <si>
    <t>BDW 8-2</t>
  </si>
  <si>
    <r>
      <rPr>
        <sz val="11"/>
        <rFont val="Times New Roman"/>
        <family val="1"/>
      </rPr>
      <t>Removing double country tiled roof with ridge and with battens and stacking the materials as directed  with all leads and lifts, complete including removing wood work below etc.
complete</t>
    </r>
  </si>
  <si>
    <t>Bd.W.8 Page One Number587</t>
  </si>
  <si>
    <r>
      <rPr>
        <sz val="11"/>
        <rFont val="Times New Roman"/>
        <family val="1"/>
      </rPr>
      <t>Building
Maintenance</t>
    </r>
  </si>
  <si>
    <t>BDW 8-4</t>
  </si>
  <si>
    <r>
      <rPr>
        <sz val="11"/>
        <rFont val="Times New Roman"/>
        <family val="1"/>
      </rPr>
      <t>Removing planking from roof or ceiling and stacking them sa directed with all leads and
lifts etc. complete</t>
    </r>
  </si>
  <si>
    <r>
      <rPr>
        <sz val="11"/>
        <rFont val="Times New Roman"/>
        <family val="1"/>
      </rPr>
      <t>Bd.W.8 Page
One Number587</t>
    </r>
  </si>
  <si>
    <t>BDW 8-5A</t>
  </si>
  <si>
    <r>
      <rPr>
        <sz val="11"/>
        <rFont val="Times New Roman"/>
        <family val="1"/>
      </rPr>
      <t>Removing Queen Post truss from roof and stacking the materials as directed with all leads
and lifts etc. complets</t>
    </r>
  </si>
  <si>
    <t>BDW 8-5B</t>
  </si>
  <si>
    <r>
      <rPr>
        <sz val="11"/>
        <rFont val="Times New Roman"/>
        <family val="1"/>
      </rPr>
      <t>Removing King Post truss from roof and stacking the materials as directed with all leads
and lifts etc. complets</t>
    </r>
  </si>
  <si>
    <t>BDW 8-5C</t>
  </si>
  <si>
    <r>
      <rPr>
        <sz val="11"/>
        <rFont val="Times New Roman"/>
        <family val="1"/>
      </rPr>
      <t>Removing   other   type    truss   below   5   metres   span   from   roof   and   stacking   the
materials  as directed with all leads and lifts etc. complets</t>
    </r>
  </si>
  <si>
    <t>BDW 8-8</t>
  </si>
  <si>
    <r>
      <rPr>
        <sz val="11"/>
        <rFont val="Times New Roman"/>
        <family val="1"/>
      </rPr>
      <t>Dismantling  flat  wooden  or  A.C.  Sheet  ceiling  with  frame  work  including  stacking
the materials as directed with all leads, lifts etc. complete.</t>
    </r>
  </si>
  <si>
    <r>
      <rPr>
        <sz val="11"/>
        <rFont val="Times New Roman"/>
        <family val="1"/>
      </rPr>
      <t>Bd.W.8 Page One
Number587</t>
    </r>
  </si>
  <si>
    <t>BDW 8-9</t>
  </si>
  <si>
    <r>
      <rPr>
        <sz val="11"/>
        <rFont val="Times New Roman"/>
        <family val="1"/>
      </rPr>
      <t>Removing cloth ceiling including frame work and stacking the materials as ditected with
all leads, lifts etc. complete</t>
    </r>
  </si>
  <si>
    <t>BDW 8</t>
  </si>
  <si>
    <t>Dismantling brick masonry in Mud and stacking the materials as directed with all leads, lifts etc. complete.</t>
  </si>
  <si>
    <r>
      <rPr>
        <sz val="11"/>
        <rFont val="Times New Roman"/>
        <family val="1"/>
      </rPr>
      <t>Dismantling stone masonry in Mud including stacking the materials as directed with all
leads, lifts etc. complete.</t>
    </r>
  </si>
  <si>
    <r>
      <rPr>
        <sz val="11"/>
        <rFont val="Times New Roman"/>
        <family val="1"/>
      </rPr>
      <t>Dismantling   stone   masonry   in   lime   or   cement   mortar   including   stacking   the
materils  as directed with all leads, lifts etc.</t>
    </r>
  </si>
  <si>
    <r>
      <rPr>
        <sz val="11"/>
        <rFont val="Times New Roman"/>
        <family val="1"/>
      </rPr>
      <t>Removing  lime  or  lean  cement  concrete  including  stacking  the  spoils  as  directed
with  all leads, lifts etc, complete.</t>
    </r>
  </si>
  <si>
    <r>
      <rPr>
        <sz val="11"/>
        <rFont val="Times New Roman"/>
        <family val="1"/>
      </rPr>
      <t>Removing  rich  mix  cement  concrete  including  stacking  the  spoils  as  directed  with  all
leads, lifts etc, complete.</t>
    </r>
  </si>
  <si>
    <t>Removing brick   bat   coba   including stacking   the spoils   as  directed   with  all  leads, lifts  etc, complete.</t>
  </si>
  <si>
    <r>
      <rPr>
        <sz val="11"/>
        <rFont val="Times New Roman"/>
        <family val="1"/>
      </rPr>
      <t>Removing  doors  and  windows  with  frames  and  stacking  the  materials  as  directed
with  all leads, lifts etc. complete.</t>
    </r>
  </si>
  <si>
    <t>Removing ventilators and small windows with frame and stacking the materials with all leads, lifts etc. complete.</t>
  </si>
  <si>
    <r>
      <rPr>
        <sz val="11"/>
        <rFont val="Times New Roman"/>
        <family val="1"/>
      </rPr>
      <t>Removing wooden or A.C. partition including frame work and stack-ing the  materials as
with all leads, lifts etc. complete.</t>
    </r>
  </si>
  <si>
    <t>Removing  teak  wood   trellies  work  with   frame  including  stacking  the   materials  as directed with all leads, lifts etc. complete.</t>
  </si>
  <si>
    <t>Removing  cement  tiles,  or  marble  or  polished   shahabad  floor  or  dado  without  bed concrete including stacking the materials as directed with all leads, lifts etc. complete</t>
  </si>
  <si>
    <t>Dismantling wooden floor  including beams and joists, stacking the materials as directed with all leads, lifts etc. complete.</t>
  </si>
  <si>
    <r>
      <rPr>
        <sz val="11"/>
        <rFont val="Times New Roman"/>
        <family val="1"/>
      </rPr>
      <t>Removing mud  plaster including disposing of the spoils as directed with all leads, lifts
etc, complete.</t>
    </r>
  </si>
  <si>
    <t>Removing wire fencing with wooden post and stacking the material with all leads,  lifts etc. complete.</t>
  </si>
  <si>
    <r>
      <rPr>
        <sz val="11"/>
        <rFont val="Times New Roman"/>
        <family val="1"/>
      </rPr>
      <t>Removing  wire  fencing  with   iron/  C.C.  fencing  post   and   stacking  the  materials  as
directed with all leads, lifts etc. complete.</t>
    </r>
  </si>
  <si>
    <r>
      <rPr>
        <sz val="11"/>
        <rFont val="Times New Roman"/>
        <family val="1"/>
      </rPr>
      <t>Removing   iron   pipe   raling   having   wooden   R.C.C.   or   C.C.   or   iron   post   and
stacking  the materials as directed etc. complete.</t>
    </r>
  </si>
  <si>
    <t>Removing   earthen,   stonewate   pipe   and   stacking   them   as   directed   with   all   leads, lifts  etc. complete.</t>
  </si>
  <si>
    <r>
      <rPr>
        <sz val="11"/>
        <rFont val="Times New Roman"/>
        <family val="1"/>
      </rPr>
      <t>Removing cast iron or wrought iron or A.C. pipe  and stacking them as directed with all
leads, lifts etc. complete.</t>
    </r>
  </si>
  <si>
    <t>Dismantling  the  R.C.C.  Work  1:2:4  and  sorting  out  the  materials  such  as  steel  etc.  as directed and stacking them within the specified lead as directed etc. complete.</t>
  </si>
  <si>
    <t>Removing  Np-2  and  Np-3  class  pipes  including  stacking  at  road  side  as  directed by  the Engineer in charge. Upto 900mm dia. etc complete.</t>
  </si>
  <si>
    <r>
      <rPr>
        <sz val="11"/>
        <rFont val="Times New Roman"/>
        <family val="1"/>
      </rPr>
      <t>Removing  Np-2  and  Np-3  class  pipes  including  stacking  at  road  side  as  directed
by  the Engineer in charge. Upto 900mm dia and above. etc complete.</t>
    </r>
  </si>
  <si>
    <t>Removing  single  country tiled  roof  with  battens  and  stacking  the  materials  as  directed with all leads and lifts etc. complete.</t>
  </si>
  <si>
    <r>
      <rPr>
        <sz val="11"/>
        <rFont val="Times New Roman"/>
        <family val="1"/>
      </rPr>
      <t>Removing  battens  from  roof  and  stacking  them  as  directed  with  all  leads  and  lifts
etc. complete.</t>
    </r>
  </si>
  <si>
    <t>Removing  matting  from  roof  and  stacking   as  directed  with  all  leads  and  lifts  etc. complete.</t>
  </si>
  <si>
    <t>Removing  purlins  from  roof  including  stacking   as  directed  with  all  leads  ,  lifts  etc. complete.</t>
  </si>
  <si>
    <t>Removing  rafters  from  roof  including  the  materials   as  directed  with  all  leads ,  lifts etc. complete.</t>
  </si>
  <si>
    <r>
      <rPr>
        <sz val="11"/>
        <rFont val="Times New Roman"/>
        <family val="1"/>
      </rPr>
      <t>Removing  cloth  partition  with  frame  work  and  stacking  the  materials   as  directed
with  all leads , lifts etc. complete.</t>
    </r>
  </si>
  <si>
    <t>Providing and  fixing Jute Kantan  (Tarat) screen  to the scaffold-ing for external guniting as directed including removing the same after the work is over etc. complete.</t>
  </si>
  <si>
    <r>
      <rPr>
        <sz val="11"/>
        <rFont val="Times New Roman"/>
        <family val="1"/>
      </rPr>
      <t>Providing and erecting chain link fencing 1.6 M. height with G.I. chain link of size 50  x 50 mm, 8 gauge thick and fixed 75 mm above ground level on vertical M.S. Angles of 40 x 40 x 6 mm size, includind excavating pits for foundation and embedded in C.C. block of 1:4:8 mix of size 450 x 450 x 670 mm. at 1.75 M. c/c with iron bar 16mm dia as hold fast including welding link with angle frame at 30 cm c/c with nuts and bolts and horizontal
M.S. Angles at top and  bottom of 25 x 25 x 5 mm size and  vertical M.S. flat 35 x 5 mm and  25 x 5  mm horizontal including cross support of 40 x 40 x 6 mm angles both side at every corner or bend embedded in concrete blocks of 1:4:8  of size 450 x 450 x 670 mm including 3 coats of oil painting etc. complete.</t>
    </r>
  </si>
  <si>
    <r>
      <rPr>
        <sz val="11"/>
        <rFont val="Times New Roman"/>
        <family val="1"/>
      </rPr>
      <t>Removing  urinal  pans  or  wash  hand  basins  with  frame  including  disconnecting  the sanitary and   water   supply  connections,   removing   the   same   carefully  and   stacking the  serviceable materials  as  and  where  directed  including  throwing  the  unserviceable
materials  outside  etc complete</t>
    </r>
  </si>
  <si>
    <r>
      <rPr>
        <sz val="11"/>
        <rFont val="Times New Roman"/>
        <family val="1"/>
      </rPr>
      <t>Removing   W.C.   pans   including   disconnecting   the   sanitary   and   water   supply connections, removing and breaking flooring and bed con-crete around pan removing  the same  carefully  and    stacking   the   serviceable   materials   as   adn    where   directed including  throwing  the unserviceable  materiasls  out  side  etc.  carefully  and  throwing
out  the  refusal  outside  etc. complete.</t>
    </r>
  </si>
  <si>
    <t>Providing  and  fixing  double  scaffolding  system  (cup  lock  type)  on  the  exterior  side of building/structure,  including  additional  rows  of  scaffolding  in  stepped   manner  as per requirement  of  site,  made  with  40mm  dia  M.S.  tube,  placed  1.5  metre  centre to  centre, horizontal &amp; vertical tubes joint with cup &amp; lock system with M.S. Tubes, M.S. tube challis, M.S. clamps and staircase system in the scaffolding for working platform etc. and maintaining it  in  a  serviceable  condition  for  execution  of  work  of  cleaning  and/ or   pointing   and/   or  applying  chemical  and  removing  it  thereafter.  The  scaffolding system shall be stiffened with bracings,   runners,   connecting   with   the   building   etc, wherever   required,   if   feasible,   for  inspection  of  work  at  required  locations  with essential safety features for the workmen etc., complete  as  per  directions  and  approval of   Engineer-in-charge.    Note:-   (1)   The   elevational  area  of  the  scaffolding  shall  be measured for payment purpose. (2) The payment will be made once only for execution of all items for such works.</t>
  </si>
  <si>
    <r>
      <rPr>
        <sz val="11"/>
        <rFont val="Times New Roman"/>
        <family val="1"/>
      </rPr>
      <t>Removing Manglore tiled roof and ridge tiles with battens, ridge and barge boards, eaves 8  A boards  etc  and  sacking  the  materials  as  directed  with  all leads  and   lifts  complete.
Including removing wood work below etc. complete.</t>
    </r>
  </si>
  <si>
    <r>
      <rPr>
        <sz val="11"/>
        <rFont val="Times New Roman"/>
        <family val="1"/>
      </rPr>
      <t>Providing  and  erecting  1.5  metre  high  wire  fencing  with  seven  rows  of  barbed  wire supported  on  M.S.  Angles  (50  mm  x  50  mm  x  6  mm)  at  2.5  metres  centre  to  centre including excavating pits for foundation, fixing posts in cement concrete  of size 45 x 45 x 45 cm, fastening the wire and painting the M.S. Angles with one coat of red lead primer
and two coats of painting etc. complete.</t>
    </r>
  </si>
  <si>
    <t>Providing  and  erecting  1.5  metre  high  wire  fencing  with  seven  rows  of  barbed  wire supported on  wooden  post  of  specified  size  at  2.5  M  C/C  including  excavating  pits for  foundation, fixing post in cement concrete 1:4:8 block of concrete of size 45 x 45 x 45 cm fastening the wire and coal tarring wooden post in two coats etc. complete.</t>
  </si>
  <si>
    <t>Bd.W.4 Page One Number583</t>
  </si>
  <si>
    <r>
      <rPr>
        <sz val="11"/>
        <rFont val="Times New Roman"/>
        <family val="1"/>
      </rPr>
      <t>Replacement  of  damaged  alluminium  Butt  Hinges  of  125  mm  of  approved  quality  and make  to   door   shutter   including   removing   existing   the   same   in   original   position making  proper adjustment for smooth operation etc. complete as per sample approved by
Engineer incharge.</t>
    </r>
  </si>
  <si>
    <r>
      <rPr>
        <sz val="11"/>
        <rFont val="Times New Roman"/>
        <family val="1"/>
      </rPr>
      <t>Replacement   of   damaged   Mortise   Lock   of   approved   quality   and   make   to   door shutter  including   Removing   and   Refixing   with   Necessary    screw,   making   proper adjustment   for smooth   operation etc. complete as per sample  approved by Engineer in-
chareg.</t>
    </r>
  </si>
  <si>
    <r>
      <rPr>
        <sz val="11"/>
        <rFont val="Times New Roman"/>
        <family val="1"/>
      </rPr>
      <t>Replacement of damaged Aldrop 300 mm Chromium plated of approved quality and make to door  shutter  including  removing   existing  the  same  in   original  position   making proper  adjustment  for  smooth   operation  etc.  complete  as  per  sample  approved  by
Engineer in-charge.</t>
    </r>
  </si>
  <si>
    <r>
      <rPr>
        <sz val="11"/>
        <rFont val="Times New Roman"/>
        <family val="1"/>
      </rPr>
      <t>Replacement  of  damaged   Aldrop  300  mm Iron  Oxidised  of  approved  quality  and make  to  door   shutter   including   removing   existing   the   same   in   original   position making  proper adjustment for smooth  operation etc. complete as per sample approved by
Engineer in-charge.</t>
    </r>
  </si>
  <si>
    <t>Replacement   of   damaged   Tower   Bolt   300   mm   Chromium   plated   of   approved quality  and make  to  door/window  shutter  including  removing  existing  the  same  in original  position making  proper  adjustment  for  smooth   operation  etc.  complete  as per  sample  approved  by Engineer in-charge.</t>
  </si>
  <si>
    <r>
      <rPr>
        <sz val="11"/>
        <rFont val="Times New Roman"/>
        <family val="1"/>
      </rPr>
      <t>Replacement   of   damaged   Alluminium   Handle   125   mm   of   approved   quality   and make  to door/window shutter including removing existing the same in original position making proper adjustment for smooth  operation etc. complete as per sample approved by
Engineer in-charge.</t>
    </r>
  </si>
  <si>
    <r>
      <rPr>
        <sz val="11"/>
        <rFont val="Times New Roman"/>
        <family val="1"/>
      </rPr>
      <t>Replacement   of   damaged   Lock   of   approved   quality   and   make   to   cupboard   and doorwer  including   Removing   and   Refixing   with   necessary   screw,   making   proper adjustment   for  smooth  operation  etc.  complete  as  per  sample  approved  by Engineer  in-
charge.</t>
    </r>
  </si>
  <si>
    <r>
      <rPr>
        <sz val="11"/>
        <rFont val="Times New Roman"/>
        <family val="1"/>
      </rPr>
      <t>Removing  chockes  and  leakages  from  down  take  G.I/CI/PVC  pipe  line  on  walls  floor level by using zoola / scaffolding and rectify the same for functioning with all lifts  etc.
complete.</t>
    </r>
  </si>
  <si>
    <r>
      <rPr>
        <sz val="11"/>
        <rFont val="Times New Roman"/>
        <family val="1"/>
      </rPr>
      <t>Manualy  clearing  the  chockes  from  under  ground  drainage  line  including  Inspection chambers with the help of required tools for propre functioning line chamber to chamber
etc. complete.</t>
    </r>
  </si>
  <si>
    <r>
      <rPr>
        <sz val="11"/>
        <rFont val="Times New Roman"/>
        <family val="1"/>
      </rPr>
      <t>Manualy clearing  by removeing  the chockes  from Nahni  Trap, Gully Trap, Wash  basin unit, Sink and WC with  the help  of required  tools for  proper functioning  the same  etc.
complete.</t>
    </r>
  </si>
  <si>
    <r>
      <rPr>
        <sz val="11"/>
        <rFont val="Times New Roman"/>
        <family val="1"/>
      </rPr>
      <t>Filling  tiles  joint  portion  of   flooring  and  dado  filling  with  white  cement  by  removing existing  loose  morter/  cement  slurry  from  joint  with  tools  and  finish  with  washing
cleaning and curing etc. complete.</t>
    </r>
  </si>
  <si>
    <r>
      <rPr>
        <sz val="11"/>
        <rFont val="Times New Roman"/>
        <family val="1"/>
      </rPr>
      <t>Providing and fixing 6 mm thick commercial plywood with jungle wood frame work of 50 x  35  mm  size  at  60  cm  on   both  ways  for  closing  the  window  portion/openings  for protection from falling debris, dust etc. including cutting, fixing  with nails and removing after the same after completion of the work. (To be used after approval of Superintending
Engineer)</t>
    </r>
  </si>
  <si>
    <r>
      <rPr>
        <sz val="11"/>
        <rFont val="Times New Roman"/>
        <family val="1"/>
      </rPr>
      <t>Removal  of  plants  /  ficus  grown  by pulling out  root  system embedded  in masnory, cutting  stem   and   application   of   high/gur/lime   formulation   as   specified   by   the Architect  or  other patented   chemical   biocide  treatment   such   as   biocide  'Glycel' (iso   proplamine  salt   of glyphosate) or other chemical as specified by the Engineer in
charge etc. complete.</t>
    </r>
  </si>
  <si>
    <r>
      <rPr>
        <sz val="11"/>
        <rFont val="Times New Roman"/>
        <family val="1"/>
      </rPr>
      <t>Lowering  down  the  debris  obtained   from  breaking  and  removing  the  cement  plaster  / burnt  brick  masonry of  the  first  floor  by any means  without  causing  dust  nuisance  and damage to structure, stacking the same as and where directed including cleaning the site
complete.</t>
    </r>
  </si>
  <si>
    <t>Structural Strengthening</t>
  </si>
  <si>
    <t>BDSS</t>
  </si>
  <si>
    <t>Providing &amp; Applying  chemical  for cleaning the exposed steel structure, TMT bars, etc. of  structure  by grinding  the  surface  by grinder  machine,  wire  brush,  removing  existing corrosion  from the  metal also  removing  loose particles,  of the  area by water jet,  (using other  mechanical  /  manual  means)  and  apply  on  prepared  surface  of   as  corrosion preventive coat on prepared TMT bars, steel structure,metal surface etc. to protect it from corrosion etc. as per manufacturer's   specification   (  using other   manual  /   mechinical means)  after  that   Providing and  applying  high   abrasive  resistant,  self  curing,  UV resistant,impermeable ,high  strength, non  shrink,  Poly  Ironite  Ceramic  Cementatious (PICC)     repair  mortar  resurfacing  on concrete  surface  of  thickness  up  to  10  mm including     breaking   honey  comb  area,    (using  manual/mechanical means)  , clean  the concrete surface with special chemical clonon     with pressure water jet for removing of algae fungi, apply bond coat Kelox  water misible epoxy before PICC application  with all leads and lifts, Material, Machinery, labour, scaffolding, etc. complete as per specification and as directed by engineer-in-charge.</t>
  </si>
  <si>
    <t>Providing and   grouting the holes by Poly  Ceramic  Cementitious  i.e NicGrout G  06 + 53  grade  cement  material  of    as  per  requirement   to  reduce  the  porosity   of  concrete  / Masonry structure and to increase the strength of structure using  grouting pipes , grouting m/c, mixer etc and all relevant safety with all leads and lifts, material, machinery, labour, etc. Complete as per specification and as directed by Engineer-in-Charge.</t>
  </si>
  <si>
    <t>Providing   and    applying   high     abrasive   resistant,   UV    resistant,impermeable   ,self curing,high strength,  non  shrink,  Poly  Ironite  Ceramic  Cementatious  (PICC)   repair mortar  for  water proofing   on  concrete  surface  with  thickness  up  to  5  mm,  ,  apply bond    coat    Kelox    Water   Misible   epoxy       before   PICC    application     (using manual/mechanical   means)   and   Providing  and   Applying   PCC   up   to   50   mm thickness  for  desire  slope  to  drain  the  water  and  kept ponded for continuous period of 3 days to detect any seepage / leakage/ dampness if any,  the surface   then   shall   be cleared,   complete   as   per   specification   including   cost   of   all   materials,  machinery, labour, insurance charges  as directed by the Engineer in charge.</t>
  </si>
  <si>
    <r>
      <rPr>
        <sz val="11"/>
        <rFont val="Times New Roman"/>
        <family val="1"/>
      </rPr>
      <t>PICC  Coating  for  concrete  Bridge  repair  work  :-Providing  and  applying  Poly  Ironite Ceramic  Cementitious   (PICC)    material   of   Self   curing    ,High   Abrasion   resistant   , Non  shrink  ,High strength,UV resistant, repair mortar coating on bond coat Kelox water missable  epoxy of     on  concrete  surface   upto 10  mm thickness  including Cleaning  the concrete surface of bridge by grinding the  surface by grinder machine  with   wire  brush
/diamond  wheel,  removing  existing  loose   particles   etc.   by   using   grinder,   wire brush,breaker   machine,   water   jet(using   other  mechanical   /   manual   means)   also removing   of   algae   fungi   by  special   chemical   of   clonon  etc.complete  with  all  leads and lifts, Material, Machinery, Labour, Scaffolding etc. complete as per specification and as directed by engineer-in-charge.</t>
    </r>
  </si>
  <si>
    <t>Removal of Vegitation/Plants:- Removal of entire root inside the bridge portion. Remains of  the  root  shall be  treated  with  special chemical  Steripure  MBT  20.  Top  50  mm shall filled  with  high   strength   grout  including  cost  of  all  material,  machinery,  labour, scaffolding, etc.as per specification and as directed by Engineer-in-Charge.</t>
  </si>
  <si>
    <t>Providing &amp;  Applying  DuraClean-  WR   for  cleaning  the TMT   bars,  steel  structure etc.   of  structure  by  Waterjet  cleaning/  grinding  the  surface  by  grinder  machine,  wire brush, removing existing   corrosion   from   the   metal   surface   also   removing   loose particles(using   other mechanical  /  manual  means)  and  apply  on  prepared  surface  of DuraGuard    -      as    corrosion   preventive    coat    on    prepared    TMT    bars,    steel structure,metal   surface   etc.   to   protect   it   from  corrosion   etc.  as  per  manufacturer's specification  ( using other manual  / mechinical  means) complete  as  per  specification including   cost   of  all  materials,   machinery,   labour,  insurance charges   as directed by the Engineer in charge.</t>
  </si>
  <si>
    <r>
      <rPr>
        <sz val="11"/>
        <rFont val="Times New Roman"/>
        <family val="1"/>
      </rPr>
      <t>PICC  filling  for   Honey  combing  area   at  concrete  surface:-Providing  and  applying Poly  Ironite  Ceramic  Cementitious  (PICC)   material  of  Self  cureing   ,High  Abrasion resistant , Non shrink ,High  strength,UV resistant, repair mortar coating on   Kelox water missble epoxy of concrete surface  fill the  honey combing area etc. on tacky primer coat upto  10  mm thickness  or  as  per  the  surface  conditions including  Cleaning the  concrete surface  of  bridge  by  grinding  the   surface   by   grinder   machine   with    wire   brush
/diamond    wheel,    removing    existing    loose   particles   etc.   by   using   grinder,   wire brush,breaker machine, water jet(using other mechanical / manual means) also removing of  algae  fungi  by  special  chemical  of  clonon.   etc.complete  with  all  leads  and  lifts, Material,  Machinery,  Labour,  Scaffolding  etc.  complete  as  per  specification  and  as directed by engineer-in-charge.</t>
    </r>
  </si>
  <si>
    <t>Providing  and  applying  Poly  Ironite  Ceramic  Cementitious  (PICC)  of   self  curing,  a high abrasion  resistant,  non-shrink,  high  strength,low  porosity,  UV  resistant  repair mortar  on Concrete  road  etc  including   cleaning   the  Concrete  surface  on  concrete road   by  breaking, cleaning with   wire brush , removing existing loose particles etc. by using   wire  brush,breaker  machine,  air  (using  other  mechanical  /  manual  means)  then applying Kelox ( water missible epoxy)of   , bond coat on prepared  concrete surface for bonding  the  old  surface  to  new  repair  mortar  etc.  as  per  manufacturer's  specification  ( using  other  manual  /  mechinical  means)  then  apply   repair  mortar  of  PICC   to  fill  the concrete  surface   upto  15  mm  coat  etc.complete  with  all   leads   and   lifts,   Material, Machinery,  Labour  etc.  complete  as  per  specification  and  as directed by engineer-in- charge.</t>
  </si>
  <si>
    <t>Providing  and  applying  Poly  Ironite  Ceramic  Cementitious  (PICC)  of   self  curing,  a high abrasion  resistant,  non-shrink,  high  strength,low  porosity,  UV  resistant  repair mortar  on Concrete  road  etc  including   cleaning   the  Concrete  surface  on  concrete road   by  breaking, cleaning with   wire brush , removing existing loose particles etc. by using   wire  brush,breaker  machine,  air  (using  other  mechanical  /  manual  means)  then applying Kelox ( water missible epoxy)of   , bond coat on prepared  concrete surface for bonding  the  old  surface  to  new  repair  mortar  etc.  as  per  manufacturer's  specification  ( using  other  manual  /  mechinical  means)  then  apply   repair  mortar  of  PICC   to  fill  the concrete  surface   upto  25  mm  coat  etc.complete  with  all   leads   and   lifts,   Material, Machinery,  Labour  etc.  complete  as  per  specification  and  as directed by engineer-in- charge.</t>
  </si>
  <si>
    <t>Providing  and  applying  Poly  Ironite  Ceramic  Cementitious  (PICC)  of   self  curing,  a high abrasion  resistant,  non-shrink,high  strength,  low  porosity,  UV  resistant  coating mortar  on existing  GSB  of  100  mm thickness  ,  get  levelled  the  surface  and   cure then   applying    self  curing  coating  PICC  mortar   for  50  mm  thickness  after  stamp  the surface  by  special  concrete  stamping   mold   as   per   specified   texture   and   colour etc.complete  with  all  leads  and  lifts, Material, Machinery, Labour etc. complete as per specification and as directed by engineer-in- charge.</t>
  </si>
  <si>
    <t>Masonry Bridge Repair</t>
  </si>
  <si>
    <t>Masonry  Bridge  repair  work:-Providing  pointing  on  masonry  surface  of  Bridge  with UV resistance,  Non-shrink.  high  strength,  high  abrasion,  material  like  Poly  Ironite Ceramic Cementitious (PICC)  self curing  cementitious material for masonry joint filling to depth of 20mm including pointing work  of  masonry  by  removing of  existing loose portion   of   stone  masonry  by  braking  removing  existing  loose  particles  upto  required depth   50  mm  or  as  per  site   confition   cleaning   with   special   chemicals   clonon   and water   jet   under   pressure   for  removing  algae,  fungi,  applying  bond  coat  Kelox  water missable  epoxy  before  repair  material  application    complete    as    per    specification including    cost    of    all    material,    machinery,  labour,scaffolding,   transportation   etc. with  all  leads  and  lifts  as  directed  by  the engineer-in- charge.</t>
  </si>
  <si>
    <t>Providing &amp; Applying  DuraClean- WR  - for cleaning the TMT bars, steel structure etc. of  structure  by Waterjet  cleaning/  grinding  the  surface  by grinder  machine, wire  brush, removing  existing    corrosion    from    the    metal    surface    also    removing    loose particles(using   other mechanical  /  manual  means)  and  apply  on  prepared  surface  of DuraCap    2    coats    corrosion   preventive    coat    on    prepared    TMT    bars,    steel structure,metal   surface   etc.   to   protect   it   from  corrosion   etc.  as  per  manufacturer's specification  ( using other manual  / mechinical  means) complete  as  per  specification including   cost   of  all  materials,   machinery,   labour,  insurance charges   as directed by the Engineer in charge.</t>
  </si>
  <si>
    <t>Bitumen and concrete road Pot Hole Reparing</t>
  </si>
  <si>
    <t>Providing  and  applying  Poly  Ironite  Ceramic  Cementitious  (PICC)  of   self  curing,  a high abrasion resistant, non-shrink, high strength,low porosity, UV resistant repair mortar to  fill  the  pot  holes  on   Concrete/Bitumen  road  including  cleaning  the  pot  holes  on concrete/Bitumen  road  by  breaking,  clean  with   wire  brush  ,  Air  blower,  removing existing  loose  particles  etc.  by  using   wire  brush,breaker   machine,  air   jet(using  other mechanical /  manual means)  then applying Kelox  water missiable epoxy bond coat on prepared   concrete/Bitumen   surface pot hole for  bonding the old surface to new  repair mortar etc. as per manufacturer's specification ( using other manual / mechinical means) then apply  repair mortar  to fill the pot holes  on concrete/Bitumen  surface  upto 75 mm depth   to match  existing road  thickness  etc.  Complete with  all leads  and lifts,  Material, Machinery,  Labour  etc.  complete  as  per  specification  and  as  directed  by  engineer-in- charge.</t>
  </si>
  <si>
    <t>One Kilogram.</t>
  </si>
  <si>
    <t>Providing  and  applying  Poly  Ironite  Ceramic  Cementitious  (PICC)  of   self  curing,  a high abrasion resistant, non-shrink, high strength,low porosity, UV resistant repair mortar to  fill  the  pot  holes  on   Concrete/Bitumen  road  including  cleaning  the  pot  holes  on concrete/Bitumen  road  by  breaking,  clean  with   wire  brush  ,  Air  blower,  removing existing  loose  particles  etc.  by  using   wire  brush,breaker   machine,  air   jet(using  other mechanical /  manual means)  then applying Kelox  water missiable epoxy bond coat on prepared   concrete/Bitumen   surface pot hole for  bonding the old surface to new  repair mortar etc. as per manufacturer's specification ( using other manual / mechinical means) then apply  fast seting repair mortar  to fill the pot holes   on concrete/Bitumen   surface upto  75  mm  depth   to  match  existing  road  thickness  etc.  &amp;   movement   the   vechical within   1   hour.   complete   with   all   leads   and   lifts,   Material,  Machinery,  Labour  etc. complete as per specification and as directed by engineer-in-charge.</t>
  </si>
  <si>
    <t>Providing  and  applying   30  mm  thick  self  curing  Ceremic  Polymer  Microconcrete of approved  make having Compressive strength above M30, non  shrink,  impermeable , filling mortar  to load carrying R.C.C member in two layers on cleaned concrete surface , including honey comb area (using manual/mechanical means). Mixing  mortar of Nicosil C80 and fresh 53 grade cement with required water cement ratio for desired consistency and  applying  and  finishing    by    manual    trawelling    ,    curing    after    curing    initial setting   time   etc,   as   per manufacturers specification etc. complete as per specification and as directed by engineer-in- charge. Work shall be executed by certified applicator only and work shall be guaranteed for 5 years and  guarantee shall be provided  on   Rs. 500 /- stamp paper. (Bond coat mentioned below is to be done before coating)</t>
  </si>
  <si>
    <t>Providing  and  applying  Kelox  R  101  (Resin)   +  Kelox  H  404  (Hardner)   water  misible epoxy of approved make  for bonding old concrete to new moratr after mixing  slowely in predefined  ratio  and  applying  by brush  on  the  surface,  when  it  is  tacky then  apply the moratr complete as per specification and as directed by engineer-in-charge. Work shall be executed  by  certified  applicator  only  and  work  shall  be  guaranteed  for  5  years  and guarantee shall be provided on Rs. 500 /- stamp paper</t>
  </si>
  <si>
    <r>
      <rPr>
        <sz val="11"/>
        <rFont val="Times New Roman"/>
        <family val="1"/>
      </rPr>
      <t>Corrosion protection of unexposed old reinforcement on non-spalled concrete by Insertion of  sustained  release  Corrosion  inhibiting  caplets  like  Powrthrow  which  protect  both anodic  &amp;  cathodic  sites  and  reduces  Corrosion  potential  Ecorr  by minimum  80  mV  in conductive medium, by drilling 20-22 mm dia holes into the concrete at a depth of 30-40 mm and inserts to be  filled by epoxy sealant EPCO-1010.  Caplets shall inhibit corrosion inhibition  efficiency  of  98%  (when  added  0.03  %  by  weight)  against  control  sample evaluated  by  Tafel  polarization  method.  Depth  of  penetration  for  effective  corrosion protection shall be 120mm &amp; film formation of 20 Microns as evaluated by CSIR-CECRI Karaikudi.Spacing of Powrthrow shall be-
a) For RCC Columns- 1 Units in a single drilled hole  at a spacing of 1m c/c from two opposite faces in staggered fashion
b)  For  RCC  Beams- 1  Units  in  a  single  drilled  hole   at  a  spacing  of  1m  c/c   from  two opposite faces in staggered fashion
C) RCC Slab- 4 Units in a single drilled hole in 1 sqm area in a grid pattern</t>
    </r>
  </si>
  <si>
    <t>Providing protection of unexposed old reinforcement on non spalled concrete by insertion of  sustained  release  corrosion  inhibitor  caplets  like  POWRTHROW  sustained  release Corrosion inhibiting caplets of  to protect both anodic &amp; cathodic sites and shall reduce to reduce corrosion potential Ecorr by minimum 80 mV in conductive medium, by drilling 20 mm holes into the concrete at a depth of 25 mm and inserts to be filles by EPCO-PC- Putty. Caplets shall inhibit corrosion inhibition efficiency of 98% (when added 0.03% by weight)   against   control  sample   evaluated   by  Tafel  polarization   method.   Depth   of penetration for effective corrosion protection shall be 120 mm and film formation of 20 Microns as evaluated by CSIR-CECRI Karaikudi.</t>
  </si>
  <si>
    <t>Providing  and  applying  Elastomeric,  Anti  carbonation,  Anti  corrosive,  UV  resistant, Solvent based Pure Aliphatic Acrylate System- MONOPOL 456 on the exterior faces of Buildings  Protection  against  ION  penetration, carbonation,UV  radiations  and  wethering effect   conforming to ASTM D 4541-02 having Electrochemical impedance of 107 Ω and achieving dry film thickness of minimum 200 microns in a primer coat followed by two top coats using brush or spray after complete cleaning &amp; removal of oil, grease or loose particles from the surface etc. complete.</t>
  </si>
  <si>
    <t>SSR 2022-23 :- Green Building</t>
  </si>
  <si>
    <t>Masonary</t>
  </si>
  <si>
    <t>Providing  and  constructing non  load bearing  wall with  200mm  Horizontally perforated clay  hollow  blocks  of  approved  make  with  compressive  strength  not  less  than  35 Kilogram/Sqcm, U value of 47.0 W/m2K, Water Absorption of 15%, masonry to be done using  fine  aggregate  (natural  sand/crushed  sand  VSI  grade  finely  washed  etc.)  cement mortar 1:6 with blocks of size  400mm  x  200mm  x  200mm  (12.5  bricks  per  Square Metre.  excluding  mortar  joint thickness)  including  cost  of  materials,  labour  charges, scaffolding,   curing   at   all   heights,  complete  as  per  specifications  &amp;  directions  of Engineer-in Charge. Cost shall be inclusive of filling the Blocks  with  Cement  mortar at exposed   junctions   and   filling  with   concrete  using  12mm  down  size  aggregates  at Window and door Jambs for fixing hold fast, anchors etc.</t>
  </si>
  <si>
    <t>Providing  and  constructing non  load bearing  wall with  150mm  Horizontally perforated clay   hollow   blocks   of   approved   make   with   compressive   strength   not   less   than 35Kilogram/Sqcm,  U  value  of  47.0  W/m2k,  Water  Absorption  of  15%,  with  cement mortar 1:6 with blocks of size  400mm  x  150mm  x  200mm  (12.5  bricks  per  Sq.m excluding    mortar    joint    thickness)   including   cost   of   materials,   labour   charges, scaffolding, curing at all heights, complete as per specifications &amp; directions of Engineer- in Charge. Cost shall be inclusive of filling the Blocks with  Cement  mortar  at  exposed junctions  and  filling with  concrete using 12mm down  size aggregates at Window and door Jambs for fixing hold fast, anchors etc.</t>
  </si>
  <si>
    <t>Providing  and  constructing non  load bearing  wall with  100mm  Horizontally perforated clay   hollow   blocks   of   approved   make   with   compressive   strength   not   less   than 35Kilogram/Sq.cm,  U  value  of  47.0  W/m2k,  Water  Absorption  of  15%,  with  cement mortar 1:6 with blocks of size  400mm  x  100mm  x  200mm  (12.5  bricks  per  Square Metre.   excluding   mortar   joint  thickness)  At  every 5th  course  level,  Concrete  band  of 100mm  thick  with  1:3:6  Mix  Concrete  along  with   Nominal   Reinforcement   to  be provided.  The rate  inclusive of  cost  of  materials, labour charges, scaffolding, curing at all height, complete as per specifications &amp; directions of Engineer-in  Charge.  Cost  shall be   inclusive   of   filling   the   Blocks   with   Cement   mortar   at  exposed  junctions  and filling with concrete using 12mm down size aggregates at Window and door Jambs for fixing hold fast, anchors etc.</t>
  </si>
  <si>
    <t>Flooring</t>
  </si>
  <si>
    <t>Providing  and  laying  18  mm  thick  ADONI  BROWN  LEATHER  FINISH  stone  for flooring, machine cut in required size, approved shade, color and texture laid using white cement slurry over 20 mm (average) thick base of cement mortar 1:4 followed by laying, fixing and jointed with  white  cement  slurry  mixed  with  matching  pigment,  including rubbing   and   curing  moulding  and  polishing  to  edge  to  give  high  gloss  finish  etc complete.   The   application   rate   for   tile   adhesives   shall   be   as   per   manufacturer's recommendations. as per detail drawing. The rate shall be inclusive of all labour, material, wastage,  scaffolding,  transportation,  taxes,  including  all  leads,  lifts  at  all  levels  and  as directed by Engineer in charge. Complete. a) Flooring</t>
  </si>
  <si>
    <t>Providing  and  laying  18  mm  thick  ADONI  BROWN  LEATHER  FINISH  stone  for flooring, machine cut in required size, approved shade, color and texture laid using white cement slurry over 20 mm (average) thick base of cement mortar 1:4 followed by laying, fixing and jointed with  white  cement  slurry  mixed  with  matching  pigment,  including rubbing   and   curing  moulding  and  polishing  to  edge  to  give  high  gloss  finish  etc complete.   The   application   rate   for   tile   adhesives   shall   be   as   per   manufacturer's recommendations. as per detail drawing. The rate shall be inclusive of all labour, material, wastage,  scaffolding,  transportation,  taxes,  including  all  leads,  lifts  at  all  levels  and  as directed by Engineer in charge. Complete. a) Skirting</t>
  </si>
  <si>
    <t>Providing and  Laying  factory made  coloured  chamfered  edge Cement  concrete grass paver blocks of required strength,thickness &amp; size/shape, made by table vibratory method using PU mould,  laid  in  required  colour  &amp;  pattern  over  50mm  thick  compacted  bed of   fine   fine  aggregate  (natural  sand/crushed  sand  VSI  grade  finely  washed  etc.), compacting  and  proper  embedding/laying  of  inter  locking  paver  blocks  into  the  fine aggregate (natural sand/crushed sand VSI grade finely washed etc.) bedding layer through vibratory  compaction  by  using  plate  vibrator,   filling   the   joints   with   fine   aggregate (natural   sand/crushed   sand   VSI   grade   finely  washed   etc.)   and   cutting   of   paver blocks  as  per  required  size  and  pattern,  finishing  and sweeping extra fine aggregate (natural   sand/crushed   sand   VSI   grade   finely   washed   etc.)   and   complete   as   per manufacturer  spsecifications  &amp;  direction  of  Engineer-in-Charge.  60mm  thick  CC  paver block of M-35 grade concrete with approved colour and design &amp; pattern.</t>
  </si>
  <si>
    <t>Bamboowood   14  mm  thick  tile  flooring  including  quater  round,  door  reduces  and plywood- Providing &amp; fixing in position Phenol bonded Epitome Bamboowood flooring with  planks  of  sizes   14mm   thick,   1800mm   length   (minimum)   and   130mm   wide (minimum),   in   approved  colour,   texture   and   finish,   having   Performance   Appraisal Certificate   (PAC)   issued   by  Building  Materials  &amp;  Technology  Promotion  Council (MBTPC). The flooring shall be fixed with tongue and groove interlocaking system, with plywood  of  mr  grade  of  18mm  thickness  as  base  and  underlayment  of  4mm  thick expanded  poly  ethylene  foam  sheets  having  density  40Kilogram/cum,  over  prepared surface with necessary quarter round planks of size 1900mm x  18mm  and  dorr  reducer of   size   1900mm   x   44mm,   wherever   required.   The   Epitome  Bamboowood   planks shall   have   minimum   density   of   1000   Kilogram/cum   &amp;   minimum  Hardness   1000 Kilogramf.  with  Eco  friendly  UV  coating,  all  complete  as  per  direction  of Engineer in-charge.</t>
  </si>
  <si>
    <t>Bamboowood  14mm  thick  Tile  Flooring  including  quarter  round  &amp;  door  reducer  - Providing &amp;  fixing  in  position  Phenol  bonded  Epitome  Bamboowood  flooring  with planks  of  sizes 14mm thick, 1800mm length (minimum) and 130mm wide (minimum), in  approved  colour,  texture   and   finish,   having   Performance   Appraisal   Certificate (PAC)   issued   by  Building  materials   &amp;   Technology  Promotion   Council   (BMTPC). The  flooring   shall  be   fixed   with  tongue and  groove interlocaking  system, with  2mm underlay  as  sound  abrobing  and  moisture  barrier  and  underlayment  of  4mm  thick expanded  poly  ethylene  foam  sheets  having  density  40Kilogram/cum,  over  prepared surface with necessary quarter round planks of size 1900mm x  18mm  and  dorr  reducer of   size   1900mm   x   44mm,   wherever   required.   The   Epitome  Bamboowood   planks shall   have   minimum   density   of   1000   Kilogram/cum   &amp;   minimum  Hardness   1000 Kilogramf.  with  Eco  friendly  UV  coating,  all  complete  as  per  direction  of Engineer in-charge</t>
  </si>
  <si>
    <t>Bamboowood  14mm  thick  wall  Skirting  -  Providing  &amp;  fixing  in  position  Phenol bonded Epitome  Bamboowood  in  wall  skirting  with   planks  of  sizes  14mm  thick, 1900mm  length (minimum)  and  85mm  wide  (minimum),  in  approved  colour,  texture and   finish,   having  Performance   Appraisal   Certificate   (PAC)   issued   by   Building materials  &amp;  Technology Promotion  Council  (BMTPC).  The  skirting  shall  be  fixed SS   screws   &amp;   rawl   plugs,   over  underlayment    of    4mm    thick    expanded    poly ethylene   foam   sheets   having   density 40Kilogram/cum,  over  prepared  surface.  The Epitome  Bamboowood  planks   shall  have minimum  density  1000  Kilogram/cum  &amp; minimum  Hardness  1000  Kilogramf.  with  Eco friendly UV coating, all complete as per direction of Engineer in-charge</t>
  </si>
  <si>
    <t>Bamboowood   20mm  thick  Decking   Outdoor  Flooring   Tile  Providing   &amp;  fixing   in position  Phenol bonded  Epitome  Bamboowood  deck  flooring  tiles  with  planks  of  sizes 20mm thick, 1900  mm  length  and  135mm  wide  ,in  approved  colour  ,  texture  and finish   ,   having  performance    Appraisal    Certificate    (PAC)    issued    by    Building Materials&amp;   Technology promotion Council (BMTPC)with necessary profiled edges and groove fixed with 40mm ss screws 3 nos in each tile to frame work made of second class seasoned and treated teak wood of size 38x38 mm placed underneath acoss the tile at both ends and in centre fixed with clips holding in position. The Epitome Bamboowood planks shall   have   minimum   density   of   1000   Kilogram/cum   &amp;   minimum   hardness   1000 Kilogramf.all complete as per direction of engineer in-charge.</t>
  </si>
  <si>
    <t>Providing and  applying 2 coats of 100% Pure acrylic low VOC  and  APEO  &amp; HCHO free  water   based   paint   of   approved   colour   that   belongs   to   class   1   flame   spread resistance   of  approved   make  Paint  should  provide  durable  and  long  lasting  silk  finish with  a high  crack tolerance of upto 1mm. Paint should have an oustanding washability with high resistance to wide range of bacteria and  fungus. Paint  has to  be applied   on smooth  and  uniform surface prepared by an acrylic copolymer low VOC &amp; Odour putty. This  surface  should  be  primed  with   water  based  low  VOC  Primer.  The  work  activity should   cover  all  aspects  of  applying  paints  from  surface  preparation  as  directed  by Engineer in charge.</t>
  </si>
  <si>
    <t>Providing   and   applying   2   Coats   of   100%   Pure   acrylic   water   based   paint   with special  heat reflectance property to withstand the harsh climate for period of atleast  10 years of approved make.  Paint  system  should  provide  durable  and  long  lasting  finish with  DFT  of  min  90 microns and should protect against concrete carbonation with R value of minimum 600 and equivalent  concrete  layer  thickness  value  of  min  150  cm. Paint  should  have  breathability property and should be able to cover hairline cracks in the  surface  upto  0.5mm  The  paint  has  to  be  applied  on  a  coat  of  high  quality  acrylic copolymer based alkali resistant primer with excellent  penetrating  properties  including cleaning,  with  all  leads  and  lifts  at  all  levels  etc complete, as directed by Engineer in charge.</t>
  </si>
  <si>
    <t>Providing  and  applying  2  Coats  of  high  quality  acrylic  copolymer  matt  approved low  VOC  emulsion  paint  of  approved  shadethat  gives  smooth,  flat  and  washable  and durable finishing of approved  make. Paint should have good flow levelling property with good colour retention and  incan   antibacterial  property.   Paint   has   to  be  applied   on smooth  and  uniform  surface prepared by an acrylic copolymer low VOC &amp; Odour putty. This surface should be primed with water based low VOC acrylic copolymer based primer sealer that has incan antibacterial property.  The  work  activity  should  cover  all  aspects of  applying  paints  from  surface preparation,  filling  to  erecting  and  dismantling  of scaffolding,  finishing  the  surface  etc  as directed by Engineer in charge.</t>
  </si>
  <si>
    <t>Providing and  applying 2 Coats of 100% Pure acrylic low VOC water based  paint with to withstand for period of atleast 5 years of approved  make. Paint should provide durable long lasting  silk  finish  with  high  resistance  to  UV  and  resistance  to  spreading  of flame.  Paint should protect against concrete carbonation with R value of minimum 600 and ability to built cracks  upto  min  0.7mm.  The  paint  has  to  be  applied  on  High quality   water   based   acrylic  copolymer  primer  with  good  alkali  resistance  properties. With all leads and lifts at all levels etc. complete, as directed by Engineer in charge.</t>
  </si>
  <si>
    <r>
      <rPr>
        <sz val="11"/>
        <rFont val="Times New Roman"/>
        <family val="1"/>
      </rPr>
      <t>Providing  and   applying   impression  24  carrat  Luxury  paint  of  approved    make  &amp; approved brand Emulsion paint to interior walls and ceilings of approved quality, colour and shade to new surface  in  two  coats,  including  sub  surface  prparation  by  Acrylic putty  and  Acrylic primer coats including scaffolding, preparing the surface. etc. complete
(Low VOC).</t>
    </r>
  </si>
  <si>
    <r>
      <rPr>
        <sz val="11"/>
        <rFont val="Times New Roman"/>
        <family val="1"/>
      </rPr>
      <t>Providing   and   applying    antipeel   paint   of   approved    make   &amp;    approved   brand exterior Emulsion paint of approved quality, colour and shade to old and new surface in two  coats,  including  exterior  acrylic  primer  coat,  scaffolding,  preparing  the surface  etc. complete (Heat
Reflective Paint).</t>
    </r>
  </si>
  <si>
    <t>Providing   and   applying     top   coat   exterior   paint   to   terrace   of   approved    make, shade  and quality  and  one  coat  of  primer  before  applying  textured  paint  including scaffolding   if necessary preparing surface by throughly cleaning of oil, grease, dirt and other material and fine aggregate (natural sand/crushed sand VSI grade finely washed etc.) preparing as required, etc. complete.</t>
  </si>
  <si>
    <t>Roofing</t>
  </si>
  <si>
    <t>Providing  and   applying  two   coats   of   High   Albedo   paint   having   minimum  Solar Reflective  Index  (SRI)  108  (with  solar  reflectance  &amp;  thermal  emittance  tested  as  per ASTM)  C  1549  and  ASTM   C   1371   respectively,   VOC   less   than   10   cc/gm.   The coating  thickness  and  the methodology of application shall strctly as per manufacturer's specifitions and as approved by engineer in charge. Surface preparation includes cleaning with metal wire brush to remove all dust, fungus etc, washing with water all complete.The contractor shall give guarantee for the performance  of  SRI  and  also  the  durabitity  of coating,  all  complete  as  per  direction  of Engineer - in- incharge.</t>
  </si>
  <si>
    <t>Doors &amp; Windows</t>
  </si>
  <si>
    <t>Bamboowood paneling or paneling and glazing in paneled and glazed shutters for doors of 25  to   40mm   thick.   Providing   &amp;   fixing   in   position   Phenol   bonded   Bamboowood paneling  of 10mm thick, in 25 to 40 mm thick paneled or paneled and glazed shutters for doors, windows, clerestorey windows in approved  colous, texture &amp; finishi.  The bamboo wood  planks  shall have minimum density of 1000 Kilogram/cum &amp; minimum Hardness 1000 Kilogramf.  The panels shall have profiled interlocking system locked in place with bamboo  pins,  all  complete  as  per  direction   of  the  Entgineer  inchargeand    (Area  of opening for  panel inserts  excluding portion inside grooves or rebates)</t>
  </si>
  <si>
    <t>Bamboowood  paneled  or  paneled  and  glazed  Shutters  of  Doors  Providing  of  fixing, in position  Phenol  bonded  Bamboowood  panelled   or  paneled   and  glazed   shutters for  doors, windows,   clerestorey  windows   with   pre-molded   30mm  thick   planks,   in approved  colous, texture  &amp;   finish.   It   shall   have  10mm  wide,   25mm  deep   grove to   fit  inpanels.   The bamboowood shall have minimum density of 1000 Kilogram/cum, minimum   Hardness   1000   Kilogramf.    All    styles    and    rails    shall    have    profiled interlocking  system  locked  in  place  by bamboo pins, all complete as per direction of Engineer in-charge  (The paneling will be paid for separately)</t>
  </si>
  <si>
    <r>
      <rPr>
        <sz val="11"/>
        <rFont val="Times New Roman"/>
        <family val="1"/>
      </rPr>
      <t>Providing  and  fixing  in  position  U.P.V.C.(Unplasticized  Poly  Vinyl  Chloride)  having multi- chambered  outer  frame section  (73  x  50)mm with  an  outer  wall  thickness  of 2mm &amp;  steel reinforcement,  multi-chambered  slider  frame  (73x  60)  mm  with  steel reinforcement,  multi- chambered  slider  sash  (46x  82)  mm  with  steel  reinforcement designed  to  give  optimum strength, 5 mm thick toughened  double glass with  12 mm spacer of good quality including alluminium   track,   Inter-locking   profile,   coextruded beadings,     EPDM     gaskets,silicon   sealent,sliding   handle,   fixtures   and   fastenings (couplings,  hinges)  including  with  all  required  screws   and   nuts   with   all   necessary
U.P.V.C.  sections  as  per  the  detailed  drawing  and  as directed by Engineer-In-Charge etc. complete.</t>
    </r>
  </si>
  <si>
    <t>Sliding  Window-  3  Track  (2  Glass  shutter  +  1  flymesh)  of  approved  make  with DGU, providing and fixing of Sliding Window- 3 Track (2 Glass shutter + 1 flymesh ). For details refer to Specifications. As directed by Engineer in charge.</t>
  </si>
  <si>
    <r>
      <rPr>
        <sz val="11"/>
        <rFont val="Times New Roman"/>
        <family val="1"/>
      </rPr>
      <t>Providing  &amp;  fixing  of  Casement  fixed  window   of  approved  make  with  DGU.  The extruded aluminium sections of Alloy 6063 tolerances confirming to DIN standard from
approved raw material V2 / V4 as directed by Engineer in charge.</t>
    </r>
  </si>
  <si>
    <t>Plumbing</t>
  </si>
  <si>
    <r>
      <rPr>
        <sz val="11"/>
        <rFont val="Times New Roman"/>
        <family val="1"/>
      </rPr>
      <t>Providing  and  fixing   sink  cock  with  regular  swinging  spout  (Wall  /  floor  Mounted Model) with wall flange having flow rate up to  6.0 Litr/Minute of Jaquar/Cera/Hindware
/Perryware or equivalent  make incluidng other necessary fitting, etc. complete as directed by Engineer in charge.( Make shall conform to manufacturer's Green product and shall got approved from the Engineer In Charge.)</t>
    </r>
  </si>
  <si>
    <t>As directed by</t>
  </si>
  <si>
    <t>Providing  and  fixing   C.P.  2  Way  BIB  cock  with   wall  flange of  approved    make including necessary sockets/ union nut etc. complete as directed by Engineer in charge.</t>
  </si>
  <si>
    <t>Providing  and  fixing  C.P.  BIB  cock  with  wall  flange  of  approved   make  including necessary sockets/ union nut etc. complete as directed by Engineer in charge.</t>
  </si>
  <si>
    <r>
      <rPr>
        <sz val="11"/>
        <rFont val="Times New Roman"/>
        <family val="1"/>
      </rPr>
      <t>Providing  and fixing white european type wall-hung, Size 360mm x 360mm x 575 mm with  flush  valve   having  flow  rate  up  to  6.0  Litr/Minute  of  Jaquar/Cera/Hindware
/Perryware or equivalent  make  including PVC soil pipe, vent pipe upto outside face of wall,  100mm  dia   PVC   plug  bend  inlet  pipe  all  fittings,cutting  &amp;  making  good  walls, floors etc as directed by Engineer in charge.( Make shall conform to manufacturer's Green product and shall got approved from the Engineer In Charge.)</t>
    </r>
  </si>
  <si>
    <t>European type wall-hung W.C.</t>
  </si>
  <si>
    <r>
      <rPr>
        <sz val="11"/>
        <rFont val="Times New Roman"/>
        <family val="1"/>
      </rPr>
      <t>Providing and fixing white glazed urinal   with Pressmatic auto closing valve  having flow rate up to 4.0 Litr/Minute of Jaquar/Cera/Hindware /Perryware or equivalent  make with
P.V.C.  waste  pipe   with  fitting   arrangement   etc.complete  as  directed  by  Engineer  in charge.( Make shall conform to manufacturer's Green product and shall got approved from the Engineer In Charge.)</t>
    </r>
  </si>
  <si>
    <t>Providing and fixing  wall hung white wash basin of size  550 x 400 x 195 mm with  pillar cock   having  flow  rate  up  to  6.0  Litr/Minute,C.P.Angular  stop  cock  long  thread   of Jaquar/Cera/Hindware  /Perryware  or  equivalent   make,    including  SS  bottal  trap  of approved make etc complete as directed by Engineer in charge.( Make shall conform to manufacturer's Green product and shall got approved from the Engineer In Charge.)</t>
  </si>
  <si>
    <t>Providing and fixing divertor with overhead shower,shower arm,spout,hand shower with wall bracket having flow rate up to 12 liters/minutes of Jaquar/Cera/Hindware /Perryware or  equivalent   make  including  all  necessary  pipes,fittings  etc.complete  as  directed  by Engineer In Charge.( Make shall conform to manufacturer's Green product and shall got approved from the Engineer In Charge.)</t>
  </si>
  <si>
    <t>Providing and fixing wall mixer with overhead shower,shower arm,hand shower with wall bracket  having flow rate up to 12 liters/minutes  of Jaquar/Cera/Hindware /Perryware or equivalent    make  including   all  necessary  pipes,fittings  etc.complete  as  directed   by Engineer In Charge.( Make shall conform to manufacturer's Green product and shall got approved from the Engineer In Charge.)</t>
  </si>
  <si>
    <t>Providing and fixing  Oval Type Under Counter Wash Hand Basin of 420 x 590 x 195mm size   with    pillar   cock,   C.P.Angular   stop   cock,   long   thread   of   approved   make continental including  SS  bottle  trap  of   necessary  pipe  connection  up  to  the  outside face  of  the  wall, having  Telephonic  Black  /  Colour  Granite  of  180  mm  thick  fixed on  Black  Kadappa Framework, etc. Complete as directed by Engineer in charge.</t>
  </si>
  <si>
    <t>Providing and fixing  Table top white wash basin of size 120x635x405mm rubber plugs and  brass  chain,  with   pillar  cock,  C.P.Angular  stop  cock  long  thread,  continental including  S.S.  bottle  trap  of  approved  make  having   necessary  pipe  connection  up  to theoutside face of the wall.etc complete as directed by Engineer in charge.</t>
  </si>
  <si>
    <t>Providing    and    fixing    white    Opal    series    European type    wall-hung,     of    size 400 mm x 370 mm x 575mm with approved make flush valve  including soil pipe, vent pipe upto outside face of wall, 100mm dia C.I. plug bend inlet pipe all fittings, cutting &amp; making good walls, floors etc as directed by Engineer in charge.</t>
  </si>
  <si>
    <r>
      <rPr>
        <sz val="11"/>
        <rFont val="Times New Roman"/>
        <family val="1"/>
      </rPr>
      <t>Providing  and  fixing   Orissa  Pan  of  size  580x445x260  mm  with  approved  make  flush valve including trap, C.I. soil and  vent pipe upto outside face of  wall including 100mm dia.  C.I. plug, bend and necessary pipe connection, etc complete. As directed by Engineer
in charge.</t>
    </r>
  </si>
  <si>
    <t xml:space="preserve"> Orissa W.C. Pan </t>
  </si>
  <si>
    <t>Providing  and  fixing  C.P.  a  2-Way  BIB  cock  with  wall  flange  of  approved   make including necessary sockets/ union nut etc. complete as directed by Engineer in charge.</t>
  </si>
  <si>
    <r>
      <rPr>
        <sz val="11"/>
        <rFont val="Times New Roman"/>
        <family val="1"/>
      </rPr>
      <t>Providing     and     fixing     white     wash     basin     with     half     pedestal     of     size 515mmX615mmX460mm including pillar cock auto-closing system CP angular stop cock long  thread  of  approved  make  continental  including  S.S.  bottle  trap  of  necessary  pipe
connection upto the outside face of the wall.</t>
    </r>
  </si>
  <si>
    <t>Providing and  fixing white european  type wall-hung pan,   of size 350mm x  355mm x 570  mm   concealed  flush  tank  with  floor-mounting  frame  installing  kit  and  drain  pipe connection set for wall hung WC, with approved make square control plates including soil pipe, vent pipe upto  the  outside  face  of  wall,  100mm  dia  C.I.  plug  bend  inlet  pipe all  fittings,cutting  &amp; making good walls, floors etc. complete.</t>
  </si>
  <si>
    <r>
      <rPr>
        <sz val="11"/>
        <rFont val="Times New Roman"/>
        <family val="1"/>
      </rPr>
      <t>Providing  and  fixing  Orissa  type  white  glazed  earthenware  water  closet  pan  of  size 260mm x 440mm x 580mm with approved  make Slim wall hung cistern with installation kit  including S or P trap with cast iron soil and vent pipe upto outside face of the wall 1:2:4   brick   bat   lime   concrete   bedding   without   flushing   tank   and   its   accessories
etc.complete.</t>
    </r>
  </si>
  <si>
    <r>
      <rPr>
        <sz val="11"/>
        <rFont val="Times New Roman"/>
        <family val="1"/>
      </rPr>
      <t>Providing    and     fixing    white   glazed      urinal    of     size    710x460x300mm   with sensotronic concealed type flushing valve for urinal with complete kit having fittings, inlet pipe with stop tap, brackets for fixing the cistern, 32mm diameter P.V.C. flush pipe with fitting and flushing arrangement including lead soil pipe, lead trap &amp; soil pipe connection
upto the outside face of wall etc complete.</t>
    </r>
  </si>
  <si>
    <t>Providing and fixing of approved make white aquafree Waterless Urinal of with cartride size of 31.5x33x60cm including other necessary fittings etc. complete.</t>
  </si>
  <si>
    <r>
      <rPr>
        <sz val="11"/>
        <rFont val="Times New Roman"/>
        <family val="1"/>
      </rPr>
      <t>Providing   and   fixing    wall-hung   white   wash   basin   of   size   470x575x190mm   of approved make half pedestal, pillar cock, C.P.Angular stop cock, long thread continental including S.S. bottle  trap  of   having  necessary  pipe  connections  up  to  the  outside
face  of  the  wall.etc complete.</t>
    </r>
  </si>
  <si>
    <t>Rain water harvesting</t>
  </si>
  <si>
    <t>RWH  -  Shallow  Percolation  Pit  providing,  constructing  2.0m  deep  shallow  depth percolation  pit  comprising  of  1.0m  dia  pre-cast  RCC  rings,  300mm  thick  side  filling around outside of RCC rings (annular space) with 40mm size boulders including filling of percolation pit up to 0.5m depth (from bottom up) with 25-75mm clean washed gravels followed by 0.5m depth of 10-25mm of clean washed stones followed by 0.5m of washed river  fine  aggregate  (natural  sand/crushed   sand   VSI   grade   finely   washed   etc.) including  netlon  mesh  between  each gravel/fine aggregate (natural  sand/crushed  sand VSI  grade  finely  washed   etc.)  media   layer  including   covering   with   RCC   slab, manhole   frame   &amp;   cover,   PVC   rungs   etc.   including  arrangement  for  inlet  &amp;  outlet pipe, excavation &amp; backfilling as shown in the drawing. The rate  shall  be  inclusive  of all  labour,   material,   wastage,   scaffolding,   transportation,   taxes, including   all  leads, lifts  at  all  levels.  All  material  should  be  of  approved  make.  All  works complete as per the drawing, technical specification and direction of the Engineer in charge</t>
  </si>
  <si>
    <r>
      <rPr>
        <sz val="11"/>
        <rFont val="Times New Roman"/>
        <family val="1"/>
      </rPr>
      <t>RWH - Recharge Pit
Providing and  constructing recharge  pit  of  2.0m deep  and  1.0m dia  of  pre-cast  RCC rings  with   6.5"  dia   x   25m   deep   borewell   at   the   floor   of   recharge   pit   including installation   of  combination  of  solid/perforated  PVC  casing  pipe  wrapped  around  with netlon mesh including 300mm  thick  sidefilling  around  outside  of  RCC  rings  (annular space)  with  40mm  size boulders  including  filling  of  recharge  pit  up  to  0.5m  depth with   25-75mm   clean   washed  gravels  from  bottom  up  followed  by  0.5m  depth  of  10- 25mm of clean washed stones followed by 0.5m of washed river fine aggregate (natural sand/crushed sand VSI grade finely washed etc.)  including  netlon  mesh  between  each gravel/fine   aggregate  (natural  sand/crushed   sand VSI grade finely washed etc.) media layer including covering with RCC slab, manhole frame &amp; cover, PVC rungs, PVC end- caps, fittings etc. including arrangement for inlet &amp; outlet pipe excavation  &amp; backfilling as  shown   in  the  drawing.The  rate  shall  be  inclusive  of  all   labour,  material,  wastage, scaffolding, transportation, taxes, including all leads, lifts at all levels. All material  should be    of    approved    make.    All    works    complete    as    per    the   drawing,    technical
specification and direction of the Engineer in charge.</t>
    </r>
  </si>
  <si>
    <t>Boring/drilling   bore   well   of   300mm   dia   for   casing/   strainer   pipe,   by   suitable method prescribed in IS: 2800 (part I), including collecting samples from different strata, preparing and  submitting  strata  chart/  bore  log,  including  hire  &amp;  running  charges  of all   equipments,  tools,  plants  &amp;  machinery  required  for  the  job,  all  complete  as  per direction  of Engineer in charge, upto 90m depth below ground level.</t>
  </si>
  <si>
    <t>Supplying,   assembling,   lowering   and   fixing   in   vertical   position   in   bore   well, unplasticized PVC  medium well-casing  pipe of  150mm dia,  conforming to  IS:12818, including  required hire  and  labour  charges,  fittings  &amp;  accessories  etc.  all  complete, for  all  depths,  as  per  the direction of Engineer in charge.</t>
  </si>
  <si>
    <t>Supplying,   assembling,   lowering   and   fixing   in   vertical   position   in   bore   well, unplasticized  PVC  medium  well  screen  pipes  with  ribs  of  100mm  dia,  conforming  to IS:12818,  including  required  hire  and  labour  charges,  fittings  &amp;  accessories  etc.  all complete, for all depths, as per the direction of Engineer in charge.</t>
  </si>
  <si>
    <r>
      <rPr>
        <sz val="11"/>
        <rFont val="Times New Roman"/>
        <family val="1"/>
      </rPr>
      <t>Supplying,  filling,  spreading  &amp;  leveling  stone  boulders  of  size  range  5cm  to  20cm  in recharge  pit,  in  the  required  thickness,  for  all  leads  &amp;  lifts,  all  complete  as  per  the
direction of Engineer- in-charge.</t>
    </r>
  </si>
  <si>
    <r>
      <rPr>
        <sz val="11"/>
        <rFont val="Times New Roman"/>
        <family val="1"/>
      </rPr>
      <t>Supplying,  filling,  spreading  &amp;  leveling  gravels  of  size  range  5mm  to  10mm,  in  the recharge pit, over the existing layer of boulders, in required thickness, for all leads &amp; lifts,
all complete as per direction of Engineer-incharge.</t>
    </r>
  </si>
  <si>
    <t>Supplying,  filling,  spreading  &amp; leveling  coarse  fine  aggregate  (crushed  sand  VSI  grade finely washed etc.) of size range 1.5mm to 2mm in recharge pit, in required thickness over gravel layer, for all leads &amp; lifts, all complete as per direction of Engineer in charge.</t>
  </si>
  <si>
    <t>Gravel   packing   in   tubewell   construction   in   accordance   with   IS:4097,   including providing gravel: fine/  medium/ coarse,  in required  grading &amp;  sizes as   per the actual requirement,  all complete as per direction of Engineer in charge.</t>
  </si>
  <si>
    <t>Others</t>
  </si>
  <si>
    <r>
      <rPr>
        <sz val="11"/>
        <rFont val="Times New Roman"/>
        <family val="1"/>
      </rPr>
      <t>Providing   and   Fixing   Sun   Louvre   panels   roll   formed,   0.6mm   thick,   pre-painted stove enameled  aluminium  strip  of  a  corrosion  resistant  alloy,  including  necessary
fitting  etc. complete, as directed by Engineer in Charge.</t>
    </r>
  </si>
  <si>
    <t>Providing &amp; fixing heat insulation by wrapping the pipes with glass wool/asbestos fibre rope or tape/videoflex 32 mm as directed by Engineer in charge.</t>
  </si>
  <si>
    <t>Providing &amp; fixing heat insulation by wrapping the pipes with glass wool/asbestos fibre rope or tape/videoflex 25 mm as directed by Engineer in charge.</t>
  </si>
  <si>
    <t>Providing &amp; fixing heat insulation by wrapping the pipes with glass wool/asbestos fibre rope or tape/videoflex 15 mm as directed by Engineer in charge.</t>
  </si>
  <si>
    <t>Cool  Mortar  -  Providing  &amp;  fixing  40mm  thick  Cool  Mortar  for  insulation  which  has proportioned  blend  of  white  cement,  well-graded  fine  aggregate  (natural  sand/crushed sand  VSI  grade  finely  washed  etc.)  and  selected  assortment  of  fine  metal  and  mineral stabilizers to provide a heat barrier including filling joints, curing and cleaning complete. The  rate  shall  be  inclusive  of  all  labour,  material,  scaffolding,  transportation,  taxes, including all leads, lifts at all levels and shall be as directed by Engineer in charge.</t>
  </si>
  <si>
    <t>Square  Metre</t>
  </si>
  <si>
    <t>Bamboowood 10mm thick Wall Cladding including Threshold &amp; T-mold - Providing &amp; fixing in position Phenol bonded Bamboowood wall cladding at all height with planks of sizes 10mm thick, 1900mm length (minimum) and 135mm wide approved colour, texture and finish, having Performance Appraisal Certificate (PAC) issued by Building materials &amp;  Technology Promotion  Council  (BMTPC).  with  necessary profiled  edges  fixed  with BR nails to frame work made of second class teak wood of size 50 x 50mm in centre and ends of each tile. The bamboowood cladding shall be laid over teak wood frame and hold in place by 50mm thick teak wood placed in centre of two teak wood and backlayment and covered with 1.00mm thick expanded poly ethylene foam of density 25Kilogram/cum in two layers first layer on wall surface before fixing wooden frame and second layer on frame  under  cladding.  The  Bamboowood  planks  shall  have  minimum  density  of  1000 Kilogram/cum &amp; minimum Hardness 1000 Kilogramf. with Eco friendly UV coating, all complete as per direction of Engineer in-charge.</t>
  </si>
  <si>
    <t>Bamboowood 10mm thick Wall Cladding including  Threshold &amp; T-mold for  Accoustic purpose Providing &amp; fixing in position Phenol bonded Bamboowood wall cladding at all height  with  planks  of  sizes  10mm  thick,  1900mm  length  (minimum)  and  135mm  wide approved  colour,  texture  and  finish,  having  Performance  Appraisal  Certificate  (PAC) issued by Building Materials &amp; Technology Promotion Council (BMTPC) with necessary profiled edges fixed with BR nails to frame work made of second class teak wood of size 50 x 50 mm in centre and ends of each tile. The bamboowood cladding shall be laid over glass wool of 50mm thickness filled in between two teak wood frame and hold in place by 50mm thick teak wood placed centre of two teak wood and covered with mesh (rabbit) fixed to teak woodframe work with wire nails as backlayment and covered with 1.00mm thick expanded poly ethylene foam of density 25Kilogram/cum in two layers first layer on wall surface before fixing wooden frame and second layer on frame under cladding. The Bamboowood  planks  shall  have  minimum  density  of  1000  Kilogram/cum  &amp;  minimum Hardness 1000 Kilogramf. with Eco friendly UV coating, all complete as per direction of Engineer in-charge.</t>
  </si>
  <si>
    <t>SSR 2022-23 :- Coastal</t>
  </si>
  <si>
    <t>Coastal</t>
  </si>
  <si>
    <r>
      <rPr>
        <sz val="11"/>
        <rFont val="Times New Roman"/>
        <family val="1"/>
      </rPr>
      <t>Supplying   and   spreading   geofabric   filter   layer   of   Geotextile   of   Polypropylene multifilament woven to the line, level and grade with pore size less than 0.075 mm and permeability  greater  than  9.0  litre/  One  Square  Metre/second  confirming  specification IS:1969 and ASTM standard  including conveying to the site, joining and stitching with proper overlap and laying at excavated surface in tidal condition as directed by Engineer-
in- Charge  etc. complete.</t>
    </r>
  </si>
  <si>
    <r>
      <rPr>
        <sz val="11"/>
        <rFont val="Times New Roman"/>
        <family val="1"/>
      </rPr>
      <t>Providing and laying filter layer of polythene bags, filled with a/b/c including conveying and placing in proper line, level as per drawing in tidal condition as directed by Engineer -
in- Charge.</t>
    </r>
  </si>
  <si>
    <t>sand obtained from excavation of foundation</t>
  </si>
  <si>
    <t>50% Sand obtained from excavation + 50% crushed sand</t>
  </si>
  <si>
    <t>crushed sand (upto 5 mm) brought by Contractor</t>
  </si>
  <si>
    <r>
      <rPr>
        <sz val="11"/>
        <rFont val="Times New Roman"/>
        <family val="1"/>
      </rPr>
      <t>Rd - 19; Rd - 29;
Rd - 27.</t>
    </r>
  </si>
  <si>
    <t>Supplying  and  laying   trap  stones  upto  20  kilogram  for  Filter  /  Core  layer  including conveying  with  all  the  leads,  lifts,  laying  in  required  lines,  level,  slope  as  per  drawing including  necessary  equipments  and  machinery  as  directed  by  etc.  complete  in  tidal conditions.</t>
  </si>
  <si>
    <r>
      <rPr>
        <sz val="11"/>
        <rFont val="Times New Roman"/>
        <family val="1"/>
      </rPr>
      <t>Spec.One Number- Rd-19, Page-187; Rd-29, Page-193; Rd-27, Page-192.
[Except weight of stone specified in wording of
specification]</t>
    </r>
  </si>
  <si>
    <t>Supplying  and  laying  laterite  stones  upto  20  kilogram  for  Filter  /  Core  layer  including conveying  with  all  the  leads,  lifts,  laying  in  required  lines,  level,  slope  as  per  drawing including  necessary  equipments  and  machinery  as  directed  by  etc.  complete  in  tidal conditions.</t>
  </si>
  <si>
    <r>
      <rPr>
        <sz val="11"/>
        <rFont val="Times New Roman"/>
        <family val="1"/>
      </rPr>
      <t>Spec.One Number- Rd-19, Page-187; Rd-29, Page-193; Rd-27, Page-192.
[Except weight of stone specified in wording of specification]</t>
    </r>
  </si>
  <si>
    <t>Supplying and laying trap stone weighing 20  to 50 kilogram for  Core / Sub armour layer including  conveying with all the leads, lifts, laying in required lines, level,  slope as  per drawing  including  necessary equipments  and  machinery as  directed  by etc.  complete  in tidal conditions.</t>
  </si>
  <si>
    <t>Supplying and laying laterite stone weighing 20  to 50 kilogram for  Core / Sub armour layer including conveying with all the leads, lifts, laying in required lines, level, slope as per drawing including necessary equipments and machinery as directed by etc. complete in tidal conditions.</t>
  </si>
  <si>
    <t>Laying  of  trap  /  laterite  stones  by  rearrangement  of  stones  displaced  from   existing protection  bund  weighing  upto  50  kilogram  for   Core  /  Sub  armour  layer  including collection,  sorting  and  relaying  in  required  lines,  level,  slope  as  per  drawing  including necessary equipments and machinery as directed by etc. complete in tidal conditions.</t>
  </si>
  <si>
    <t>as directed by Engineer in charge</t>
  </si>
  <si>
    <t>Supplying and laying trap stone weighing 50  to 100 kilogram for  Core / Sub armour / Armour layer including conveying with all the leads, lifts, laying in required lines, level, slope as per drawing including necessary equipments and machinery as  directed by etc. complete in tidal conditions.</t>
  </si>
  <si>
    <t>Supplying and laying laterite stone weighing 50 to 100 kilogram for  Core / Sub armour / Armour layer including conveying with all the leads, lifts, laying in required lines, level, slope as per drawing including necessary equipments and machinery as  directed by etc. complete in tidal conditions.</t>
  </si>
  <si>
    <r>
      <rPr>
        <sz val="11"/>
        <rFont val="Times New Roman"/>
        <family val="1"/>
      </rPr>
      <t>Laying  of  trap  /  laterite  stones  by  rearrangement  of  stones  displaced  from   existing protection  bund  weighing  50  to  100  kilogram  for   Core  /  Sub  armour  /  Armour  layer including  collection,  sorting  and  laying  in  required  lines,  level,  slope  as  per  drawing including  necessary  equipments  and  machinery  as  directed  by  etc.  complete  in  tidal
conditions.</t>
    </r>
  </si>
  <si>
    <t>Providing and laying trap stones weighing 100 to 200 kilogram for  Core / Sub armour / Armour layer including conveying with all the leads, lifts, laying in required lines, level, slope as per drawing including necessary equipments and machinery as  directed by etc. complete in tidal conditions.</t>
  </si>
  <si>
    <t>Laying of trap stones by rearrangement of stones displaced from  existing protection bund weighing 100 to 200 kilogram Sub armour / Apron / Armour layer including collection, sorting  and  laying  in  required  lines,  level,  slope  as  per  drawing  including  necessary equipments and machinery as directed by etc. complete in tidal conditions.</t>
  </si>
  <si>
    <t>Providing and laying trap stones weighing 200 to 300 kilogram for Apron / Armour layer including  conveying with all the leads, lifts, laying in required lines, level,  slope as  per drawing  including  necessary equipments  and  machinery as  directed  by etc.  complete  in tidal conditions.</t>
  </si>
  <si>
    <t>Laying of trap stones by rearrangement of stones displaced from  existing protection bund weighing 200 to 300 kilogram for Apron / Armour layer including collection, sorting and laying in required lines, level, slope as per drawing including necessary equipments and machinery as directed by etc. complete in tidal conditions.</t>
  </si>
  <si>
    <t>Providing and laying trap stones weighing 300 to 500 kilogram for Sub armour / Apron / Armour layer including conveying with all the leads, lifts, laying in required lines, level, slope as per drawing including necessary equipments and machinery as  directed by etc. complete in tidal conditions.</t>
  </si>
  <si>
    <t>Laying of trap stones by rearrangement of stones displaced from  existing protection bund weighing  300  to  500  kilogram  for  Sub  armour  /  Apron  /  Armour  layer  including collection,  sorting  and  laying  in  required  lines,  level,  slope  as  per  drawing  including necessary equipments and machinery as directed by etc. complete in tidal conditions.</t>
  </si>
  <si>
    <t>Providing and laying trap stones weighing 500 to 1000 kilogram for Apron / Armour layer including  conveying with all the leads, lifts, laying in required lines, level,  slope as  per drawing  including  necessary equipments  and  machinery as  directed  by etc.  complete  in tidal conditions.</t>
  </si>
  <si>
    <t>Laying of trap stones by rearrangement of stones displaced from  existing protection bund weighing 500 to 1000 kilogram for Apron / Armour layer including collection, sorting and laying in required lines, level, slope as per drawing including necessary equipments and machinery as directed by etc. complete in tidal conditions.</t>
  </si>
  <si>
    <t>Providing and laying trap stones weighing above 1000 kilogram for Apron / Armour layer including  conveying with all the leads, lifts, laying in required lines, level,  slope as  per drawing  including  necessary equipments  and  machinery as  directed  by etc.  complete  in tidal conditions.</t>
  </si>
  <si>
    <t>Laying of trap stones by rearrangement of stones displaced from  existing protection bund weighing above 1000 kilogram for Apron / Armour layer including collection, sorting and laying in required lines, level, slope as per drawing including necessary equipments and machinery as directed by etc. complete in tidal conditions.</t>
  </si>
  <si>
    <t>Providing  &amp;  fixing  G.I.  wire  Gabions  coated  with  Zinc+PVC  of  required  size,  section including  boxes  made  of  mechanically  woven  hexagonal  shaped  wire  mesh  of  type, 10x12cm. edges mechanically selvedged made of heavily (Zinc+ PVC) coated G.I. wires as  per  BS:  443,  mesh  wire  3.00  mm  Ø  edge  wire  3.9  mm  Ø  and  filled  with  20  to  50 kilogram weight trap  stones including conveying with all the leads &amp; lifts and placing at required  places  in  required  line,  level,  slope  as  per  drawing,  section  as  directed  etc. complete under tidal conditions.</t>
  </si>
  <si>
    <t>(a)    Gabions of size – 1.00 x 1.00 x 1.00 M</t>
  </si>
  <si>
    <t>(b)    Gabions of size – 1.50 x 1.00 x 1.00 M</t>
  </si>
  <si>
    <t>(c)    Gabions of size – 2.00 x 1.00 x 1.00 M</t>
  </si>
  <si>
    <t>(d)    Gabions of size – 3.00 x 1.00 x 1.00 M</t>
  </si>
  <si>
    <t>(e)    Gabions of size – 4.00 x 1.00 x 1.00 M</t>
  </si>
  <si>
    <t>Providing  and  laying  box  type  flexible  gabions  of  required  size  and  rope  of  10  mm   Ø polypropylene  material  four  strand  mesh  of  150  mm  x  150  mm  size,  filled  with  hand packed stones of 20 to 50 kilogram in weight; so as to give total mass required with all leads and lifts including fusing top of gabions, tying to each other and laying to required line, level, slope as per drawing, section as directed etc. complete under tidal conditions.</t>
  </si>
  <si>
    <t>(a)  Gabions of size – 1.00 x 1.00 x 1.00 M</t>
  </si>
  <si>
    <t>(b)  Gabions of size – 1.50 x 1.00 x 1.00 M</t>
  </si>
  <si>
    <t>(c)  Gabions of size – 2.00 x 1.00 x 1.00 M</t>
  </si>
  <si>
    <t>(d)  Gabions of size – 3.00 x 1.00 x 1.00 M</t>
  </si>
  <si>
    <t>Bd.E.5</t>
  </si>
  <si>
    <t>Providing and laying precast tetrapods / blocks of plain cement concrete of M-30 grade, weighing 2000 kilogram each of required shape for armour layer including necessary steel formwork/mould  including  applying  form  releasing  agent  including  vibration,  curing, conveying  and  placing  them  in  correct  profile  as  per  drawing  including  all  labours, materials,  equipments,  machinery such  as  crane  of  adequate  capacity and  boom  length, with all lead and  lift etc. complete in tidal conditions.</t>
  </si>
  <si>
    <t>Spec. One NumberBd. E. 5; Page One Number 67 / 2012</t>
  </si>
  <si>
    <t>Providing and laying precast tetrapods / blocks of plain cement concrete of M-30 grade, weighing 3000 kilogram each of required shape for armour layer including necessary steel formwork/mould  including  applying  form  releasing  agent  including  vibration,  curing conveying  and  placing  them  in  correct  profile  as  per  drawing  including  all  labours, materials,  equipments,  machinery such  as  crane  of  adequate  capacity and  boom  length, with all lead and  lift etc. complete in tidal conditions.</t>
  </si>
  <si>
    <r>
      <rPr>
        <sz val="11"/>
        <rFont val="Times New Roman"/>
        <family val="1"/>
      </rPr>
      <t>Relaying  of  precast  concrete  tetrapods  /  blocks,  weighing  upto  4000  kilogram  each  of required  shape  for  armour  layer  including  removing  from  existing  protection  bund  and relaying  in  correct  profile  as  per  drawing  including  all  labours,  materials,  equipments, machinery such as crane of adequate capacity and boom length, with all lead and  lift etc.
complete in tidal conditions.</t>
    </r>
  </si>
  <si>
    <t>As directed by Engineer -in- Charge</t>
  </si>
  <si>
    <r>
      <rPr>
        <sz val="11"/>
        <rFont val="Times New Roman"/>
        <family val="1"/>
      </rPr>
      <t>Providing  and  laying  in situ  M-20 cement  concrete of  trap /  granite /  quartzite /  gneiss metal  with  15%  plum of  trap  stones  for  foundation  and  bedding  of  retaining  walls  and jetty etc. including necessary formwork, compacting, curing, bailing out water manually in
tidal range etc. complete.</t>
    </r>
  </si>
  <si>
    <r>
      <rPr>
        <sz val="11"/>
        <rFont val="Times New Roman"/>
        <family val="1"/>
      </rPr>
      <t>Spec. One NumberBd. E. 5; Page One Number
67 / 2012</t>
    </r>
  </si>
  <si>
    <t>Providing  and  laying  in situ  M-25 cement  concrete of  trap /  granite /  quartzite /  gneiss metal with 15% plum of trap stones for retaining walls and jetty etc. including necessary formwork, compacting, curing, bailing out water manually in tidal range etc. complete.</t>
  </si>
  <si>
    <r>
      <rPr>
        <sz val="11"/>
        <rFont val="Times New Roman"/>
        <family val="1"/>
      </rPr>
      <t>Providing and fixing stainless steel bollard of steel pipe 1.00 metre long of 250 mm inner diameter and circular top plate of 350 mm diameter with 5 mm thickness on deck of jetty in  cement  concrete  including  necessary  fixtures  and  fastening  etc.  complete.  (Stainless
steel of grade S-304)</t>
    </r>
  </si>
  <si>
    <r>
      <rPr>
        <sz val="11"/>
        <rFont val="Times New Roman"/>
        <family val="1"/>
      </rPr>
      <t>Providing  and  fixing  stainless  steel  mooring  ring  in  cement  concrete  on  deck  of  jetty consist  of 32 mm thick steel bar, 225 mm inner diameter,  steel ring with 75 mm inner diameter steel hook of 32 mm diametre as per approved drawing etc. complete. (Stainless
steel of grade S-304)</t>
    </r>
  </si>
  <si>
    <r>
      <rPr>
        <sz val="11"/>
        <rFont val="Times New Roman"/>
        <family val="1"/>
      </rPr>
      <t>Providing  and  fixing  fenders  made  from  used  tyres  including  fixing  by  stainless  steel chain links of  8mm dia. and anchor bolts of 16 mm diameter etc. complete as per drawing
and as directed under tidal range.</t>
    </r>
  </si>
  <si>
    <t>Supplying  and  laying   100%  PP  Staple  fibre  Non  woven  Geobags  filled  with  locally available  sand  (inital  Lead  of  50m)  having  minimum  mass  of  400  GSM  and  Tensile strength of 22/24 KN/M in MD/CD and elongation of 60/60 %. The specified Geotextile (Bags) shall have puncture resistance of 4100 N and abrasion resistance of greater than 75% of strength &amp; thickness, to be laid as per drawing in required line, level, slope as per drawing, section in tidal condition as directed by Engineer - in - Charge. (Size of Bag 1.00 x 0.70m with inflated thickness of 10cm at Centre weight  of each filled bag shall be in between 130 to 150 kilogram)</t>
  </si>
  <si>
    <t>Supplying  and  laying   100%  PP  Staple  fibre  Non  woven  Geo  bags  filled  with  locally available  sand  (inital  Lead  of  50m)  having  minimum  mass  of  400  GSM  and  Tensile strength of 22/24 KN/M in MD/CD and elongation of 60/60 %. The specified Geotextile (Bags) shall have puncture resistance of 4100 N and abrasion resistance of greater than 75% of strength &amp; thickness, to be laid as per drawing in required line, level, slope as per drawing, section in tidal condition as directed by Engineer - in - Charge. (Size of Bag 2.00 x 1.50m with inflated thickness of 40cm at Centre weight  of each filled bag shall be in between 550 to 600 kilogram)</t>
  </si>
  <si>
    <t>Providing  laying  and  placing  in  position  segment  of  a/b  diameter  UV  Resistance Geotextile tubes as per design and drawing of High strength woven Geotextile made from polypropylene multifilament  woven in both warf and weft directions,  with cover of UV protective  pp  tape  woven  Geotextile  with  pore  size  less  than  0.075  millimetre  and permeability greater  than  9.00 litre/  One Square  Metre/second  conforming  specification IS:1969 and ASTM standards placed parallel to high water line and duly filled with sea sand mechanically by sand dredging machine so as to act as main burnt and toe burm at offshore  to  hold  accumulated  sand  on  beach  including  all labour,  plant,  equipment  and machinery  required  including  shuttering  and  scaffolding  as  directed  by  Engineer-in- Charge of the work etc. complete.</t>
  </si>
  <si>
    <t>(a)  Geotextile tubes of diametre –  3.00 M</t>
  </si>
  <si>
    <t>(b)  Geotextile tubes of diametre –  1.50 M</t>
  </si>
  <si>
    <t>Removing sub-marine rock below low tide level to the specified section from navigation channel as per the area and depth mentioned on  the drawing by mechanicel means with poclain, hydraulic excavator, rock breaker etc. and barge for establisment  all machinery with  all  required  tool  tools  and  equipments,  boat  for  conveying  excavetd  material, including  removing  the  excavated   materials  with  all   lift  and  leads  as  directed  beyond high tide level line of water stacking spreading or disposing,dewatering if required unless otherwise provided alse where complete under tidal condition.</t>
  </si>
  <si>
    <t>Supplying and laying  100% PP Staple fibre Woven Geobags filled with locally available sand (inital Lead of 50m) having minimum mass of 600 GSM and Tensile strength of 175 KN/M2 in MD/CD and elongation of 60/60 %. The specified Geotextile (Bags) shall have puncture resistance of 4100 N and abrasion resistance of greater than 75% of strength &amp; thickness, to be laid as per drawing in required line, level, slope as per drawing, section in tidal  condition  as  directed  by Engineer  -  in  -  Charge.  (Size  of  Bag  1.00  x  0.70m  with inflated thickness of 10cm at Centre weight of each filled bag shall be in between 130 to 150 kilogram)</t>
  </si>
  <si>
    <r>
      <rPr>
        <sz val="11"/>
        <rFont val="Times New Roman"/>
        <family val="1"/>
      </rPr>
      <t>Supplying and laying  100% PP Staple fibre Woven Geo bags filled with locally available sand (inital Lead of 50m) having minimum mass of 600 GSM and Tensile strength of 175 KN/M2 in MD/CD and elongation of 60/60 %. The specified Geotextile (Bags) shall have puncture resistance of 4100 N and abrasion resistance of greater than 75% of strength &amp; thickness, to be laid as per drawing in required line, level, slope as per drawing, section in tidal  condition  as  directed  by Engineer  -  in  -  Charge.  (Size  of  Bag  2.00  x  1.50m  with inflated thickness of 40cm at Centre weight of each filled bag shall be in between 550 to
600 kilogram)</t>
    </r>
  </si>
  <si>
    <t>Removing  sand  /muck/  slush  /soil   bellow  low  tide  level  to  the  specified  section  from navigation  channel as  per  the  area  and  depth  upto  3.00  m  from sea  bed  by mechanicel means with , hyderaulic excavator,  etc. and barge for establisment all machinery with all required tools and equipments, boat for conveying excavetd material, including removing the excavated  materials with all  lift and leads as directed beyond high tide level line of water  stacking  spreading  or  disposing,dewatering  if  required  unless  otherwise  provided else where complete under tidal condition.</t>
  </si>
  <si>
    <t>SSR 2022-23 :- New Items 2018-19</t>
  </si>
  <si>
    <r>
      <rPr>
        <sz val="11"/>
        <rFont val="Times New Roman"/>
        <family val="1"/>
      </rPr>
      <t>Waterproofing
Treatment</t>
    </r>
  </si>
  <si>
    <r>
      <rPr>
        <sz val="11"/>
        <rFont val="Times New Roman"/>
        <family val="1"/>
      </rPr>
      <t>As directed by
Engineer in</t>
    </r>
  </si>
  <si>
    <t>Protective coating and DPR</t>
  </si>
  <si>
    <t>Providing and applying two coats of protective membrane over the cured concrete surface like R.C.C. footings, columns, plinth beams etc. which will be submerged under soil so as to  protect  the  same.  Apply  two  pack  coal  tar  epoxy  system  of  Sunepoxy  Coaltar  of approved make &amp; approved by Engineer in charge, having solid content ranges from 80- 100%, Tack free time 4-6 hrs. Recoat after 16-24 hrs.  Mix Part A and Part B of Sunepoxy Coaltar  of approved make &amp; approved by Engineer in charge in 1:1 ratio with slow speed stirrer and apply the same on a clean R.C.C. surface by brush. Allow to set for 8-10 hours and apply the second coat. The rate to include for application at all levels to various RCC elements to the satisfaction of the EIC etc. complete.</t>
  </si>
  <si>
    <t>Corrosion Inhibiting Admixture</t>
  </si>
  <si>
    <t>Providing &amp; Supplying corrosion inhibiting admixture in concrete to protect steel bars for all concrete in every part Polyalk CP 293  of approved make &amp;  approved by Engineer in charge migrating, non-nitrite based corrosion inhibiting admixture shall be added at a dose of  3  Kilograms  per  cum  of  concrete.  The  admixture  should  protect  both  cathodic  and anodic sites and have been accredited by Indian Roads Congress, recommended for use by Ministry of Road Transport &amp; Highways and should have a 4 year track record of use in both   the   Gulf   Region   and   India.   Admixture   should   have   evaluated   test   reports demonstrating a corrosion rate of zero coulombs after 9 test cycles as per ASTM G 109 when  tested  from  a  research  institution  NBA  accredited  Grade  A  and  internationally ranked  among  top  5  research  institutions  in  the  world  in  Annual  Survey conducted  by Georgia Institute of Technology ranking of research institutions. PH of admixture should be alkaline in nature, specific gravity of 0.99 – 1.1, colour : brownish. The contractor must intimate the engineer in charge prior to addition in concrete for recording. If the admixture is  put  in  the  concrete  mix  at  the  batching  plant,  a  written  record  of  the  amount  of admixture  used  shall  be  supplied  to  the  engineer.  The  engineer  must  ensure  that  the specified dosage of admixture is added in the concrete mix. (Material Cost Analysis only)</t>
  </si>
  <si>
    <t>NA</t>
  </si>
  <si>
    <t>Waterproofing admixture</t>
  </si>
  <si>
    <r>
      <rPr>
        <sz val="11"/>
        <rFont val="Times New Roman"/>
        <family val="1"/>
      </rPr>
      <t>Providing and mixing shrinkage compensating admixture cum plasticizer – Sunplex 330 gms   pouch    of   approved   make   &amp;    approved   by   Engineer   in   charge,   adding   per 50Kilogrambag  of  cement  in  sand  faced  cement  plaster  to  internal/external  surfaces  in finished  in  proper  line  and  level.  Add  Sunplex  in  dry  machine  mix  before  addition  of
gauging water. (Material Cost Analysis only)</t>
    </r>
  </si>
  <si>
    <t>One Pouch</t>
  </si>
  <si>
    <t>Bonding agent</t>
  </si>
  <si>
    <r>
      <rPr>
        <sz val="11"/>
        <rFont val="Times New Roman"/>
        <family val="1"/>
      </rPr>
      <t>Providing  and  applying  one  pack  bonding  coat  between  concrete  members  like  RCC slabs, columns, beams, chajjas, pardis etc and cement mortar plaster using Hack Aid Plast of  approved  make  &amp;  approved  by  Engineer  in  charge.  Clean  the  concrete  surface thoroughly to remove dust, dirt, grime, deshuttering oils and rub down to a clean surface. Apply Hack Aid Plast  of approved make &amp;  approved by Engineer in charge by spray on the entire concrete surface. Provide a lean cement - sand dash coat over the same. Allow the  dash  coat  to  set  for  around  24  hours.  Further  plastering  as  per  specifications  can
continue.</t>
    </r>
  </si>
  <si>
    <t>Water proofing</t>
  </si>
  <si>
    <r>
      <rPr>
        <sz val="11"/>
        <rFont val="Times New Roman"/>
        <family val="1"/>
      </rPr>
      <t xml:space="preserve">Clean  the  surface  to  remove  dirt,  loose  particles.  Examine  the  surface  closely  for  any cracks.  Clean the cracks. Provide and fill a pure acrylic, polymer modified ready to use paste Polyfill AR  of approved make &amp; approved by Engineer in charge having a cream coloured viscous emulsion ready to use acrylic polymeric non-shrink crackfiller putty with auto suction properties and requiring no bonding agent, no curing and no requirement for opening  the  existing  cracks  finishing  with  subsequent  filling  as  required.  Provide  and apply  three  coats  of  100%  acrylic  waterproof  heat  insulating  breathable  decorative external coating Sunext 8  of approved make &amp;  approved by Engineer in charge, in the desired  shade.  Stir  well  and  apply by brush  for  three  coats.  Applying  three  coats  at  an interval of 4-6 hours between each coat.
High   Performance   100%   Acrylic,   Waterproof,   Anti-fungal,   Anti-carbonation,   Heat Insulating External Paint should have following minimum properties:
1. Specific Gravity: 1.3 ± 0.1 at 25°C 2. pH: 7.0 to 10.00
3.  Viscosity:  18  to  30  sec.  at  25°C  by  Ford  Cup  One  Number  B-4  (Dilute  2  parts  of product with 1 part of water)
4. CO2 diffusion resistance co- efficient (DIN EN 1062-6 (2002-10): 7.59 x105
5. CO2 diffusion equivalent air layer thickness (DIN EN 1062-6 (2002-10): 127m @ 190 microns DFT
6. Adhesion (ASTM D 4541): 2.3 N/mm2 (Concrete / Substrate Failure)
7. Solar Reflectance Index (ASTM E 1980 11,EN 673:2011, EN 410:2011): 107 It shall be applied as per manufacturers specification.   </t>
    </r>
  </si>
  <si>
    <t>Door and Windows</t>
  </si>
  <si>
    <t>BD-T</t>
  </si>
  <si>
    <r>
      <rPr>
        <sz val="11"/>
        <rFont val="Times New Roman"/>
        <family val="1"/>
      </rPr>
      <t>Providing  and  fixing  factory  made  door/Window  frames  of  required  colour  made  with wood   Polymer   composite   (WPC)   extuded   internal   ribbed   sections   conforming   to American  Society  for  testing  and  materials  (ASTM)  in  regard  with  density,  tensile strength, flexural strength, Izod impact, water absorption and screw withdrawal strength with wall thickness of 5mm (+/1mm) and with frames having mitred joints at each corner, joined  together by two nos. of 10 x 8 mm &amp; 40 mm long PVC dovetail keys including hard wood piece support along the full vertical and horizontal length in rebate portion hole for  fixing  hinges and  fixtures and  the frames  fixed to  Walls/columns with  15 mm long dash fasteners/holdfasts  (dash fasteners/holdfasts  to be paid separately) etc. complete as per  the  direction  of  Engineer  in  charge,with  prior  approval  of  concerned  Superitending
Engineer.</t>
    </r>
  </si>
  <si>
    <t>As directed by Engineer-in-charge</t>
  </si>
  <si>
    <t>1.1. For Profile size of 75 x 50 mm with 32 x 12 mm rebate</t>
  </si>
  <si>
    <t>1.2  For Profile size of 100 x 50 mm with 32 x 12 mm rebate</t>
  </si>
  <si>
    <t>1.3 For Profile size of 125 x 50 mm with 38 x 12 mm rebate</t>
  </si>
  <si>
    <t>1.4  For Profile size of 120 x 50 mm with 32 x 12 mm double rebate (Window Section)</t>
  </si>
  <si>
    <t>Paving , Florring and dado</t>
  </si>
  <si>
    <t>BD-M</t>
  </si>
  <si>
    <t>Supply  &amp;  Fixing  of   Rectified  Porcelain  Stoneware  Tiles  for  Ventilated  Facades  of Specified size as per specification/ site drawings having 6 mm and 9 mm thickness with factory made Kerfs (grooves) as per need and size 600/1200 and 800/1600. The  Rectified Porcelain  Stoneware  Tiles  shall  possess  properties  having  Water  absorption  &lt;  0.5% Bending Strength &gt; 40 N/mm2 and are resistant to : UV Light, chemicals, smog, thermal shocks &amp; bacteria. The facade will be made from Nexion Rectified Porcelain Stoneware Tiles  (Sintered  Compact  Surfaces)  specified as  per ISO  13006 : Annex G- EN 14411  : Annex  G  :  Dry  Pressed  Ceramic  Tiles  and  all  the  tests  carried  out  by  Italian  labs accredited according to ISO/ IEC 17025 : 2005. The Terramilano Fixing sub structure will confirm   to   Norme   Tec   niche   per   le   Costruzioni   NTC/8   (Technical   Standard   for construction) guidelines for construction in Italy, Eurocode 0 " Information on the method of  semi-probabilistic  limit  states  and  safety  factor  "  Euro  coad  1  "  Determination  and calculation  of actions on structure " Euro 9 " Project  aluminum structures " UNI 11018 and  ETAG  034  The  Substructure  will  consists  of  Upright  extruded  aluminum  profile TruSt80, alloy 6060 T5 thickness equal to 1.5 to 2 mm and dimension 80 x 110 mm, inter axis 80 cm of Length 3660 mm, 8085 Aluminum box Section of 1 x 3 inch,1x2inch and 1x  5  inch  of  length  3660  mm  and  thickness  1.5  to  2  mm  as  per  need.  Brackets  St80 galvanized  steel and aluminum of 80 mm x 60 mm, aluminum L bracket size 1.5 x 1.5 inch  and  1  x  2.5  inch  thickness  3  mm  that  allow  to  anchor  the  vertical  stand  to  the Building, 9 mm/6mm S10 Hooks Harmonic Stainless Steel AISI 304 which supports the weight of the Tiles; Bossong/Hilti Mechanical Fasteners and  Nylon Anchor Fastner; and Structural  Sealant  of  3M  for  Ventilated  Facade.  Packing  of  Edges  and  corner  with window seal with ACP of appoved make for water Proofing and alteration. Inclusive of scaffolding  and  fixing.  The  installation  method  differ  according  to  the  structure  of building    and    design.    For    EXTERNAL    AND    INTERNAL    CLADDING    OF STRUCTURE. with prior approval of concerned Superitending Engineer.</t>
  </si>
  <si>
    <t>Supply &amp; Fixing of  Rock / Stone Finished outdoor vitrified flooring Tiles 20 mm thick and required width wide in plain pattern including  Cement float, filling joints, with neat cement  slurry,  Natural  sand,  curing  and  cleaning  complete.  with  prior  approval  of concerned Superitending Engineer.</t>
  </si>
  <si>
    <t>Supply &amp; Fixing of  Rock / Stone Finished outdoor vitrified flooring Tiles 16 mm thick and required width wide in plain pattern including  Cement float, filling joints, with neat cement  slurry,  Natural  sand,  curing  and  cleaning  complete.  with  prior  approval  of concerned Superitending Engineer.</t>
  </si>
  <si>
    <t>Supply &amp; Fixing of  Rock / Stone Finished outdoor vitrified flooring Tiles 16 mm thick and required width wide in plain pattern including  Cement float, filling joints, with neat cement  slurry,  Natural  sand,  curing  and  cleaning  complete  with  prior  approval  of concerned Superitending Engineer.</t>
  </si>
  <si>
    <t>Supply &amp; Fixing of  Full Body Vitrifid Steptiles Ready to install Treads and Risers 16 mm thick,  required width and required finish in plain pattern including Cement float, filling joints, with neat cement slurry, Natural sand, curing and cleaning etc complete. with prior approval of concerned Superitending Engineer.</t>
  </si>
  <si>
    <t>Supply &amp; Fixing of  Full Body Vitrifid Steptiles Ready to install Treads and Risers 12 mm thick,  required width and required finish in plain pattern including Cement float, filling joints, with neat cement slurry, Natural sand, curing and cleaning etc complete.</t>
  </si>
  <si>
    <t>Supply &amp; Fixing of Rock/ Stone Finished Full Body Vitrifid Steptiles with thick Bullnose for  Ready  to  install  Treads  and  Risers,   16  mm  thick  and  of  required  width   in  plain pattern including Cement float, filling joints, with neat cement slurry, Natural sand, curing and cleaning complete. with prior approval of concerned Superitending Engineer.</t>
  </si>
  <si>
    <t>Supply &amp; Fixing of Rock/ Stone Finished Full Body   Steptiles Stone  Vitrifid Tiles with thick Bullnose for Ready to install Steps and Risers  12 mm thick and required width wide in  plain  pattern  including   Cement  float,  filling  joints,  with  neat  cement  slurry,  Natural sand,  curing  and  cleaning  complete.  with  prior  approval  of  concerned  Superitending Engineer.</t>
  </si>
  <si>
    <t>IS 12594-1988</t>
  </si>
  <si>
    <r>
      <rPr>
        <sz val="11"/>
        <rFont val="Times New Roman"/>
        <family val="1"/>
      </rPr>
      <t>Providing hot dip galvanizing conforming to IS 12594-1988 to reinforcement bars, having mass of zinc coating shall not be less than 610 grm/ One Square Metre of bar surface area factory  control  process  with  Degreasing,  Rinsing,  Acid  Pickling,  Again  Rinsing  after picking,  Fluxing,  Hot  Dip  Galvanizing  in  molten  Zinc  bath  Having Zinc  purity of  bath minimum 98.5% Quenching &amp; Passivation Process.
32 mm to 40 mm dia. with prior approval of concerned Superitending Engineer.</t>
    </r>
  </si>
  <si>
    <r>
      <rPr>
        <sz val="11"/>
        <rFont val="Times New Roman"/>
        <family val="1"/>
      </rPr>
      <t>Providing hot dip galvanizing conforming to IS 12594-1988 to reinforcement bars, having mass of zinc coating shall not be less than 610 grm/ One Square Metre of bar surface area factory  control  process  with  Degreasing,  Rinsing,  Acid  Pickling,  Again  Rinsing  after picking,  Fluxing,  Hot  Dip  Galvanizing  in  molten  Zinc  bath  Having Zinc  purity of  bath minimum 98.5% Quenching &amp; Passivation Process.
16 to 25 mm dia with prior approval of concerned Superitending Engineer.</t>
    </r>
  </si>
  <si>
    <r>
      <rPr>
        <sz val="11"/>
        <rFont val="Times New Roman"/>
        <family val="1"/>
      </rPr>
      <t>Providing hot dip galvanizing conforming to IS 12594-1988 to reinforcement bars, having mass of zinc coating shall not be less than 610 grm/ One Square Metre of bar surface area factory  control  process  with  Degreasing,  Rinsing,  Acid  Pickling,  Again  Rinsing  after picking,  Fluxing,  Hot  Dip  Galvanizing  in  molten  Zinc  bath  Having Zinc  purity of  bath minimum 98.5% Quenching &amp; Passivation Process.
8 to 12 mm dia with prior approval of concerned Superitending Engineer.</t>
    </r>
  </si>
  <si>
    <t>Block masonary</t>
  </si>
  <si>
    <t>BD-I</t>
  </si>
  <si>
    <t>Providing  and constructing non load bearing wall with 200 mm Horizontally perforated THERMO clay hollow blocks with compressive  strength not less than 35Kilogram/Sqcm, U  value  of  0.60  W/m2K,  Water  Absorption  of  15%  mansonry   to  be  done  using  sand cement mortar 1:6 with blocks of size 400mm x 200 mm x 200 mm (12.5 brick per  One Square Metre. excluding mortar joint thickness) including cost of material, labour charges, scaffolding, curing at all height, complete as per specification &amp; directions of Engineer in charge.  Cost  shall  be  inclusive  of  filling  the  blocks  with  cement  mortar  at  exposed junctions and filling with concrete using 12mm down size aggregates at Window and door Jambs for fixing hold fast.anchors etc. It must be green building certified from IGBC and Griha and Should comply IS code 3952 with prior approval of concerned Superitending Engineer.</t>
  </si>
  <si>
    <t>IS code 3952</t>
  </si>
  <si>
    <t>Providing and constructing  non load bearing wall with 150 mm Horizontally perforated THERMO clay hollow blocks with compressive  strength not less than 35Kilogram/Sqcm, U  value  of  0.60  W/m2K,  Water  Absorption  of  15%  mansonry   to  be  done  using  sand cement mortar 1:6 with blocks of size 400mm x 150 mm x 200 mm (12.5 brick per  One Square Metre. excluding mortar joint thickness) including cost of material, labour charges, scaffolding, curing at all height, complete as per specification &amp; directions of Engineer in charge.  Cost  shall  be  inclusive  of  filling  the  blocks  with  cement  mortar  at  exposed junctions and filling with concrete using 12mm down size aggregates at Window and door Jambs for fixing hold fast.anchors etc. It must be green building certified from IGBC and Griha and Should comply IS code 3952 with prior approval of concerned Superitending Engineer.</t>
  </si>
  <si>
    <t>Plastering and pointing</t>
  </si>
  <si>
    <t>Dry  wall  cladding  with  clay  tile;  Designing,  supplying  and  fixing  of   Clay  tile  of Wienerberger (Red Series or Grey Series) or Equivalent with suitable size and thickness not  less  than  20  mm  as  per  manufacturer  with  approved  colour  and  pattern  with composition of finest powdered clay and colour mixtures. The clay tile shall be fixed on the  suitable  farming  system  by  using  continuous  aluminium  profiled  section  as  per manufacturer  with  suitable  size  and  spacing  to  withstand  the  structural  design  criteria specifled  in  the  technical  specification  by using  necessary HDG  brackets,  SS316  grade anchor bolts etc as per manufacturer specification.  Cladding joints should be with open groove system. with prior approval of concerned Superitending Engineer.</t>
  </si>
  <si>
    <r>
      <rPr>
        <sz val="11"/>
        <rFont val="Times New Roman"/>
        <family val="1"/>
      </rPr>
      <t>Providing  and  constructing   non  load  bearing  wall  with  200  mm   Grinded  Horizontally perforated clay hollow blocks with compressive  strength not less than 35Kilogram/Sqcm, U value of 1.00 W/m2K, Water Absorption of 15% tolerance on  Grinded brick height is
+/- 1.00  mm, masonry to be  done using  POROTHERM Dry Flx. Systeam  with 20  mm thick S shape application (Application method need to be followed as per Wienerberger methodology) blocks of size  400mm x 200 mm x 200 mm (12.5 brick per  One Square Metre.)  including  cost  of  material,  labour  charges,  scaffolding,  curing  at  all  height, complete as per specification &amp; directions of Engineer in charge. Cost shall be inclusive of   end  bricks  to  be  used  at  window  and  door  jambs  for  fixing  hold  fast.  anchors etc.,plastering  is  to  be  done  as  per  requirement  .and  is  to  be  considered  seperatly with prior approval of concerned Superitending Engineer.</t>
    </r>
  </si>
  <si>
    <r>
      <rPr>
        <sz val="11"/>
        <rFont val="Times New Roman"/>
        <family val="1"/>
      </rPr>
      <t>Providing  and  constructing   non  load  bearing  wall  with  150  mm  Grinded  Horizontally perforated clay hollow blocks with compressive  strength not less than 35Kilogram/Sqcm, U value of 1.2 W/m2K, Water Absorption of 15% tolerance on   Grinded brick height is+/-
1.00  mm,  masonry  to  be  done  using   Dry  Flx.  Systeam  with  20  mm  thick  S  shape application (Application method need to be followed as per Wienerberger methodology) blocks of size  400mm x 150 mm x 200 mm (12.5 brick per  One Square Metre.) including cost  of  material,  labour  charges,  scaffolding,  curing  at  all  height,  complete  as  per specification &amp; directions of Engineer in charge. Cost shall be inclusive of end bricks to be  used  at  window  and  door  jambs  for  fixing  hold fast.  anchors etc.,plastering  is to  be done as per requirement and is to be considered seperatly</t>
    </r>
  </si>
  <si>
    <r>
      <rPr>
        <sz val="11"/>
        <rFont val="Times New Roman"/>
        <family val="1"/>
      </rPr>
      <t>Providing  and  constructing   non  load  bearing  wall  with  100  mm  Grinded  Horizontally perforated clay hollow blocks with compressive  strength not less than 35Kilogram/Sqcm, U value of 1.7 W/m2K, Water Absorption of 15% tolerance on   Grinded brick height is
+/-  1.00  mm,  masonry to  be  done  using   Dry Flx.  Systeam  with  20  mm  thick  S  shape application (Application method need to be followed as per Wienerberger methodology) blocks of size  400mm x 100 mm x 200 mm (12.5 brick per  One Square Metre.) including cost  of  material,  labour  charges,  scaffolding,  curing  at  all  height,  RCC.  stiffener  band necessary at every 1.0 meter height of the wall, complete as per specification &amp; directions of Engineer in charge. Cost shall be inclusive of  end bricks to  be used  at window  and door jambs for fixing hold fast. anchors etc.,,plastering is to be done as per requirement
,and  is  to  be  considered  seperatly  with  prior  approval  of  concerned  Superitending Engineer.</t>
    </r>
  </si>
  <si>
    <r>
      <rPr>
        <sz val="11"/>
        <rFont val="Times New Roman"/>
        <family val="1"/>
      </rPr>
      <t>Providing and fixing of imported clay tiles pn M.S. frame Work using  Maditerranean plus roof  tiles  of  Wienberger  tile  of  colour  Red  Engobe  or  equivalent  with  necessary accessories required to fix tile including clips and screw (Prior permission of S.E. is to be
obtained before inclusion)</t>
    </r>
  </si>
  <si>
    <t>Waret supply and sanitary</t>
  </si>
  <si>
    <t>BD-V</t>
  </si>
  <si>
    <r>
      <rPr>
        <sz val="11"/>
        <rFont val="Times New Roman"/>
        <family val="1"/>
      </rPr>
      <t>Providing and fixing Ductile iron manhole cover of light/medium/heavy duty with frame of  any  size  over  inspection  chamber  etc.  complete  (Prior  permission  of  S.E.  is  to  be
obtained before inclusion of this item in the estimate)</t>
    </r>
  </si>
  <si>
    <r>
      <rPr>
        <sz val="11"/>
        <rFont val="Times New Roman"/>
        <family val="1"/>
      </rPr>
      <t>Providing  and  constructing  Ductile  Iron  circular  manhole  45  cm  dia.  At  top  90  cm  at bottom up to 1.80 meter to 2.70 meter depth  including excavation,  laying 1:4:8  cement concrete bedding 15 cm thick burnt brick mansonry with 1:1 cement mortar plaster 25 mm thick   inside   and   outside   20   mm   (1:3)   ductile   iron   heavy   type   cover   with   ring 125Kilogramin  weight.  High  strength.  More  life  and  Durability,  Good  Antiskid  Grip, Suitable   to   heavy   theatric   loading,   Light   weight   casting   after   cost   benefits   for Transportation  Refilling  etc.  as  per  requirement.  with  prior  approval  of  concerned
Superitending Engineer.</t>
    </r>
  </si>
  <si>
    <t>Geosynthetic</t>
  </si>
  <si>
    <t>MORTH Section- 700</t>
  </si>
  <si>
    <t>Providing   and   laying   CE   Marked   Woven   Polypropylene   Geotextile   indigenously manufactured from black UV stabilized polypropylene tape yarn of Techfab India on the prepared   subgrade   for   Reinforcement   cum   separation   cum   drainage   &amp;   filtration application with necessary overlaps as per drawing etc. complete. (Specification: MORTH Section-700) with prior approval of concerned Superitending Engineer. a)TFI-5300 Type-I</t>
  </si>
  <si>
    <t>Providing and laying CE Marked Woven Multifilament Polyester Geotextile indigenously manufactured  using  high  molecular  weight,  high  tenacity  polyester  filament  yarn  with high  tensile  strength,  low  elongation  and  low  creep  of  Techfab  India  on  the  prepared subgrade  for  Reinforcement  cum  separation  cum  drainage  &amp;  filtration  application  with necessary  overlap  as  per  drawing  etc.  complete.  (Specification:  MORTH  Section-700) with prior approval of concerned Superitending Engineer.</t>
  </si>
  <si>
    <t>a) TFI-3100</t>
  </si>
  <si>
    <t>b) TFI-3200</t>
  </si>
  <si>
    <t>Providing and laying CE Marked Needle Punched and Mechanically Bonded Non-Woven Geotextile (TechGeo) indigenously manufactured from high quality polypropylene staple fibres  (continuous  filament  will  not  be  accepted)  of  Techfab  India  on  the  prepared subgrade for separation,  drainage &amp; filtration application with necessary overlaps as per drawing  etc.  complete.  (Specification:  MORTH  Section-700  )  with  prior  approval  of concerned Superitending Engineer.</t>
  </si>
  <si>
    <t>a) TFI TECHGEO PR-15</t>
  </si>
  <si>
    <t>b) TFI TECHGEO PR-20</t>
  </si>
  <si>
    <t>c) TFI TECHGEO PR-30</t>
  </si>
  <si>
    <t>d) TFI TECHGEO PR-40</t>
  </si>
  <si>
    <t>e) TFI TECHGEO PR-60</t>
  </si>
  <si>
    <t>Providing  and  Laying  CE  marked  Knitted  and  PVC  coated  Polyester  Biaxial  Geogrid (Techgrid)  for  Basal  Reinforcement  indigenously  manufactured   from  selected  high tenacity polyester yarn with high molecular weight of Techfab India (&gt; 25000 g/mol), and low carboxyl end group (&lt;30mmol/Kilogram)  (extruded PP geogrids &amp; Polyester strips &amp; Geostrips, Steel Strips not allowed &amp; not accepted). Requirement of geogrid strength in both  direction  and  granular  fill.  (Coating  of  Geogrid/  reinforcing  geosynthetic  material with LDPE, approved, Bitumen and any other coating will not be allowed and will not be accepted). For reinforcement application to subgrade, unbound sub base / base courses &amp; soil stabilization, etc. complete (Specification: MORTH Section-700). with prior approval of concerned Superitending Engineer.</t>
  </si>
  <si>
    <t>a) TFI TechGrid GeoGrid TGB-40</t>
  </si>
  <si>
    <t>b) TFI TechGrid GeoGrid TGB-60</t>
  </si>
  <si>
    <t>Providing  and laying CE Marked PP Extruded Biaxial Geogrid for basal reinforcement, indigenously  manufactured  from  virgin  high  density  polypropylene  of  Techfab  India having  aperture  size  of  (38  x  38)mm and  ultimate  tensile  strength  of 20  kN/m on  both direction  with  minimum  junction  strength  of  95%  &amp;  minimum  radial  stiffness  of  350 kN/m (@0.5% strain for reinforcement application to subgrade, unbound sub base / base courses  &amp;  soil  stabilization,  etc.  complete  (Specification:  MORTH  Section-700).with prior approval of concerned Superitending Engineer.</t>
  </si>
  <si>
    <t>a) TFI TechGrid GeoGrid PP2020</t>
  </si>
  <si>
    <t>b) TFI TechGrid GeoGrid PP3030</t>
  </si>
  <si>
    <t>Providing  and  laying  CE  Marked  knitted  and  PVC  coated  Polyester  Uniaxial  Geogrid (Techgrid)  indigenously  manufactured  from  selected  high  tenacity  polyester  yarn  with high molecular weight  of Techfab  India  (&gt;  25000 g/mol),  and low  carboxyl end  group (&lt;30 mm mol /Kilogram)  (extruded PP geogrid &amp; Polyester  strip &amp; Geostrip, steel strips not  allowed  &amp;  not  accepted  )  with  granular  fill  as  per  design  prepared  by  technical provider of reinforced  earth wall and slope.  The reinforced  earth wall and slope  should have 100% coverage of 5m width knitted and PVC coated Polyester geogrid. (Coating of Geogrid/Reinforcing geosynthetic material with LDPE, approved, Bitumen and any other coating  will  not  be  allowed  and  will  not  be  accepted)  for  reinforced  soil  wall  and reinforced  slope  application,  etc.  complete  (Specification:  MORTH  Section-3100).with prior approval of concerned Superitending Engineer.</t>
  </si>
  <si>
    <t>a) TFI TechGrid GeoGrid TGU-40</t>
  </si>
  <si>
    <t>b) TFI TechGrid GeoGrid TGU-60</t>
  </si>
  <si>
    <r>
      <rPr>
        <sz val="11"/>
        <rFont val="Times New Roman"/>
        <family val="1"/>
      </rPr>
      <t>Providing  and laying Geocell-Techcell CE Marked a three  dimensional honeycomb  like cellular  confinement  system  having  weld  spacing  356mm  and  cell  depth  150mm  of Techfab India, indigenously manufactured by blend of various polyethylene and additives, polyethylene  strips  ultrasonically welded consists  of a  multiple rhomboidal indentations over the entire strip on the prepared subgrade for subgrade stabilization by reinforcement and  drainage  application  for  roads,  ground  improvement  work  and  erosion  control  of slopes  etc.  complete.  (Specification:  MORTH  Section-700)  with  prior  approval  of
concerned Superitending Engineer.</t>
    </r>
  </si>
  <si>
    <t>a) TFI TechCell GeoCell-356x150</t>
  </si>
  <si>
    <t>b) TFI TechCell GeoCell-660x75</t>
  </si>
  <si>
    <t>Providing  and  laying  CE  Marked  Reinforced   Non-Woven  Composite  indigenously manufactured needle punched polypropylene  (continuous filament will not be accepted) of Techfab India, Reinforced with high tenacity Polyester Yarn  on the prepared sub grade for  Reinforcement  cum separation  cum drainage  &amp; filtration  application with  necessary overlaps as per drawing etc. complete. (Specification: IRC:SP:59-MORTH Section-700) with prior approval of concerned Superitending Engineer.</t>
  </si>
  <si>
    <t>a) TFI TGC-60</t>
  </si>
  <si>
    <t>b) TFI TGC-90</t>
  </si>
  <si>
    <t>Providing   and   inserting   CE   Marked   Prefabricated   Vertical   Drain   /   Band   Drain (TechDrain)  of Techfab India indigenously manufactured   with Polypropylene Core and wrapped  with  Non-Woven  Geotextile  in  the  very soft  clay to  a  design  depth  for  quick consolidation etc. complete. (Specification: MORTH Section-700).with prior approval of concerned Superitending Engineer.</t>
  </si>
  <si>
    <t>a) TFI TechDrain TD-3520 U 100mm x 4mm</t>
  </si>
  <si>
    <t>b) TFI TechDrain TD-5020 U 100mm x 5mm</t>
  </si>
  <si>
    <t>Providing &amp; fixing CE Marked Metal Gabions indigenously manufactured as per required section  including  boxes  made  of  mechanically  woven  hexagonal  shaped  wire  mesh  of type, (8 x 10)cm, edges mechanically selvedged made of heavily (Zinc + PVC) coated G.I. wires  as  per  BS:443,  mesh  wire  2.70/3.70  mm Ø  (ID/OD),  edge  wire  3.40/4.40  mm  Ø (ID/OD)  of  Techfab  India  type  and  filled  with  20  to  50Kilogramweight  trap  stones including conveying with all leads and lifts and placing at required places in required line, level, slope, section as directed, etc. and tied by 5% lacing wire 2.20/3.20 mm Ø (ID/OD) as directed by Engineer-in-charge. For retaining walls, toe walls, etc. for slope protection &amp;  erosion  control  application  of  river  bank  &amp;  sea-shore  etc.  complete  (Specification: MORTH   section-2500.   (Excluding   Rubble)   with   prior    approval   of    concerned Superitending Engineer.</t>
  </si>
  <si>
    <t>a) For 1m height</t>
  </si>
  <si>
    <t>b) For 0.5m height</t>
  </si>
  <si>
    <t>Providing   and   laying    CE   Marked   Glassfibre   GeoComposite   (TechGlass   AIC) indigenously manufactured from high performance glass fibre roving to form a reticular structural material with a unique combination of fused fibre glass and polypropylene non- woven  needle  punched  geotextile  to  asphalt  overlay  flexible  pavements  and  asphalt overlay distressed rigid pavements of Techfab India for Reinforcement, seizure reflective cracks,  reduced  surface  rutting  &amp;  water  infiltration.  (Specification:  MoRTH  section- 700).with prior approval of concerned Superitending Engineer.</t>
  </si>
  <si>
    <t>a) TFI Techglass AIC-50</t>
  </si>
  <si>
    <t>b) TFI Techglass AIC-100</t>
  </si>
  <si>
    <t>Providing  and  laying  a  Paving  Fabric  CE  Marked  Needle  Punched  and  Mechanically Bonded Non-Woven Geotextile of Techfab India, indigenously manufactured from high quality polypropylene staple fibres (continuous filament will not be  accepted) with  heat treatment on one side to form a strong, flexible and dimentionaly stable fabric structure, with optimum bitumen retention capacity to asphalt overlay over flexible pavement and distresses  regid pcc pavement for moisture barrier, avoid refelective cracking and stress relieving membrane with necessary overlaps as per drawing, etc. complete. (Specification: MORTH section-700). with prior approval of concerned Superitending Engineer.</t>
  </si>
  <si>
    <t>a) TFI TechPave-C040</t>
  </si>
  <si>
    <r>
      <rPr>
        <sz val="11"/>
        <rFont val="Times New Roman"/>
        <family val="1"/>
      </rPr>
      <t>Providing  and  laying  Fin  Drains  (Drainage  Composite)  TFI  TDC-55130W  CE  Marked indigenously  manufactured  by  thermo  bonding  a  polypropylene  drainage  core-  Geonet comprises of two sets of parallel overlaid ribs integrally connected to have a rhomboidal shape and Needle Punched &amp; Thermally Bonded Nonwoven Geotextile on the prepared sub base of paved/unpaved roads &amp; behind the RE wall by replacing granular filter media for separation,  drainage &amp; filtration application with necessary overlaps as per drawing etc. complete . (Specification: MORTH Section-700 )  with prior  approval of  concerned
Superitending Engineer.</t>
    </r>
  </si>
  <si>
    <t>a) TFI TDC-55130W</t>
  </si>
  <si>
    <t>Construction of Reinforced Earth Wall in M-35 Block Facia by Providing and Laying CE marked Knitted and PVC coated Polyester Uniaxial Geogrid (Techgrid) of Techfab India indegeniously  manufactured    from   selected   high   tenacity  polyester   yarn  with   high molecular weight (&gt; 25000 g/mol), and low carboxyl end group (&lt;30mmol/Kilogram) for Reinforced  soil wall (extruded PP geogrids &amp; Polyester strips &amp; Geostrips, Steel Strips not allowed &amp; not accepted) with granular fill of PHi-32 degree (design is to be carried out in accordance with BS-8006 / FHWA) with concrete block by M-35 as facia, casting &amp; erection of blocks with Techgrid, providing &amp; laying levelling pad by M-15, providing and  laying  coping  beam  by  M-35,  providing  and  laying  300mm  thick  filtermedia  etc. completed  as  per  necessary  drawing  and  instruction  of  Engineer-in-charge.  Excluding providing,  laying  and  compacting  selected  backfill  and  retained  fill  behind  the  wall, excavation and ground improvement, if any. The reinforced earth wall and slope should have 100% coverage of 5m width Knitted and PVC coated Polyester Geogrid. (Coating of Geogrid/ Reinforcing geosynthetic material with LDPE, approved, Bitumen and any other coating  will not  be  allowed  and  will not  be  accepted).  (Specification:  MORTH  Section- 3100) with prior approval of concerned Superitending Engineer.</t>
  </si>
  <si>
    <t>a) RE Wall Height 1 to 4 meter</t>
  </si>
  <si>
    <t>b) RE Wall Height 4 to 6 meter</t>
  </si>
  <si>
    <t>c) RE Wall Height 6 to 8 meter</t>
  </si>
  <si>
    <t>d) RE Wall Height 8 to 10 meter</t>
  </si>
  <si>
    <t>e) RE Wall Height 10 to 12 meter</t>
  </si>
  <si>
    <t>f) RE Wall Height 12 to 14 meter</t>
  </si>
  <si>
    <t>Road safty work</t>
  </si>
  <si>
    <t>IS: 10146-1982, IS:10141-1982</t>
  </si>
  <si>
    <r>
      <rPr>
        <sz val="11"/>
        <rFont val="Times New Roman"/>
        <family val="1"/>
      </rPr>
      <t>Providing  Heavy  Duty  Fibre  Glass  Reinforced  Plastic  Temporary  Barricade  of  1.75  m hight, with base width of 430 mm as a provision to accept water ballasting of 101 Itrs-110 Ltrs   approx.   and   arrangement   for   traffic   diversion   such   as   traffic   signals   during construction at site, for day and night as per requirement. The raw material shall be UV stabilized Linear Low Density Polyethylene and should meet the  requirements stipulated in standard IS: 10146-1982, IS:10141-1982   and should  also comply to FDA:CFR  Title 21.177.1520.  Olefin  Polymers  ,  with  specific  FRP  Grade  300-104  reinforced  during moulding  process  to  the  permissible  extent  for  improved  impact  strength.  Qualification Criteria: For qualifying the  sample , few tests shall be performed at Government Lab OR NABL Accredited Lab on Site Safety Fence sample, failure or deviations in test results of sample   shall  be  disqualified.The  tests  and  qualifying  results  are  as  under,  (a)  tensile strength at yield by ASTM D 638 =20.93 mPA, (b) Elongation at break ASTM D 638 =
121.66 mPA (c)  Flexural Modulus ASTM D 790 = 633.76 mPA (d) Izod Impact Strenth (Notched) ASTM D 256 = 4.41Kilogram/  One Square Metre (e) Izod Impact Strenth (Un- Notched) ASTM D 256 = 67.04Kilogram/   One Square  Metre (f)  Drop Impact  strength 25KilogramLoad from 1 m, 2 m &amp; 5m height  the weight of empty single Rotomoulded Plastic Barricade without water ballasting shall be 34 Kilograms approx. &amp; total weight after   water   allasting   shall   be   135   Kilograms   -140   Kilograms   +/-   5   Kilograms (tolarance)The  main  Barricade  body  of  hight  1750  mm  approx  is  connected  with  the Extension body through 4 set of nut bolt washers .extenstion body through 4 set of nut bolt  washers. Extension body is designed with 9 Nos kiss offs on rear side; the dimension of  Extension  body are  1500  mm  (length),70  mm  (width),250  mm  (effetive  height  after fixing  )  &amp;  dimension  of  its  male  collarare  1420  mm   (length),25  mm  (width),30  mm approx ( height), it is inserted in U groove provisioned  on top of main body Barricade Model for interlconnecting.the minimum thickness of all over surface of plastic barricaed shall be 5 mm +/- 20%.the rear bottam shall have to provision to fix two brackets at both end  in  corner  for  anchoring  purpose  .each  rear  bracket  is  constructed  through  rod  of Dia.60 mm with curvature welded with  MS strip of 3 mm thick ,50 mm width and 90 mm length at its top and base ,effective bracket shall be 410 mm approx. the anchoring</t>
    </r>
  </si>
  <si>
    <r>
      <rPr>
        <sz val="11"/>
        <rFont val="Times New Roman"/>
        <family val="1"/>
      </rPr>
      <t>a)   For   725   mm   height    (LType   Jersey   Barrier   )   ,Empty   Weight:6.67   Kilogram/
Rgm,Weight Full : 35.89Kilogram/ Rgm approx. (After Water / Sand Filling)</t>
    </r>
  </si>
  <si>
    <r>
      <rPr>
        <sz val="11"/>
        <rFont val="Times New Roman"/>
        <family val="1"/>
      </rPr>
      <t>b) For 750 mm height  (With Interlocking provison - For Traffic Delineation Applications
) , Empty Weight:9.04 Kilogram/ Rgm,Weight Full : 57.14Kilogram/ Rgm approx. (After Water / Sand Filling)</t>
    </r>
  </si>
  <si>
    <r>
      <rPr>
        <sz val="11"/>
        <rFont val="Times New Roman"/>
        <family val="1"/>
      </rPr>
      <t>c)  For  750  mm  height   (  Jersey  Barrier  Model  with  unique  Interlocking  Provision)   ,
Empty  Weight:9.0  Kilogram/  Rgm,Weight  Full  :  55.00Kilogram/  Rgm  approx.  (After Water / Sand Filling)</t>
    </r>
  </si>
  <si>
    <r>
      <rPr>
        <sz val="11"/>
        <rFont val="Times New Roman"/>
        <family val="1"/>
      </rPr>
      <t>d)  Site Safety Fence  (1.75 Mtrs(H)) (Efficient Substitution to sheet Metal Barricade)  , Empty Weight 16.57: Kilogram/ Rgm,Weight Full : 74.29 Kilogram/ Rgm approx. (After
Water / Sand Filling)</t>
    </r>
  </si>
  <si>
    <r>
      <rPr>
        <sz val="11"/>
        <rFont val="Times New Roman"/>
        <family val="1"/>
      </rPr>
      <t>e)  Site Safety Fence  (2.00 Mtrs(H)) (Efficient Substitution to sheet Metal Barricade)  ,
Empty Weight : 17.00 Kilogram/ Rgm,Weight Full : 70.00 Kilogram/ Rgm approx. (After Water / Sand Filling)</t>
    </r>
  </si>
  <si>
    <t>Road work</t>
  </si>
  <si>
    <t>organosilance  Nanotechnology  for  Bituminous  organosilance  nanotechnology  such  as Zycotherm added in the bitumen binder @ 0.1% dosage to the weight of the bitumen at HMA  plant  to  schive  chemical  bonding,complete  coating  and  consistant  compaction  in various  bituminous  mixes  such  as  BM/DBM/Carpet/sealcoat/MSS/SDBC  etc.as  per  the direction of Engineer-in-charge with prior approval of concerned Superitending Engineer.</t>
  </si>
  <si>
    <t>Water proofing of subgrade:waterproofing on top compacted (as per relevant MORT&amp;H specification)sub  grade  and  shoulder  soil  base  with  organosilance  Nanotechonology  &amp; nano    acrylic    co-polymer    with    water    (&lt;1000    ppm    TDS)in    the    ratio    of 1KilogramOrganosilance  Nanotechonology :1Kilogramnano acrylic co-polymer :200 liter water spray @3 liter/ One Square Metre in two spray application (1.5 liter +1.5 liter) as per direction  of the Engineer-in-charge. with prior approval of concerned Superitending Engineer.</t>
  </si>
  <si>
    <t>providing  and  applying  primer  coat  with  bitumen  emulsion  on  prepared  surface  of Aggregate layer including clearing of road surface and spraying primer mixed with Nano- Technology   silance   in   the   ratio   1:100:100   (1Kilogramsilance   :100KilogramSS1 Emulsion:100 liter water);the rate of 1 Liter/ One Square Metre using mechanical means as per the direction of Engineer-in-charge. with prior approval of concerned Superitending Engineer.</t>
  </si>
  <si>
    <t>Tack coat (with Silance nanotechnology):preparing and applying of water soluable organo silance nanotechnology (for bitumen emulsion application  ,IRC approved) with cationic bitumen emulsion CRS1 amd water (&lt; 1000 ppm TDS) in the ratio of 1:4Kilogram organo silance  :  100Kilogram  cationic  bitumen  emulsion  CRSS1:  200  liter  water.  with  prior approval of concerned Superitending Engineer.</t>
  </si>
  <si>
    <r>
      <rPr>
        <sz val="11"/>
        <rFont val="Times New Roman"/>
        <family val="1"/>
      </rPr>
      <t xml:space="preserve">Construction of stabilised soil base with organo silance  by providing locally available moorum/soil(70%) mixed with 30% GSB </t>
    </r>
    <r>
      <rPr>
        <sz val="11"/>
        <rFont val="Nirmala UI"/>
        <family val="2"/>
      </rPr>
      <t xml:space="preserve">॥ </t>
    </r>
    <r>
      <rPr>
        <sz val="11"/>
        <rFont val="Times New Roman"/>
        <family val="1"/>
      </rPr>
      <t>with 2% cement by MDD of mix, 0.6 Kilogram/Cum nanotechnology silane &amp; 0.6 Kilogram/ cum of Acrilic Nano - Co polymer, Spreading in uniform layers with grader on prepared surface by mixing in place method withrotavator at OMC and compacting with smooth wheel roller to achieve the desired density, complete as per Table 2.3 of IRC SP - 77-2008 as per direcion of Engineer - in -charge. with prior approval of concerned Superitending Engineer.</t>
    </r>
  </si>
  <si>
    <r>
      <rPr>
        <sz val="11"/>
        <rFont val="Times New Roman"/>
        <family val="1"/>
      </rPr>
      <t xml:space="preserve">Construction of stabilised soil base with organo silance  by providing locally available moorum/soil(70%) mixed with 30% GSB </t>
    </r>
    <r>
      <rPr>
        <sz val="11"/>
        <rFont val="Nirmala UI"/>
        <family val="2"/>
      </rPr>
      <t xml:space="preserve">॥ </t>
    </r>
    <r>
      <rPr>
        <sz val="11"/>
        <rFont val="Times New Roman"/>
        <family val="1"/>
      </rPr>
      <t>with 3% cement by MDD of mix, 0.6 Kilogram/Cum nanotechnology silane &amp; 0.6 Kilogram/ cum of Acrilic Nano - Co polymer, Spreading in uniform layers with grader on prepared surface by mixing in place method withrotavator at OMC and compacting with smooth wheel roller to achieve the desired density, complete as per Table 2.3 of IRC SP - 77-2008 as per direcion of Engineer - in -charge.with prior approval of concerned Superitending Engineer.</t>
    </r>
  </si>
  <si>
    <r>
      <rPr>
        <sz val="11"/>
        <rFont val="Times New Roman"/>
        <family val="1"/>
      </rPr>
      <t xml:space="preserve">Construction of stabilised soil base with organo silance  by providing locally available moorum/soil(70%) mixed with 30% GSB </t>
    </r>
    <r>
      <rPr>
        <sz val="11"/>
        <rFont val="Nirmala UI"/>
        <family val="2"/>
      </rPr>
      <t xml:space="preserve">॥ </t>
    </r>
    <r>
      <rPr>
        <sz val="11"/>
        <rFont val="Times New Roman"/>
        <family val="1"/>
      </rPr>
      <t>with 4% cement by MDD of mix, 0.6 Kilogram/Cum nanotechnology silane &amp; 0.6 Kilogram/ cum of Acrilic Nano - Co polymer, Spreading in uniform layers with grader on prepared surface by mixing in place method withrotavator at OMC and compacting with smooth wheel roller to achieve the desired density, complete as per Table 2.3 of IRC SP - 77-2008 as per direcion of
Engineer - in -charge.</t>
    </r>
  </si>
  <si>
    <r>
      <rPr>
        <sz val="11"/>
        <rFont val="Times New Roman"/>
        <family val="1"/>
      </rPr>
      <t>Supplying  trap/granite/quartzite/gneiss  stone  metal  of  required  size  by  bringing  the boulders  /  Rubble  at  the  road  side  breaking  them  to  required  gradation  including conveying  the  boulders  /Rubble  and  stacking  the  broken  metal  etc.  complete  .  (Prior approval  of  sample  stack  of  broken  metal  by the  Ex.  Engineer  is  necessary the  date  of approval  will  form  part  of  the  measurements)    a)80  mm  Metal,  By  breaking  rubble obtained  by  blasting.(Hand  broken).  with  prior  approval  of  concerned  Superitending
Engineer.</t>
    </r>
  </si>
  <si>
    <t>Supplying  trap/granite/quartzite/gneiss  stone  metal  of  required  size  by  bringing  the boulders  /  Rubble  at  the  road  side  breaking  them  to  required  gradation  including conveying  the  boulders  /Rubble  and  stacking  the  broken  metal  etc.  complete  .  (Prior approval  of  sample  stack  of  broken  metal  by the  Ex.  Engineer  is  necessary the  date  of approval  will  form  part  of  the  measurements)     a)40  mm  Metal,  By  breaking  rubble obtained by blasting.(Hand broken).</t>
  </si>
  <si>
    <t>Supplying  trap/granite/quartzite/gneiss  stone  metal  of  required  size  by  bringing  the boulders  /  Rubble  at  the  road  side  breaking  them  to  required  gradation  including conveying  the  boulders  /Rubble  and  stacking  the  broken  metal  etc.  complete  .  (Prior approval  of  sample  stack  of  broken  metal  by the  Ex.  Engineer  is  necessary the  date  of approval will form part of the measurements)                         a)80 mm Metal, By breaking Boulders (Hand broken).</t>
  </si>
  <si>
    <r>
      <rPr>
        <sz val="11"/>
        <rFont val="Times New Roman"/>
        <family val="1"/>
      </rPr>
      <t>Supplying  trap/granite/quartzite/gneiss  stone  metal  of  required  size  by  bringing  the boulders  /  Rubble  at  the  road  side  breaking  them  to  required  gradation  including conveying  the  boulders  /Rubble  and  stacking  the  broken  metal  etc.  complete  .  (Prior approval  of  sample  stack  of  broken  metal  by the  Ex.  Engineer  is  necessary the  date  of approval  will  form  part  of  the  measurements)   a)40  mm  Metal,  By  breaking  Boulders
(Hand broken).</t>
    </r>
  </si>
  <si>
    <r>
      <rPr>
        <sz val="11"/>
        <rFont val="Times New Roman"/>
        <family val="1"/>
      </rPr>
      <t>Spreading  80/40 mm metal for road work including sectionong etc complete as directed
by Engineer in charge .</t>
    </r>
  </si>
  <si>
    <r>
      <rPr>
        <sz val="11"/>
        <rFont val="Times New Roman"/>
        <family val="1"/>
      </rPr>
      <t>As directed by
Engineer-in-charge</t>
    </r>
  </si>
  <si>
    <r>
      <rPr>
        <sz val="11"/>
        <rFont val="Times New Roman"/>
        <family val="1"/>
      </rPr>
      <t xml:space="preserve">Compacting the sub grade/gravel/oversize metal (200 mm loose) layers for all width with Power  roller  having  weight  8  to  10  MT.  including  necessary,  labour,  materials  and
artificial watering complete.  </t>
    </r>
  </si>
  <si>
    <r>
      <rPr>
        <sz val="11"/>
        <rFont val="Times New Roman"/>
        <family val="1"/>
      </rPr>
      <t xml:space="preserve">Compacting the sub grade/gravel/oversize metal (200 mm loose) layers for all width with Vibratory  roller  having  weight  8  to  10  MT.  including  necessary,  labour,  materials  and
artificial watering complete.  </t>
    </r>
  </si>
  <si>
    <r>
      <rPr>
        <sz val="11"/>
        <rFont val="Times New Roman"/>
        <family val="1"/>
      </rPr>
      <t xml:space="preserve">Compacting the sub grade / gravel / size metal (100 mm loose) layers for all widths with Power  roller  having  weight  8  to  10  MT.  including  necessary,  labour,  materials  and
artificial watering complete.  </t>
    </r>
  </si>
  <si>
    <r>
      <rPr>
        <sz val="11"/>
        <rFont val="Times New Roman"/>
        <family val="1"/>
      </rPr>
      <t xml:space="preserve">Compacting the sub grade / gravel / size metal (100 mm loose) layers for all widths with vibratory  roller  having  weight  8  to  10  MT.  including  necessary,  labour,  materials  and
artificial watering complete.  </t>
    </r>
  </si>
  <si>
    <t>Miscellaneous</t>
  </si>
  <si>
    <t>BD-W</t>
  </si>
  <si>
    <t>Providing and applying two coats Apex Ultima Puranature Anti-Pollution Or equivalent approved brand, paint should decomposes organic substances  and inorganic gases(NOx, VOC’s, CO, SOx, formaldehydes, etc.) in presence of natural or artificial light. It contains Graphene  and  nanoparticles  of  titanium  oxide.  and  Absorbs  CO2  (4.8  Kilogram/15  l). plaster crack should be filled by Acrylic base Crack seal/Textured Crack filler, Paint has to applied on one coat of Apex Ultima Puranature Anti-Pollution  Primer or  Equivalent. Warranty  Should  be  given  by  the  Manufaturer  The  work  should  be  done  by  the Manufacturer Recommended applicator and he should be able to furnish stage wise onsite technical reports from the concerned company technologist.</t>
  </si>
  <si>
    <t>Supply of ready mix patch repairing compound as per section 3000.2.2(filling pothole and patches repair with specific approval of the engineer),MORT&amp;H specifications for roads and  bridge  works,5th  Revision,  for  instant  repair  of  surface  defects  of   road  under  all weather conditions.The premix should consists of a binder with hydrophilic properties and accelerated  adherence  to  all  types  of  aggregares  and  can  be  applied  on  all  patches  and potholes  including  water  logged  patches  and  poyholes  and  in  rainy  conditions.  The material  should  be  suitable  for  both  Bituminous  and  concrete  roads  with  quick  setting properties  and allow traffic to be released within 10 mins.of patch or pothole repair.the material should for use on roads with both passanger and heavy commercial vechiles.The mix should be suitable for reparing of surfacing course and should be comparising of fine aggregates  0-10  mm,(5.5-7.5  %).additives  as  ewquired.the  mix  should  packed  in  bags which can be easily handled manually and be storable under normal storage conditions for at least 8 month.</t>
  </si>
  <si>
    <t>Fire   Door   45mm   1HR   FRL   (60/60)   3   Criteria   -   INTEGRITY   /   INSULATION/ STABILITY WOODEN DOOR - Fire Door Tested in accordance to IS: 3614 Part 2.</t>
  </si>
  <si>
    <t>Providing  60 min Fire rated doors system duly tested for 3 criteria - Integrity, Insulation and  Stability  Criteria  as  per  the  IS:  3614  Part  2  and  BS:  476  part  22  at  National  Test House, Govt of India laborator and/or with Central Building Research Institute, Govt of India undertaking with standard heating conditions as specified in IS:3614  Part II 1992 and BS: 476 part 20 &amp; 22 1987 to achieve the required integrity, insulation and stability (i.e. to restrict the heat radiation, temperature rise on the non fire side to the maximum of 140°  C  above  the  ambient  temperature  on  the  exposed  surface  of  the  shutter.  The  fire doors  are  tested  with  NCBN  technology  ("Non  Combustible  by  Nature").  with  prior approval of concerned Superitending Engineer.</t>
  </si>
  <si>
    <t>a)  Door  Frame:  Supplying   frames  for  Fire  resistant  door  shutters  1st  class  Malaysian Hardwood Frame densified (810 Kilogram/cum) and pressure treated with fire retardant chemicals  in  vacuum impregnation  vessel under  160 psi  pressure as  per IS:401and  kiln seasoned to moisture below 15% as per IS:1141 of section 120 X 60 mm spray quoted with  2  coats  of  intumescent  paint  of  minimum  200  micron,  with  single  row  of  Brush- Type  ASTROFLAME  intumescent  strip  of  size  10mm x  4mm affixed  in the  slit of  the Frame for fire and smoke sealing, etc. complete.</t>
  </si>
  <si>
    <r>
      <rPr>
        <sz val="11"/>
        <rFont val="Times New Roman"/>
        <family val="1"/>
      </rPr>
      <t>b)Shutter : Providing of 65mm thick asbestos free composite - 3 criteria - fire, heat and smoke  check  Accoustic  Door  Shutter  with  flame  guard  of  120  minutes  IS3614  part  -II comprising of 2x9mm Calcium Silicate boards, Chemical treated internal timber with Fire retardant  chemicals  in  pressure  impregnation  vessels  under  160  PSI  pressure  as  per IS:401and  kiln  seasoned  to  moisture  below  15%  as  per  IS:1141 frame  work of  100x32 mm with  32mm thick  infill of  ceramic  fiber  (density 128Kilograms/CMT),  vermaculite mix  faced  with  6mm  Fire  retardant  High  Density  ply,  internally  lipped  with  hardwood beading,  and  pasted  in  Hydraulic  Press  under  50  tonnes  pressure,  spray  quoted  with  2 coats  of  In  tumescent  paint  of  minimum  200  micron,  and  with  1  row  of  Brush-  Type Astroflame®  intumescent  strip  (imported)  of  size  10mmx4mm  concealed  for  fire  and smoke  sealing  in  the  grooves  in  the  shutter  on  all  edges  except  bottom,  without  any
external lipping.</t>
    </r>
  </si>
  <si>
    <r>
      <rPr>
        <u/>
        <sz val="11"/>
        <rFont val="Times New Roman"/>
        <family val="1"/>
      </rPr>
      <t>c) Vision Panel</t>
    </r>
    <r>
      <rPr>
        <sz val="11"/>
        <rFont val="Times New Roman"/>
        <family val="1"/>
      </rPr>
      <t>:
1 HR rated E Class clear high stress fire rated glass is pre fabricated strategically inside theshutter  structure  with  10  mm  inside  the  shutter  on  all  sides  with  U-  glazing.  An additional  insulated  powdercoated  'Z'  channel  of  16  swg  MS  sheet  to  be  fixed  for reinforcement  of  the  joints.  With  clear  fire  resistant  glass  panes  11mm  thick  having
minimum 120 minutes fire Description</t>
    </r>
  </si>
  <si>
    <t>-</t>
  </si>
  <si>
    <t>Providing   of    Accoustic   Door   to   effectively   control   noise   inconference   rooms, broadcasting studios, theatres and music practice rooms. with prior approval of concerned Superitending Engineer.</t>
  </si>
  <si>
    <r>
      <rPr>
        <sz val="11"/>
        <rFont val="Times New Roman"/>
        <family val="1"/>
      </rPr>
      <t>a)Door Frame: Providing Frames for Accoustic door shutters with double rabbit of 68mm 1st  class  Malaysian  Hardwood  Frame  densified  and  pressure  treated  with  chemicals  in vacuum  impregnation  vessel under  160  PSI pressure  as  per  IS:401and  kiln  seasoned  to moisture below 15% as per IS:1141 of section 120 X 70 mm spray quoted with 2 coats of In  tumescent  paint  of  minimum  200  micron,  with  1  row  of  Hafele  Accoustic  seals concealed in the groove of the Frame for noise control, etc. complete as per direction of
Engineer in Charge</t>
    </r>
  </si>
  <si>
    <t>b)Shutter:  Providing  of  65mm  thick  Accoustic  Door  Shutters  with  wooden  structure comprising  of  Chemical  treated  internal  timber  with  anti  termite  chemicals  in  pressure impregnation vessels under 160 PSI pressure as per IS:401and kiln seasoned to moisture below 15% as per IS:1141 frame work of 100x 48 mm with 48 mm thick infill of ceramic vermiculite mix of density 54Kilograms/CMT, 3mm sheet rubber interlayer sheet on one side for acoustic property, faced with 6mm High Density Waterproof Ply confirming to IS Code 2201, internally lipped with hardwood beading, and pasted in Hydraulic Press under 50  tonnes  pressure,  spray quoted  with  2  coats  of  PU  paint  of  minimum  200  micron  of color of engineer choice (any Veneer or Lamination will cost extra), without any external lipping along with double rebatting in shutters &amp; accoustic seal</t>
  </si>
  <si>
    <r>
      <rPr>
        <sz val="11"/>
        <rFont val="Times New Roman"/>
        <family val="1"/>
      </rPr>
      <t>2 Hour Insulated, Flame, Smoke Radiation check Lead Lined Fire Door 57mm 2HR FRL (120/120) 3 Criteria - INTEGRITY /  INSULATION/ STABILITY  WOODEN DOOR  -
Fire  Door  Tested  in  accordance  to  IS:  3614  Part  2.  with  prior  approval  of  concerned
Superitending Engineer</t>
    </r>
  </si>
  <si>
    <r>
      <rPr>
        <sz val="11"/>
        <rFont val="Times New Roman"/>
        <family val="1"/>
      </rPr>
      <t>Providing  of   120  min  Fire  rated  lead  lined  doors  system  duly  tested  for  3  criteria  - Integrity, Insulation and Stability Criteria as per the IS: 3614 Part 2 and BS: 476 part 22 with standard heating conditions as specified in IS:3614 Part II 1992 and BS: 476 part 20 &amp; 22 1987 to achieve the required integrity, insulation and stability (i.e. to restrict the heat radiation,  temperature  rise  on  the  non  fire  side  to  the  maximum  of  140°  C  above  the ambient temperature on the exposed surface of the shutter. The fire doors are tested with NCBN technology ("Non Combustible by Nature"). Lead lined to check radiation. Code No; 2 Hour Insulated, Flame, Smoke Radiation check Lead Lined Fire Door 57mm 2HR FRL  (120/120)  3  Criteria  -  INTEGRITY  /  INSULATION/  STABILITY  WOODEN
DOOR - Fire Door Tested in accordance to IS: 3614 Part 2.</t>
    </r>
  </si>
  <si>
    <r>
      <rPr>
        <sz val="11"/>
        <rFont val="Times New Roman"/>
        <family val="1"/>
      </rPr>
      <t xml:space="preserve">a)  </t>
    </r>
    <r>
      <rPr>
        <u/>
        <sz val="11"/>
        <rFont val="Times New Roman"/>
        <family val="1"/>
      </rPr>
      <t>Door</t>
    </r>
    <r>
      <rPr>
        <sz val="11"/>
        <rFont val="Times New Roman"/>
        <family val="1"/>
      </rPr>
      <t xml:space="preserve">  </t>
    </r>
    <r>
      <rPr>
        <u/>
        <sz val="11"/>
        <rFont val="Times New Roman"/>
        <family val="1"/>
      </rPr>
      <t>Frame</t>
    </r>
    <r>
      <rPr>
        <sz val="11"/>
        <rFont val="Times New Roman"/>
        <family val="1"/>
      </rPr>
      <t>:  Providing  Frames  for  Lead  Lined  Fire  resistant  door  shutters  1st  class Malaysian Hardwood Frame densified and pressure treated with fire retardant chemicals in vacuum impregnation vessel under 160 PSI pressure as per IS:401and kiln seasoned to moisture below 15% as per IS:1141 of section 140 X 70 mm with 45mm thick two layered 3mm Lead Line Sheets with 10mm overlap from either side &amp; spray quoted with 2 coats of In tumescent paint of minimum 200 micron, with 1 row of Brush- Type Astroflame® intumescent strip (imported) of size 10mmx4mm concealed in the groove of the Frame for fire and hot and cold smoke sealing, etc. complete as per direction of Engineer in Charge</t>
    </r>
  </si>
  <si>
    <t>b)  Shutter:  Providing  of  57mm  thick  asbestos  free  composite,  'TUFWUD'  brand  -  3 criteria - fire, heat and smoke check Lead Lined Door Shutter with flame guard of  120 minutes IS3614 part -II comprising of 2x9mm Calcium Silicate boards, Chemical treated internal timber with Fire retardant chemicals in pressure impregnation vessels under 160 PSI pressure as per IS:401and kiln seasoned to moisture below 15% as per IS:1141 frame work   of   100x30   mm   with   30mm   thick   infill   of   ceramic   fibre   (density   128 Kilograms/CMT) vermiculite mix, 3mm thick Lead Sheet on one side faced &amp; 3mm Fire retardant High Density Fibreboard, internally lipped with hardwood beading, and pasted in  Hydraulic  Press  under  50  tonnes  pressure,  spray quoted  with  2  coats  of  Intumescent paint of minimum 300 micron, and with 1 row of Brush- Type Astroflame® intumescent strip (imported) of size 10mmx4mm concealed for fire and smoke sealing in the grooves in the shutter on all edges except bottom, without any external lipping.</t>
  </si>
  <si>
    <t>Providing of  Lead Lined Door system with 120x60 mm Hardwood Frames, interlayered with  3mm  lead  and  44mm  Solid  core  flush  door  shutters  conforming  to  the  I.S. specification  2202-1991 (specification  for wooden flush door shutter – solid core type), interlayered with 3mm lead with prior approval of concerned Superitending Engineer.</t>
  </si>
  <si>
    <r>
      <rPr>
        <sz val="11"/>
        <rFont val="Times New Roman"/>
        <family val="1"/>
      </rPr>
      <t xml:space="preserve">a)  </t>
    </r>
    <r>
      <rPr>
        <u/>
        <sz val="11"/>
        <rFont val="Times New Roman"/>
        <family val="1"/>
      </rPr>
      <t>Door</t>
    </r>
    <r>
      <rPr>
        <sz val="11"/>
        <rFont val="Times New Roman"/>
        <family val="1"/>
      </rPr>
      <t xml:space="preserve">  </t>
    </r>
    <r>
      <rPr>
        <u/>
        <sz val="11"/>
        <rFont val="Times New Roman"/>
        <family val="1"/>
      </rPr>
      <t>Frame</t>
    </r>
    <r>
      <rPr>
        <sz val="11"/>
        <rFont val="Times New Roman"/>
        <family val="1"/>
      </rPr>
      <t>:  Providing  Frames  for  Lead  Lined  door  shutters  1st  class  Malaysian Hardwood Frame densified and pressure treated with fire retardant chemicals in vacuum impregnation vessel under 160 PSI pressure as per IS:401 and kiln seasoned to moisture below 15% as per IS:1141 of section 120 X 70 mm with 45mm thick two layered 3mm Lead Line Sheets being overlapped from either side, spray quoted with 2 coats of Enamel paint after one coat of white wood primer of minimum 200 micron etc. complete as per direction of Engineer in Charge. with prior approval of concerned Superitending Engineer.</t>
    </r>
  </si>
  <si>
    <r>
      <rPr>
        <sz val="11"/>
        <rFont val="Times New Roman"/>
        <family val="1"/>
      </rPr>
      <t xml:space="preserve">b)  </t>
    </r>
    <r>
      <rPr>
        <u/>
        <sz val="11"/>
        <rFont val="Times New Roman"/>
        <family val="1"/>
      </rPr>
      <t>Shutter</t>
    </r>
    <r>
      <rPr>
        <sz val="11"/>
        <rFont val="Times New Roman"/>
        <family val="1"/>
      </rPr>
      <t>:  Supplying  of  '  44mm  Solid  core  flush  door  shutters  conforming  to  the  I.S. specification  2202-1991 (specification  for wooden flush door shutter – solid core type). 32mm Wooden structure of 1st class Hardwood or Pinewood of at least 50mm width, top and  bottom  rails  of  75mm  width,  with  filler  material  without  any  gap  of  1st  Class Hardwood, or pine wood, all chemically treated for termite and borer resistance as per IS 401:2001  under  minimum  150  PSI  pressure,  and  seasoned  as  per  IS  1141:  1993  upto desired moisture level as per IS 287, with one side 3mm HDF &amp; other side 3mm lead &amp; 6mm  BWP  ply;  all  hot-pressed  with  Phenol  Formaldehyde  resin,  internally lipped  with hardwood beading, and pasted in Hydraulic Press under 50 tonnes pressure, spray quoted with 2 coats of enamel paint of minimum 300 micron. with prior approval of concerned Superitending Engineer.</t>
    </r>
  </si>
  <si>
    <t>water supply and sanitary</t>
  </si>
  <si>
    <t>Providing  and  fixing  Ductile  iron  Man  Hole Covers/  Strom Water  Grating and  Grating with frame of Various sizes, weight and types and load bearing capacity as per EN-124, equivalent NECO  with prior approval of concerned Superitending Engineer.</t>
  </si>
  <si>
    <r>
      <rPr>
        <sz val="11"/>
        <rFont val="Times New Roman"/>
        <family val="1"/>
      </rPr>
      <t>Supplying installation testing and commissoning of Hubless centrifugally cast iron pipes as per ISI 15905 equivalent to NECO inclusive of all necessary special fitting like bends, tees, and caps, 'Y' bends for cleaning offsets, junctions, cowls, etc. lad under floor/fixed on walls and in pipe shafts etc. complete. The quoted rate should include lead and lifting charges  to  all levels,  necessary scaffolding  and supports  like hanger  supports grip  bolts and  CV  sheet  304  grade  clamps  etc.  with  prior  approval  of  concerned  Superitending
Engineer.</t>
    </r>
  </si>
  <si>
    <t>a) 50 mm dia</t>
  </si>
  <si>
    <t>b) 65 mm dia</t>
  </si>
  <si>
    <t>c) 75 mm dia</t>
  </si>
  <si>
    <t>d) 100 mm dia</t>
  </si>
  <si>
    <t>e) 150 mm dia</t>
  </si>
  <si>
    <t>f) 200 mm dia</t>
  </si>
  <si>
    <t>g) 250 mm dia</t>
  </si>
  <si>
    <t>h) 300 mm dia</t>
  </si>
  <si>
    <t>Accoustic</t>
  </si>
  <si>
    <r>
      <rPr>
        <sz val="11"/>
        <rFont val="Times New Roman"/>
        <family val="1"/>
      </rPr>
      <t>Providing  &amp;  Fixing  in  position,  Acoustical  Panelling  made  from   Fabric  wrapped Compressed polyester fibre nonwoven 9 mm  panels on, 50 x 50 mm sal-wood frame of 600 x 600 c to c having wooden supports from wall of required length, in front of 1000 gsm  synthetic  wool  50  mm  thick  with  chicken  mesh  on  wall  side,  including  cost  of required  Cut-Outs,  decorative  mouldings  /  finishing-items  /  paint &amp; Scaffolding, as  per Architectural &amp; Acoustical Design &amp; Instructions &amp; Complete in all aspects.including all
materials labour,finishing etc complete</t>
    </r>
  </si>
  <si>
    <t>Providing &amp; Fixing in position, Acoustical Panelling made from Wood-wool board 20mm on, 50 x 50 mm Sal-wood frame of 600 x 600 c to c having wooden supports from wall of required length, in front of 1000 Gsm synthetic wool 50 mm thick with chicken mesh on wall side,  including  cost  of  required  Cut-Outs,  decorative mouldings  / finishing-items  / paint &amp; Scaffolding, as per Architectural &amp; Acoustical Design &amp; Instructions &amp; Complete in all aspects. including all materials labour,finishing etc complete</t>
  </si>
  <si>
    <t>Providing  &amp;  Fixing  in  position,  Acoustical  Panelling  made  from  Gypsum  plain  12mm panels on, 50 x 50 mm Sal-wood frame of 600 x 600 c to c having wooden supports from wall of required length, in front of 1000 Gsm synthetic wool 50 mm thick with chicken mesh on wall side, including cost of required Cut-Outs, decorative mouldings / finishing- items / paint &amp; Scaffolding, as per Architectural &amp; Acoustical Design &amp; Instructions &amp; Complete in all aspects.  including all materials labour,finishing etc complete</t>
  </si>
  <si>
    <r>
      <rPr>
        <sz val="11"/>
        <rFont val="Times New Roman"/>
        <family val="1"/>
      </rPr>
      <t>Providing &amp; Fixing in position, Acoustical Panelling made from 12mm wp Ply wood &amp; 1.5mm  laminate   on,  50  x  50  mm Sal-wood  frame  of  600  x 600  c to  c having  wooden supports from wall of required length, in front of 1000 Gsm synthetic wool 50 mm thick with   chicken   mesh   on  wall  side,   including   cost   of  required  Cut-Outs,   decorative mouldings  /  finishing-items  /  paint  &amp;  Scaffolding,  as  per  Architectural  &amp;  Acoustical Design &amp; Instructions &amp; Complete in all aspects.including  all materials labour,finishing
etc complete</t>
    </r>
  </si>
  <si>
    <t>Providing  &amp; Fixing in position Acoustical Doors along  with 150  x 150  mm teak  wood frame, doors made from 50mm Teak wood frame 600 x600 c to c filled with 1000 Gsm synthetic wool 50mm thick and 3mm Tecsound from both sides, 12mm waterproof ply &amp; veneer from both sides , including 150mm heavy duty SS hinges (Geze / Dorma or eq.)  4 no  each  leaf,   with  Door-closer  (Dorma  /  Geze  or  eq.)   including  cost  of  required  Cut- Outs,  decorative  mouldings  /  finishing-items  /  melamine  polish  &amp;  Scaffolding  as  per Architectural &amp; Acoustical Design &amp; Instructions &amp; Complete in all aspects .including all materials labour,finishing etc complete</t>
  </si>
  <si>
    <r>
      <rPr>
        <sz val="11"/>
        <rFont val="Times New Roman"/>
        <family val="1"/>
      </rPr>
      <t>Providing &amp; fixing in position Stage flooring Made from 18mm plywood 1200 x 2400 &amp; 18mm Teakwood planks 100 x 800 having tongue &amp; grove on Sal-wood frame of 50 x 100  at  600mm  c  to  c  on  stage  surface  including  cost  of  required  Cut-Outs,  decorative mouldings  /  finishing-items  /  polish  etc.,  as  per  Architectural  &amp;  Acoustical  Design  &amp; Instructions  &amp;  Complete  in  all  aspects.   .including  all  materials  labour,finishing  etc
complete</t>
    </r>
  </si>
  <si>
    <t>Providing &amp; Fixing in position, Acoustical Ceiling made from Gypsum Plain Panels on approved heavy duty G.I. frame ceiling channels at 450 c to c, &amp; intermediate channels not  more  than  1200  c  to  c,  along  with  ply wood  forms   suspended  with  Hangers  from Roof,  in  front  of  1000  Gsm synthetic  wool 50  mm thick,  with  Paint,  including  cost  of required   Cut-Outs,   decorative   mouldings   /   finishing-items   &amp;   Scaffolding,   as   per Architectural &amp; Acoustical Design &amp; Instructions &amp; Complete in all aspects.including all materials labour,finishing etc complete</t>
  </si>
  <si>
    <t>Providing &amp; Fixing in position, Acoustical Ceiling made from Compressed polyester fibre nonwoven 9mm  panels  on approved heavy duty GI frame 300 mm c to c &amp; intermediate channels  at  1200  mm  c  to  c,   suspended  with  Hangers  from  Roof,  including  cost  of required   Cut-Outs,   decorative   mouldings   /   finishing-items   &amp;   Scaffolding,   as   per Architectural &amp; Acoustical Design &amp; Instructions &amp; Complete in all aspects including all materials labour,finishing etc complete</t>
  </si>
  <si>
    <r>
      <rPr>
        <sz val="11"/>
        <rFont val="Times New Roman"/>
        <family val="1"/>
      </rPr>
      <t>Providing  &amp; Fixing in position, Acoustical Ceiling made from Rigitone 8/18 perforated panels on approved heavy duty G.I. frame, ceiling channels at 300 c to c, &amp; intermediate channels not more than 1200 c to c, suspended with Hangers from Roof, in front of 1000 Gsm  synthetic  wool  50  mm  thick,  with  Paint,  including  cost  of  required  Cut-Outs, decorative mouldings / finishing-items &amp; Scaffolding, as per Architectural &amp; Acoustical Design &amp; Instructions &amp; Complete in all aspects including all materials labour,finishing
etc complete</t>
    </r>
  </si>
  <si>
    <t>Providing &amp; Fixing in position, Acoustical Panelling made from 12mm thick Agro wood strips  of  50,  75  7  100  mm width  on  50  x  50  mm Sal-wood frame  of 600  x 600  c to  c having supports from wall of required length, in front of 1000 gsm synthetic wool 50 mm thick with approved coloured fabric on strips side &amp;  chicken mesh on wall side, including cost  of  required  Cut-Outs,  decorative  mouldings  /  finishing-items  /  Melamine  Polish  &amp; Scaffolding, as per Architectural &amp; Acoustical Design &amp; Instructions &amp; Complete in all aspects. including all materials labour,finishing etc complete</t>
  </si>
  <si>
    <t>Providing  &amp;  Fixing  in  position,  Fabric  wrapped  Compressed  polyester  fibre  nonwoven 9mm   panels  above  the  wood  wool  board  panelling  or  existing  sal  wood  frame,  using adhesive,  as  per  Architectural  &amp;  Acoustical  Design  &amp;  Instructions  &amp;  Complete  in  all aspects.  including all materials labour,finishing etc complete</t>
  </si>
  <si>
    <r>
      <rPr>
        <sz val="11"/>
        <rFont val="Times New Roman"/>
        <family val="1"/>
      </rPr>
      <t>Providing  &amp;  Fixing  in  position,   Partition  made  from  12mm  thick  Gypsum  from  both sides on 50 x 50 mm Sal-wood frame of 600 x 600 c to c, having  of 800 gsm synthetic wool 50 mm thick in between, including cost of required Cut-Outs &amp; Scaffolding, as per Architectural &amp; Acoustical Design &amp; Instructions &amp; Complete in all aspects including all
materials labour,finishing etc complete</t>
    </r>
  </si>
  <si>
    <r>
      <rPr>
        <sz val="11"/>
        <rFont val="Times New Roman"/>
        <family val="1"/>
      </rPr>
      <t>Providing &amp; Fixing in position, Carpet  more than 800+ gsm, made with100% stain proof fibres  of  approved  make  along  with  5mm  underlay  as  per  Architectural  &amp;  Acoustical Design &amp; Instructions &amp; Complete in all aspects  including all materials labour,finishing
etc complete</t>
    </r>
  </si>
  <si>
    <r>
      <rPr>
        <sz val="11"/>
        <rFont val="Times New Roman"/>
        <family val="1"/>
      </rPr>
      <t>Providing &amp; Fixing in position, 1000 mm wide Auto-glow Aluminium extruded strips on auditorium steps as per Design &amp; Instructions &amp; Complete in all aspects.  Make Piccolo or
Nexus</t>
    </r>
  </si>
  <si>
    <t>Providing &amp; Fixing in position, 12mm wp Ply wood &amp; 1.5mm laminate  panels above the fabricated frame on one side , as per Architectural &amp; Acoustical Design &amp; Instructions &amp; Complete in all aspects. including all materials labour,finishing etc complete</t>
  </si>
  <si>
    <r>
      <rPr>
        <sz val="11"/>
        <rFont val="Times New Roman"/>
        <family val="1"/>
      </rPr>
      <t>Providing &amp; Fixing in position, MS fabrication work using angles, sqr tubes, c channels etc  for various partition  frame as per Design &amp; Instructions &amp; Complete in all aspects .
including all materials labour,finishing etc complete</t>
    </r>
  </si>
  <si>
    <r>
      <rPr>
        <sz val="11"/>
        <rFont val="Times New Roman"/>
        <family val="1"/>
      </rPr>
      <t>Providing  &amp; Fixing in position, Under Deck insulation for metal deck using 1000 Gsm
synthetic wool with  fixed to deck using adhesive and chicken mesh.</t>
    </r>
  </si>
  <si>
    <t>Providing &amp; fixing in position, heavy duty fully upholstered Auditorium chairs 520 mm c to c tip-up type. Height of back should be less than 1030 mm with plastic protective cover on back and bottom having teak wood handles. Back to back distance is 1000mm. The auditorium  chairs should  be of  following specifications    1. Powder  Coated Heavy duty MS  Stand.  2.  Individually  moulded  ,  ergonomically  designed   seat  and  back  cushions. 3.Moulded     Polyurethane     Foam     cushion.     PU     foam      density     48     –     52 Kilograms/cu.mtr  4. Moulded  Polyurethane  Foam  manufactured  in  certified  ISO  9001 facility  to ensure consistency in density for longevity .5.Upholstered in Foam laminated stretch  sandwich  Fabric  for  clean  finish  and  soft  comfortable  feel  as  per  the  colour  &amp; pattern selected by the client. 6.Seat and Back should have moulded synthetic protective cover.  7.  Wooden  or  PU  armrest   65mm  x  20mm   -  330mm   long  .  8.Mounted  using Anchor fasteners.</t>
  </si>
  <si>
    <r>
      <rPr>
        <sz val="11"/>
        <rFont val="Times New Roman"/>
        <family val="1"/>
      </rPr>
      <t>Providing and Fixing Rollar Blinds AMI Make or approved make &amp; shade of 38mm round Aluminium  channel  with  Blackout  fabric  &amp;  telting  with  chain  (Ball)  system  with  all necessary  fixtures  and  fitting  etc.  complete.  (Sample  to  be  final  by Engineer  In-charge
prior execution of work)</t>
    </r>
  </si>
  <si>
    <r>
      <rPr>
        <sz val="11"/>
        <rFont val="Times New Roman"/>
        <family val="1"/>
      </rPr>
      <t>Providing  and  Fixing  Vertical  Blinds  of  approved  Make  and  shade  of  100mm  regular fabric with powder coated aluminium channel with telting  PVC chain &amp; bottom weight plate with all necessary fixtures and fitting etc. complete. (Sample to be final by Engineer
In-charge prior execution of work)</t>
    </r>
  </si>
  <si>
    <t>Furniture</t>
  </si>
  <si>
    <r>
      <rPr>
        <sz val="11"/>
        <rFont val="Times New Roman"/>
        <family val="1"/>
      </rPr>
      <t>Executive's  Table @ 1800Lx900Dx750HT
Providing &amp; Fixing of Table @ 1800Lx900Dx750HT - TOP &amp; GABLE END to be made of   Membrane  finish  with  soft  water  fall  edges  &amp;  curved  panel  &amp; Decorated  Anodized section MODESTY PANEL to be made of 18 mm thick Prelaminated particle board with PVC edge band as per drawing</t>
    </r>
  </si>
  <si>
    <r>
      <rPr>
        <sz val="11"/>
        <rFont val="Times New Roman"/>
        <family val="1"/>
      </rPr>
      <t>Pedestal Unit @ 420Lx450Dx650HT
Providing  &amp;  Fixing  of  PEDESTAL  @  420Lx450Dx650HT  :-  To  be  made  out  of Complete Membrane consist of three Drawers as per drawing.</t>
    </r>
  </si>
  <si>
    <r>
      <rPr>
        <sz val="11"/>
        <rFont val="Times New Roman"/>
        <family val="1"/>
      </rPr>
      <t>Credestal @ 1200Lx450Lx650HT
Providing &amp; Fixing of LOW HEIGHT CREDESTAL @ 1200L X 450D X 650H  :- To be made out of Membrane Finish ( 2 Openable Shutter &amp; 3 Drawer Pedestal in between )as per drawing.</t>
    </r>
  </si>
  <si>
    <r>
      <rPr>
        <sz val="11"/>
        <rFont val="Times New Roman"/>
        <family val="1"/>
      </rPr>
      <t>Executive   Table   @   2250Lx2100Dx750HT   including   Low   Height   Credestal   @ 1200Lx450Dx650HT  Providing  &amp;  Fixing  of  Table   @  2250Lx2100Dx750HT  TOP  &amp; GABLE END to be made of  Membrane finish with soft water fall edges &amp; curved panel &amp;  Decorated  Anodized  section  MODESTY  PANEL  to  be  made  of  18  mm  thick Prelaminated particle board with PVC edge band. INCLUDING CREDESTAL @ 1200L X 450D X 650H  :- To be made out of Membrane Finish ( 2 Openable Shutter &amp; 3 Drawer
Pedestal in between ) as per drawing.</t>
    </r>
  </si>
  <si>
    <r>
      <rPr>
        <sz val="11"/>
        <rFont val="Times New Roman"/>
        <family val="1"/>
      </rPr>
      <t>Medium Height Partition @ 1800/1200HT
TILE  BASED  PARTITION  SYSTEM:-   Tile  based  Aluminum  partition  system  of 1800/1200 mm ht. made of 60mm thk aluminum frames having two separate race ways for laying electrical &amp; computer wiring. The wire management shall be through to the race way to be fitted at bottom of partition and other immediately below of work top with hook on  type  raceway  cover  for  easy  access  of  wires.  Frames  to  be  joined  by  aluminum connectors with M6 x 16 pan-head machin screw and washer with aluminum post cover. Post  cover  of  snap  on  fashion  to  be  connected  on  aluminum  connectors.  All  visible aluminium to be in anodized finish. The top/ exposed sides of the frame and posts should be covered with horizontal/ Vertical trim and caps made of Aluminum in anodized finish in order to enhance its look.Upper tiles of partition to be in Soft Board or Marker tile of 9mm. thk., and prelaminated partical board lower tiles in laminate finish of 9mm. thk. on both the sides.</t>
    </r>
  </si>
  <si>
    <t>Running meter</t>
  </si>
  <si>
    <r>
      <rPr>
        <sz val="11"/>
        <rFont val="Times New Roman"/>
        <family val="1"/>
      </rPr>
      <t>Free Standing Table @ 1500Lx600Dx750HT
Providing  and  fixing  Table  of  Size  1500  x  600  x  750  mm.  Top:  made  from  25  mm Prelaminated  Particle  board.     All  edges  are  covered  by  2  mm.  Thk.  PVC  edge  bands glued by hot melt glue applied by auto edge banding machine.
Legs : C Shape made from CRCA Sheet with Powder Coat finish. Modesty panel : Made from 18mm both side prelaminated particle boards.All edges are covered by 0.8mm PVC edge bands glued by hot melt glue applied by auto edge banding machine.KEYBOARD TRAY  (  WITHOUT  MOUSE  TRAY  )  :-   Metal  Powder  Coated  -  Black  Color,  CPU TROLLEY  :-   Metal  Powder  Coated  -  Black  Color,  3  DRAWER  PEDESTAL  UNIT having overall size 392L x 450D x 680Ht. mm. with central lock and key. Drawers and body are complete metal with powder coat finish, facia in 18 mm prelaminated particle
board,</t>
    </r>
  </si>
  <si>
    <r>
      <rPr>
        <u/>
        <sz val="11"/>
        <rFont val="Times New Roman"/>
        <family val="1"/>
      </rPr>
      <t xml:space="preserve">Free Standing Table @ 1350Lx600Dx750HT
</t>
    </r>
    <r>
      <rPr>
        <sz val="11"/>
        <rFont val="Times New Roman"/>
        <family val="1"/>
      </rPr>
      <t>Providing  and  fixing  Table  of  Size  1350  x  600  x  750  mm.  Top:  made  from  25  mm Prelaminated  Particle  board.     All  edges  are  covered  by  2  mm.  Thk.  PVC  edge  bands glued by hot melt glue applied by auto edge banding machine.
Legs : C Shape made from CRCA Sheet with Powder Coat finish. Modesty panel : Made from 18mm both side prelaminated particle boards.All edges are covered by 0.8mm PVC edge bands glued by hot melt glue applied by auto edge banding machine.KEYBOARD TRAY  (  WITHOUT  MOUSE  TRAY  )  :-   Metal  Powder  Coated  -  Black  Color,  CPU TROLLEY  :-   Metal  Powder  Coated  -  Black  Color,  3  DRAWER  PEDESTAL  UNIT having overall size 392L x 450D x 680Ht. mm. with central lock and key. Drawers and body are complete metal with powder coat finish, facia in 18 mm prelaminated particle
board,</t>
    </r>
  </si>
  <si>
    <r>
      <rPr>
        <sz val="11"/>
        <rFont val="Times New Roman"/>
        <family val="1"/>
      </rPr>
      <t>Free Standing Table @ 1200Lx600Dx750HT
Providing  and  fixing  Table  of  Size  1200  x  600  x  750  mm.  Top:  made  from  25  mm Prelaminated  Particle  board.     All  edges  are  covered  by  2  mm.  Thk.  PVC  edge  bands glued by hot melt glue applied by auto edge banding machine.
Legs : C Shape made from CRCA Sheet with Powder Coat finish. Modesty panel : Made from 18mm both side prelaminated particle boards.All edges are covered by 0.8mm PVC edge bands glued by hot melt glue applied by auto edge banding machine.KEYBOARD TRAY  (  WITHOUT  MOUSE  TRAY  )  :-   Metal  Powder  Coated  -  Black  Color,  CPU TROLLEY  :-   Metal  Powder  Coated  -  Black  Color,  3  DRAWER  PEDESTAL  UNIT having overall size 392L x 450D x 680Ht. mm. with central lock and key. Drawers and body are complete metal with powder coat finish, facia in 18 mm prelaminated particle
board,</t>
    </r>
  </si>
  <si>
    <r>
      <rPr>
        <sz val="11"/>
        <rFont val="Times New Roman"/>
        <family val="1"/>
      </rPr>
      <t>Library Area Table @ 1350Lx750Dx750HT
Providing &amp; Fixing of FREE STANDING TABLE @ 1350Lx750Dx 750HT:- TOP to be made of 25 mm thick Prelaminated particle board with PVC edge band,  BENT LEG to be CHROME FINISH as per drawing.</t>
    </r>
  </si>
  <si>
    <r>
      <rPr>
        <sz val="11"/>
        <rFont val="Times New Roman"/>
        <family val="1"/>
      </rPr>
      <t>Providing &amp; Fixing Curviliner Workstation @ 1500/1500Lx600/600Dx750HT Providing    &amp;    Fixing    Curviliner    Workstation    @    1500/1500Lx600/600Dx750HT,
Curvilinear  Table  Top  @  1500/1500Lx600/600D  :-  TOP  to  be  made  of  25  mm  thick Prelaminated  particle board with PVC edge band,  GABLE END to be made of 25 mm thick   Prelaminated   particle   board   with   PVC   edge   band,   KEYBOARD   TRAY   ( WITHOUT MOUSE TRAY ) :-  Metal Powder Coated - Black Color, CPU TROLLEY :- Metal Powder Coated - Black Color, along with 3 DRAWER PEDESTAL UNIT having overall size 392L x 450D x 680Ht. mm. with central lock and key. 3 Drawers and body are complete metal with powder coat finish, facia in 18 mm prelaminated particle board,</t>
    </r>
  </si>
  <si>
    <r>
      <rPr>
        <sz val="11"/>
        <rFont val="Times New Roman"/>
        <family val="1"/>
      </rPr>
      <t>Conference Table @ 3600Lx1400Dx750HT
Providing  &amp;  Fixing  of  Main  Table  @  3600Lx1400Dx750HT  -  made  up  of  18+18mm Thick  MDF  top  with  PVC  Membrane  finish  and  waterfall  edge  profile.  Aluminium Anodizied finish beeding of 4mm thich is running all over the table top edge. Gable ends is Aerofoiled Shape with front edges in PVC Membrane finish and rest in Prelaminated MDF with batton structure. Gable ends should be hollow from inside for the provision of passing  electrical and Data  wiring. ,  MODESTY PANEL:- to be  made of  18 mm thick Prelaminated particle board with PVC edge band Access Flap:- For Wire manager 2 Nos.</t>
    </r>
  </si>
  <si>
    <r>
      <rPr>
        <sz val="11"/>
        <rFont val="Times New Roman"/>
        <family val="1"/>
      </rPr>
      <t>Conference Table @ 1800 x 900 x 750 mm Ht.
Providing &amp; Fixing of Main Table @ 1800Lx900Dx750HT - made up of 18+18mm Thick MDF top with PVC Membrane finish and waterfall edge profile. Aluminium Anodizied finish  beeding  of  4mm  thich  is  running  all  over  the  table  top  edge.  Gable  ends  is Aerofoiled  Shape  with  front  edges  in  PVC  Membrane  finish  and  rest  in  Prelaminated MDF with batton structure. Gable ends should be hollow from inside for the provision of passing  electrical and Data  wiring. ,  MODESTY PANEL:- to be  made of  18 mm thick Prelaminated particle board with PVC edge band Access Flap:- For Wire manager 1 Nos.</t>
    </r>
  </si>
  <si>
    <r>
      <rPr>
        <sz val="11"/>
        <rFont val="Times New Roman"/>
        <family val="1"/>
      </rPr>
      <t>12 Seater Reading Table for Library @ 3600Lx1200Dx750HT
Providing  and  Fixing  12  Seater  Reading  Table  for  Liberary  @  3600Lx1200Dx750HT Top:  made  from 25  mm Prelaminated  Particle  board.   All edges  are  covered  by 2  mm. Thk.  PVC  edge  bands  glued  by  hot  melt  glue  applied  by  auto  edge  banding  machine. Gable Ends : made from 25 mm Prelaminated Particle board.  All edges are covered by 2 mm. Thk. PVC edge bands glued by hot melt glue applied by auto edge banding machine. Modesty panel : Made from 18mm both side prelaminated particle boards.All edges are covered by 0.8mm PVC edge bands glued by hot melt glue applied by auto edge banding machine.</t>
    </r>
  </si>
  <si>
    <r>
      <rPr>
        <sz val="11"/>
        <rFont val="Times New Roman"/>
        <family val="1"/>
      </rPr>
      <t>3 DRAWER PEDESTAL UNIT @ 392L x 450D x 680Ht. mm.
3  DRAWER  PEDESTAL  UNIT  having  overall  size  392L  x  450D  x  680Ht.  mm.  with central  lock  and  key.  3  Drawers  and  body are  complete  metal  with  powder  coat  finish, facia in 18 mm prelaminated particle board.</t>
    </r>
  </si>
  <si>
    <r>
      <rPr>
        <sz val="11"/>
        <rFont val="Times New Roman"/>
        <family val="1"/>
      </rPr>
      <t>Low Height Openable Storage @ 900Lx450x750HT
Providing  and  fixing  Openable  Steel  Storage  of  900  x  450  x  750Ht,  with  2  adjustable shelves, Complete body &amp; shutter made in  0.8 mm thick &amp; Top in 2 mm thick CRCA, 2 Shutter to be mounted with the help of cup hinges, and 4 adjustable levelers, enitre storage in powder coated finish with 60 to 80 microns. with 25 mm. thk additional Top on top of storage as as per drawing</t>
    </r>
  </si>
  <si>
    <r>
      <rPr>
        <sz val="11"/>
        <rFont val="Times New Roman"/>
        <family val="1"/>
      </rPr>
      <t>Medium Height Steel Storage @ 750Lx450Dx1200HT
Providing  and fixing Openable Steel Storage of 750 x 450 x 1200Ht, with 2 adjustable shelves, Complete body &amp; shutter made in  0.8 mm thick &amp; Top in 2 mm thick CRCA, 2 Shutter to be mounted with the help of cup hinges, and 4 adjustable levelers, enitre storage in powder coated finish with 60 to 80 microns. with 25 mm. thk. as per drawing.</t>
    </r>
  </si>
  <si>
    <r>
      <rPr>
        <sz val="11"/>
        <rFont val="Times New Roman"/>
        <family val="1"/>
      </rPr>
      <t>Full Height Steel Storage @ 750Lx450Dx2100HT
Providing  and fixing Openable Steel Storage of 750 x 450 x 2100Ht, with 4 adjustable shelves, Complete body &amp; shutter made in  0.8 mm thick &amp; Top  in 2 mm thick CRCA, 4 Shutter to be mounted with the help of cup hinges, and 4 adjustable levelers, enitre storage in powder coated finish with 60 to 80 microns as as per drawing.</t>
    </r>
  </si>
  <si>
    <r>
      <rPr>
        <sz val="11"/>
        <rFont val="Times New Roman"/>
        <family val="1"/>
      </rPr>
      <t>Multiple Compartment Lockers @ 1140Lx 457D x 1830 mm. Ht.
Providing  and fixing Multiple Compartment Lockers  @ 1140Lx  457D x  1830 mm.  Ht. with  12  Compartments  ,  Complete  body &amp;  shutter  made  of  CRCA  Sheet  with  powder coated finish as per approved color.</t>
    </r>
  </si>
  <si>
    <r>
      <rPr>
        <sz val="11"/>
        <rFont val="Times New Roman"/>
        <family val="1"/>
      </rPr>
      <t>Book Case with Glass Shutter @ 825Lx300Dx1650HT
Providing  &amp;  Fixing  of  Book  Case  with  Glass  Shutter  @  825Lx300Dx1650HT:- To  be made out of complete body &amp; in 0.7mm thick CRCA &amp; Shutter in 1.2mm thick CRCA with glass pannel in Powder coating finish as per drawing.</t>
    </r>
  </si>
  <si>
    <r>
      <rPr>
        <sz val="11"/>
        <rFont val="Times New Roman"/>
        <family val="1"/>
      </rPr>
      <t>Providing &amp; Arrangemnt of High Back, Synchronized Mechanism with Multiple Locking, Adjustable Armrest, Gaslift for Seat height adjustment, Standard 5-prong P/Nylon Base
with Leatherite Upholstery</t>
    </r>
  </si>
  <si>
    <r>
      <rPr>
        <sz val="11"/>
        <rFont val="Times New Roman"/>
        <family val="1"/>
      </rPr>
      <t>Providing   &amp;   Arrangemnt   of   High   Back   Chair   -   TILT   MECHANISM   WITH MULTILOCKING,  HIGH  DENSITY  CUSHION  ON  SEAT  COMPOSITE  LEATHER WITH   METALLIC   SILVER   FINISH   BASE   AND   ARMS   WITH   P.U.CASTORS
GASLIFT FOR HEIGHT ADJUSTMENT.</t>
    </r>
  </si>
  <si>
    <t>Providing  &amp;  Arrangemnt  of  MId  Back,  Normal  Syncro   Mechanism  ,  Fixed  Armrest  , Gaslift for Seat height adjustment, Standard 5-prong/Nylon Base with Leather Upholstery</t>
  </si>
  <si>
    <t>Providing &amp; Arrangemnt of Mid Back, ECO CTS Mechanism , Fixed Armrest , Gaslift for Seat height adjustment, Standard 5-prong P/Nylon Base with Fabric Upholstery</t>
  </si>
  <si>
    <r>
      <rPr>
        <sz val="11"/>
        <rFont val="Times New Roman"/>
        <family val="1"/>
      </rPr>
      <t>Public Seating Chair. - 3 Seater
Providing and Fixing 3 seater Public seating chair made of complete metal with Legs in Crome finish and seates in silver powder coating finish.</t>
    </r>
  </si>
  <si>
    <r>
      <rPr>
        <sz val="11"/>
        <rFont val="Times New Roman"/>
        <family val="1"/>
      </rPr>
      <t>Double Faced Mobile Unit for Compactor 2150mmH x 2745mmW x 900mmD
Providing and fixing Double Faced Mobile Unit for Compactor 2150mmH x 2745mmW x 900mmD   -  BASE  FRAME  :  Base  Frame  shall  be  fabricated  in  channel  Type  from minimum 2.5  mm thick  MS Sheet  Size of  Channel  25mm x 100mm x 45mm.  GUIDE RAILS : The guide rails shall be made out of 28mm Bright bar placed on 1.2 mm thick
M.S.  Plate  which  will  be  above  the  floor  and  are  as  per  the  international  standard  of safety. SUPER STRUCTURE : Super structure of the Mobile storage system will consist of knock down type panels.  All the components such as shelves, front panel, end panel, vertical  rear  panel,  central  partition  etc.  Will  act  as  an  integral  member  of  the  Unit. SHELVES : Shelves made of 22SWG thick Prime Quality C.R.C.A. having 10  folds each will be provided  each designed to carry a U.D.L. of 70 Kilograms. VERTICAL PANEL : Vertical panel consists of the front, Centre &amp; rear panel shall be made out of 20SWG thick
C.R.C.A.  Prime  quality  Mild  Steel  &amp;  designed  to  take  the  load  of  shelves.  DRIVE COVER PANEL : Made out of 22SWG thick C. R.C. A. prime quality Steel to cover the entire drive mechanism. CENTRE PARTITION : The Centre partition will comprise of a full  C.R.C.A.  prime  quality  Mild  Steel  22SWG  Sheet.  LOCKING   :   System  will  be provided with individual rack locking as well as centralised locking arrangement on the last unit when all units are brought together,  central lock when operated gets locked with the  floor  &amp;  does  not  allow  access  to  the  units.  DRIVE  MECHANISM   :   Driving Mechanism  will be provided externally supported on special grade anti-friction bearing to have  smooth  &amp;  effortless  movement.  Entire  mechanism  or  gear  &amp;  sprockets  shall  be incorporated  within  the  front  panel  provided  in  the  front  of  the  unit  within  an  area  of 1000mm x 200mm x 60mm.  DRIVING WHEEL : Fully Powder Coated three pronged drive wheel for better torque &amp; free movement of the rack over the guide rail. INDEXING ARRANGEMENT   :   Acrylic    card   holders   provided   on   the   front   panel   for    easy identification  &amp;  retrieval.  FINAL  FINISH  :  Powder  Coating  (8  tanks  process  with  70 microns).</t>
    </r>
  </si>
  <si>
    <r>
      <rPr>
        <sz val="11"/>
        <rFont val="Times New Roman"/>
        <family val="1"/>
      </rPr>
      <t>Single Faced Mobile Unit for Compactor 2150mmH x 2745mmW x 457mmD
Providing and fixing Single Faced Mobile Unit for Compactor 2150mmH x 2745mmW x 457mmD   -  BASE  FRAME  :  Base  Frame  shall  be  fabricated  in  channel  Type  from minimum 2.5  mm thick  MS Sheet  Size of  Channel  25mm x 100mm x 45mm.  GUIDE RAILS : The guide rails shall be made out of 28mm Bright bar placed on 1.2 mm thick
M.S.  Plate  which  will  be  above  the  floor  and  are  as  per  the  international  standard  of safety. SUPER STRUCTURE : Super structure of the Mobile storage system will consist of knock down type panels.  All the components such as shelves, front panel, end panel, vertical  rear  panel,  central  partition  etc.  Will  act  as  an  integral  member  of  the  Unit. SHELVES : Shelves made of 22SWG thick Prime Quality C.R.C.A. having 10  folds each will be provided  each designed to carry a U.D.L. of 70 Kilograms. VERTICAL PANEL : Vertical panel consists of the front, Centre &amp; rear panel shall be made out of 20SWG thick
C.R.C.A.  Prime  quality  Mild  Steel  &amp;  designed  to  take  the  load  of  shelves.  DRIVE COVER PANEL : Made out of 22SWG thick C. R.C. A. prime quality Steel to cover the entire drive mechanism. CENTRE PARTITION : The Centre partition will comprise of a full  C.R.C.A.  prime  quality  Mild  Steel  22SWG  Sheet.  LOCKING   :   System  will  be provided with individual rack locking as well as centralised locking  arrangement on the last unit when all units are brought together,  central lock when operated gets locked with the  floor  &amp;  does  not  allow  access  to  the  units.  DRIVE  MECHANISM   :   Driving Mechanism  will be provided externally supported on special grade anti-friction bearing to have  smooth  &amp;  effortless  movement.  Entire  mechanism  or  gear  &amp;  sprockets  shall  be incorporated  within  the  front  panel  provided  in  the  front  of  the  unit  within  an  area  of 1000mm x 200mm x 60mm.  DRIVING WHEEL : Fully Powder Coated three pronged drive wheel for better torque &amp; free movement of the rack over the guide rail. INDEXING ARRANGEMENT   :   Acrylic    card   holders   provided   on   the   front   panel   for    easy identification  &amp;  retrieval.  FINAL  FINISH  :  Powder  Coating  (8  tanks  process  with  70 microns).</t>
    </r>
  </si>
  <si>
    <r>
      <rPr>
        <sz val="11"/>
        <rFont val="Times New Roman"/>
        <family val="1"/>
      </rPr>
      <t>Single Faced Fixed Unit for Compactor 2150mmH x 2745mmW x 457mmD
Providing and fixing Single Faced Fixed Unit for Compactor 2150mmH x 2745mmW x 457mmD   -  BASE  FRAME  :  Base  Frame  shall  be  fabricated  in  channel  Type  from minimum 2.5  mm thick  MS Sheet  Size of  Channel  25mm x 100mm x 45mm.  GUIDE RAILS : The guide rails shall be made out of 28mm Bright bar placed on 1.2 mm thick
M.S.  Plate  which  will  be  above  the  floor  and  are  as  per  the  international  standard  of safety. SUPER STRUCTURE : Super structure of the Mobile storage system will consist of knock down type panels.  All the components such as shelves, front panel, end panel, vertical  rear  panel,  central  partition  etc.  Will  act  as  an  integral  member  of  the  Unit. SHELVES : Shelves made of 22SWG thick Prime Quality C.R.C.A. having 10  folds each will be provided  each designed to carry a U.D.L. of 70 Kilograms. VERTICAL PANEL : Vertical panel consists of the front, Centre &amp; rear panel shall be made out of 20SWG thick
C.R.C.A.  Prime  quality  Mild  Steel  &amp;  designed  to  take  the  load  of  shelves.  DRIVE COVER PANEL : Made out of 22SWG thick C. R.C. A. prime quality Steel to cover the entire drive mechanism. CENTRE PARTITION : The Centre partition will comprise of a full  C.R.C.A.  prime  quality  Mild  Steel  22SWG  Sheet.  LOCKING   :   System  will  be provided  with individual rack locking as well as centralised locking arrangement on the last unit when all units are brought together,  central lock when operated gets locked with the  floor  &amp;  does  not  allow  access  to  the  units.  DRIVE  MECHANISM   :   Driving Mechanism  will be provided externally supported on special grade anti-friction bearing to have  smooth  &amp;  effortless  movement.  Entire  mechanism  or  gear  &amp;  sprockets  shall  be incorporated  within  the  front  panel  provided  in  the  front  of  the  unit  within  an  area  of 1000mm x 200mm x 60mm.  DRIVING WHEEL : Fully Powder Coated three pronged drive wheel for better torque &amp; free movement of the rack over the guide rail. INDEXING ARRANGEMENT   :   Acrylic    card   holders   provided   on   the   front   panel   for    easy identification  &amp;  retrieval.  FINAL  FINISH  :  Powder  Coating  (8  tanks  process  with  70 microns).</t>
    </r>
  </si>
  <si>
    <r>
      <rPr>
        <sz val="11"/>
        <rFont val="Times New Roman"/>
        <family val="1"/>
      </rPr>
      <t>Double Faced Mobile Unit for Compactor 2150mmH x 1830mmW x 900mmD
Providing and fixing Double Faced Mobile Unit for Compactor 2150mmH x 1830mmW x 900mmD   -  BASE  FRAME  :  Base  Frame  shall  be  fabricated  in  channel  Type  from minimum 2.5  mm thick  MS Sheet  Size of  Channel  25mm x 100mm x 45mm.  GUIDE RAILS : The guide rails shall be made out of 28mm Bright bar placed on 1.2 mm thick
M.S.  Plate  which  will  be  above  the  floor  and  are  as  per  the  international  standard  of safety. SUPER STRUCTURE : Super structure of the Mobile storage system will consist of knock down type panels.  All the components such as shelves, front panel, end panel, vertical  rear  panel,  central  partition  etc.  Will  act  as  an  integral  member  of  the  Unit. SHELVES : Shelves made of 22SWG thick Prime Quality C.R.C.A. having 10  folds each will be provided  each designed to carry a U.D.L. of 70 Kilograms. VERTICAL PANEL : Vertical panel consists of the front, Centre &amp; rear panel shall be made out of 20SWG thick
C.R.C.A.  Prime  quality  Mild  Steel  &amp;  designed  to  take  the  load  of  shelves.  DRIVE COVER PANEL : Made out of 22SWG thick C. R.C. A. prime quality Steel to cover the entire drive mechanism. CENTRE PARTITION : The Centre partition will comprise of a full  C.R.C.A.  prime  quality  Mild  Steel  22SWG  Sheet.  LOCKING   :   System  will  be provided with individual rack locking as well as centralised locking arrangement on the last unit when all units are brought together,  central lock when operated gets locked with the  floor  &amp;  does  not  allow  access  to  the  units.  DRIVE  MECHANISM   :   Driving Mechanism  will be provided externally supported on special grade anti-friction bearing to have  smooth  &amp;  effortless  movement.  Entire  mechanism  or  gear  &amp;  sprockets  shall  be incorporated  within  the  front  panel  provided  in  the  front  of  the  unit  within  an  area  of 1000mm x 200mm x 60mm.  DRIVING WHEEL : Fully Powder Coated three pronged drive wheel for better torque &amp; free movement of the rack over the guide rail. INDEXING ARRANGEMENT   :   Acrylic    card   holders   provided   on   the   front   panel   for    easy identification  &amp;  retrieval.  FINAL  FINISH  :  Powder  Coating  (8  tanks  process  with  70 microns).</t>
    </r>
  </si>
  <si>
    <r>
      <rPr>
        <sz val="11"/>
        <rFont val="Times New Roman"/>
        <family val="1"/>
      </rPr>
      <t>Single Faced Mobile Unit for Compactor 2150mmH x 1830mmW x 457mmD
Providing and fixing Single Faced Mobile Unit for Compactor 2150mmH x 1830mmW x 457mmD   -  BASE  FRAME  :  Base  Frame  shall  be  fabricated  in  channel  Type  from minimum 2.5  mm thick  MS Sheet  Size of  Channel  25mm x 100mm x 45mm.  GUIDE RAILS : The guide rails shall be made out of 28mm Bright bar placed on 1.2 mm thick
M.S.  Plate  which  will  be  above  the  floor  and  are  as  per  the  international  standard  of safety. SUPER STRUCTURE : Super structure of the Mobile storage system will consist of knock down type panels.  All the components such as shelves, front panel, end panel, vertical  rear  panel,  central  partition  etc.  Will  act  as  an  integral  member  of  the  Unit. SHELVES : Shelves made of 22SWG thick Prime Quality C.R.C.A. having 10  folds each will be provided  each designed to carry a U.D.L. of 70 Kilograms. VERTICAL PANEL : Vertical panel consists of the front, Centre &amp; rear panel shall be made out of 20SWG thick
C.R.C.A.  Prime  quality  Mild  Steel  &amp;  designed  to  take  the  load  of  shelves.  DRIVE COVER PANEL : Made out of 22SWG thick C. R.C. A. prime quality Steel to cover the entire drive mechanism. CENTRE PARTITION : The Centre partition will comprise of a full  C.R.C.A.  prime  quality  Mild  Steel  22SWG  Sheet.  LOCKING   :   System  will  be provided with individual rack locking as well as centralised locking arrangement on the last unit when all units are brought together,  central lock when operated gets locked with the  floor  &amp;  does  not  allow  access  to  the  units.  DRIVE  MECHANISM   :   Driving Mechanism  will be provided externally supported on special grade anti-friction bearing to have  smooth  &amp;  effortless  movement.  Entire  mechanism  or  gear  &amp;  sprockets  shall  be incorporated  within  the  front  panel  provided  in  the  front  of  the  unit  within  an  area  of 1000mm x 200mm x 60mm.  DRIVING WHEEL : Fully Powder Coated three pronged drive wheel for better torque &amp; free movement of the rack over the guide rail. INDEXING ARRANGEMENT   :   Acrylic    card   holders   provided   on   the   front   panel   for    easy identification  &amp;  retrieval.  FINAL  FINISH  :  Powder  Coating  (8  tanks  process  with  70 microns).</t>
    </r>
  </si>
  <si>
    <r>
      <rPr>
        <sz val="11"/>
        <rFont val="Times New Roman"/>
        <family val="1"/>
      </rPr>
      <t>Single Faced Fixed Unit for Compactor 2150mmH x 1830mmW x 457mmD
Providing and fixing Single Faced Fixed Unit for Compactor 2150mmH x 1830mmW x 457mmD   -  BASE  FRAME  :  Base  Frame  shall  be  fabricated  in  channel  Type  from minimum 2.5  mm thick  MS Sheet  Size of  Channel  25mm x 100mm x 45mm.  GUIDE RAILS : The guide rails shall be made out of 28mm Bright bar placed on 1.2 mm thick
M.S.  Plate  which  will  be  above  the  floor  and  are  as  per  the  international  standard  of safety. SUPER STRUCTURE : Super structure of the Mobile storage system will consist of knock down type panels.  All the components such as shelves, front panel, end panel, vertical  rear  panel,  central  partition  etc.  Will  act  as  an  integral  member  of  the  Unit. SHELVES : Shelves made of 22SWG thick Prime Quality C.R.C.A. having 10  folds each will be provided  each designed to carry a U.D.L. of 70 Kilograms. VERTICAL PANEL : Vertical panel consists of the front, Centre &amp; rear panel shall be made out of 20SWG thick
C.R.C.A.  Prime  quality  Mild  Steel  &amp;  designed  to  take  the  load  of  shelves.  DRIVE COVER PANEL : Made out of 22SWG thick C. R.C. A. prime quality Steel to cover the entire drive mechanism. CENTRE PARTITION : The Centre partition will comprise of a full  C.R.C.A.  prime  quality  Mild  Steel  22SWG  Sheet.  LOCKING   :   System  will  be provided with individual rack locking as well as centralised locking arrangement on the last unit when all units are brought together,  central lock when operated gets locked with the  floor  &amp;  does  not  allow  access  to  the  units.  DRIVE  MECHANISM   :   Driving Mechanism  will be provided externally supported on special grade anti-friction bearing to have  smooth  &amp;  effortless  movement.  Entire  mechanism  or  gear  &amp;  sprockets  shall  be incorporated  within  the  front  panel  provided  in  the  front  of  the  unit  within  an  area  of 1000mm x 200mm x 60mm.  DRIVING WHEEL : Fully Powder Coated three pronged drive wheel for better torque &amp; free movement of the rack over the guide rail. INDEXING ARRANGEMENT   :   Acrylic    card   holders   provided   on   the   front   panel   for    easy identification  &amp;  retrieval.  FINAL  FINISH  :  Powder  Coating  (8  tanks  process  with  70 microns).</t>
    </r>
  </si>
  <si>
    <r>
      <rPr>
        <sz val="11"/>
        <rFont val="Times New Roman"/>
        <family val="1"/>
      </rPr>
      <t>Stool for Lab and Class-IV
Providing and fixing 4 legged Lab stool, Legs made of 16 Guage 45 MM Outer dimension MS Pipe, Duly painted, With a 304 Grade Stainless steel 12 inch wide seat with a 1 inch collar,  Height  adjustment  via  a  screw.  as  per  design  and  drawing  and  instructions  of
Engineer in charge.</t>
    </r>
  </si>
  <si>
    <r>
      <rPr>
        <sz val="11"/>
        <rFont val="Times New Roman"/>
        <family val="1"/>
      </rPr>
      <t>Alluminium foldable ladder for store
Providing &amp; Fixing Foldable Alluminum Ladder 1500 mm. Ht.</t>
    </r>
  </si>
  <si>
    <r>
      <rPr>
        <sz val="11"/>
        <rFont val="Times New Roman"/>
        <family val="1"/>
      </rPr>
      <t>Sofa Set 3+1+1
Providing  &amp;  fixing   Sofa  Set  3+1+1  Brown  and  Cream  leather  DIMENSION  Length:
182.5 (cms)  Breadth (cms): 100 (cms)Height (cms): 100 (cms) Weight (Kilograms): 66 (Kilogram) Seating Capacity: Five Seat</t>
    </r>
  </si>
  <si>
    <r>
      <rPr>
        <sz val="11"/>
        <rFont val="Times New Roman"/>
        <family val="1"/>
      </rPr>
      <t>Tea Table 900mm X 750mm X 450mm for m.s. ante chamber
Providing  And  Fixing  Of  Tea  Table  900mm  X  750mm  X  450mm  With  12mm  Thick Colour  Eitched  Tempered  Glass  With  Bevelled  Drawing  Made  Out   Of  18mm  Thick Waterproofing  Ply.  The  Outer  Laces  To  Be  Finished  With  High  Quality  4  Mm  Thik Veneer Or 1 Mm Thik Mica Etc.</t>
    </r>
  </si>
  <si>
    <r>
      <rPr>
        <sz val="11"/>
        <rFont val="Times New Roman"/>
        <family val="1"/>
      </rPr>
      <t>Single Bed @ 2025LX 1000DX 650H
Providing and fixing Single Bed of Size 2025Lx1000Dx650H  with matress and pillow. Understructure: - The legs are made of Square tube of size 25 x 25mm made out of MS with  a  thickness  of  1.2  mm.  The  legs  should  have  corner  brackets  welded  to  it  at  two levels. The corner brackets are made of 2mm thick CRCA having a L shaped structure to join  the  side  panels  and  headboard  to  the  leg.  Three  nos.  of  Horizontal  stiffeners  are provided  at  equal intervals.  The  stiffeners  are  made  of  Square  tube  of  size  25 x  25mm made out of MS with a thickness  of 1.2mm.  The middle  Horizontal Stiffener  has a  leg attached to it to transfer the load to the ground and add to the strength and stability of the complete structure. This leg is also made of Square tube of size 25 x 25mm made out of MS  with  a  thickness  of  1.2mm.  All  Metal  components  to  undergo  7  tank  treatment process and should be powder coated to the thickness of minimum 50 Microns DFT.Side Panel: - The side panels are made up of 18mm thick Prelam Particle Board with both side decorative  laminate.  All exposed  edges  are  sealed  with  2mm thick  PVC  edge  Banding. The overall width of the side panel is 150mm. The side panels have 18mm thick prelam particle  board  Baton  running  for  required  length  to  add  rigidity  to  the  structure.  Head Board :- The head board is made up of 18mm thick Prelam Particle Board with both side decorative  laminate.  All exposed  edges  are  sealed  with  2mm thick  PVC  edge  Banding. The head board size to be considered as 1000 x 650mm. Foot Board :- The foot board is made  up  of  18mm  thick  Prelam  Particle  Board  with  both  side  decorative  laminate.  All exposed edges are sealed with 2mm thick PVC edge Banding. The head board size to be considered as 1000 x 450mm.
Bed Base: - The Bed Base is made up of 12mm thick Prelam Particle Board with both side White laminate.</t>
    </r>
  </si>
  <si>
    <r>
      <rPr>
        <sz val="11"/>
        <rFont val="Times New Roman"/>
        <family val="1"/>
      </rPr>
      <t>Dressing Table @400LX 400DX 1800H
Providing &amp; Fixing Dressing Table of size 400LX 400DX 1800H.The Dressing table unit is made up of 18mm thick Prelam Particle Board with both side decorative laminate. All exposed edges are sealed with 2mm thick PVC edge Banding. The unit has one drawer and one shelf. The dressing table has a mirror of 4mm thick pasted on 18mm thick prelm particle board attached to the base unit. The mirror size considered is 1155 x 360 x 4(t). The mirror has been pasted using high quality 3M sticker.</t>
    </r>
  </si>
  <si>
    <r>
      <rPr>
        <sz val="11"/>
        <rFont val="Times New Roman"/>
        <family val="1"/>
      </rPr>
      <t>Wardrobe with Mirror @ 900LX 600DX 1965H
Providing and Fixing Wardrobe with Mirror of size 900LX 600DX 1965H   The wardrobe side panels and doors are made up of 18mm thick Prelam Particle Board with both side decorative  laminate.  All exposed  edges  are  sealed  with  2mm thick  PVC  edge  Banding. The shelves are made of 18mm thick Prelam Particle Board with decorative laminate on both sides. The top is made of 36mm prelam particle board with decorative laminate on both sides. (18mm Prelam Particle board and 18mm batons on all sides to achieve 36mm overall  thickness).  The  exposed  edges  of  the  top  are  sealed  with  2mm thick PVC  edge Banding. The top most part of the wardrobe has an aluminum hanger rod of EBCO make. One  drawer  of  size  400(W)  x  150(H)  x  450  (D)  made  of  18mm  thick  prelam  Particle Board has been considered. The drawer will have a multipurpose lock of EBCO premium make.  The  wardrobe  handles  are  Satin  SS  finish  of  160mm  pitch.  The  wardrobe  has  a multipurpose  lock  of  EBCO  make.  All  hinges  considered  are  Hettich  make.  Necessary good quality hardwares have been considered as required.</t>
    </r>
  </si>
  <si>
    <r>
      <rPr>
        <sz val="11"/>
        <rFont val="Times New Roman"/>
        <family val="1"/>
      </rPr>
      <t>Bed Side Table @ 400LX 400DX 415H
Providing and Fixing Bed Side Table of size 400LX 400DX 415H The bed side unit is made  up  of  18mm  thick  Prelam  Particle  Board  with  both  side  decorative  laminate.  All exposed edges are sealed with 2mm thick PVC edge Banding. The bed side table has one drawer and one shelf. The shelf is made of 18mm thick Prelam Particle Board with both side decorative laminate. All exposed edges are sealed with 2mm thick PVC edge Banding</t>
    </r>
  </si>
  <si>
    <r>
      <rPr>
        <sz val="11"/>
        <rFont val="Times New Roman"/>
        <family val="1"/>
      </rPr>
      <t>Kitchen Trolley
Providing  and  Fixing  stainless  steel  kitchen  trolley  of  overall  26  "  height  and  22" depth,supported on aluminium pipes ,trolley basket made out of 5 mm stainless steel rod fitted on telescopic channel of size 1.5 " x 20 " x 22 " on both sides of trolley of 12 " or above size, panel having 40Kilogramload bearing capacity of trolley made out of 20 mm PUC  coated  plywood  and  colour  combination  as  directed  by  E-I-C.Inner  side  of  panel covered by white mica ,100 mm s.s. decorative handle.(The width and height of individual compartments shall be kept as directed by Engineer-in-charge)</t>
    </r>
  </si>
  <si>
    <t>Doors and windows</t>
  </si>
  <si>
    <r>
      <rPr>
        <sz val="11"/>
        <rFont val="Times New Roman"/>
        <family val="1"/>
      </rPr>
      <t>Solid Core Flush door Single leaf
Providing  and  fixing  factory  made  solid   core  flush  door  in  single  leaf  35  mm  thick, decorative  types,  of  exterior  grade,  as  per  detailed  drawings,  conforming  to  I.S.:2202  - 1962  (Revised)  with  approved  face  veneers  on  both  faces  with/without  glazing  and venetians  in  the  positions  shown  on  the  drawings  or  as  directed,  all  necessary  beads, moulding and lipping,   holdfasts, mat finish stainless steel fixtures fastenings , finishing with  french-polish/  waxing  complete.  (without  door  frame).(Sample  to  be  got  approved from Ex.Engineer before use) Commercial Hard Wood shutter</t>
    </r>
  </si>
  <si>
    <r>
      <rPr>
        <sz val="11"/>
        <rFont val="Times New Roman"/>
        <family val="1"/>
      </rPr>
      <t>Solid Core Flush door Double leaf
Providing and fixing factory made solid core flush door shutters in double leaves 35mm thick,decorative type of exterior grade, as per detailed drawings, conforming to I.S.: 2202
–  1966  (Revised)  including  approved  face  veneers  on  both  sides,  without  glazing  and venetians  including  mat  finish  stainless  steel   fixtures  and  fastening,  stoppers  and finishing  with  french  polishing  etc.  (Excluding  door  frame)(Sample  to  be  got  approved from Ex. Engineer before use) Commercial Hard Wood shutter</t>
    </r>
  </si>
  <si>
    <t>Plastering</t>
  </si>
  <si>
    <t>Providing Silica plaster plaster externally in two coats in all positions including base coat of 8 to 10 mm thick curing the same for not less than two days and keeping the surface of base coat rough to receive the final coat treatment 5 to 7 mm thick .finishing the surface by taking out grains and curing for 8 to 10 daysscaffolding etc complete.(The silica plast material shall contain 53 grade OPC cement with pozzolanic materials .size of agreegates shall be of 3 mm having 1:3 proportion with cement.</t>
  </si>
  <si>
    <t>PWD persons</t>
  </si>
  <si>
    <r>
      <rPr>
        <sz val="11"/>
        <rFont val="Times New Roman"/>
        <family val="1"/>
      </rPr>
      <t>Providing  and  Fixing  toilet  set  for  differently Abled  persons  consist  of  Floor  Mounted white vitreous china water Closet including 6 litre capacity white vitreous china flushing Cistern with raised soft-push button, white vitreous china wash basin of size 46 x 36 cm and  one  no  SS  304  hinged  rail  76  cms  &amp;  three  no  SS  304of  (Grab  Bar)  60  cms  all including  cutting  and  making  good  the  walls  and  floors  wherever  required  ,seat  cover, cistern  &amp; wash basin fittings,nuts,  bolts and gasket etc complete as per the direction of
Engineer-In-charge.</t>
    </r>
  </si>
  <si>
    <r>
      <rPr>
        <sz val="11"/>
        <rFont val="Times New Roman"/>
        <family val="1"/>
      </rPr>
      <t>Providing and fixing ISI marked double swing flush door shutters conforming to IS :2202 (Part I) Non-decorative type, core of block board construction with frame of 1st class hard wood and well matched teak 3 ply veneering with vertical grains or cross bands and face veneers  on both faces of shutters. 30 mm thick including  ISI marked  Stainless  Steel  L- hinges with necessary screws Fittings &amp; Fixtures  per leaf
SS kick plates on both sides of the door of 300mm height
Heavy Duty satin  finish  butt  SS  Hinges  (100mm  x  75mm  x  3mm  in  size)   -4  nos.  SS finished  lever handle with mortise lock- 1 One Number
Floor spring- 1 One Number 100mm x 100mm safety glass at the specified location</t>
    </r>
  </si>
  <si>
    <r>
      <rPr>
        <sz val="11"/>
        <rFont val="Times New Roman"/>
        <family val="1"/>
      </rPr>
      <t>Providing  and  applying  blue  and  white  coloured  thermoplastic  road  marking  paints  for
marking  a  3ft  x  3  ft  universal  accessibility  symbol  within  the  parking  bay  as  paer  the drawings and up to the satisfaction of the engineer in charge.</t>
    </r>
  </si>
  <si>
    <r>
      <rPr>
        <sz val="11"/>
        <rFont val="Times New Roman"/>
        <family val="1"/>
      </rPr>
      <t>Acrylic tactile audio map
Design, supply, fabrication and fixing of acrylic, non glare, tactile audio pictorial  building layout  as per the approved size, design and make, having  6mm thick  acrylic non  glare base plate of the approved colour and non glare acrylic cut out symbols and upper case Sans  Serif  letters  of  12mm height,  raised  3mm above  base  plate  and  Grade  2/ Grade  1 Braille to be integral with the sign face and be raised 0.5mm above base plate. The map to be installed at the specified location as per accessibility standards,  shall be oriented to the position of the viewer and to be installed at a height of 800 mm from the finished ground/ floor  level  and  using  the  necessary  hardware  specified  by  the  manufacturer  and  to  be installed up to the satisfaction of the engineer in charge</t>
    </r>
  </si>
  <si>
    <r>
      <rPr>
        <sz val="11"/>
        <rFont val="Times New Roman"/>
        <family val="1"/>
      </rPr>
      <t>Directional signage
Design, supply, fabrication and fixing acrylic multilingual Braille (raised dots) directional signboards of size 6" x 9"  designed as per accessibility standards and having 4mm thick acrylic base plate with Upper Case San Serif words made of white acrylic non glare cut out letters of height 15mm raised not less than 0.8mm above base plate and the equivalent word written in Hindi with Devnagri non glare acrylic letters of height 15mm raised not less than 0.8mm above base plate and having a non glare acrylic cut arrow pointing in the required direction. Each signboard to be fixed as per manufacturers specifications on the wall  at  the  approved  location  and  at  a  height  of  1200mm  from  FFL  and  as  per  the directions by the engineer in charge.</t>
    </r>
  </si>
  <si>
    <t>Floor  Directories  Providing  and  fixing  acrylic  multilingual  Braille  (raised  dots)ADA compliant modular  floor directories system on all floors of size1.5' x 2' , showing the floor plan and the list of rooms on that floor, to be installed on each floor near the staircase, designed as per standards and having 4mm thick blue acrylic base plate with Upper Case San  Serif  words  and  symbols  made  of  white  acrylic  non  glare  cut  out  letters  of  height 20mm raised not less than 0.8mm above base plate and the equivalent word/s written in Hindi  with  Devnagri  non  glare  imported  acrylic  letters  of  height  15mm  raised  not  less than 0.8mm above base plate. Grade 2/ Grade 1 Braille to be integral with the sign face and be raised 0.5mm above base plate.  Each directory to be fixed as per manufacturers specifications on the wall at the approved location at a height of 1200mm from FFL and as per the directions by the engineer in charge.</t>
  </si>
  <si>
    <t>Providing an ADA compliant Disability Service Desk having a lowered portion (800mm from FFL) and  leg space of 450 mm, having  the approved  design and  of the  approved make as per manufacturers specifications</t>
  </si>
  <si>
    <r>
      <rPr>
        <sz val="11"/>
        <rFont val="Times New Roman"/>
        <family val="1"/>
      </rPr>
      <t>Providing  and  fixing  SS-304  studs  having  35mm dia.  of  the  approved  brand  and  make inside  the  building  on  all  floors  in  corridors,  lobbies  level  differences  etc.  as  per accessibility   standards   and   as   per   the   installation   instructions   prescribed   by   the manufacturer, using the necessary adhesive including finishing work up to the satisfaction
of the engineer in charge complete.</t>
    </r>
  </si>
  <si>
    <t>Providing  and  fixing  SS-304  strips  of  size  280mm x  35mm of  the  approved brand  and make  inside  the  building  on  all floors  in  corridors,  lobbies  level differences  etc.  as  per accessibility   standards   and   as   per   the   installation   instructions   prescribed   by   the manufacturer, using the necessary adhesive including finishing work up to the satisfaction of the engineer in charge complete.</t>
  </si>
  <si>
    <r>
      <rPr>
        <sz val="11"/>
        <rFont val="Times New Roman"/>
        <family val="1"/>
      </rPr>
      <t>Providing  and  fixing  Braille  indicators  for  handrails  of  the  approved  design  and  make having  Braille  dots  raised  0.5mm  above  base  plate,  to  be  installed  at  the  specified
locations as per the directions of the engineer in charge</t>
    </r>
  </si>
  <si>
    <t>Providing and fixing stainless steel (Grade 304) railing made of hollow tubes, channels, plates etc. including welding grinding, buffing, polishing and making curvature (wherever required) and fitting the same with necessary stainless steel nuts and bolts complete, i/c fixing  the  railing  with  necessary accessories  and  stainless  steel dash fasteners,  stainless steel bolts, etc. of the required size on the top of the floor of the side of waiste slab with suitable arrangement as per approval of engineer in charge (for payment purpose, only the weight  of  the  stainless  steel  members  shall  be  considered  excluding  fixing  accessories such   as   nut   bolts,   fasteners   etc.).   50mm   dia.   pipe,   1.5mm   thickness   and   weight 1.92Kilogram/ r. metre</t>
  </si>
  <si>
    <t>ADA compliant modular Multilingual and tactile Emergency evacuation map of each floor indicating the current position of the viewer saying "YOU ARE HERE" of 15mm height letters in red with white bacKilogramround, indicating the emergency exits, locations of fire  extinguishers  etc.   Signs  shall  have  a  solid  header  with  the  text  “EVACUATION PLAN” in contrasting uppercase letters no less than 3/4" in height. The size of the board shall  be  2ft  x  2ft  and  shall be  installed  at  a  height  of  1200mm from FFL  and  shall be oriented to the position of the viewer as per the direction of the site engineer</t>
  </si>
  <si>
    <r>
      <rPr>
        <sz val="11"/>
        <rFont val="Times New Roman"/>
        <family val="1"/>
      </rPr>
      <t>Fire  exit  and  floor  identification  signage  as  per  manufacturer's  specifications,  ADA
compliant and modular system</t>
    </r>
  </si>
  <si>
    <r>
      <rPr>
        <sz val="11"/>
        <rFont val="Times New Roman"/>
        <family val="1"/>
      </rPr>
      <t>Supplying and installing of in position the signages " FIRE ORDER" it should contain the following  matter  on  3mm  thick  "Opaque"  PVC  foam  board  of  computerized  cut,  PVC Non-reflective  self  adhesive  vinyle  painted  foam  board  of  3'  x  4'.Product  to  be  ADA
compliant and modular system.</t>
    </r>
  </si>
  <si>
    <r>
      <rPr>
        <sz val="11"/>
        <rFont val="Times New Roman"/>
        <family val="1"/>
      </rPr>
      <t>Providing  an  emergency  evacuation  chair  of  the  approved  design,  weight  and  loading
capacity</t>
    </r>
  </si>
  <si>
    <r>
      <rPr>
        <sz val="11"/>
        <rFont val="Times New Roman"/>
        <family val="1"/>
      </rPr>
      <t>Providing and fixing the reader of the approved brand and make as per the manufacturers
specifications and as per the directions of the engineer in charge</t>
    </r>
  </si>
  <si>
    <t>Providing and fixing the transmitter of the approved brand and make on each floor as per the manufacturers specifications and as per the directions of the engineer in charge</t>
  </si>
  <si>
    <r>
      <rPr>
        <sz val="11"/>
        <rFont val="Times New Roman"/>
        <family val="1"/>
      </rPr>
      <t>Providing and fixing SS Braille buttons in the elevator of the approved brand and make to be  installed  using  the  specified  adhesive  and  as  per  the  instructions  given  by  the
manufacturer</t>
    </r>
  </si>
  <si>
    <r>
      <rPr>
        <sz val="11"/>
        <rFont val="Times New Roman"/>
        <family val="1"/>
      </rPr>
      <t>Providing and fixing of high intensity reflective conspicuity tape 25 to 50mm width, on edges of treads in staircase including, cutting, pasting etc. of make 3M or equivalent brand
as per the direction of engineer in charge</t>
    </r>
  </si>
  <si>
    <r>
      <rPr>
        <sz val="11"/>
        <rFont val="Times New Roman"/>
        <family val="1"/>
      </rPr>
      <t>Providing a folding wheelchair of Pioneer Surgicals Brand, model One Number PS 809/
equivalent make as per the directions of the engineer in charge.</t>
    </r>
  </si>
  <si>
    <t>Design, supply, fabrication and fixing of SS, non glare Signage board (2 ft. x 2 ft.- 1 One Number) for the accessible parking, as per the approved design and make, having 1.2mm thick  SS  non  glare  base  plate  and  Grade  2/  Grade  1  Braille  (raised  dots)to  be  etched/ engraved  and  be  raised  0.5mm above  base  plate   and  Upper  Case  San  Serif  words  and Universal  Accessibility Symbol  to  be  etched/  engraved  and  signage  to  be  installed  at  a height of 2100mm from the ground level using a post of MS hollow square section (50mm x  50mm)  as  per  the  installation  procedure  specified  by  the  manufacturer  and  as  per accessibility standards and up to the satisfaction of the engineer in charge.</t>
  </si>
  <si>
    <t>Design, supply, fabrication and fixing of SS, non glare multilingual Braille (raised dots) entrance  signage  (size  1  ft  x  1  ft)  as  per  the  approved  design  and  make,indicating  the name of the building. Having 1.2mm thick SS non glare blue coloured base plate with the 'Universal  Accessibility  Symbol'  and  Upper  case  Sans  Serif  words  of  height  15mm engraved on it along with the equivalent word/ s written in Hindi using Devnagri script of height  15mm  in  white  colour.  Grade  2/  Grade  1  Braille  to  be  etched/  engraved  and  be raised 0.5mm above base plate.The signage to be installed at the specified location on the compound  wall  near  the  site  entrance  gate  installed  at  a  height  of  1200  mm  from  the finished ground/ floor level, using the necessary hardware specified by the manufacturer and to be installed up to the satisfaction of the engineer in charge.</t>
  </si>
  <si>
    <t>Providing  and laying in place 300mm x  300mm x  16mm cement  tactile directional  and warning tiles (for a person with visual impairment)of the approved brand and make and specified colour for outdoor floors such as footpath, courtyard, multimodals location etc. laid on 20mm thick base of cement mortar 1:4 (1 cement: 4 coarse sand) in all shapes and patterns  including  grouting  the  joints  with  white  cement  with  matching  pigments  etc. complete as per direction of engineer in charge</t>
  </si>
  <si>
    <t>Providing  and  laying  in  place  300mm  x  300mm  x  9.8mm  vitrified  tactile  warning  and directional  tiles  of  the  approved  brand,  make  and  colour  inside  the  buildings  at  in  all corridors  and lobbies, level differences etc. as per accessibility standards and as per the installation instructions prescribed by the manufacturer including zarri making wherever required  and  finishing  including  grouting  the  joints  with  white  cement  with  matching pigments etc. up to the satisfaction of the engineer in charge complete.</t>
  </si>
  <si>
    <t>Design, supply, fabrication and fixing acrylic multilingual Braille (raised dots) signboards of size 6"x 9" for room titles, designed as per the drawings issued and having 4mm thick blue acrylic base plate with Upper Case San Serif words made of white acrylic non glare cut  out  letters  of  height  15mm  raised  not  less  than  0.8mm  above  base  plate  and  the equivalent word/s written in Hindi with Devnagri non glare acrylic letters of height 15mm raised not less than 0.8mm above base plate. Grade 2/ Grade 1 Braille to be integral with the  sign  face  and  be  raised  0.5mm  above  base  plate.Each  signboard  to  be  fixed  as  per manufacturers specifications on the wall adjoining the respective room door at a height of 1200mm from FFL and as per the directions by the engineer in charge.</t>
  </si>
  <si>
    <t>Providing  and  fixing  in  place  300mm  x  300mm  x  3mm  polyurethane  stick  on  tactile directional tiles and warning tiles having beveled edges and of the approved brand, make and  colour  and  conforming  to  ISO  23599:  2012   inside  the  building  on  all  floors  in corridors,  lobbies , level differences as per accessibility standards and to be installed as per  the  installation  instructions   given  by the  manufacturer  using  butyl rubber  adhesive and  the  hardware  specified  by the  manufacturer,  as  per  the  direction of  the engineer  in charge complete.</t>
  </si>
  <si>
    <r>
      <rPr>
        <sz val="11"/>
        <rFont val="Times New Roman"/>
        <family val="1"/>
      </rPr>
      <t>Grab  bars-Providing  SS  grab  bars  set  for  accessible  toilets    comprising  of  4  nos.  Grab bars as specified below.(1 nos. wing grab bar + 1 nos. L shaped grab bar + 2 nos. straight grab bars = 1 typical set)   27a) Swing grab bar (1 NOS)                  Providing a S.S. 304 SWING HANDICAP GRAB BAR - 700 mm and of DIA:   32MM and thickness 1.5mm of  the  roved  brand  and  make.  27b)  L  Shaped  grab  bar  (1  NOS)  Providing  S.S.  304  L SHAPED  DISABLED  GRAB  BAR   of  IZE-600MM  (H)  X     600MM  (D)  and  32MM
DIA. and thickness  mm of the approved brand and make.  27c) Straight grab bar (2 NOS)
Providing S.STEEL 304 GRAB RAIL (600 MM),32MM DIA. and thickness   1.5mm of the approved brand and make.</t>
    </r>
  </si>
  <si>
    <t>Providing and Fixing Accessible Wayfinding and navigation signage systems - Providing and fixing in location as diected by Engineer in Charge, accessible modular wayfinding and   navigational  signage   system  comprising   of  ADA  and   Harmonised   Guidelines compliant  sigange  and  wayfinding  elements,  in  multilingual,  tactile  and  braille  format. Sigange systems to be designed for entire building / complex under consideration</t>
  </si>
  <si>
    <r>
      <rPr>
        <sz val="11"/>
        <rFont val="Times New Roman"/>
        <family val="1"/>
      </rPr>
      <t>Providing &amp; fixing factory-made steel door of Single leaf External Embossed Wood finish type with a.) frame of size 100x58 mm conforming to IS : 4351-2003 , 1.2 mm thick pre galvanized sheet with mitred and welded cones , frame stretches, hinge reinforcing plates , fixing  plates  and  hardware  mounting  plates  and  Polyurethane  foam infill  b.)  Shutter  of thickness 46mm made of 0.8 mm thick slip coated pre galvanized steel sheet on both sides conforming to ASTM A527/ASTM A525, BS 2989 1994, IS 277 , Zinc coating 120 GSM
. Lock formed panels with internal stiffeners of 3mm thick made of galvanized sheet, 3 mm  thick  hinge  reinforcing  hardware  mounting  plates  and  lock  protection  with  Honey- comb craft paper infill of thickness 150 GSM of load bearing capacity 500 Kilogram/ One Square Metre. c.) Finish: Powder coated surface finished with thermosetting polyurethane paint of Aliphatic grade of thickness 60-micron d.)  Accessories: Min 8 Anchor fastener of HILTI make, min 3 SS Ball Bearing Butt Hinges of Dorset make, Dorset Mortise lock, SS Tower bolt of 200 mm size, Eye hole, Door stopper complete.</t>
    </r>
  </si>
  <si>
    <r>
      <rPr>
        <sz val="11"/>
        <rFont val="Times New Roman"/>
        <family val="1"/>
      </rPr>
      <t xml:space="preserve">Providing &amp; fixing factory-made steel door of Single leaf External Plain Wood finish type with  a.)  frame  of  size  100x58  mm  conforming  to  IS  :  4351-2003  ,  1.2  mm  thick  pre galvanized sheet with mitred and welded cones , frame stretches, hinge reinforcing plates , fixing  plates  and  hardware  mounting  plates  and  Polyurethane  foam infill  b.)  Shutter  of thickness 46mm made of 0.8 mm thick slip coated pre galvanized steel sheet on both sides conforming to ASTM A527/ASTM A525, BS 2989 1994, IS 277 , Zinc coating 120 GSM
. Lock formed panels with internal stiffeners of 3mm thick made of galvanized sheet, 3 mm  thick  hinge  reinforcing  hardware  mounting  plates  and  lock  protection  with  Honey- comb craft paper infill of thickness 150 GSM of load bearing capacity 500 Kilogram/ One Square Metre. c.) Finish: Powder coated surface finished with thermosetting polyurethane paint of Aliphatic grade of thickness 60-micron d.)  Accessories: Min 8 Anchor fastener of HILTI make, min 3 SS Ball Bearing Butt Hinges of Dorset make, Dorset Mortise lock, SS Tower bolt of 200 mm size, Eye hole, Door stopper complete.
Sizes up to 1200 x2439 mm   </t>
    </r>
  </si>
  <si>
    <r>
      <rPr>
        <sz val="11"/>
        <rFont val="Times New Roman"/>
        <family val="1"/>
      </rPr>
      <t xml:space="preserve">Providing &amp; fixing factory-made steel door of Single leaf Internal Plain Wood finish type with  a.)  frame  of  size  100x58  mm  conforming  to  IS  :  4351-2003  ,  1.2  mm  thick  pre galvanized sheet with mitred and welded cones , frame stretches, hinge reinforcing plates , fixing  plates  and  hardware  mounting  plates  and  Polyurethane  foam infill  b.)  Shutter  of thickness 46mm made of 0.8 mm thick slip coated pre galvanized steel sheet on both sides conforming to ASTM A527/ASTM A525, BS 2989 1994, IS 277 , Zinc coating 120 GSM
. Lock formed panels with internal stiffeners of 3mm thick made of galvanized sheet, 3 mm  thick  hinge  reinforcing  hardware  mounting  plates  and  lock  protection  with  Honey- comb craft paper infill of thickness 150 GSM of load bearing capacity 500 Kilogram/ One Square Metre. c.) Finish: Powder coated surface finished with thermosetting polyurethane paint of Aliphatic grade of thickness 60-micron d.)  Accessories: Min 8 Anchor fastener of HILTI make, min 3 SS Ball Bearing Butt Hinges of Dorset make, Dorset cylindrical lock, SS Tower bolt of 200 mm size, Door stopper complete.
 </t>
    </r>
  </si>
  <si>
    <r>
      <rPr>
        <sz val="11"/>
        <rFont val="Times New Roman"/>
        <family val="1"/>
      </rPr>
      <t>Providing &amp; fixing factory-made steel door of Single leaf Internal Plain Steel finish type with  a.)  frame  of  size  100x58  mm  conforming  to  IS  :  4351-2003  ,  1.2  mm  thick  pre galvanized sheet with mitred and welded cones , frame stretches, hinge reinforcing plates , fixing  plates  and  hardware  mounting  plates  and  Polyurethane  foam infill  b.)  Shutter  of thickness 46mm made of 0.8 mm thick slip coated pre galvanized steel sheet on both sides conforming to ASTM A527/ASTM A525, BS 2989 1994, IS 277 , Zinc coating 120 GSM
. Lock formed panels with internal stiffeners of 3mm thick made of galvanized sheet, 3 mm  thick  hinge  reinforcing  hardware  mounting  plates  and  lock  protection  with  Honey- comb craft paper infill of thickness 150 GSM of load bearing capacity 500 Kilogram/ One Square Metre. c.) Finish: Powder coated surface finished with thermosetting polyurethane paint of Aliphatic grade of thickness 60-micron d.)  Accessories: Min 8 Anchor fastener of HILTI make, min 3 SS Ball Bearing Butt Hinges of Dorset make, Dorset cylindrical lock, SS Tower bolt of 200 mm size, Door stopper complete.</t>
    </r>
  </si>
  <si>
    <r>
      <rPr>
        <sz val="11"/>
        <rFont val="Times New Roman"/>
        <family val="1"/>
      </rPr>
      <t xml:space="preserve">Providing &amp; fixing factory-made Single leaf 2 hour fire rated door  as per IS 3614 Part 2 &amp; BS 476 Part 20 &amp; 22, tested to UL 10 C and conforming to NFPA 80 , tested at NTL
/CBRI/ARAI of Plain Steel finish type with a.) Frame of size 143x58 mm and thickness of
1.6 mm thick skin pass galvanized iron sheet (Conform to IS 277 ) formed to single or double rebate profile b.) Shutter of 46 mm thickness and constructed from 1.2 mm thick skin  pas  galvanized  iron  sheet  (Conform  to  IS  277)  infill  Rockwool  /  Mineral  wool/ Honey  comb  craft  paper  c.)  Vision  glass  of  5mm  thick  clear/wired  glass  Circular  or Rectangular  d.)  Finish  :  Primed  with  zinc  phosphate  stoving  primer  and  finished  with Polyurethane  aliphatic  grade  or  epoxy  paint  as  required  of  thickness  60  micron  e.) Accessories : Min 8 Anchor fastener of HILTI make, min 3 SS Ball Bearing Butt Hinges, Mortise sash lock with lever handle, Mortise dead bolt , Mortise latch , Door closer and Flush bolts complete.
 </t>
    </r>
  </si>
  <si>
    <r>
      <rPr>
        <sz val="11"/>
        <rFont val="Times New Roman"/>
        <family val="1"/>
      </rPr>
      <t xml:space="preserve">Providing &amp; fixing factory-made Single leaf 2 hour fire rated door  as per IS 3614 Part 2 &amp; BS 476 Part 20 &amp; 22, tested to UL 10 C and conforming to NFPA 80 , tested at NTL
/CBRI/ARAI of Plain Steel finish type with a.) Frame of size 143x58 mm and thickness of
1.6 mm thick skin pass galvanized iron sheet (Conform to IS 277 ) formed to single or double rebate profile b.) Shutter of 46 mm thickness and constructed from 1.2 mm thick skin  pas  galvanized  iron  sheet  (Conform  to  IS  277)  infill  Rockwool  /  Mineral  wool/ Honey  comb  craft  paper  c.)  Vision  glass  of  5mm  thick  clear/wired  glass  Circular  or Rectangular  d.)  Finish  :  Primed  with  zinc  phosphate  stoving  primer  and  finished  with Polyurethane  aliphatic  grade  or  epoxy  paint  as  required  of  thickness  60  micron  e.) Accessories : Min 8 Anchor fastener of HILTI make, min 3 SS Ball Bearing Butt Hinges, Mortise sash lock with lever handle, Mortise dead bolt , Mortise latch , Door closer , Panic bar and external trim lock and Flush bolts complete.
 </t>
    </r>
  </si>
  <si>
    <r>
      <rPr>
        <sz val="11"/>
        <rFont val="Times New Roman"/>
        <family val="1"/>
      </rPr>
      <t>Providing &amp; fixing factory-made Aluminum windows of aluminum alloy HE 9WP (6063 T5/T6), powder coating of jotun/AkzoNobel of 60 micron thickness a.) Glass: 5mm thick clear  float  of  Saint  Gobain  /  Asahi  make  b.)  Mesh  of  SS  Type  304  grade  of  .22  mm thickness  c.)  Accessories:  EPDM  (Ethylene  Propylene  Diene  Monomer)  Gasket  ,  SS Screws , Aluminum cleats , Roller , Push handle , Fly mesh handle , Anti lifter , U guide
glass and mesh shutter complete</t>
    </r>
  </si>
  <si>
    <t>Providing &amp; fixing factory-made steel windows constructed of Skin Pass Galvanized Iron Sheet (as per IS 513 “D" Quality, Galvanized as per IS 277 with Hot Zinc Coating of 120 grams / Sq.Mtr&amp; thickness of 0.6 mm) with a. ) Window Shutter of .6mm thick skin pass Galvanized lron Sheet b.) Window Frames of .8m thick skin pass Galvanized Iron sheet of size 80mm X 45mm c.) Mullion : of 0.8mmthick skin pass Galvanized lron sheet of size 80mm X 60mm d.) Vision Glass of 4mm clear float glass in rectangular shape. e.) Finish : Coated  with  Zinc  Phosphate  Primer  or  Thermosetting  Polyurethane  paint  of  Aliphatic Grade providing high levels of scratch resistance and durability f. ) MS Grill of 10 mm square  MS  bright  bars  g.)  Accessories  :  SS  Pin  type  Hinges  —  1  Set;  Polypropylene  , Handle — 1, Friction Stay Powder Coated – 1, MS powder coated Tower bolt — 2 (Ethyl Propylene  Diamine  Monomer  (EPDM)  Should  be  used  all  around  glass  in  shutter  for fixing of glass); corner brackets — 4 (made of Polypropylene each per shutter and frame) complete</t>
  </si>
  <si>
    <t>Doors</t>
  </si>
  <si>
    <t>Providing,aupplying,fabricating and fixing panel of aluminium composite panel cladding in approved shape made out of 4 mm thick ACP sheet material consisting of 3mm thick FR  grade  mineral core  following  NBC part  IV Fire  and life  safety (having  2 hours  fire resistance in accordance to ASTM E119-12 and BS476 part 6 and 7 class O) sandwitched between  two  aluminium  sheets  (each  0.5  mm  thick  of  AA  5005/AA3105  grade)  The aluminium  composite  panel  cladding  sheet  shall  be  coil  coated  with  kynar  500  based PVDF/Lumiflon  based  fluropolymer  resin  (having  70:30  ratio  of  PVDF  and  acrylic) coating  of  approved  colour  and  sg=hade  on  top  face  and  polymer  (service)  coating  of bottom  face  as  specified  using  stainless  steel  screws,nuts,bolts,washers,cleats,weather silicon  sealent,backer  rods  etc  .overall  weight  of  the  ACP  shall  not  be  less  than  7.5 Kilogram/ One Square Metre)</t>
  </si>
  <si>
    <r>
      <rPr>
        <sz val="11"/>
        <rFont val="Times New Roman"/>
        <family val="1"/>
      </rPr>
      <t>Providing  internal  cement  plaster  25  mm  thick  in  single  coat  using  Ready  to  use  wall plaster in cement mortar 1:4 to concrete, brick, stone surfaces in all positions including scaffolding and curing. Providing groove at joint of B.B. Masonry and concrete members complete.
With Prior Approval of Concerned S.E.</t>
    </r>
  </si>
  <si>
    <r>
      <rPr>
        <sz val="11"/>
        <rFont val="Times New Roman"/>
        <family val="1"/>
      </rPr>
      <t>Providing  internal  cement  plaster  20mm thick  in  a  single  coat  using  Ready to  use  wall plaster   to  concrete,  brick  surfaces  in  all  positions  including  scaffolding  and  curing. Providing groove at joint of B.B.Masonry and concrete members complete.
a) cement ratio 1:5 With Prior Approval of Concerned S.E.</t>
    </r>
  </si>
  <si>
    <r>
      <rPr>
        <sz val="11"/>
        <rFont val="Times New Roman"/>
        <family val="1"/>
      </rPr>
      <t>Providing  internal cement plaster 20mm thick in a single coat  using   Ready to use wall plaster   to  concrete,  brick  surfaces  in  all  positions  including  scaffolding  and  curing. Providing groove at joint of B.B.Masonry and concrete members complete.
b) cement mortar 1:4 With Prior Approval of Concerned S.E.</t>
    </r>
  </si>
  <si>
    <r>
      <rPr>
        <sz val="11"/>
        <rFont val="Times New Roman"/>
        <family val="1"/>
      </rPr>
      <t>Providing  internal cement plaster 20mm thick in a single coat   using Ready to use wall plaster   to  concrete,  brick  surfaces  in  all  positions  including  scaffolding  and  curing. Providing groove at joint of B.B.Masonry and concrete members complete
C ) cement mortar 1:3 With Prior Approval of Concerned S.E.</t>
    </r>
  </si>
  <si>
    <r>
      <rPr>
        <sz val="11"/>
        <rFont val="Times New Roman"/>
        <family val="1"/>
      </rPr>
      <t>Providing  internal  cement  plaster  20mm thick  in  a  single  coat  using  Ready to  use  wall plaster   in  cement  mortar  1:3  to  stone  masonry  surfaces  in  all  positions  including scaffolding and curing. Providing groove at joint of stone masonry and concrete members
complete. With Prior Approval of Concerned S.E.</t>
    </r>
  </si>
  <si>
    <r>
      <rPr>
        <sz val="11"/>
        <rFont val="Times New Roman"/>
        <family val="1"/>
      </rPr>
      <t>Providing internal cement plaster 12 mm thick in a single coat using Ready to use wall plaster  to  concrete  or  brick  surface  in  all  positions  including  scaffolding  and  curing complete. Providing groove at joint of B.B. Masonry and concrete members complete.  a)
cement ratio 1:5 With Prior Approval of Concerned S.E.</t>
    </r>
  </si>
  <si>
    <r>
      <rPr>
        <sz val="11"/>
        <rFont val="Times New Roman"/>
        <family val="1"/>
      </rPr>
      <t>Providing internal cement plaster 12 mm thick in a single coat using Ready to use wall plaster  to  concrete  or  brick  surface  in  all  positions  including  scaffolding  and  curing complete. Providing groove at joint of B.B. Masonry and concrete members complete.  b)
cement ratio 1:4 With Prior Approval of Concerned S.E.</t>
    </r>
  </si>
  <si>
    <r>
      <rPr>
        <sz val="11"/>
        <rFont val="Times New Roman"/>
        <family val="1"/>
      </rPr>
      <t>Providing internal cement plaster 12 mm thick in a single coat using Ready to use wall plaster  to  concrete  or  brick  surface  in  all  positions  including  scaffolding  and  curing complete. Providing groove at joint of B.B. Masonry and concrete members complete. c)
cement ratio 1:3 With Prior Approval of Concerned S.E.</t>
    </r>
  </si>
  <si>
    <r>
      <rPr>
        <sz val="11"/>
        <rFont val="Times New Roman"/>
        <family val="1"/>
      </rPr>
      <t>Providing  internal  cement  plaster  6  mm thick  in  a  single  coat  using  Ready to  use  wall plaster in cement mortar 1:3 to concrete surface in all positions including scaffolding and curing. Providing groove at joint of B.B.Masonry and concrete members complete.  With
Prior Approval of Concerned S.E.</t>
    </r>
  </si>
  <si>
    <t>Brick Masonary</t>
  </si>
  <si>
    <r>
      <rPr>
        <sz val="11"/>
        <rFont val="Times New Roman"/>
        <family val="1"/>
      </rPr>
      <t>Providing   Autoclaved   areated   concrete   block   masonry   of   approved   manufacture confirming to IS 2185 Part III 1984 of size 600 mm x 200mm and thickness 100,150, 200 or 250 mm using Ready to use BLOCK JOINT MORTAR1:6 in foundations and plinth of inner walls / external walls including bailing out water, striking joints on unexposed faces, racking  out  joints  on  exposed  faces  and  watering  complete.  With  Prior  Approval  of
Concerned S.E.</t>
    </r>
  </si>
  <si>
    <t>Providing  and  fixing  50mm diameter  and  1.5  mm thick  vertical  and  top  Stainless  steel hand railing in S.S.304 Grade with  Stainless steel square / circular pipe bracing of size 32 mm  x32mm  x1.5  mm   in  3  rows  including  fabricating  ,fixtures,  errecting,  necessary welding, grinding, finishing, buffing to stainless steel pipe etc. complete</t>
  </si>
  <si>
    <r>
      <rPr>
        <sz val="11"/>
        <rFont val="Times New Roman"/>
        <family val="1"/>
      </rPr>
      <t>Providing  and  installing  bio  digester  unit  based  on  DRDO  technology  made  of  fibre reinforced  plastic  (FRP)  having  composition  and  following  technical  specifications  and including  necessary pipe  and  accessories  up  to  3  meter  length,  excluding  the  necessary excavation for installing the bio digester.
Percentage of fibre glass (glass content in fibre glass should be minimum 30%): -33.33% Percentage of polyester resin: - 66.67%
Water absorption (as per ASTM):-0.30% Flammability as per ASTM
Tensile strength:-115 MPA
Specific Gravity at 25 degree centigrade 1.45 Izod impact strength:-65KJ/M2
Heat defection/distort temperature:-65deg C Corrosion resistance (Non Corrosive) fitted with Inlet pipe size rigid PVC: -100mm
Outlet pipe size rigid PVC:-80mm
Gas outlet rigid PVC with Valve: 20mm
Bacteria immobilization PVC mattes (on all partition)
With  DRDO  TOT  licensee  and  latest  batch  certificate(month  &amp;  year  of  supply)  and capacity as below</t>
    </r>
  </si>
  <si>
    <r>
      <rPr>
        <sz val="11"/>
        <rFont val="Times New Roman"/>
        <family val="1"/>
      </rPr>
      <t>a)  Up  to  10  user  size  (1.0mx1.0mx0.70m),   Capacity of  biodgester:-700  liters,   Area  of top, bottom and side walls: - 4.80 sq.m,  Area of partition walls: 1.40sq.m,  Total weight of FRP: - 33.48 Kilogram,  Bacteria inoculums quantity: - 200 liters , Minimum thickness of side walls / top and bottom: 3mm,  One Number of inside partitions: - 3,  Minimum
thickness of partition wall: 3mm.</t>
    </r>
  </si>
  <si>
    <r>
      <rPr>
        <sz val="11"/>
        <rFont val="Times New Roman"/>
        <family val="1"/>
      </rPr>
      <t>b) Up to 15 user size (1.0mx1.0mx1.0m), Capacity of biodgester:-1000 liters, Area of top, bottom and side walls: - 6 sq.m, Area of partition walls: 2 sq.m, Total weight of frp: - 54 Kilogram, Bacteria inoculums quantity: - 400 liters, Minimum thickness of side walls / top and bottom: 4mm, One Number of inside partitions: - 3, Minimum thickness of partition
wall: 3mm</t>
    </r>
  </si>
  <si>
    <r>
      <rPr>
        <sz val="11"/>
        <rFont val="Times New Roman"/>
        <family val="1"/>
      </rPr>
      <t>c) Up to 25 user size (1.5mx1.0mx1.0m), Capacity of biodgester:-1500 liters, Area of top, bottom  and  side  walls:-  8  sq.m,  Area  of  partition  walls:  2  sq.m,  Total  weight  of  frp:  -
82.80  Kilogram,  Bacteria  inoculums  quantity:  -  600  liters,  Minimum  thickness  of  side walls / top and bottom: 5mm, One Number of inside partitions: - 3, Minimum thickness of
partition wall: 3mm</t>
    </r>
  </si>
  <si>
    <r>
      <rPr>
        <sz val="11"/>
        <rFont val="Times New Roman"/>
        <family val="1"/>
      </rPr>
      <t>d) Up to 40 user size (2.0mx1.0mx1.0m), Capacity of biodgester:-2000 liters, Area of top, bottom and side walls: - 10 sq.m, Area of partition walls: 3 sq.m, Total weight of frp: -
106.20  Kilogram, Bacteria  inoculums quantity:  - 600  liters,  Minimum thickness  of  side walls / top and bottom: 5mm, One Number of inside partitions: - 3, Minimum thickness of
partition wall: 3mm</t>
    </r>
  </si>
  <si>
    <r>
      <rPr>
        <sz val="11"/>
        <rFont val="Times New Roman"/>
        <family val="1"/>
      </rPr>
      <t>e) Up to 60 user size (2.4mx1.25mx1m), Capacity of Biodigester:-3000 liters, Area of top, bottom and side walls: - 13.30 sq.m, Area of partition walls: 3.75sq.m, Total weight of FRP: - 139.95 Kilogram, Bacteria inoculums quantity: - 1000 liters, Minimum thickness of  side  walls  /  top  and  bottom:  5mm,  One  Number  of  inside  partitions:  -  3,  Minimum
thickness of partition wall: 3mm</t>
    </r>
  </si>
  <si>
    <r>
      <rPr>
        <sz val="11"/>
        <rFont val="Times New Roman"/>
        <family val="1"/>
      </rPr>
      <t>f) Up to 80 user size (2.7mx1.5mx1m), Capacity of Biodigester:-4000 liters, Area of top, bottom and side walls: - 16.50 sq.m, Area of partition walls: 4.50sq.m, Total weight of FRP: - 202.50 Kilogram, Bacteria inoculums quantity: - 1400 liters, Minimum thickness of  side  walls  /  top  and  bottom:  6mm,  One  Number  of  inside  partitions:  -  4,  Minimum
thickness of partition wall: 3mm</t>
    </r>
  </si>
  <si>
    <r>
      <rPr>
        <sz val="11"/>
        <rFont val="Times New Roman"/>
        <family val="1"/>
      </rPr>
      <t>g) Up to 100 user size (2.5mx2mx1m), Capacity of Biodigester:-5000 liters, Area of top, bottom and side walls: - 19.00 sq.m, Area of partition walls: 8.00sq.m, Total weight of FRP: - 248.40 Kilogram, Bacteria inoculums quantity: - 1800 liters, Minimum thickness of  side  walls  /  top  and  bottom:  6mm,  One  Number  of  inside  partitions:  -  4,  Minimum
thickness of partition wall: 3mm</t>
    </r>
  </si>
  <si>
    <r>
      <rPr>
        <sz val="11"/>
        <rFont val="Times New Roman"/>
        <family val="1"/>
      </rPr>
      <t>h) Up to 150 user size (3.2mx2.0mx1.25m), Capacity of Biodigester:-8000 liters, Area of top, bottom and side walls: - 25.80 sq.m, Area of partition walls: 10.00sq.m, Total weight of  FRP:  -  397.08  Kilogram,  Bacteria  inoculums  quantity:  -  3200  liters,  Minimum thickness  of  side  walls  /  top  and  bottom:  7mm,  One  Number  of  inside  partitions:  -  4,
Minimum thickness of partition wall: 4mm</t>
    </r>
  </si>
  <si>
    <t>i</t>
  </si>
  <si>
    <r>
      <rPr>
        <sz val="11"/>
        <rFont val="Times New Roman"/>
        <family val="1"/>
      </rPr>
      <t>i) Up to 200 user size (4mx2.0mx1.25m), Capacity of Biodigester:-10000 liters, Area of top, bottom and side walls: - 31.00 sq.m, Area of partition walls: 10.00sq.m, Total weight of  FRP:  -  462.60  Kilogram,  Bacteria  inoculums  quantity:  -  3400  liters,  Minimum thickness  of  side  walls  /  top  and  bottom:  7mm,  One  Number  of  inside  partitions:  -  4,
Minimum thickness of partition wall: 4mm</t>
    </r>
  </si>
  <si>
    <t>j</t>
  </si>
  <si>
    <r>
      <rPr>
        <sz val="11"/>
        <rFont val="Times New Roman"/>
        <family val="1"/>
      </rPr>
      <t>j) Up to 300 user size (4.8mx2.0mx1.25m), Capacity of Biodigester:-12000 liters, Area of top, bottom and side walls: - 36.20 sq.m, Area of partition walls: 10.00sq.m, Total weight of  FRP:  -  593.28  Kilogram,  Bacteria  inoculums  quantity:  -  4200  liters,  Minimum thickness  of  side  walls  /  top  and  bottom:  8mm,  One  Number  of  inside  partitions:  -  4,
Minimum thickness of partition wall: 4mm</t>
    </r>
  </si>
  <si>
    <t>k</t>
  </si>
  <si>
    <r>
      <rPr>
        <sz val="11"/>
        <rFont val="Times New Roman"/>
        <family val="1"/>
      </rPr>
      <t>k) Up to 400 user size (5mx2.0mx1.5m), Capacity of Biodigester:-15000  liters, Area of top, bottom and side walls: - 41.00 sq.m, Area of partition walls: 12.00sq.m, Total weight of  FRP:  -  678.80  Kilogram,  Bacteria  inoculums  quantity:  -  5200  liters,  Minimum thickness  of  side  walls  /  top  and  bottom:  8mm,  One  Number  of  inside  partitions:  -  4,
Minimum thickness of partition wall: 4mm</t>
    </r>
  </si>
  <si>
    <t>l</t>
  </si>
  <si>
    <r>
      <rPr>
        <sz val="11"/>
        <rFont val="Times New Roman"/>
        <family val="1"/>
      </rPr>
      <t>l)  Up  to  500  user  size  (6mx2.0mx1.6m),  Capacity of  Biodigester:-20000  liters,  Area  of top, bottom and side walls: - 50.72 sq.m, Area of partition walls: 13.36sq.m, Total weight of  FRP:  -  917.86  Kilogram,  Bacteria  inoculums  quantity:  -  7000  liters,  Minimum thickness  of  side  walls  /  top  and  bottom:  9  mm,  One  Number  of  inside  partitions:  -  4,
Minimum thickness of partition wall: 4mm</t>
    </r>
  </si>
  <si>
    <t>water proofing</t>
  </si>
  <si>
    <r>
      <rPr>
        <sz val="11"/>
        <rFont val="Times New Roman"/>
        <family val="1"/>
      </rPr>
      <t>Providing and laying Hyperplas Aluminium or equivalent polymeric multiple monolithic five  layer  water  proofing   flexible,   pliable  and  high  tensile  strength  membrane  (3 Kilogram/  One  Square  Metre)  which  is  comprise  of  top  with  "V"  shape  embossed  40 micron Aluminium foil to bear thermal expansion and avoiding delamination &amp; consist of centre   core   of   90   micron   thick   High   Molecular   High   density   Polyethylene   film (HMHDPE)  which  is  protected  on  both  the  side  with  polymeric  mix.  Applying  the membrane  by  thermofusing  to  roof  &amp;  parapet  after  applying  thin  film  of  hot  blown bitumen  85/25  or  90/15  grade  @  1.2  Kilogram/  One  Square  Metre  maximum  as  per surface condition or Hyperplas primer @ 250 gms/ One Square Metre as per site condition on the surface to be treated with 10 cm overlapping including finishing etc. complete and covering guarantee of 7 years on stamp paper of Rs. 100/- and as directed by Engineer-in- charge. (Prior permission of S.E.in writing is necessary before inclusion of  this item in
estimate).</t>
    </r>
  </si>
  <si>
    <t>Providing and laying Hyperplas standard or equivalent polymeric multiple monolithic five layer  water  proofing  flexible,  pliable  and  high  tensile  strength  membrane  (3  Kilogram/ One  Square  Metre)  &amp;  consist  of  centre  core  of  90  micron  thick  High  Molecular  High density Polyethylene film (HMHDPE) which is protected on both the side with polymeric mix. Applying the membrane by thermofusing to roof &amp; parapet after applying thin film of hot blown bitumen 85/25 or 90/15 grade @ 1.2 Kilogram/ One Square Metre maximum as per surface condition or Hyperplas primer @ 250 gms/ One Square Metre as per site condition  on  the  surface  to  be  treated  with  10  cm  overlapping  including  finishing  etc. complete and covering guarantee of 7 years on stamp paper of Rs. 100/- and as directed by Engineer-in-charge.  (Prior  permission  of  S.E.in writing  is necessary before inclusion  of this item in estimate).</t>
  </si>
  <si>
    <t>Providing  and  laying  mechanical  protective  layer  over  water  proofing  membrane  with cement screed plaster 1:5 after laying chicken mesh over membrane including curing etc. complete  20  mm  thick  with  cost  of  chicken  mesh  etc.  complete  and  covering  7  years guarantee  on  court  stamp  paper  of  Rs.100/-  including  necessary  testing  specified  by Engineer (Prior permission of S.E. is necessary before inclusion of this item in estimate) (Note :- This item shall be executed over item One Number 5 of BD-J Water Proofing)</t>
  </si>
  <si>
    <r>
      <rPr>
        <sz val="11"/>
        <rFont val="Times New Roman"/>
        <family val="1"/>
      </rPr>
      <t>Providing  and applying a Silicon Base Water Repellent Stone Sealers, on Brick / Stone masonry / Concrete surfaces in Two coats by spraying. Including cleaning / sand blasting for   removing  dirt  /  cement  mortar  patches  etc.  by  force  water  jet,  wire  brushing  etc.
complete.</t>
    </r>
  </si>
  <si>
    <r>
      <rPr>
        <sz val="11"/>
        <rFont val="Times New Roman"/>
        <family val="1"/>
      </rPr>
      <t>Providing internal / external  12 mm thick Ready Mix plaster confirming to IS:4031(Part- 4)  1988  and  IS  383-1970  in  a  single  coat  using  Cement  mortar   of  proportion  1:4 containing  special  type  of  polymer  additives  about  0.4%,  to  all  type  of  surfaces  in  all
positions including scaffolding and curing complete.</t>
    </r>
  </si>
  <si>
    <r>
      <rPr>
        <sz val="11"/>
        <rFont val="Times New Roman"/>
        <family val="1"/>
      </rPr>
      <t>Providing internal / external 20 mm thick Ready Mix plaster confirming to IS:4031(Part- 4)  1988  and  IS  383-1970  in  a  single  coat  using  Cement  mortar   of  proportion  1:4 containing  special  type  of  polymer  additives  about  0.4%,  to  all  type  of  surfaces  in  all
positions including scaffolding and curing complete</t>
    </r>
  </si>
  <si>
    <t>BGG</t>
  </si>
  <si>
    <t>Providing  brick masonry with interlock "Fourlock" bricks in retaining walls ,diaphragm wall  ,compound  wall  ,plinth  &amp;  partition  wall  etc  of  specified  150  mm  thick  including construction  with interlock   "Fourlock" brick, filling the hollow spaces with cementious grout material of proportion of C:M 1:6 using trap stone grit metal/artificial sand dusting off the finished brick masonry"Fourlock" bricks, surface,watering &amp; curing etc complete. ( Including  steel  reinforcement  of  8mm  bar  as  strengthening  bar  in  hollow  spaces  of fourlock bricks with cementious greet material )</t>
  </si>
  <si>
    <t>Providing  brick  masonry with  interlock  "Fourlock" bricks  in  plinth  &amp; superstructure  of specified 150 mm thick including construction with interlock "Fourlock" bricks,filling the hollow spaces with cementious grout material of proportion of C:M 1:6 using trap stone grit metal/artificial sand including dusting off the finished brick masonry surface,watering &amp; curing etc complete. ( Excluding steel reinforecement for strengthening )</t>
  </si>
  <si>
    <t>Providing  brick masonry with interlock "Fourlock" bricks in retaining walls ,diaphragm wall  ,compound  wall  ,plinth  &amp;  partition  wall  etc  of  specified  100  mm  thick  including construction  with interlock   "Fourlock" brick, filling the hollow spaces with cementious grout material of proportion of C:M 1:6 using trap stone grit metal/artificial sand dusting off the finished brick masonry"Fourlock" bricks, surface,watering &amp; curing etc complete. ( Including  steel  reinforcement  of  8mm  bar  as  strengthening  bar  in  hollow  spaces  of fourlock bricks with cementious greet material )</t>
  </si>
  <si>
    <t>Providing  brick  masonry with  interlock  "Fourlock" bricks  in  plinth  &amp; superstructure  of specified 100 mm thick including construction with interlock "Fourlock" bricks,filling the hollow spaces with cementious grout material of proportion of C:M 1:6 using trap stone grit metal/artificial sand including dusting off the finished brick masonry surface,watering &amp; curing etc complete. ( Excluding steel reinforecement for strengthening )</t>
  </si>
  <si>
    <t>Rigid Pavement (New item)</t>
  </si>
  <si>
    <t>Construction  of  M-40  grade  reinforced  prestressesd  precast  concrete  panel  of  200  mm thickness having size 4.5m x 3.5m or as per drawing, casting the panels as per approved design  and  drawing  in  factory  or  plant  including  cost  of  all  materials,  formwork, reinforcement,  dowel  bars,  tie  bars,  chairs,  lifting  bolts,  grout  ports,  labour  and  all necessary machineries  which are  required for  prestressing  the  wires, preparing  concrete mix as per job mix design (The minimum cement content for M40 grade of PPCP shall be 440 Kilogram/cum of concrete), making slots in panels for fixing dowel bars, tie bars, and placing  necessary  reinforcement  as  per  design  and  drawing,  steam/curing  for  28  days including lifting, transportating and placing the panels at the required position, line, level and alignment as directed by Enginner in Charge, with max 20% fly Ash ( Fly-ash upto 20% by weight of Cement) over a prepared sub base. including providing and fixing in position MS Plain dowel bars precoated with anticorrosive epoxy paint of required Dia. having  45  cms.  length  and  at  30.00  cm.  c/c  lubricated  for  half  length  with  bituminous paint and providing &amp; fixing TMT Fe 500 tie bars 12 mm dia. 60 cm long at 75 cm c/c, handling, straightening, necessary cutting supported by TMT FE 500, chairs with proper alignment  by  using  properly  designed  assembly  of  Bulkheads.   Including,   Grouting  of base of the panels as well as dowel and tie slots in the panels, Providing  contraction joints polysulphide  sealent  (Pouring  grade)  confirming  to  BS  :  5212  -  1989  into   groove  of specified  size  and  shape  as  per  detailed  drawing  including  fixing  Polyethylene  foam backer  rod  of  required  diameter  (appraox.  25%  larger  than  the  initial  3  mOne  Metric Tonneo  4  mm.  joint)  overlaid  with  bond  breaking  tape  as  per  detailed  drawing.  Item includes cleaning the joints with water jet / air compressor and allowing joint to become thoroughly  dry  before  sealent  is  applied  and  applying  primer.(A)  Contraction  and longitudinal joints (50 mm. deep x max. 6 mm wide)</t>
  </si>
  <si>
    <t>Providing and laying of Plastirib T or equivalent  raised profile edge line marking (audible vibratory)  with  special  hot  applied  thermoplastic  road  marking  compound  according  to IRC 35 : 2015, Clause 7.7 with2 mm thick base coat layer above that ribs profile size of length 40 mm x width 140 mm x height 6mm thick (Total 8 mm thick) at the distance of 250 mm between two ribs including reflectorizing glass beads @ 250 gm / sq. mtr. area. The minimum and maximum width of raised profile should be 150 mm. The thickness of 8 mm profil should be exclusive of surface applied glass beads. The finished surface to be exclusive of surface applied glass beads. The finished surface to be levelled, uniform and free from streaks and holes, to be applied on edge lines.</t>
  </si>
  <si>
    <t>Providing  and  laying  of  Plastirib  2K  or  equivalent   raised  profile  edge  line  marking (audible  vibratory)  with  special  2  component  cold  applied  road  marking  compound according to IRC 35 : 2015, Clause 7.7 with 2 mm thick base coat layer above that ribs profile size of length 40 mm x width 140 mm x height 6mm thick (Total 8 mm thick) at the distance of 500 mm between two ribs including reflectorizing glass beads @ 250 gm / sq. mtr. area. The minimum and maximum width of raised profile should be 150 mm. The thickness of 8 mm profil should be exclusive of surface applied glass beads. The finished surface to be exclusive of surface applied glass beads. The finished surface to be levelled, uniform and free from streaks and holes, to be applied on edge lines.</t>
  </si>
  <si>
    <t>51.126 a</t>
  </si>
  <si>
    <t>Providing and Laying  of Rumble strips with Plastirib 2K, or equivalent 2 component cold plastic   profiled  material  to  give  total  width  of  500  mm  and  height  of  10  mm.  Ramp provided   to  give  width  of  145  mm,  width  of  ribs  to  be  55mm  laid  at  centre  to  centre distance  of  35  mm,  with  reflective  glass  beads  @  350  gm  /   One  Square  Metre.   The finished surface to be levelled, uniform and free from streaks and holes, to be applied on the edge lines, including surface cleaning and cost of all materials etc. complete.</t>
  </si>
  <si>
    <t>51.126 b</t>
  </si>
  <si>
    <t>Providing  and  Laying  of  2  or  more  sets  (6  Nos.  each  set)  Dual  Ribs  Pattern  Rumble Markings on roads with vehicular speeds of more than 50 Km/hr laid as per the spacing recommended for each set under Table 11.1 and Fig. 11.2 of IRC 35:2015 using Plastirib 2K,  or  equivalent  2  component  cold  plastic  profiled  material.  Each  Dual  Rib  pattern rumble marking shall have width of 500 mm. Each dual rib pattern rumble marking shall have 2 ribs each of Width of 100 mm and height 20 mm. Gap between two ribs shall be 300 mm. Each rumble marking shall be made complete with drop on Soild Plus reflective glass beads @ 300 gm /  One Square Metre spread throughout the surface of marking. The finished surface to be levelled, uniform and free from streaks and holes, including surface cleaning and cost of all materials etc. complete.</t>
  </si>
  <si>
    <t>Supplying  and  fixing   of  Plastic  body  studs   with  two  shanks  and  without  shanks  of SWAREFLEX or equivalent in yellow, red and white color made of ABS body with size 100*100*17.9 mm, having reflective panels of 34 special Swaro glass reflective elements embedded  in  plastic  and  19  degrees  tilted  to  provide  the  highest  reflectivity.  Having reflective panels in yellow, red and white plastic with yellow, red, white or green Swaro glass elements. The studs shall have a compressive strength test certificate of 25 tons in accordance with   ASTDM D 4280 and successfully passing  retro reflectivity test  as  per EN 1463-1 and the road test EN 1463-2 from a reputed laboratory. The fixing of the road studs  shall  be  done  by using  a  recommended  Two  Component  Epoxy.  In  addition  two holes should be drilled in the depth of 50 mm on the road for the version with two shanks.</t>
  </si>
  <si>
    <t>Supplying and fixing of Swareflex or equivalent  Metal Road studs with shank, made of Die-cast  Aluminum  alloy molded  body with  the  size  of  100*100*19.8  mm,  shank  size 50mm, having reflective panels of 34 glass reflective elements embedded in plastic and 19 degrees  tilted  to  provide  the  highest  reflectivity having   reflective  panels  in  yellow,  red and  white  plastic  with  yellow,  red,  white  or  green  glass  elements.  The  weight  of Aluminum stud should be not less than 370 grams. The studs shall have a  compressive strength   test   certificate   of   40   tons   in   accordance   with   ASTDM   D   4280-04   and successfully passing retro reflectivity test as per EN 1463 part 1 &amp; part 2, from a reputed international  laboratory  .  The  bidder  shall  attach  a  product  warranty  certificate  against Breakage and loss of reflectivity from the manufacturer for 3 years from installation. The fixing of road studs shall be done by using a recommended Two Component Epoxy after drilling 60 mm hole on the road for the shank to go inside.</t>
  </si>
  <si>
    <r>
      <rPr>
        <sz val="11"/>
        <rFont val="Times New Roman"/>
        <family val="1"/>
      </rPr>
      <t>Supplying  and  fixing  of  Plastic  body  of  Swaro  Warn  or  equivalent  184*81*60  mm, mounted on road side plastic guide posts at a height of  80cm to 100cm from the ground level and fixed on post with screws supplied with the Swaro warn product. Swaro Warn comes in white or blue color. Visual wildlife warning system deflecting the headlights of approaching  vehicle  towards  Road  side  at  Dusk  or  night  for  creating  a  visual  warning fence  for  the  wildlife  to  avoid  the  accidents  of  wild  life.  Confirming  standards  RVS
04.03.12. The Swaro Warn article 7178 can be used for all types of terrain.</t>
    </r>
  </si>
  <si>
    <t>Road Sub Grade</t>
  </si>
  <si>
    <r>
      <rPr>
        <sz val="11"/>
        <rFont val="Times New Roman"/>
        <family val="1"/>
      </rPr>
      <t>Stabilization  of  Soil  or  Sub-Base/Base  Course  or  Existing  Pavement  Crust  upto  the required depth by In-Situ Stabilization  method using Cement  / Cementitious  additives  / Chemical additives / Combination:
Providing  and  pre-spreading  of  Binder  (Cement  /  Cementitious  additives  /  Chemical additives / combination) at rate of required quantity (% by weight) as per job mix design in accordance with IRC 37-2018 using a truck-mounted automated binder spreader with micro-processor  controlled  weighing  and  spreading  system.  The  binder  spreader  shall have  variable  working  width  upto  2.4m  to  efficiently  manage  the  width  of  the  whole pavement.
The  in-situ  stabilization  process  shall  be  carried  out  using  a  self-propelled  wheeled Stabilizer  /  Reclaimer  with  a  minimum  working  width  of  2m  or  2.4m  and  minimum engine horsepower of 305 kW having in-built automated water-spraying and depth control systems with variable working depth of up to 500 mm. The entire in-situ process shall be carried  out  in  a  single  pass  including  pulverizing  of  soil/aggregates/combination  or milling  of  existing  asphalt  pavement  and  simultaneous  mixing  with  pre-spread  binder (cement/additive) and water to the desired depth.
The resultant stabilized mix shall be compacted using a vibratory padfoot compactor of 14- 20  tonne  weight  as  per  design  depth  and  then  graded  to  the  required  profile,  level  and thickness  using  a  motor  grader.  The  graded  surface  shall  be  then  compacted  using  a smooth  vibratory roller  to  achieve  the  desired  proctor  density  as  per  IRC  37-2018  and complete in all respects including curing with water  as required  including all materials, labor, machinery, etc.
Necessary  graded  stone  aggregates  shall  be  added  by  pre-spreading  with  cement  to achieve desired gradation and profile of the road. The minimum unconfined compresssive strength (UCS) of stabilized sub-base should be 4.5 / 7 MPa after 7 / 28 days curing as per IRC 37-2018  .Also, durability aspects (wet-dry cycles) of  stabilized  sub  base should  be satisfied as per IRC 37-2018 .The gradation mixes and materials should be as per IRC 37-
2018.</t>
    </r>
  </si>
  <si>
    <t>Road Maintainance</t>
  </si>
  <si>
    <r>
      <rPr>
        <sz val="11"/>
        <rFont val="Times New Roman"/>
        <family val="1"/>
      </rPr>
      <t>Rehabilitation of existing damaged asphalt pavement by Cold In-Place Recycling (CIPR) process, using foamed bitumen as binder and cement as filler, as per IRC 120-2015 / IRC 37-2018: Providing a layer of fresh aggregates as per design mix by evenly pre-spreading on  the  exisiting  damaged  asphalt  surface  using  paver  or  motor  grader  to  achieve  the desired gradation and profile of the road. 1% cement by weight  of the mix shall be pre- spread on the layer of fresh aggregates using a truck-mounted automated binder spreader with micro-processor controlled weighing and spreading system. The binder spreader shall have  variable  working  width  upto  2.4m  to  efficiently  manage  the  width  of  the  whole pavement.  The  pre-spread  fresh  aggregates  and  cement  and  the  existing   damaged pavement shall be then pulverized and recycled in-situ up to design depth by injecting 2- 2.5%  bitumen  (VG30)  as  foamed  bitumen  as  per  design  mix  using  a  self-propelled wheeled  Recycler  equipment  with  a  minimum  working  width  of  2m  or  2.4m  and minimum  engine  horsepower  of  305  kW.  The  Recycler  equipment  should  have  in-built automated  water-spraying  system  and  temperature-controlled  foamed  bitumen  injection system with variable and controlled working depth of up to 500 mm. The entire in-situ recycling process shall be carried out in a single pass including milling and pulverizing of existing asphalt pavement with pre-spread aggregate and cement up to desired depth and simultaneous injection of foamed bitumen and water as per job mix design.The resultant recycled mix should be then compacted to required density using 14-20 tonne vibratory padfoot compactor as per design depth; profiled by motor grader and further compacted by smooth vibratory roller and PTR and complete in all respects as required including all materials,  labor,  machinery,  etc.  (This  cold  recycled  surface  shall be  then  covered  with tack  coat  and  bituminous  concrete  of  50mm  thickness,  cost  of  both  to  be  accounted
separately)</t>
    </r>
  </si>
  <si>
    <t>Road Safety</t>
  </si>
  <si>
    <t>Providing  and  erecting  a  Road  Restraint  system  -   Roller  System  Barrier  ETI  Roller System H1 &amp; H2 comprisiong of post of hot dip galvanized steel of 139.8mm diameter (L- 2200   and  L-750  )  thickness  4.5  mm    spaced  with  interval  of  1  meter  installed  in  to hardened  road  .  Safety frame  rail from  sheet  of  3.20mm thick  are  fixed  to  main  posts, shock  absorbing  rollers  345  mm  diameter  and  480mm  height  made  of  polypropelene  - EVA , post caps,  locker , pipes and connection material. Distance between main post and short  post  shall  be  500  mm.  the  height  of  upper  edge  rail  is  960  mm.  All  steel  parts( FRAME s235R equivalent SS400) and post S235JR shall be hot dip galvanised to protect against  corrosion.  The  system  shall  be  installed  in  accordance  with  the  drawings  and assembly instructions. etc. complete.</t>
  </si>
  <si>
    <t>MORTH Section- 515</t>
  </si>
  <si>
    <t>Providing and laying Stone Matrix Asphalt with 100-120 TPH batch type hot mix plant producing an average output of 75 tonne per hour using crushed aggregate of  specified grading  premixed  with  bituminous  binder  @  5.80  minimum  percent  of  mix  and  filler, transporting the hot mix towards site, laying with hydrostatic paver finisher with sensor control to required grade, level and alignment, rolling with smooth wheeled, vibratory and tandem rollers to achieve the desired compaction as per MORTH specification clause One Number515 etch. complete in all respects, IRC SP 79</t>
  </si>
  <si>
    <r>
      <rPr>
        <sz val="11"/>
        <rFont val="Times New Roman"/>
        <family val="1"/>
      </rPr>
      <t>Milling of existing bituminous surface  to specified  depth of  bituminous layer  including disposal  of  removed  material  with  all  lift  and  lead  upto  1000  m  etc  complete.  Using
machine like Writgen (W100) or equivalent</t>
    </r>
  </si>
  <si>
    <t>Providing and applying low viscosity bitumen emulsion RS1 for sealing cracks less than 3 mm wide or incipient fretting or disintegration in an existing bituminous surfacing.</t>
  </si>
  <si>
    <t>MORTH Section- 514</t>
  </si>
  <si>
    <t>Providing  and  laying  Microsurfacing  course  comprising  of  dry  (A)  fine  aggreegates confirming  to  Type  III  grading  @12  Kilogram/  One  Square  Metre.  of  Road  Surface coverage of specification as per IRC SP 81, 2008 Polymer  / latest modified cationic quick setting bitumen emulsion having 60% binder content and 3.6% polymer (B) @ 12.5% by weight  of  fine  aggregate  ordinary  portland  cement  (C)  @  2%  by  weight  of  agrregate chemical additives (D) @1.5% by weight of fine aggregate and water as per requirement.</t>
  </si>
  <si>
    <t>Providing   and  laying   a  Stress   Absorbing   Membrane  Interlayer  (SAMI)  /   bitumen impregnated  geotextile  layer  after  cleaning  the  road  surface,  geotextile  conforming  to requirements  of  clause  703.3,  laid  over  a  tack  coat  with  1.05Kilogramper   One  Square Metre of paving grade bitumen 80 - 100 penetration  / emulsion as per requirement and as directed by Engineer in Charge.</t>
  </si>
  <si>
    <r>
      <rPr>
        <sz val="11"/>
        <rFont val="Times New Roman"/>
        <family val="1"/>
      </rPr>
      <t>Pot  Hole  filling  with  Jet  Patcher-Repairs  to  potholes   50  mm  upto  100  mm  by  using semidense  bituminous  concrete  in  cold  mix  by  using  emulsion  including  making  the potholes  /patches  in  regular  shape  and  size.  Removing  loose  pockets,  Dewatering  in potholes,tack coats of 25 Kilogram/10 Sq.Mt.with RS1 emulsion etc.by use of advanced jetpatching technolgy machine of approved make and specification having capacity 5.50 TO 8.00 cubic meters with auxillary engine with direct drive to heavy duty blower, Rotary Positive Displacement Blower with direct drive and separate airline silencer. (Capacity –
15  PSI,  Flow  rate  1370/cum/hr).  cleaning  as  directed  by  Engineer  –  in-Charge  etc. complete (Emulsion @ 5% by weight of mix )</t>
    </r>
  </si>
  <si>
    <t>51.138a</t>
  </si>
  <si>
    <t>Upto 50mm</t>
  </si>
  <si>
    <t>51.138b</t>
  </si>
  <si>
    <t>50mm-100mm</t>
  </si>
  <si>
    <t>51.139 a</t>
  </si>
  <si>
    <t>Open Graded Premix Surfacing- Providing and Laying OGC 20 mm thickness composed of  13.2  mm to  5.6  mm aggregates  premixed with  bituminous  binder  transported to  site with VTS , laid over a previously prepared surface, finished to the required grade, level, alignment, and rolling to achieve the desired compaction but excluding prime / tack and Seal  coat.  For  Bitumen  of  specified  grade--USING  Batch  mix  type  hot  mix  plant  with SCADA,  Paver  and  Vibratory  roller(  over  BT  Surface)  (VG-30  bulk  bitumen  rates  are considered to arrive at rates)</t>
  </si>
  <si>
    <t>51.139 b</t>
  </si>
  <si>
    <t>Open Graded Premix Surfacing- Providing and Laying OGC 20 mm thickness composed of  13.2  mm to  5.6  mm aggregates  premixed with  bituminous  binder  transported to  site with VTS , laid over a previously prepared surface, finished to the required grade, level, alignment, and rolling to achieve the desired compaction but excluding prime / tack and Seal coat.  For  Bitumen  of  specified  grade--USING  Batch   mix  type  hot  mix  plant  with SCADA, Paver and Vibratory roller ( Over MPM Surface) (VG-30 bulk bitumen rates are considered to arrive at rates)</t>
  </si>
  <si>
    <t>Chipping  of  all  loose  and  Spalling  of  concrete  to  bottom  of  slab,  beams  etc.(wherever required), cleaning of reinforcement, carrying out thorough sand blasting, application of anti-corrosive zinc rich epoxy primer to exposed reinforcement including cost of material, labour, equipment, tools, scaffolding etc. complete.</t>
  </si>
  <si>
    <t>Providing  and  applying  epoxy  bonding  agent  for  bonding  old  to  new  concrete  for structural members prior applying the epoxy mortar to the concrete surfaces etc complete.</t>
  </si>
  <si>
    <r>
      <rPr>
        <sz val="11"/>
        <rFont val="Times New Roman"/>
        <family val="1"/>
      </rPr>
      <t>Providing and applying epoxy mortar of resin and hardner with Sillica sand upto 20 mm
thickness  of  Sika/Fosroc/Pidilite  or  its  equivalent  including  proper  wire  brushing  etc complete as per the direction of Site-In-Charge.</t>
    </r>
  </si>
  <si>
    <t>Charges for groove cutting of15 mm x 15 mm deep along crack and sealing and refilling the same with epoxy mortar including cost of material, labour etc. complete</t>
  </si>
  <si>
    <r>
      <rPr>
        <sz val="11"/>
        <rFont val="Times New Roman"/>
        <family val="1"/>
      </rPr>
      <t>Cleaning of rocker &amp; roller bearing using high pressure water jet, free from rust scales, re- setting &amp; greasing the bearings using graphite grease including cost of materials, labour
etc., complete.</t>
    </r>
  </si>
  <si>
    <t>Per bearing</t>
  </si>
  <si>
    <r>
      <rPr>
        <sz val="11"/>
        <rFont val="Times New Roman"/>
        <family val="1"/>
      </rPr>
      <t>Bearing cleaning and pier cap cleaning for the proper movement of bearing etc. complete including all tools and machineries scaffolding etc. complete as per the direction of Site in
Charge.</t>
    </r>
  </si>
  <si>
    <t>Providing  and  applying  “high strength,  non shrink  free flow  grout material”  i. e.  micro concrete   (like   shrink   comp   or   equivalent)   having   compressive   strength   as   400 Kilogram/sq.cm. including finishing the surface and curing for 07 days. Etc complete. The usage of this non shrink concrete with zero slump is to allow to occupy every free space leaving  no  voids,  thereby producing  dense  concrete  with  proper  bonding  with  concrete (The quoted rates to be  inclusive of all materials, labours, tools &amp; tackles, transportation, taxes etc complete) to be applied for foundation and strengthening of pier etc and as per the direction of Site-In-Charge. (The product like Ultratech/Rendroc (RGL) of FOSROC or its equivalent)</t>
  </si>
  <si>
    <r>
      <rPr>
        <sz val="11"/>
        <rFont val="Times New Roman"/>
        <family val="1"/>
      </rPr>
      <t>Providing  applying  Polymer  modified  cement  mortar  pointing  to  the  stone  massonry
structure including chipping, cleaning, applying bonding agent, stagging, curing and  and all tools and tackes including safety etc. complete.</t>
    </r>
  </si>
  <si>
    <r>
      <rPr>
        <sz val="11"/>
        <rFont val="Times New Roman"/>
        <family val="1"/>
      </rPr>
      <t>Grouting to the Dowel bars with  epoxy of  resin+hardner to  ensure the  proper fixing  of dowel  bars  including  all  the  machineries  etc.  complete,  as  per  the  direction  of  Site-  In-
Charge.</t>
    </r>
  </si>
  <si>
    <t>Providing  and  applying  waterfroof  coating  to  the  concrete  surface  to  resist  entry  of moisture and prevent growth of fungus etc. complete as per the direction of site in charge.</t>
  </si>
  <si>
    <r>
      <rPr>
        <sz val="11"/>
        <rFont val="Times New Roman"/>
        <family val="1"/>
      </rPr>
      <t>Lifting   of   span   and   bearing   locations   by suitable  hydraulic jacks  connected by high
pressure, rubber hoses to pump &amp; removal  of old exsting bearing ( Roller side only) As per Quotation</t>
    </r>
  </si>
  <si>
    <t>Strengthening  structural elements by  providing &amp; fixing CARBON FIBER (Make Sika or BASF or FOSROC) Surface preparation: Grinding concrete substrate, cleaning it with wire brush removing oil, laitance if present, rounding sharp edges to min 25 mm radius etc.  complete.Profiling:  providing  &amp;  Applying  compatible  Mbrace  primer  on  prepared substrate,  Filling  the  holes  and  uneven  surface  with   high  strength  epoxy  putty  etc. complete IF Required. Wrapping: Providing &amp; Applying first coat of Saturant, cutting the carbon  fiber  sheet  to  size,  wrapping  the  fiber  sheet  to  structural  element  at  desired orientation  using  tamping  roller  to  avoid  any  air  voids  etc.  complete.Sand  pasting: Providing &amp; Applying second coat of  Saturant after min. 12 hrs, rectify air voids if any paste  the  rive  sand  on  it  to  make  surface  rough  to  take  any  further  finishes(Mode  of measurement:  Per  sq.mt  of    Mbrace  CF  400  sheet  applied  and  not  surface  area  of Concrete application &amp; Quantity will be measured including wastage) The rate includes all type of material,application,equipment &amp; scaffolding etc complete. Rate is applicable for all height &amp; level.</t>
  </si>
  <si>
    <r>
      <rPr>
        <sz val="11"/>
        <rFont val="Times New Roman"/>
        <family val="1"/>
      </rPr>
      <t>Replacement of existing damaged Expansion joints by providing and laying of Strip Seal Expansion Joint System, including removal of existing damaged exp joints by dismantling of deck slab, wearing coat etc. and back filling of the recess up to final finish level with
conc of grade M-35, complete as per M.O.R. T&amp;H specification.</t>
    </r>
  </si>
  <si>
    <r>
      <rPr>
        <sz val="11"/>
        <rFont val="Times New Roman"/>
        <family val="1"/>
      </rPr>
      <t>Providing Polymer modified cement Mortar treatment after removing of existing, clading, plaster, gunite &amp; cleaning and preparing the surface.Applying Polymer cement bond coat and Polymer modified cement Mortar as per manufacturer specification up to 50 mm thick with 8% polymer by weight of cement to fill the all cavities &amp; making protective cover
plaster including shuttering</t>
    </r>
  </si>
  <si>
    <t>Providing, drilling and fixing Nipples for pressure injection grouting of polymer cement grout etc. complete</t>
  </si>
  <si>
    <t>Filling voids/honeycomb with high pressure injection grouting of Polymer Cement Grout (10% of Polymer by Weight of Cement)</t>
  </si>
  <si>
    <t>Providing  and  laying  in  situ  /  ready  mix  M35  grade  RCC  jacketing  work  around  the existing piers of bridges etc. complete. (with fully automatic micro processor based PLC with  SCADA  enabled  concrete  batch  mix  plant  /  pan  mixer  with  fine  agreegates  of required specifications ( VSI sand finely washed etc ), height of 8 to 10 meter)</t>
  </si>
  <si>
    <t>Bridge cum Bhandara</t>
  </si>
  <si>
    <r>
      <rPr>
        <sz val="11"/>
        <rFont val="Times New Roman"/>
        <family val="1"/>
      </rPr>
      <t>A) Precast BeB Panals
1 Providing and fixing Precast M 25 grade Concrete curved section of 100 mm thick to serve as bandhara as per the standard drawing approved by department having elliptical shape with base upto 6m as per table attatched to be casted in factory in suitable sections and  transporting  to  site  and  erecting  the  same  including  all  leads,  lifts,  labour  and machinaries  with  finishing  .One  Number  of  elements  in  which  compled  section  is proposed  to  be  cast shall be approved.Necessary equipments  for  placing giving  support through turn bucle or similar arrangement to maintain its verticality till insitu joining..The total steel quantity is 75Kilogram per cubic meter of concrete The method statement shall be  prepared  and  got  approved  from engineer  including  cost  of  plasticizer  and  viscocity admixure.</t>
    </r>
  </si>
  <si>
    <r>
      <rPr>
        <sz val="11"/>
        <rFont val="Times New Roman"/>
        <family val="1"/>
      </rPr>
      <t>b) Hot Dip Galvanised Needle Gate
1 Manufacturing with OAP &amp; fabrication of hot dip galvanised  needle gates - curved type of  required  size  and  Weight  as  per  the  detailed  design  and  drawings  with  all  material, Mild  steel  confirming  to  IS  2062,  Rubber  seal  confirming  to  IS  4623  &amp;  Welding electrodes AWS E6013 for general weld joints. It includes all materials, Labour charges, machinery charges, 1km lead charges of transportation, loading and unloading charges of Gate parts at Site, Inspection &amp; Quality control charges, Sand blasting,overhead charges of 10%, and all incidential charges including all duties, taxes, levies and insurance charges excludung GST</t>
    </r>
  </si>
  <si>
    <t>Providing and fabricating and fixing at site hot dip  galavanised structural steel work in rolled sections like joists, channels, angles, tees etc. as per detailed design and drawings or as  directed  including  cutting,  fabricating,  hoisting,  erecting,  fixing  in  position  making riveted  I  bolted  Iwelded  connections  without  connecting  plates,  braces  etc.  complete including all transporation , labour and all lift excluding GST</t>
  </si>
  <si>
    <r>
      <rPr>
        <sz val="11"/>
        <rFont val="Times New Roman"/>
        <family val="1"/>
      </rPr>
      <t>c) FRP Needle Gate
1 Providing , supplying and fixing of FRP gates -needles  in curved or straight shape in size  required  size  and  60mm  thick  for  the  Bridge  -cum-  Bandhara  .The  gate/needles should  withstand  under  minimum  water  pressure  of  7.00  tonne.  with  interlocking arrangements,  required  rubber  seals  to  arrest  water  leakage  due  to  surface  unevenness including FRP "C" channels at both side of gate of size 100 mm x 100 mm with 10 mm thick,  with  lifting  eye  bolts.  And  as  per  specifications  mentioned  in  the  Technical
spectications and product features excluding GST</t>
    </r>
  </si>
  <si>
    <r>
      <rPr>
        <sz val="11"/>
        <rFont val="Times New Roman"/>
        <family val="1"/>
      </rPr>
      <t>Providing and fixing Sill beam in size 100 X100 mm with 10 mm thick, in FRP material
with lifting eye bolts. And as per specifications mentioned in the Technical spectications and product features excluding GST</t>
    </r>
  </si>
  <si>
    <t>Cubical Toilet</t>
  </si>
  <si>
    <r>
      <rPr>
        <sz val="11"/>
        <rFont val="Times New Roman"/>
        <family val="1"/>
      </rPr>
      <t>Supply  and  installation  of  cubicles  of  width  and  depth  as  per  Athena  Lite-  SS  Series Cubicles- Std Sizes (W x D x H): 900 mm x 1550 mm x 2105 mm, (Height is including 100 mm gap from bottom, Door Width- 600 mm specifications/  site drawings). Cubicle height  to  be  2105  mm.  Made  from  solid  grade  compact  high  pressure  laminate  as  per IS:2046 and EN-438 manufactured under high specific pressure &gt; 5 MPa and temperature
&gt;120°C,  All  doors  will  be  of  single  colour  and  made  of  12  mm  thick  Merino  HPL compact panel. The doors will have chamfered edges. Each door will be supported by 3 stainless  steel made hinges affixed to the pilasters. Size of panels to be as per drawing. HARDWARE  &amp;  ACCESSORIES  are  H  shaped  (Top)  head  frame  structure  made  of extruded   Aluminium   grade   6063   T5-50   micron   epoxy  powder   coated   for   surface protection,  Size  to  be  125x70x5T.   Corner  joinery section,  Size  to  be  40x16.5x1.8T.  U- Channel  Wall  joinery section,Size  to  be  22x16x1.6T.  Door  stopper  section,  Size  to  be 21x12.5x1.6T. Spring loaded Butt Hinges made from Stainless steel grade 304. Surface finish to be matt type. Covers to be lacor coated.etc complete.</t>
    </r>
  </si>
  <si>
    <t>Supply  and  installation  of   CEILING  HUNG   cubicles  of  width  and  depth  as  per specifications/ site drawings. Cubicle height to be 2400 mm. Std Sizes (W x D x H): 900 mm x 1550 mm x 2400 mm, (Height is including 100 mm gap from bottom) Door Width- 600  mmITEM  DESCRIPTION  Made  from  solid  grade  Merino  make  compact  high pressure laminate as per IS:2046 and EN 438 manufactured under high specific pressure &gt; 5 MPa and temperature &gt;120° C, All doors will be of single colour and made of 18 mm thick Merino HPL compact panel. The doors will have chamfered edges. Each door will be  supported  by 3  stainless  steel  made  hinges  affixed  to  the  pilasters.  All  intermediate partitions or dividers will be made of 12 mm thick Merino HPL compact laminate panels. Size of panels to be as per drawing. HARDWARE &amp; ACCESSORIES are H shaped (Top) head  frame  structure  made  of  extruded  Aluminum  grade  6063  T5-50  micron  epoxy powder coated for surface protection. Size to be 125x70x5T.  Corner joinery section, Size to  be  40x16.5x1.8T.  U-Channel  Wall  joinery  section,  Size  to  be  22x16x1.6T.  Door stopper section, Size to be 21x12.5x1.6T. Spring loaded Butt Hinges made from Stainless steel grade 304. Surface finish to be matt type. Covers to be lacor coated.Coat hook with rubber  stopper  made  from Stainless  steel grade 304.  Surface finish  to be  matt type.  etc complete.</t>
  </si>
  <si>
    <t>Supply and installation of  PD DOOR cubicles of width and depth as per specifications/ site drawings. PD Door height to be 1980/2100 mm.PD Doors Series :  Std Sizes  (W x H): 2100 mm x 7500 mm  (Height is including 150 mm gap from bottom), Door Made from   solid   grade   Merino   Make   compact   high   pressure   laminate   as   per   IS:2046 manufactured  under  high  specific  pressure  &gt;  5  MPa  and  temperature  &gt;120°C  ,.Panel thickness 12 mm. Size of panels to be as per drawing. HARDWARE &amp; ACCESSORIES are Specially designed D-shape wall mounted pole made from extruded grade aluminum alloy  6063/HE9/T-6  and  epoxy  powder  coated  (color  as  per  specifications)  for  surface protection. Size to be 46x41x2T, Matching profile and color Nylon Polyamide-6 caps to cover  aluminum  Poles,  Self  closing  Hinges  (Gravity  mechanism)  made  from  Nylon Polyamide  grade-6.  Color  to  be  as  per  specifications,  Stainless  steel  grade  304  screws, Anti-rotation Nylon polyamide grade-6 expandable wall plugs, etc complete.</t>
  </si>
  <si>
    <t>Supply  and  installation  of   12MM  BOX  UP  cubicles  of  width  and  depth  as   per specifications/  site  drawings.  Cubicle  height  to  be  2100Titan  Box  up  18  mm  Series Cubicles:  Std Sizes   (W x D x H)- 900 mm x 1550 mm x 2100 mm, (Height is including 100 mm gap from bottom) Door Size- 600 mm mOne Metric Tonneitan Box up 18 mm Series Cubicles:  Std Sizes   (W x D x H)- 900 mm x 1550 mm x 2100 mm, (Height is including  100  mm  gap  from  bottom)  Door  Size-  600  mmTitan  Box  up  18  mm  Series Cubicles:  Std Sizes   (W x D x H)- 900 mm x 1550 mm x 2100 mm, (Height is including 100 mm gap from bottom) Door Size- 600 mmITEM DESCRIPTION: Made from solid grade Merino make compact high pressure laminate as per IS:2046 manufactured under high specific pressure &gt; 5 MPa and temperature &gt;120°C, All doors will be of single colour and made of 18 mm thick Merino HPL compact panel. All pilasters will be made of 18 mm  thick  Merino  HPL  compact  panel.  HARDWARE  &amp;  ACCESSORIES  are  No  head frame structure, all panels to be aliengned to the top, Corner joinery section made from Stainless  steel grade 304. Surface finish to be brush type. A thin plastic film pasted for surface protection. Size to be 35mmx15mmx0.8 mm. etc complete.</t>
  </si>
  <si>
    <r>
      <rPr>
        <sz val="11"/>
        <rFont val="Times New Roman"/>
        <family val="1"/>
      </rPr>
      <t>Supply  and  installation  of   cubicles  of  width  and  depth  as  per  specifications/  site drawings. Cubicle height will be 1980 mmTitan Std Series Cubicles:  Std Sizes (W x D x H): 900 mm x 1550 mm x 1980 mm/2039 mm ( Height is including 150 mm gap from bottom) Door Size- 600 mm when top rail of rectangular cross section is used and 2039 mm when top rail of circular cross section is usedITEM DESCRIPTION  Made from solid grade  Merino   make   compact   high   pressure  laminate   as   per   IS:2046   and   EN-438 manufactured under high specific pressure &gt; 5 MPa and temperature &gt;120°C, All doors will  be  of  single  colour  and  made  of  12  mm  thick  Merino  HPL  compact  panel.  All pilasters  will be made of 12 mm thick HPL compact panel.  Size of  panels to  be as  per drawing. HARDWARE &amp; ACCESSORIES are Top rail is made of  stainless steel grade
304.  There  are  two  options  for  the  top  rail.  First  one  comes  with  a  rectangular  cross section (Size to be 55mmx42mmx1.6 mmT) and the other one comes with circular cross section (Diameter 32 mm). Surface finish to be brush type. A thin plastic film pasted for surface protection. Corner  joinery section  made from Stainless  steel grade 304.  Surface finish  to  be  brush  type.  A  thin  plastic  film  pasted  for  surface  protection.  Size  to  be 35mmx15mmx0.8 mm. etc complete.</t>
    </r>
  </si>
  <si>
    <t>Supply and installation of ZMS (Nylon) cubicles of width and depth as per specifications/ site drawings. Cubicle height will be 2003 mm. ZMS Series Cubicles:  Std Sizes (W x D x H): 900 mm x 1550 mm x 2003 mm, (Height is including 150 mm gap from bottom) Door Width-  600  mmITEM  DESCRIPTION   Made  from  solid  grade  compact  high  pressure laminate as per IS:2046 and EN-438 manufactured under high specific pressure &gt; 5 MPa and temperature &gt;120°C. All doors will be of single colour and made of 12 mm thick HPL compact  panel.  All  pilasters  will  be  made  of  12  mm  thick  HPL  compact  panel.  All intermediate partitions  or dividers will be made of 12 mm thick HPL compact laminate panels. Size of panels to be as per drawing. HARDWARE &amp; ACCESSORIES are Semi- spherical  (Top)  head  frame  structure  for  surface  protection.  Size  to  be  50x32x1.6T. Corner joinery section, Size to be 40x16.5x1.8T.U-Channel Wall joinery section, Size to be 22x16x1.6T.Door stopper section, Size to be 21x12.5x1.6T. Stainless steel grade 304 screws,  Anti-rotation  Nylon  polyamide  grade-6  expandable  wall  plugs,  The  Work  shall complete as per drawing , under supervision of engineer in charge, etc complete.</t>
  </si>
  <si>
    <r>
      <rPr>
        <sz val="11"/>
        <rFont val="Times New Roman"/>
        <family val="1"/>
      </rPr>
      <t>Steel Fiber Reinforcement:  Supplying, Providing and Mixing Hooked End/Crimped steel fibers  with aspect ratio between 50 to 80 (Diameter between 0.45 to 01mm and  length between  12.5  to  60mm)  manufactured  from  cold  drawn  wire  and  having  a  minimum tensile strength of 1100N/Sq.mm, as per CE Certification label mark, HE non-glued/ HE glued,  non-balling,  conforming  to  ASTM  A  820  /EN  14889-1,  compatible  with  all construction  chemicals  used  for  the  batching,  laying  and  curing  of  concrete.  The  fibers shall be added to the concrete at specified dosage and shall be mixed with the concrete ingredients  for  sufficient  time  to  ensure  uniform  distribution  and  pumping  concrete. Addition of steel fibers in cement concrete for flooring/ pavement/CC roads (All ground supported  slab)/underground  structure/precast  items  (like drains,  manhole covers,  walls, paver blocks, pipes, tunnel segments) etc. doses as per approved designs and directions of Engineer-in-Charge.  HSN Code for Steel Fibres is 73170013.  Regularly used are MSCF 50; MSH 10050; MSH 7560; MSH7035; MSH 6035; MSH 5530; NSH-G 7560; MSH-G
7035; MSH-G 6035; MSH-G 5530 etc. are some of the widely used sizes.</t>
    </r>
  </si>
  <si>
    <t>MORTH 602.2.5 AND IRC:SP:46</t>
  </si>
  <si>
    <t>Fire  Door  55mm  2HR  FRL  (120/120)  3  Criteria  -  INTEGRITY  /  INSULATION/ STABILITY WOODEN DOOR - Fire Door Tested in accordance to IS: 3614 Part 2.</t>
  </si>
  <si>
    <t>Providing  of   120  min  Fire  rated  doors  system  duly  tested  for  3  criteria  -  Integrity, Insulation and Stability Criteria as per the IS: 3614 Part 2 and BS: 476 part 22 at National Test House, Govt of India laborator and/or with Central Building Research Institute, Govt of India undertaking with standard heating conditions as specified in IS:3614 Part II 1992 and BS: 476 part 20 &amp; 22 1987 to achieve the required integrity, insulation and stability (i.e. to restrict the heat radiation, temperature rise on the non fire side to the maximum of 140°  C  above  the  ambient  temperature  on  the  exposed  surface  of  the  shutter.  The  fire doors are tested with NCBN technology ("Non Combustible by Nature").</t>
  </si>
  <si>
    <t>a)  Door  Frame:  Supplying  &amp;  Fixing   frames  for  Fire  resistant  door  shutters  1st  class Malaysian Hardwood Frame densified (810 Kilogram/cum) and pressure treated with fire retardant  chemicals  in  vacuum  impregnation  vessel  under  160  psi  pressure  as  per IS:401and kiln seasoned to moisture below 15% as per IS:1141 of section 120 X 70 mm spray quoted with 2 coats of intumescent paint of minimum 200 micron, with single row of Brush- Type ASTROFLAME intumescent strip of size 10mm x 4mm affixed in the slit of the Frame for fire and smoke sealing, etc. complete.</t>
  </si>
  <si>
    <t>b)Shutter : Supplying &amp; Fixing of 55mm thick asbestos free criteria checked - fire, heat and  smoke  resistant  composite  Fire  check  Door  Shutter  complying  with  with  fire performance - FD 120 as per IS:3614 (part - II) comprising of 2x8mm Calcium Silicate boards  over  Chemically  treated  (with  Fire  retardant  chemicals  in  vaccum  pressure impregnation vessels under 160 psi pressure as per IS:401 and kiln seasoned to moisture below  15%  as  per  IS:1141)  internal  timber  (Malaysian  Hard  Wood,  densified  to  810 Kilogram/cum)  frame  work  of  100x32  mm  with  32mm  thick  infill  of  ceramic  fiber (density  128  Kilogram/cum),  vermaculite  mix  faced  with  3mm  Fire  retardant  High Density  fibre  board,  internally  lipped  with  hardwood  beading  and  pasted  in  Hydraulic Press  under  25 MPa,  spray quoted  with 2  coats of  in-tumescent  paint  of minimum 300 micron, and with single row of Brush- Type intumescent strip of size 10mmx4mm affixed on periphery for fire and smoke sealing in the slit on all edges of shutter except bottom, without any external lipping.</t>
  </si>
  <si>
    <r>
      <rPr>
        <u/>
        <sz val="11"/>
        <rFont val="Times New Roman"/>
        <family val="1"/>
      </rPr>
      <t>c) Vision Panel</t>
    </r>
    <r>
      <rPr>
        <sz val="11"/>
        <rFont val="Times New Roman"/>
        <family val="1"/>
      </rPr>
      <t>:
2 HR rated E Class clear high stress fire rated glass is pre fabricated strategically inside the  shutter  structure  with  10  mm  inside  the  shutter  on  all  sides  with  U-  glazing.  An additional  insulated  powdercoated  'Z'  channel  of  16  swg  MS  sheet  to  be  fixed  for reinforcement of the joints.</t>
    </r>
  </si>
  <si>
    <t>Providing of  2 Hour Rated Acoustic Fire Door to effectively control noise in conference rooms, broadcasting studios, theatres and music practice rooms. duly tested for 3 criteria - Integrity, Insulation and Stability Criteria as per the IS: 3614 Part 2 and BS: 476 part 22 with standard heating conditions as specified in IS:3614 Part II 1992 and BS: 476 part 20 &amp; 22  1987 to  achieve the  required integrity,   insulation and  stability (i.e.  to restrict  the heat radiation, temperature rise on the non fire side to the maximum of 140° C above the ambient  temperature on the exposed surface of the shutter. The accoustic fire doors are tested  with  NCBN  technology  ("Non  Combustible  by  Nature")  duly  tested  for  sound insulation  as  per  ISO  10140-2  /  ASTM  E  90  for  sound  transmission  loss  evaluation  of 42db in reverberation chamber at ARAI.</t>
  </si>
  <si>
    <t>a)Door  Frame:  Providing  &amp;  Fixing  Frames  for  Fire  resistant  door  shutters  1st  class Malaysian Hardwood Frame densified and pressure treated with fire retardant chemicals in vacuum impregnation vessel under 160 PSI pressure as per IS:401and kiln seasoned to moisture below 15% as per IS:1141 of section 120 X 70 mm spray quoted with 2 coats of In  tumescent  paint  of  minimum  200  micron,  with  1  row  of   Brush- Type  Astroflame® intumescent strip (imported) of size 10mmx4mm concealed in the groove of the Frame for fire and smoke sealing, etc. complete as per direction of Engineer in Charge</t>
  </si>
  <si>
    <t>b)Shutter: Supplying &amp; Fixing of 75mm thick asbestos free,  fire, heat and smoke resistant composite Acoustic Door Shutter complying with with fire performance - FD 120 as per IS:3614  (part  -  II)  comprising  of  2x12mm  Calcium  Silicate  boards  over  Chemically treated (with Fire retardant chemicals in vaccum pressure impregnation vessels under 160 psi  pressure  as  per  IS:401  and  kiln  seasoned  to  moisture  below  15%  as  per  IS:1141) internal timber (Malaysian  Hard Wood,  densified to  810 Kilogram/cum)  frame work  of 100x36  mm  with  36mm  thick  infill  of  ceramic  fiber  (density  128  Kilogram/cum), vermaculite mix faced with 6mm Fire retardant High Density fibre ply, internally lipped with hardwood beading and pasted in Hydraulic Press under 25 MPa, spray quoted with 2 coats of in-tumescent paint of minimum 300 micron, and with single row of Brush- Type intumescent strip of size 10mmx4mm affixed on periphery for fire and smoke sealing in the  slit  on  all  edges  of  shutter  except  bottom  and  placement  of  3  mm  thick  rubber membrane, at the inside face, sandwitched between calcium silicate board &amp; high density fire  retardant  ply,  without  any  external  lipping  with  triple  rebatting  in  shutters,  etc complete.  Providing  of   Fire  Barrier  Systems  to  prevent  the  spread  of  fire  and  smoke within roof and ceiling voids.</t>
  </si>
  <si>
    <r>
      <rPr>
        <sz val="11"/>
        <rFont val="Times New Roman"/>
        <family val="1"/>
      </rPr>
      <t>Fire Barrier:
Providing 100mm thick asbestos free composite - 3 criteria - fire, heat and smoke check Fire Barrier to  prevent the  spread of  fire and  smoke within  roof and  ceiling voids  with flame  guard  of  120  minutes  as  per  IS:  3614  part  -II  comprising  of  4  x  12mm  thick Calcium Silicate boards, Chemical treated internal timber with Fire retardant chemicals in pressure impregnation vessels under 160 PSI pressure as per IS:401and kiln seasoned to moisture below 15% as per IS:1141 frame  work of  50mm x  100 mm with 50mm thick infill  of  ceramic  fiber  (density  96Kilograms/CMT),  vermaculite  mix  reinforced  by  MS 8mm  bars  supported  within  the  existing  structure  &amp;  sealed  with  fire  retardant  Poly Urethane foam. All empty spaces will be filled with ceremic wool as per instruction of the engineer.</t>
    </r>
  </si>
  <si>
    <r>
      <rPr>
        <sz val="11"/>
        <rFont val="Times New Roman"/>
        <family val="1"/>
      </rPr>
      <t>Panic Bar: (For 2 Hr fire Rated single Panic bar)
Supplying,  fitting  &amp;  fixing  Surface  mounted  Crash  Bar/  panic  Bar  of  touch  pad  style
,made  of  heavy  duty  cast  iron/  steel  body  &amp;  latches  with  SS  ,BHMA  certified  &amp; conforming to ANSI A 156.3 for  grade-1 (  3 hours  fire rated  ) and  suitable for  surface mounting  to  wooden/hollow  metal/  Al  framed  door,with  maximum  operating  force 8Kilogram for unlocking easily &amp; outwardly during emergency,complete in all respect as per direction &amp; satisfaction of Engineer-in charge including all taxes &amp; incidental charges. (Note:  To  be  installed  at  "FIRE  EXIT"only  under  location  specific  instruction  of Eingineer-in -Charge.)</t>
    </r>
  </si>
  <si>
    <r>
      <rPr>
        <sz val="11"/>
        <rFont val="Times New Roman"/>
        <family val="1"/>
      </rPr>
      <t>Door Closure: (For 2 Hr fire Rated EN-3 Door Closure)
Supplying, fitting &amp; fixing Surface mounted overhead Door Closer for 2 hour fire rated doors of different size (e.g size -EN-3 for leaf width upto 900mm) CE certified, marked &amp; conforming to  EN - 1154 of approved quality (Internationally reputed brand like Dorma, Geze,  Hafele,  Assabloy  &amp;  Magnum  etc.)  fitted  and  fixed  Complete  as  per  direction  &amp; satisfaction of Engineer -in Charge including all taxes &amp; incidental charges.</t>
    </r>
  </si>
  <si>
    <r>
      <rPr>
        <sz val="11"/>
        <rFont val="Times New Roman"/>
        <family val="1"/>
      </rPr>
      <t>12"SS Handle: (For 2 Hr fire Rated 12"SS Handle)
Supplying, fitting &amp; fixing Stainless Steel 'D' or 'H' type of size 300 mm x 19 mm tubular Handle with Grade 304, CE certified, marked &amp; conforming to  EN - 1154 of approved quality  (Internationally  reputed  brand  like  Dorma,  Geze,  Hafele,  Assabloy  &amp;  Magnum etc.)as per direction of Eingineer -in Charge  fitted and fixed complete including all taxes
&amp; incidental charges.</t>
    </r>
  </si>
  <si>
    <t>Road works</t>
  </si>
  <si>
    <t>Rd</t>
  </si>
  <si>
    <t>Providing  and  laying  White  Topping  as  per  IRC-SP  76-2015  over  bituminous  surface (Existing  bituminous  surface  preparation  to  be  done  if  necessary  either  by  milling  or levelling course with BM/DLC to correct surface profile and to be paid separately) with unreinforced  M-40  grade  Pavement  Quality  Concrete  using  Ordinary  Portland  Cement (OPC 43/OPC 53-Grade) at 357kg/cum and 105 kgs of Fly Ash (Replacement of Fly Ash to  the  extent  of  15%  and  Fine  aggregate  by 10%)  coarse aggregate,  fine aggregate  and Admixture confirming to IS 9130-1999 (R-2004) polymeric synthetic fibre as per ASTM (1116)  such  as  polyester  /  polyethylene  /  polypropylene  /  Glass  fibre  at  1.20  kg/cum, mixed  in  batching  and  mixing  plant  or  weigh  batcher  as  per  approved  mix  design  to achieve minimum flexural strength or modulus of rupture of concrete 4.50 MPa at 28 days limiting  maximum water  cement  ratio  to  0.40,  transported  to site,  laid with  mechanical paver finisher, spread, vibrated, compacted and finished in a continuous operation to the lines and grades as per drawing, texture finishing of surface, spraying two layers of curing compound,  curing  with  water  sprayed  on  hessian  cloth  covered  over  concrete  surface, groove cutting grid 1m x 1m to a depth of 1/3 of the Thickness and of width 3-5 mm as per design including cost of all material, side form work, sealing joints labour and HOM of machineries etc. complete as per specifications..</t>
  </si>
  <si>
    <r>
      <rPr>
        <sz val="11"/>
        <rFont val="Times New Roman"/>
        <family val="1"/>
      </rPr>
      <t>As directed by Engineer-in-charge AND IRC:SP 76-
2008</t>
    </r>
  </si>
  <si>
    <r>
      <rPr>
        <sz val="11"/>
        <rFont val="Times New Roman"/>
        <family val="1"/>
      </rPr>
      <t>Standard Metal Delineator
Supply and Installation of Road delienators ( Road way Delienators ) as per MORT&amp;H clause  806.The  structure  shall  be  manufactured  in  roll  forming  process  and  shall  have height  not  less  than  800  mm  above  the  ground,  width  not  less  than  100  mm and  shall extend not more than 300mm below the ground while being installed in confirmation with IRC:79  1981or  as  directed  by  engineer  in  charge.The  delineator  shall  be  painted  with powder coat of minimum 40 microns thickness for protection against corrosion, on top of which Type XI retro reflective sheeting shall be pasted on both sides.  The delienator shall consist  minimum  retro  reflective  unit  exposed  area  of  330  cm2  white  color,  full  cube corner micro prismatic non-metallic retro reflective sheeting on each side conforming with IRC 67 2012 and meeting the coefficient of retro reflection values as per ASTM D 4956 Type XI table specification.The front and back faces of the delineator should be curved with a radius of not more than 200 mm and with delta angle (or central angle of curve) lying between 20o and 30o, to increase the visibility of the delineator for vehicles moving in  continuous  curves.  The  delineator  shall  have  grooves  across  the  length  to  make  the reflective sheets vandal-proof.</t>
    </r>
  </si>
  <si>
    <t>IRC 79:1981</t>
  </si>
  <si>
    <r>
      <rPr>
        <sz val="11"/>
        <rFont val="Times New Roman"/>
        <family val="1"/>
      </rPr>
      <t>Flexible Median Marker
Supply and Fixing of Flexible Median Marker which shall be made of tough, high impact resistant, injection-molded, thermoplastic body with U shape structure with overall height of  minimum  180mm  and  shank  depth  of  minimum  30mm  and  thickness  not  less  than 2mm. The exposed body structure should be cornered rounded for better aesthetics. The plastics used for the molding the flexible median marker shall have a minimum notched Izod Impact strength value of  4.11J/cm (@thickness 3.17mm) at room temperature, tested in accordance with ASTM D256. The outer part of the body shall have the Abrasion loss not less than 35 mm3 when tested accordance with DIN53505 and DIN53516 respectively and shall retain at least 70% of this value when it is subjected to accelerated weathering for  500hrs  as  per  the  ASTM  G155  standard.  .  The  logo  of  the  manufacturer  shall  be embossed  on  either  side  of  the  body  in  the  injection  molding  process.  -  The  flexible median marker shall have U shaped florescent yellow color retro-reflective sheeting with minimum  exposed  reflective  area  285  mm2.   The  reflective  sheeting  should  confirm  to Type  XI  Florescent  Yellow  sheeting  as  per  IRC  67  2012  and  ASTM  D4956-11.  The product  design has to with stand all natural impacts and should not get damaged if any pedestrian stamp on top of it intentionally or unintentionally. The product should bend up to  90  degree  on  both  sides  (becoming  completely horizontal),  it  should  be  able  to  take minimum  200  stamping  without  any  significant  damage.  The  Flexible  Median  Marker shall be fixed by a combination of epoxy adhesive and grouting/Drilling as per Engineer IN Charge</t>
    </r>
  </si>
  <si>
    <t>IRC 67:2012</t>
  </si>
  <si>
    <r>
      <rPr>
        <sz val="11"/>
        <rFont val="Times New Roman"/>
        <family val="1"/>
      </rPr>
      <t>BITUMNOUS CONCRETE :- Providing and laying Bituminous concrete using crushed stone aggregates of specified grading, premixed with HIMA Grade bituminous binder like ART (Highly Modified Asphalt Binder having not less than 90°C Softening Point and not less  than  90%  Elastic  Recovery)  @  5.4% (percentage  by weight  of total mix) and  lime filler @ 2% (percentage by weight of Aggregate) prepeared in Batch Type Hot Mix Plant and  filler,  transporting  the  hot  mix  to  work  site  by  tippers,  laying  with  paver  finisher equiped with electronic sensor to the required grade, level and alignment and rolling with smooth wheeled, vibratory and tandem rollers to achieve the desired 40/50 mm compacted thickness and density as per specification, complete and as per directions of Engineer-in-
Charge.</t>
    </r>
  </si>
  <si>
    <r>
      <rPr>
        <sz val="11"/>
        <rFont val="Times New Roman"/>
        <family val="1"/>
      </rPr>
      <t>Providing, Supplying, Laying &amp; Fixing of concrete Canvas 5mm thick (flexible concrete impregnated fabirc which hardens when hydrated to form thin, durble, water proof &amp; fire resitant  concrete  layer  within  24  hrs)  for  slope  protection/drain  lining/concrete  repair works and other similar works complete in all respect and as per direction of engineer-in- charge.  Special  Condition  1)  Contractor  shall submit  all relevant  test  certificates  of  the material. 2) Mass of unset concrete canvas should be 7Kilogram/ One Square Metre. 3)
Width of roll should be 1 m.</t>
    </r>
  </si>
  <si>
    <r>
      <rPr>
        <sz val="11"/>
        <rFont val="Times New Roman"/>
        <family val="1"/>
      </rPr>
      <t>Providing, Supplying, Laying &amp; Fixing of concrete Canvas 8mm thick (flexible concrete impregnated fabirc which hardens when hydrated to form thin, durble, water proof &amp; fire resitant concrete layer within 24hrs) for slop protecion/drain lining/concrete repair works and other similar works complete in all respect and as per direction of engineer-in-charge. Special Condition 1) Contractor shall submit all relevant test certificates of the material.
2) Mass of unset concrete canvas should be 12Kilogram/ One Square Metre. 3) Width of roll should be 1.1m.</t>
    </r>
  </si>
  <si>
    <t>Providing, Supplying, Laying &amp; Fixing of concrete Canvas 13mm thick (flexible concrete impregnated fabirc which hardens when hydrated to form thin, durble, water proof &amp; fire resitant  concrete  layer  within  24hrs)  for  slopw  protecion/drain  lining/concrete  repair works and other similar works complete in all respect and as per direction of engineer-in- charge.  Special  Condition  1)  Contractor  shall submit  all relevant  test  certificates  of  the material. 2) Mass of unset concrete canvas should be 19Kilogram/ One Square Metre. 3) Width of roll should be 1.1m.</t>
  </si>
  <si>
    <r>
      <rPr>
        <sz val="11"/>
        <rFont val="Times New Roman"/>
        <family val="1"/>
      </rPr>
      <t>Providing,  Supplying,  Laying  &amp;  Fixing  of  concrete  Canvas  hydro  5mm  thick  (flexible concrete  impregnated  fabirc  which  hardens  when  hydrated  to  form  thin,  durble,  water proof &amp; fire resitant concrete layer within 24hrs) for slopw protecion/drain lining/concrete repair  works  and  other  similar  works  complete  in  all  respect  and  as  per  direction  of engineer-in-charge.   Special   Condition   1)   Contractor   shall   submit   all   relevant   test certificates of the material. 2) Mass of unset concrete canvas should be 8Kilogram/ One
Square Metre. 3) Width of roll should be 1m.</t>
    </r>
  </si>
  <si>
    <r>
      <rPr>
        <sz val="11"/>
        <rFont val="Times New Roman"/>
        <family val="1"/>
      </rPr>
      <t>Providing,  Supplying,  Laying  &amp;  Fixing  of  concrete  Canvas  hydro  8mm  thick  (flexible concrete  impregnated  fabirc  which  hardens  when  hydrated  to  form  thin,  durble,  water proof &amp; fire resitant concrete layer within 24hrs) for slopw protecion/drain lining/concrete repair  works  and  other  similar  works  complete  in  all  respect  and  as  per  direction  of engineer-in-charge.   Special   Condition   1)   Contractor   shall   submit   all   relevant   test certificates of the material. 2) Mass of unset concrete canvas should be 13Kilogram/ One
Square Metre. 3) Width of roll should be 1m.</t>
    </r>
  </si>
  <si>
    <t>Building Roofing</t>
  </si>
  <si>
    <t>Supply  and  Installation  of  translucent  roof  with  DPI  Flux  standing  seam  multicell polycarbonate  panel  system.  The  system  with  complete  assembly  of  co  extruded  UV protected multicell panels incorporated into a complete system. Co-extruded UV protected polycarbonate  panel system of  min  12  mm thick  of  900  mm (min.)  width  with  angular daylighting  concept.  Panels  shall have  minimum six  layers  with truss  bridge design  for higher flexibility &amp; strength. Panels with all fixing accessories to ensure best performance for wind uplift, vibration, oil canning and visual appearance. Panels shall be manufactured with vertical standing seam at both sides of the panel. Panels shall be fixed on Purlin with snap on connectors with double tooth grip lock locking mechanism and will be secured on MS  structure  (will  be  paid  Separately)  with  3  One  Numbers  self-drilling  screws  &amp; trapezoid SS fasteners holding the base of the standing seam offering best stability having a pull-out load of min. 7000N (7KN) tested as per ISO 6892:1998 and IS 1608: 2005, as per design requirement. Panels must satisfy Dart drop impact test as per IS 14443-97 shall show no sign of breakage on Polycarbonate sheets which have been exposed to UV for a min. of 500 Hours as per ASTM G 155. Panels shall not have Yellowness Index as per ASTM D 1925 of 15 units when tested on a sample exposed to UV for 500 Hours as per ASTM G 155. U value shall not be more than 1.6 W/m2K as per EN ISO 10077-2:2018. Panel shall be with additional End cap/Aluminium U/F profile/  Glazing Bar for ends as required.  Panel  shall  be  fixed  over  MS  structural  steel/MS  purlin  (paid  separately) conforming to the detail technical specifications as per approved architectural drawings. Trained  and  factory  authorized  labour  with  supervision  to  complete  the  entire  panel installation  as  per  drawing  &amp;  direction  of  the  engineering  in  charge.  Colour:  As  per Approval. Approved Make: FLUX by DPI Daylighting or approved equivalent The 12mm thick panels shall be used for a roofing height of upto 15 mtrs.</t>
  </si>
  <si>
    <r>
      <rPr>
        <sz val="11"/>
        <rFont val="Times New Roman"/>
        <family val="1"/>
      </rPr>
      <t>Supply  and  Installation  of  Dpi  Flux  translucent  roof  with  standing  seam  multicell polycarbonate  panel  system.  The  system  with  complete  assembly  of  co  extruded  UV protected multicell panels incorporated into a complete system. Co-extruded UV protected polycarbonate panel system of min  16 mm thick of  1200mm (min.)  width with  angular daylighting concept. Panels shall have minimum seven layers in a truss bridge design for higher flexibility &amp; strength. Panels with opaque and translucent clear combination as per required  lux  level  and  design  requirements  with  all  fixing  accessories  to  ensure  best performance  for  wind  uplift,  vibration,  oil  canning  and  visual  appearance.  Panels  shall have  an  additional  IR  Blocking  features  for  enhance  thermal  comfort.  Panels  shall  be manufactured with vertical standing seam at both sides of the panel. Panels shall be fixed on  Purlin  with  snap  on  connectors  with  double tooth  grip lock  locking mechanism  and will  be  secured  on  MS  structure  (will  be  paid  Separately)  with  3  One  Numbers  self- drilling screws &amp; trapezoid SS fasteners holding the base of the standing seam offering best stability having a pull-out load of min. 7000N (7KN) tested as per ISO 6892:1998 and IS 1608: 2005, as per design requirement. Panels must satisfy Dart drop impact test as per IS 14443-97 shall show no sign of breakage on Polycarbonate sheets which have been exposed  to  UV  for  a  min.  of  500  Hours  as  per  ASTM  G  155.  Panels  shall  not  have Yellowness Index as per ASTM D 1925 of 15 units when tested on a sample exposed to UV for 500 Hours as per ASTM G 155. U value shall not be more than 1.9 W/m2K as per EN  ISO  10077-2:2018.  Panel shall be  with  additional  End  cap/Aluminium  U/F  profile/ Glazing Bar for ends as required. Panel shall be fixed over MS structural steel/MS purlin (paid  separately)  conforming  to  the  detail  technical  specifications  as  per  approved architectural   drawings.   Trained   and   factory  authorized   labour   with   supervision   to complete the entire panel installation as per drawing &amp; direction of the engineer in charge. Colour: As per approval The 16mm thick panels shall be used for a roofing height of upto
15 mtrs.</t>
    </r>
  </si>
  <si>
    <r>
      <rPr>
        <sz val="11"/>
        <rFont val="Times New Roman"/>
        <family val="1"/>
      </rPr>
      <t>Supply  and  Installation  of  Dpi  Flux  translucent  roof  with  standing  seam  multicell polycarbonate  panel  system.  The  system  with  complete  assembly  of  co  extruded  UV protected multicell panels incorporated into a complete system. Co-extruded UV protected polycarbonate panel system of min  18 mm thick of  1200mm (min.)  width with  angular daylighting concept. Panels shall have minimum seven layers in a truss bridge design for higher flexibility &amp; strength. Panels with opaque and translucent clear combination as per required  lux  level  and  design  requirements  with  all  fixing  accessories  to  ensure  best performance  for  wind  uplift,  vibration,  oil  canning  and  visual  appearance.  Panels  shall have  an  additional  IR  Blocking  features  for  enhance  thermal  comfort.  Panels  shall  be manufactured with vertical standing seam at both sides of the panel. Panels shall be fixed on  Purlin  with  snap  on  connectors  with  double tooth  grip lock  locking mechanism  and will be secured on MS structure (will be paid Separately) with a continuous aluminium I Beam holding the base of the standing seam along the length of the panel &amp; fixed with purlin with self-drilling hex head screws offering best stability with a pull-out load of min. 21000N  (21KN)  tested  as  per  ISO  6892:1998  and  IS  1608:  2005.,  as  per  design requirement. Panels must satisfy Dart drop impact test as per IS 14443-97 shall show no sign of breakage on Polycarbonate sheets which have been exposed to UV for a min. of 500 Hours as per ASTM G 155. Panels shall not have Yellowness Index as per ASTM D 1925 of 15 units when tested on a sample exposed to UV for 500 Hours as per ASTM G
155. U value shall not be more than 1.9 W/m2K as per EN ISO 10077-2:2018. Panel shall be  with  additional  End  cap/Aluminium  U/F  profile/  Glazing  Bar  for  ends  as  required. Panel shall be fixed over MS structural steel/MS  purlin (paid separately) conforming to the  detail  technical  specifications  as  per  approved  architectural  drawings.  Trained  and factory authorized labour with supervision to complete the entire panel installation as per drawing &amp; direction of the engineer in charge. Colour: As per approval. The 18mm thick panels shall be used for a roofing height of upto 25 mtrs</t>
    </r>
  </si>
  <si>
    <r>
      <rPr>
        <sz val="11"/>
        <rFont val="Times New Roman"/>
        <family val="1"/>
      </rPr>
      <t>Supply  and  Installation  of  Dpi  Flux  translucent  roof  with  standing  seam  multicell polycarbonate  panel  system.  The  system  with  complete  assembly  of  co  extruded  UV protected multicell panels incorporated into a complete system. Co-extruded UV protected polycarbonate panel system of min  22 mm thick of  1200mm (min.)  width with  angular daylighting concept. Panels shall have minimum seven layers in a truss bridge design for higher flexibility &amp; strength. Panels with opaque and translucent clear combination as per required  lux  level  and  design  requirements  with  all  fixing  accessories  to  ensure  best performance  for  wind  uplift,  vibration,  oil  canning  and  visual  appearance.  Panels  shall have  an  additional  IR  Blocking  features  for  enhance  thermal  comfort.  Panels  shall  be manufactured with vertical standing seam at both sides of the panel. Panels shall be fixed on  Purlin  with  snap  on  connectors  with  double tooth  grip lock  locking mechanism  and will be secured on MS structure (will be paid Separately) with a continuous aluminium I Beam holding the base of the standing seam along the length of the panel &amp; fixed with purlin with self-drilling hex head screws offering best stability with a pull-out load of min. 21000N  (21KN)  tested  as  per  ISO  6892:1998  and  IS  1608:  2005.,  as  per  design requirement. Panels must satisfy Dart drop impact test as per IS 14443-97 shall show no sign of breakage on Polycarbonate sheets which have been exposed to UV for a min. of 500 Hours as per ASTM G 155. Panels shall not have Yellowness Index as per ASTM D 1925 of 15 units when tested on a sample exposed to UV for 500 Hours as per ASTM G
155. U value shall not be more than 1.9 W/m2K as per EN ISO 10077-2:2018. Panel shall be  with  additional  End  cap/Aluminium  U/F  profile/  Glazing  Bar  for  ends  as  required. Panel shall be fixed over MS structural steel/MS  purlin (paid separately) conforming to the  detail  technical  specifications  as  per  approved  architectural  drawings.  Trained  and factory authorized labour with supervision to complete the entire panel installation as per drawing &amp; direction of the engineer in charge. Colour: As per approval The 22mm thick panels shall be used for a roofing height of upto 55 mtrs.</t>
    </r>
  </si>
  <si>
    <t>Building</t>
  </si>
  <si>
    <t>Providing and applying two coats of Hues Surface Coatings Clear Coat (Stone-X ) with silicon  technology  on  stones,  clay  tiles,  bricks,  facades,sand  stone,plastered,texture finished   interior   or   exterior   surfaces.(It   is   tested   with   standand   test   method   One NumberIS15489:2004 &amp; Low VOC as per ASTM D2369/ISO 11890-1 and water vapour permeability as per ASTM D-1653/ISO 7783).Surface  preparation includes cleaning and scrubbing   with   brush,soap   and   water   to   remove   all   dust,   fungus,cement,   paints etc,washing  with  water  all  complete.The  coating  thickness  and  the  methodology  of application shall strictly as per manufacturer's specifitions and as approved by engineer in charge.The  contractor  shall  give  guarantee  for  the  performance   of  coating  for  water repellency and also  the durabitity of coating, all complete as per direction of Engineer - in- incharge.</t>
  </si>
  <si>
    <t>Providing and Fixing Processed Stone Cladding on wall surface/ plywood surface. RCC pardi/  Wall and all type of Interior, Exterior  Compound wall and Gate etc. of cladding processed  stone  with  material  of  Processed  clay,  Wooden  chips,  Silica  sand,  Cement, GFRC  admixtures,  Colour  pigments,  Fiber  up  to  thick  of  230  mm/  25  mm   including scaffolding, fixing of screw, etc. (As directed by Engineer in Charge)</t>
  </si>
  <si>
    <t>Road</t>
  </si>
  <si>
    <t>FRP  Beam  Crash  Barrier  --  Type  -  A,  W  :  FRP  Beam  Crash  Barrier  (Providing  and erecting  a W "FRP  beam crash barrier comprising of 3 mm thick corrugated sheet FRP beam rail, 70 cm above road/ground level, fixed on ISMC series channel vertical post, 150 x 75 x 5 mm spaced 2 m centre to centre, 1.8 m high, 1.1 m below ground/road level, all steel  parts  and  fitments  to  be  galvanised  by  hot  dip  process,  all  fittings  to  conform  to IS:14856 (2000)  and IS:18319 (2015), FRP beam rail to be fixed on the vertical post with a spacer of channel section 150 x 75 x 5 mm, 330 mm long complete as per clause 810)" As directed by Engineer incharge.</t>
  </si>
  <si>
    <r>
      <rPr>
        <sz val="11"/>
        <rFont val="Times New Roman"/>
        <family val="1"/>
      </rPr>
      <t>FRP Beam Crash Barrier -- Type - B, THRIE : FRP Beam Crash Barrier (Providing and erecting a Thrie " FRP beam crash barrier comprising of 3 mm thick corrugated sheet FRP beam rail, 85 cm above road/ground level, fixed on ISMC series channel vertical post, 150 x 75 x 5 mm spaced 2 m centre to centre, 2 m high with 1.15 m below ground level, all steel  parts  and  fitments  to  be  galvanised  by  hot  dip  process,  all  fittings  to  conform  to IS:14856 (2000)  and IS:18319 (2015), FRP beam rail to be fixed on the vertical post with a space of channel section 150 x 75 x 5 mm, 546 mm long complete as per clause 810)"
As directed by Engineer incharge.</t>
    </r>
  </si>
  <si>
    <t>Providing and fixing in position various capacity rainwater harvesting dual intensity auto flush  open  ended  at  drain  outlet  filter  with  working  principal  of  COHESSIVE  AND CENTRIFUGAL FORCE having filter element made out of S.S. 304  screen with  mesh size of 205 microns having rainfall capacity of 75 m/hr intensity with operating pressure of  0.060Kilogramper  sq.cm.  of  Head  with  discharge  capacity  ranging  from  10  to  480 lit/min  including  all necessary accessories  like  coupler,bends,PVC  valve,etc  fixing  with Bombay  nails  of  required  length  etc.  complete  with  inlet  size  of  90  mm  to  110  mm diameter  from  rooftop  pipe  with  drain  outlet  of  90  mm  to  110  mm  diameter  size  with clean water outlet of 62 mm to 90 mm diameter size including fitting and fixing excluding inlet and outlet piping etc complete as per the direction by engineer in charge.</t>
  </si>
  <si>
    <t>51.228.a</t>
  </si>
  <si>
    <t>FL-100  for  the  catchment  up  to  110  sq.m.  system  size  90  mm  diameter  inlet,  63  mm diameter  clean  water  outlet,  90  mm diameter  drain  outlet  (filterain,tee,door  bend,  valve 63mm)</t>
  </si>
  <si>
    <t>51.228.b</t>
  </si>
  <si>
    <t>FL-150  for  the  catchment  up  to  150  sq.m.  system  size  90  mm  diameter  inlet,  75  mm diameter  clean  water  outlet,  90  mm diameter  drain  outlet  (filterain,tee,door  bend,  valve 63mm)</t>
  </si>
  <si>
    <t>51.228.c</t>
  </si>
  <si>
    <t>FL-200  for  the  catchment  up  to  225  sq.m.  system  size  110  mm diameter  inlet,  75  mm diameter  clean  water  outlet,  90  mm diameter  drain  outlet  (filterain,tee,door  bend,  valve 75mm)</t>
  </si>
  <si>
    <t>51.228.d</t>
  </si>
  <si>
    <t>FL-300  for  the  catchment  up  to  350  sq.m.  system  size  110  mm diameter  inlet,  90  mm diameter  clean  water  outlet,  90  mm diameter  drain  outlet  (filterain,tee,door  bend,  valve 90mm)</t>
  </si>
  <si>
    <t>51.228.e</t>
  </si>
  <si>
    <t>FL-500  for  the  catchment  up  to  500  sq.m.  system  size  110  mm diameter  inlet,  90  mm diameter clean water outlet, 110 mm diameter drain outlet (filterain,tee,door bend, valve 90mm)</t>
  </si>
  <si>
    <t>Surveying</t>
  </si>
  <si>
    <r>
      <rPr>
        <sz val="11"/>
        <rFont val="Times New Roman"/>
        <family val="1"/>
      </rPr>
      <t>To carry out linear Drone survey agencies will use fully autonomous professional survey grade drone and in post process for aerial triangulation required ground control points and benchmarks  will be collected by using survey grade dual frequency DGPS-PPK system. After post processing agency will deliver following final output.
1.Geotagged images in JPG format with resolution of 4-5cm/pixel  with  70% overlap
2.  GCP values in .CSV format.
3.  3D point cloud cover in .las format.
4.  digital surface model (DSM) in .tiff format.
5.  2D orthorectified images in .t iff format with 5 cm resolution which gives capability to capture detailed features.</t>
    </r>
  </si>
  <si>
    <t>Running One Kilometre</t>
  </si>
  <si>
    <t>51.229a</t>
  </si>
  <si>
    <r>
      <rPr>
        <sz val="11"/>
        <rFont val="Times New Roman"/>
        <family val="1"/>
      </rPr>
      <t>To  carry  out  polygon   Drone  survey  agencies  will  use  fully  autonomous  professional survey grade  drone  and  in  post  process  for  aerial triangulation  required  ground  control points and benchmarks will be collected by using survey grade dual frequency DGPS-PPK system. After post processing agency will deliver following final output.
1.Geotagged images in JPG format with resolution of 4-5cm/pixel  with  70% overlap
2.  GCP values in .CSV format.
3.  3D point cloud cover in .las format.
4.  digital surface model (DSM) in .tiff format.
5.  2D orthorectified images in .t iff format with 5 cm resolution which gives capability to capture detailed features.</t>
    </r>
  </si>
  <si>
    <t>Square One Kilometre</t>
  </si>
  <si>
    <t>Scanning, Digitisation and Geo-referencing of cadastral /revenue maps and interpretation of   all  existing  features  like  building,  water  bodies,  rivers,  agricultural  field   etc  to generate base map. Creation of GIS platform by using orthorectified image and revenue data by Linking of textual data(7/12)  which special data( Vector digitised maps). All will helps to  analyse and identify all affected properties.</t>
  </si>
  <si>
    <t>Ceiling and roofing</t>
  </si>
  <si>
    <r>
      <rPr>
        <sz val="11"/>
        <rFont val="Times New Roman"/>
        <family val="1"/>
      </rPr>
      <t>FALSE  CEILING  SYSTEM  GI  METAL  BIOGUARD  CLIP  IN  PLAIN  TILE  WITH CARRIER SYSTEM 600 X 600MM
Providing &amp; Fixing horizontal level suspended ceiling comprising of GI Bioguard Clip-in Plain  Tile  600x600mm (Nominal Size)  tiles  of  120  gsm galvanized  steel as  per  IS  277 (2003)  suitable for  architectural finishes  in 0.5mm thickness  as  per in  IS:513 (1994)  in Global white color with concealed suspension system having a bevelled edge of 3x3mm and height of 33mm on one side and 18mm on the other side. Tiles shall be flattened by precision leveller to minimize sag to less than 1/400mm. The tiles shall have double round pip of ɸ 2mm and ɸ 6mm for secure engagement and levelling respectively, along with swing down feature and special tabs to allow removal of tile to enable plenum access. The coated surface of the tile shall exhibit anti-microbial properties (eradication and inhibition of  growth)  and  shall  achieve  up  to  99.99%  reduction  in  bacterial  activity  as  per ISO22196:2011.  The  tile  shall be electrostatically polyester powder  coated using  RoHS compliant  powder  having  coating  thickness  ranging  from  60-80  microns.  The  powder coating shall pass Salt Spray Test for 750 Hours as per ASTM B117, QUV –A Test for 1000hours as per ASTM G-154 – (Cycle – 1) and Humidity test for 1000hours as per DIN 50017.  The  powder  coating  shall  have  an  adhesion  of  GT0  as  per  EN  ISO  2409.  The shade variation across batches shall be delta E&lt;1 using Excite/BYK Gardner instrument and gloss level of 25±5% at 60˚ as per ASTM D523. The tile shall have scratch, mar &amp; abrasive  resistance  properties.  The  tile  shall  have  a  Light  Reflectance  of  ≥  63%  in accordance to ASTM 1477-98 and Fire Performance of class 0/1 as per BS 476 Part 6 &amp; 7 in module size of 600x600mm.
SUSPENSION  &amp;  INSTALLATION:  Shall  comprise  of  3000mm  long  ‘C’  channels  of 38H x 12W mm and 1mm thick spaced at 1200mm centre to centre securely fixed to the structural soffit using threaded rod (Approved make/Third Party Supply) connecting to C- channel  hanger  of  109x18.5x16.5mm  at  1200mm  C/C   and  anchor  fastener  (Approved make/Third  Party  Supply).  The  last  hanger  at  the  end  of  each  C-channel  shall  not  be greater than 600mm from the adjacent wall. Use a C-channel connector of 99.5x35x 9mm for splicing together two pieces of C-channels. 4000mm Clip-in bar of 16W x 40H mm</t>
    </r>
  </si>
  <si>
    <r>
      <rPr>
        <sz val="11"/>
        <rFont val="Times New Roman"/>
        <family val="1"/>
      </rPr>
      <t>ACOUSTICAL     WALL     PANELLING     –     FABRIC     WRAPPED     OF     SIZE: 600X600/1200X25MM
Providing  and  Fixing  of  Acoustical  Wall  Panel  with  square  edges  made  of  fibre  glass substrate 25mm thick, wrapped on the front side with an acoustically transparent fabric as per  the  approved  shade  (Husk,  Copper,  Sangria,  Sesame,  Coffee,  Charcoal,  Titanium, Flame, Peanut and Shell). The panel shall be classified for Fire Class A, as per ASTM E-
84. The Acoustical Wall Panel shall be of sizes 600x600mm (Nominal) or 600x1200mm (Nominal) and shall achieve an NRC of 0.85 (Average value of Absorption Co-efficient readings taken at 250 Hz, 500 Hz, 1000 Hz and 2000 Hz) with 50mm airgap as per ASTM C423 to be fixed to wall on a framework of wooden battens and using Wall panel Impalers (supplied by the manufacturer) or by using construction adhesives (as per the instructions laid down by the manufacturer). The fibre glass substrate shall have a recycle content of 85%. Installation:An appropriate vapour barrier (by others) shall be applied/installed  on the vertical surface before the installation to properly seal against entry of any moisture. Vapour  barrier  (by  others)  shall  be  installed  as  per  Manufacturer’s  recommendation. Install wooden batten grid (provided by others) of section 50x50mm or as approved by the Architect on the solid wall/partition to provide level and plumb surface. The Impalers shall be fixed to the battens using self-tapping screws, 3 nos. in case of 600x600mm and 4 nos. in case of 600x1200mm. Silica based construction adhesive (by others) to be dabbed on to the projecting elements (spikes) of the Impalers.   Wall Panels shall be pierced through the spikes of the Impalers ensuring the line and level of the panels are maintained</t>
    </r>
  </si>
  <si>
    <r>
      <rPr>
        <sz val="11"/>
        <rFont val="Times New Roman"/>
        <family val="1"/>
      </rPr>
      <t xml:space="preserve">CHANNELLED WALL PANELLING OF SIZE: 192X2400X15MM
Providing and Fixing  Channelled perforated panels of width 192mm, thickness of 15mm and length 2400 mm, made of a Moisture resistant fibre board substrate with a laminated facing as per the approved shade (Portland Maple, Sea Beech, Siam Wood &amp; Mystique Walnut,  Interior  White,  Alumina  Pearl)  and  a  melamine  balancing  layer  on  the  reverse side. The boards shall have a special perforation pattern where the reverse surface has a “Helmholtz” fluted perforation with consecutive 3mm wide groove followed by 13mm or 21mm  of  visible  pane  (G-13/  G-21).  The  edges  of  the  panel  shall  be  “tongue-and- grooved”  to  fix  special  clips  for  installation  and  seamless  visual.  The  back  of  the perforated  panel  shall  have  sound  absorbing  non-woven  Soundtex  acoustical  fleece  hot pressed to achieve NRC of 0.5. for G-21 and 0.6 for G-13. (Average value of Absorption Co-efficient readings taken at 250 Hz, 500 Hz, 1000 Hz and 2000 Hz) as per ASTM C423 and  Humidity  Resistance  (RH)  of  70%  with  camber  limit  less  than  1mm/1000mm  and bow  less  than  1mm/300mOne  Metric  Tonnehe  panels  shall  be  mounted  on  special aluminium splines (keel) using inside clips provided by Manufacturer and approved by the Architect/ Engineer-in-Charge.  </t>
    </r>
  </si>
  <si>
    <t>Installation:  An  appropriate  vapour  barrier  (by  others)  shall  be  applied/installed  on  the vertical  surface  before  the  installation  to  properly  seal  against  entry  of  any  moisture. Vapour  barrier  (by  others)  shall  be  installed  as  per  Manufacturer’s  recommendation. Install wooden batten grid (provided by others) of section 50x50mm or as approved by the Architect  on the solid wall/partition  to provide level and plumb surface for fixing Keel. Install Keel vertically using screws and plugs at spacing of not more than 600mm centre- to-centre. The first and last keel should not be more than 150mm from the ends. Trim the tongue of the first bottom panel and install using headless nail with groove side upward. Subsequent panels are installed with tongue side downward by engaging with each other using  tongue  and  groove  mechanism  and  secured  by inside  clip.  Continue  this  process until   required   height   is   achieved.   Shorter   butt   edges   need   to   be   joined   using industrial/wood glue. The keel shall also be used for transition of the butt end of adjacent panel at every 7.2m.  Install the Skirting (provided by others) of width 50mm or more as required  by  the  Architect/  Engineer-in-Charge.   Finish  off  the  edges  using  wooden moulding  of  matching  colour  (by  others).  Installation  should  be  carried  out  as  per Manufacturer recommended procedure.</t>
  </si>
  <si>
    <t>Providing  &amp;  Fixing  Of  Classic  Axiom  Perimeter  Trim  with  19mm  face  for  perimeter solution  of  acoustical  ceiling  using  appropriate  Accessories   Classic  Vector  Axiom (AX4VESTRI/  AX4VECURI  xx)  to  offer  perimeter  solution  with  acoustical  ceiling system.  Classic  Vector  Axiom  (AX2STR42I/  AX2CUR42Ixx)  is  made  of  extruded aluminum  of  O/L dimension  of  19.3  x  100   x  3000mm.  The  inverted  F- Shape  section provides  2 flanges and 19mm face  for resting  of tiles.  Classsic Axiom must be  powder coated  in  Global  White.  Profile  to  have  engineered  design  boss  for  fitment  of  Tee  bar connector, Splice plate Corner connector &amp; hanger clips. Classic Axiom ( AX4VECURI xx)   can   be   curvered   to   a   minumum   radius   of   600mm     Axiom   Splice   Plate (AX4SPLICEI/AXSPLICEI): Formed to fit into special boss in the Axiom and locked in place with factory-installed screws. These Steel splice plates (AX4SPLICEI) are used to align and secure all joints between sections of Axiom trims. Corners are to be formed by mitering  the  end  of  axiom  and  splice  plate  (AXSPLICE)  to  be  bent  at  right  angle  for connecting  the  end  pieces.  Axiom  Tee-Bar  Connection  Clip  (AXTBCI):  Commercial quality G.I formed to fit into special boss of trim and locked in place by factory-installed screws  and  attached  to  (XL-24  /  XL-15/Silhouette)  suspension  system members.  T-Bar connection  clips  are  used  to  attach  the  Axiom  to  the  supporting  Suspension  system members. One clip is required at each location where the grid system intersects the Axiom trim. Hanging Grid clips (AXHGCI): Axioms to be hung independently to the structural soffit  by engaging  the Hanging  Grid Clip  into the  boss of  the Axiom trim channel and securing it to structural soffit Suspension . INSTALLATION: Hang the sections of Axiom Trim onto the grid system by engaging the top ear of the connection clip under the boss of the channel trim. Slide the lower leg downward to engage the lower boss on the trim and secure  by  tightening  the  locking  screw.  Complete  the  installation  of  all  channel  trims sections.  Install  and  secure  the  splice  plates,  corner  pieces,  and  alignment  plate’s  etc. Make adjustments as necessary to properly align the complete installation.</t>
  </si>
  <si>
    <r>
      <rPr>
        <sz val="11"/>
        <rFont val="Times New Roman"/>
        <family val="1"/>
      </rPr>
      <t>Supply,  fixing  and  installation  of  4mm  thick  Aluminium  Composite  Panel  (ACP)  of approved  colour  for  external  cladding  in  combination  of  solid  and  metallic  colours, including   all   necessary  Framework,   support   and   complete   weather   sealing   as   per architectural  drawing.  The  Aluminium  Composite  Panel  (ACP)  should  be  made  out  of thermoplastic  core  of  low-density  polyethylene  LDPE  (100%  virgin  mix),  sandwiched between two aluminium sheets of ALLOY GRADE- 5000 series, each not less than 0.50 mm thick, total thickness of aluminium composite panels not to be less than 4 mm, the exposed surface thereof shall have Stove lacquered finishing coat not less than (26 + - 2) micron  (containing  minimum 70%  kynar  500  based  PVDF)  of  colour  and  shade  as  per architectural  design.  The  inside  surface  (facing  the  building  exterior  surface)shall  have polyster based powder coating not less than 25 Micron with protective peel-off foil on the exterior face (peel off film will in no case leave any adhesive mark  over the  composite panel surface after it is peeled off). The supporting framework shall be made out of 50 mm X25mm X 3mm thick Aluminium section to be spaced horizontally and vertically for fixing  of  panel  of  size  900  mm  X  1200  mm and  fixed  to  the  building  structure  as  per design  through  50mm  X50mm  X5  mm  MS  angle  clamps  prefixed  to  masonry or  slab, columns with Hilti make anchor fastener screws. The fixing of panel to be done with the help of VHB tapes and screws and all the sealing of joints to be done with weather sealent Silicon  as directed  by Engineer-in-charge.  (Prior permission  of S.E.  is necessary before
inclusion of this item in estimate)</t>
    </r>
  </si>
  <si>
    <t>Supplying  and  fixing  of  6mm  thick  Exterior  Compact  Laminate  or  High  Pressure Laminate of approved colour by approving authority with UV resistant Decorative colour paper  on  both  side  typically  made  out  of  multiple  layers  of  craft  papers  and  then impregnated  with  thermosetting  phenolic  resins,  on  top  of  it  melamine  treated  barrier paper  and  decorative  paper  and  wear  layer  on  both  the  sides  saturated  with  melamine resins  and  then  covered  with  UV  resistant  acrylic  resin  layer which  makes it  extremely durable  and  weather  resistant  compressed  together  on   extremely  high  pressure  and hardened with electron beam curing to get the total desired thickness  of 6mm matching European  standard  specification  as  per  EN  438  -part  6,  protected  with  60  Micron protective peel-off film on both side which in no case leave any adhesive mark over the panel surface after it is peeled off. Fixing of the same to be done on a supporting frame of 50 mm X 5 mm X 3 mm powder coated aluminium box section to be spaced horizontally and  vertically  in  600mm  X  600mm  grid  and  fixed  to  building  structure  as  per  design through  50mmX50mmX  mm  5  mm  MS  angle  bracket  prefixed  to  masonry  slab  or columns with Hilti make anchor fastener along with all related hardware and fixtures. The panel  should  then  be  fixed  on  the  Aluminium  section  with  the  help  of  pure  polyester exterior  grade  colour  coating  rivets  as  per  architectural  drawings  or  as  directed  by Engineer-in-charge.  Each  panel  should  be  riveted  on  substructure  maintaining  a  gap  of 6mm  on  all  the  sides  between  each  Panel  for  Air  circulation  and  expansion  and contraction as per installation specifications provided by the manufacturer. The cost shall include   all   expenses   related   to   storage,   material   handling,   lifting,   freight,   labour, scaffolding etc as directed by Engineer-in-charge. (Prior permission of S.E. is necessary before inclusion of this item in estimate)</t>
  </si>
  <si>
    <t>Road furniture</t>
  </si>
  <si>
    <t>Providing  and  Laying  of  2  or  more  sets  (6  Nos.  each  set)  Dual  Ribs  Pattern  Rumble Markings on roads with vehicular speeds of more than 50 Km/hr laid as per the spacing recommended for each set under Table 11.1 and Fig. 11.2 of IRC 35:2015 using Plastirib 2K,  or  equivalent  2  component  cold  plastic  profiled  material.  Each  Dual  Rib  pattern rumble marking shall have width of 500 mm. Each dual rib pattern rumble marking shall have 2 ribs each of Width of 60 mm and height 20 mm. Gap between two ribs shall be 300 mm. Each rumble marking shall be made complete with drop on Soild Plus reflective glass beads  @  300  gm  /   One  Square  Metre  spread  throughout  the  surface  of  marking.  The finished surface to be levelled, uniform and free from streaks and holes, including surface cleaning and cost of all materials etc. complete. as directed by Engineer-in-charge.</t>
  </si>
  <si>
    <t>SSR 2022-23 :- New Items 2020-21</t>
  </si>
  <si>
    <r>
      <rPr>
        <sz val="11"/>
        <rFont val="Times New Roman"/>
        <family val="1"/>
      </rPr>
      <t>Providing  ,  constructing  and  fixing  Precast  M  30  grade  Self  Compacted  Concrete  of required thickness of   curved section to serve as arch type  bandhara as per the standard drawing  ,   cast   in  suitable  casting  yard   including  cost  of  all  basic  mateials  ,labour  , charges for casting formworks, TMT ( Fe -500) reinforcement as per standard drawings required for arches only  , casting of end pillers and bottom haunch as per drawing at site
,transporartion of arch segmement to site from casting yard , unloading and errecting  the same at site to make arch shape Bandhara , filling joints of Arch segment with M-30 grade self compacted concrete at site , providing waterproofing impermeable geotex membrane at  joints  as  per  standard  drawings   and  providing  all  requisite  safety  measure  during casting and errecting the arches  (excluding transporation of basic material from quarry / market ) etc complete.</t>
    </r>
  </si>
  <si>
    <t>a) 125 mm Thick precast ( For span Upto 6.50 M )</t>
  </si>
  <si>
    <t>b) 150 mm Thick Precast ( For Span above 6.50 m to 10.00 m)</t>
  </si>
  <si>
    <t>Providing  and  casting  in  stu  RCC  M  30  grade  Self  Compacted  Concrete  of  required thickness  for arch type  bandhara as per the standard drawing    including cost all basic mateial  ,labour  ,    including  cost  of   formworks,  TMT  (  Fe500  )   reinforcement  as  per standard drawings required for arches only , casting of end pillers and bottom haunch as per drawing  to make arch shape Bandhara , providing waterproofing impermeable geotex membrane at joints  and providing all requisite safety measure during construction of  the arches  (excluding transporation of basic material from quarry / market)   etc complete.</t>
  </si>
  <si>
    <t>a) 150mm Thick  ( For span Upto 6.50 M )</t>
  </si>
  <si>
    <t>b) 200 mm Thick   ( For Span above 6.50 m to 10.00 m)</t>
  </si>
  <si>
    <t>Appointing   Expert /Professional Consultant for selection  of  Bandhara sites  upto 100 m length  having  minimum  2  visits  per  bandhara    ,  noting  the  broad  features  like  span, height, type of foundation, special features specific to the site to come to the conclusion of adopting  standard  design  &amp;  drawing,  checking  suitability  of  site,  finalizing  site  for construction of Bandhara and submitting the observation note accordingly to Department. (  Transporation  from  Regional  Head  quarter  to  actual  site  and  accomodation  at  site  / Taluka head quarter / District Headquarter is not included in this item and it shall be paid separately wherever necessary.)</t>
  </si>
  <si>
    <t>Per Site</t>
  </si>
  <si>
    <r>
      <rPr>
        <sz val="11"/>
        <rFont val="Times New Roman"/>
        <family val="1"/>
      </rPr>
      <t>Detailed survey for bandhara -
Taking  longitudinal section of stream extending 1.20 km on   upstream and downstream side of the bandhara site,  taking  cross sections at every 100 m interval  of the stream on upstream side, taking bed slope of stream and other details,  taking 3 trial pits 1.00 m x
1.00 m x 3.00 m, plotting details of stratification indicating type of soil/rock,   preparation of detailed survey data including preparation of hydraulic design including calculations for afflux, height of the weir and storage capacity of bandhara etc., obtaining  the village map and studying   the land width of nalla, make a preliminary assessment of likely storage of nalla with  nalla training as per width shown in  village map, marking  on village map the locations  of existing wells, bore wells within radius of 1.5 km by total station and  also depth  of  water  and  borewell  depth,  identifying   the  maji  malgujari  tanks  or  other  lakes owned by Govt. within radius of 3 km, assessing the radial distance and plan area as per village map, preparing  detailed plans  referring the std. design &amp; drawing  and  preparing detailed estimate as per approved SSR in 3 copies and submitting  the project duly typed along with  relevant drawings  in hard  and soft copies in CD / Pen Drive etc. as required by the  Department.</t>
    </r>
  </si>
  <si>
    <t>Per No</t>
  </si>
  <si>
    <t>bambusa bamboos item</t>
  </si>
  <si>
    <t>Providing and constricting Rammed Earth walls  built out of normal compacted soil with temporary  steel formwork, similar to one for concreting, has to be erected; soil is placed into the framework and compacted. Soon after finishing compacting, the formwork can be removed.  The ideal soil for this kind of building consists in a good mix of different sizes of granularity, from clay (about 10-40%) to silt (about 10-40%) to sand (about 35-65%) and  even  very  fine  gravel.  Top  soil  and  organic  soil  have  a  strong  smell  of  moldy, especially when fresh or humid  are not  suitable for  building.The mix  for rammed  earth wall shall  consist  of  soil,  sand  and  cement  /  lime  (5% to  8%) as  binding material.  The minimum thickness shall be around 35cm, mainly to allow stability and thermal mass. The work  must  got  done  under  supervision  of  an  experience  Mason  including  necessary scaffolding, formwork, labour, material and finishing etc. complete.</t>
  </si>
  <si>
    <t>Providing and fixing Bamboo Shingle roofing with top layer of Bamboo shingles, made of flattened CCB pressure treated bamboo of 50-100mm dia and in size of 450mm x150mm and   3   to   5   mm   thick   laid   over   bamboo   battens   of   minimum   25mm   thickness, perpendicular  to  rafter/Beam  at  spacing  of  150mm  c/c  including  laying  of  bituminous sheet 3 mm thick and minimum overlap of 300 mm placed over sub-purling which is laid parallel to main rafter /beam consisting of 50mm dia not less than 3m length at spacing of 300mm c/c on treated Bamboo woven matt of approved design made out of thin Bamboo strips,  supported  by  CCB  treated  Bamboo  purlins  of  min  dia  50mm  not  less  than  3m length  at  spacing  of  300mm  c/c  and  WPC  sheet  6  mm  thick,  junction  details  as  per drawing    and    design    including    all    Bamboo    accessories    like    CCB    treated Shingles,antiabrasive fire retardant coating ( top and bottom surfaces of roofing system as directed  by  Engineer  in  Charge),  Bamboo,  bamboo  mats,  SS  clamps,  nails,  Screws, including  required  scaffolding  and  cost  of  labour  material  with  all  lead  &amp;  lifts  and machinery &amp; equipment charges, etc complete.</t>
  </si>
  <si>
    <t>Providing  and  fixing  in  position  Phenol bonded  Bamboo  wood  flooring  with  planks  of sizes 14mm thick, 1800 mm length (minium) and 130 mm wide (minimum), in approved colour,  texture  and  finish,  having  Performance  Appraisal  certified  (PAC)  issued  by Building  Materials  &amp;  Technology  Promotion  Council  (BMTPC).  The  flooring  shall  be fixed  with  tongue  and  groove  interlocking  system,  with  underlayment  of  4mm  thick expanded  poly  ethylene  foam  sheets  having  density  40kg/One  One  Cubic  Metre,  over prepared surface with necessary quarter round planks of size 1900mm x 18mm and door reducer  of  size  1900mm  x  44mm,  whereever  required.  The  bamboo  wood  planks  shall have minimum density of 1000 kg/One One Cubic Metre &amp; minimum Hardness 1000kgf. with  Eco  friendly  UV  coating,  all  complete  as  per  direction  of  Engineer  in  -charge. Ground floor</t>
  </si>
  <si>
    <t>Providing &amp; fixing in position Phenol bonded Bamboo wood partition 60mm thick at all height  with  planks  of  size  10mm  thick,  1800mm  length  (  minimum)  and  130mm  ( minimum),  in  approved  colour,  texture  and  finish,  on  both  side  having  Performance Appraisal  Certificate  (PAC  )  issued  by  Building  Material  &amp;  Technology  Promotion Council (BMTPC), with necessary profiled edges fixed with 40 mm SS screws 5nos in each tile to frame made of second class teak wood of size 40 x 40 mm in center of each tiles  and  bottom  /  top  of  work  height.  The  bamboo  wood  planks  shall  have  minimum density of 1000kg / cum &amp; minimum Hardness 1000kgf. with Eco friendly UV coating, all complete as per direction of the Engineer in -charge.</t>
  </si>
  <si>
    <t>Providing  &amp; fixing after cutting in proper size &amp; shape bamboo pole of Dentrocalamus stocksii with minimum wall thickness of 10 mm of size 50 mm(+/- 5 mm) diameter (i.e., 50mm dia. in bottom &amp; top dia. should be 35mm &amp; average dia. should not be less than 40mm &amp; taper length should not more than 2.5mm per Rmt), which is well seasoned by freshly cut canes including treatment with preservative inside the bamboo pole &amp;dosing with  CCB  (Chromium  Copper  Bromate)  using  pressure  vacuum  treatment  plant  with retention level of minimum 8% and in accordance with IS 9096. These bamboos are used for  making  beams  &amp;  columns  including  bending  of  bamboos,  joining,  bunching  of bamboos, assembly and its installation as per design using bamboo pegs (45 degree), SS Studs fixed with nuts &amp; bolts (304 grade), GI plates coated with epoxy coating, including transportation  &amp; cost  of material,  antiabrasive fire  retardant  coating  before bunching  of bamboos( Two coats before bunching and final coat after complete installation as directed by Engineer in Charge) , necessary scaffolding with all lead, lift, machinery &amp; equipment charges, etc. complete, as directed by the Engineer in charge</t>
  </si>
  <si>
    <t>Providing and fixing in roof system after cutting in proper size and shape Griha Certified WPP  sheet  made  of wood  polymer composite  - WPC)  of thickness  6mm, density more than 550 kg/cum, having proper screw holding capacity. This board shall not be pasted with treated bamboo mats and fixed over bamboo purlins with SS Nails/SS Screws. The bamboo  mat  design  visible  from  below  may  be  hapazard.  The  rates  shall  be  including trasportation,   cost   of   WPC   Board   and   all   fixtures   and   fastenings   with   necessary scaffolding  with  all  lead  and  lift,  machinery  and  equipment  charges  etc.  complete  as directed by Engineer in charge.</t>
  </si>
  <si>
    <t>Supply  &amp;  Application  of  Fire  retardant  Polish  with  Fire  Retardant  sealer  field  coat  of approved make &amp; one, two or three coats. Top Coat to provide class-I surface spread of flame as per BS:476 Part 6 &amp; 7 and IS-12777 in clear shade including cleaning, injecting of  fire  retardent  sealer  and  preparation  of  surface  including  transportation  and  cost  of material,  necessary scaffolding  with  all  lead,  lift,  machinery &amp;  equipment  charges,  etc. complete as per instructions of Engineer-In-Charge/Manufacturers specification,3- Apply Two coats of    fire  retardant  clear solvent  based  top coat which specific gravity should be 0.97 in regular 4-6  hour duration</t>
  </si>
  <si>
    <t>Waterproofing</t>
  </si>
  <si>
    <r>
      <rPr>
        <sz val="11"/>
        <rFont val="Times New Roman"/>
        <family val="1"/>
      </rPr>
      <t>Waterproofing Treatment to new terrace by using Polymeric Cementitious Membrane  as approved by Engineer in charge, followed by 112mm thick brick bat coba covered with 20 mm mortar finish. If there are cracks on the bare slab, open the crack in V Groove and fill it with ready to use repair polymer modified mortar based on special cements, aldehyde based  polymers  with  thixotropy modifying  agents.  If  there  are  lots  of  honeycombs  and identified bad patches of concrete the same should be grouted as per the instructions  of site incharge. (The grouting shall be  paid separately). Clean the entire surface thoroughly and   over   this   prepared   surface,   apply    three   coats   of   polymeric   Cementitious waterproofing   coating   having   a   non-toxic,   2-(methoxycarbonyl)-1-propene-Butyl-2 propenoate (MPBP) based polymeric waterproofing solution as approved by Engineer in charge. Provide and lay 112 mm average thicknes of brick bat coba in cement mortar 1:5 over  12mm  thick  CM  1:3  bedding  with  one  pouch  of  330  grams  of  thorough  blend  of special cements, aldehyde based polymers, shrinkage compensating agents as approved by Engineer  in  charge  per  50  Kg  bag  of  cement  and  finishing  with  20  mm  thick  cement plaster in cement mortar 1:3 by mixing one 330 grams pouch of above admixture per 50 Kg  bag  of  cement,  including  all  lead,  lifts  and  laid  to  proper  slope  to  drain  off  water entirely  preparing  bell  mouth  including  watta,  beveled  or  champhered  portion  at  the junction  of  parapet  and  work  up  to  a  height  of  300  mm  or  as  directed  and  including finishing the top layer of waterproofing treatement with false marking of 30 cm x 30 cm or as directed, curing and covering the whole treatment. MPBP Polymeric Waterproofing Coating  for  Concrete  and  Masonry  should  have  following  minimum  properties:   (1) Elongation % (ASTM D412-2016): @ 100%  (2) Tensile Strength N/mm2 (ASTM D412- 2016):  3.3  (3)  Specific  Gravity:  1.02  ±  0.02     (4)  Total  Solids  (ASTM  D1644-2012):
43.98   (5) Hardness Shore A (ASTM D2240-2015): 82</t>
    </r>
  </si>
  <si>
    <r>
      <rPr>
        <sz val="11"/>
        <rFont val="Times New Roman"/>
        <family val="1"/>
      </rPr>
      <t>Waterproofing  Treatment  to  new  Toilet/bathroom  by  using  Polymeric  Cementitious Membrane  as approved by Engineer in charge, followed by 112mm thick brick bat coba covered with 20 mm mortar finish. If there are cracks on the bare slab, open the crack in V Groove  and  fill  it  with  ready  to  use  repair  polymer  modified  mortar  based  on  special cements, aldehyde based polymers with thixotropy modifying agents. If there are lots of honeycombs and identified bad patches of concrete the same should be grouted as per the instructions  of  site  incharge.  (The  grouting  shall  be   paid  separately).  Clean  the  entire surface  thoroughly  and  over  this  prepared  surface,  apply   three  coats  of  polymeric Cementitious  waterproofing  coating  having  a  non-toxic, 2-(methoxycarbonyl)-1-propene- Butyl-2  propenoate  (MPBP)  based  polymeric  waterproofing  solution  as  approved  by Engineer in charge. Provide and lay 112 mm average thicknes of brick bat coba in cement mortar 1:5 over 12mm thick CM 1:3 bedding with one pouch of 330 grams of thorough blend  of  special  cements,  aldehyde  based  polymers,  shrinkage  compensating  agents   as approved by Engineer in charge per 50 Kg bag of cement and finishing with 20 mm thick cement plaster in cement mortar 1:3 by mixing  one 330 grams pouch of above admixture per  50  Kg  bag  of  cement,  including  all lead,  lifts  and  laid  to  proper  slope  to  drain  off water entirely preparing bell mouth including watta, beveled or champhered portion at the junction of wall and work up to a height of 300 mm or as directed and including finishing the  top  layer  of  waterproofing  treatement  with  false  marking  of  30  cm  x  30  cm  or  as directed,  curing  and  covering  the  whole  treatment.  MPBP  Polymeric  Waterproofing Coating   for  Concrete   and  Masonry  should  have   following   minimum   properties:1) Elongation % (ASTM D412-2016): @ 100%    2) Tensile Strength N/mm2 (ASTM D412- 2016): 3.3 3) Specific Gravity: 1.02 ± 0.02    4) Total Solids (ASTM D1644-2012): 43.98
5) Hardness Shore A (ASTM D2240-2015): 82</t>
    </r>
  </si>
  <si>
    <r>
      <rPr>
        <sz val="11"/>
        <rFont val="Times New Roman"/>
        <family val="1"/>
      </rPr>
      <t>Waterproofing   treatment   to   new   terrace   by  using   chlorinated   paraffinated   talcum polyurethane (CPTP) elastomeric membrane as approved by Engineer in charge, followed by average 112mm thick brick bat coba covered with 40mm thick IPS.
The  procedure  includes  filling  of  cracks  on  the  RCC  slab  with  high  performance polyurethane (liquid applied) membrane. Clean the entire surface thoroughly and over this prepared surface, apply a primer coat of high performance polyurethane (liquid applied) membrane  as  approved  by  Engineer  in  charge.  Apply  the  primer  by  roller.  Extend  the coating to parapet walls including the top of parapet. Allow the primer coat to set for 24 hrs.  After  the  primer  coat  is  set,  apply  two  coats  of  chlorinated  paraffinated  talcum polyurethane  (CPTP)  elastomeric  membrane   as  approved  by  Engineer  in  charge  on surface.  Ensure  that  pinholes  are  touched  up  properly.  While  the  second  coat  of  high performance  polyurethane  (liquid  applied)  membrane  is  wet  and  tacky,  sprinkle  coarse sand over the surface to make it rough and provide mechanical key for further treatment. Provide  and  lay average  15  mm thk  protective  coat  of  CM  in  1:4  over  the  surface  and allow  to  set  and  cure.  Provide  and  lay  112  mm  thk  BB  coba  in  average  thickness  in cement mortar 1:5 with one pouch of  thorough blend of special cements, aldehyde based polymers, shrinkage compensating agents  - which is based on special cements, aldehyde based polymers, shrinkage compensating agents and selected sands having high abrasion resistance as approved by Engineer in charge per 50 Kg bag of cement and finishing with 40 mm thick IPS layer in M-20 CC by mixing one pouch of 330 grams of  thorough blend of special cements, aldehyde based polymers, shrinkage compensating agents  per 50 Kg bag of cement, including all leads, lifts and laid to proper slope to drain off water entirely preparing bell mouth including watta, beveled or champhered portion at the junction of parapet and work up to a height of 300 mm or as directed and including finishing the top layer  of  waterproofing  treatment  with  false  marking  of  30  cm  x  30  cm  or  as  directed, curing and covering the whole treatment. The liquid membrane should have a track record of atleast 4 years in India &amp; Gulf region and have atleast an 4 year track record in PWD. Single Component, Liquid Applied, chlorinated paraffinated talcum polyurethane (CPTP) elastomeric membrane should have following minimum properties: 1) Water Permeability</t>
    </r>
  </si>
  <si>
    <r>
      <rPr>
        <sz val="11"/>
        <rFont val="Times New Roman"/>
        <family val="1"/>
      </rPr>
      <t>Waterproofing   treatment   to   new   terrace   by  using   chlorinated   paraffinated   talcum polyurethane (CPTP) elastomeric membrane as approved by Engineer in charge, followed by average 112mm thick brick bat coba covered with 40mm IPS.
The  procedure  includes  filling  of  cracks  on  the  RCC  slab  with chlorinated  paraffinated talcum polyurethane (CPTP) elastomeric membrane.  Clean the entire surface thoroughly and  over  this  prepared  surface,  apply a  primer  coat  of  CPTP  admixed  appropriately  in dimethyl benzene Primer as approved by Engineer in charge. Apply the primer by roller. Extend the coating to parapet walls including the top of parapet. Allow the primer coat to set  for  24  hrs.  After  the  primer  coat  is  set,  apply  two  coats  of  continuous  chlorinated paraffinated talcum polyurethane (CPTP) elastomeric membrane as approved by Engineer in charge on surface. Ensure that pinholes are touched up properly. While the second coat of  CPTP  is  wet  and  tacky,  sprinkle  coarse  sand  over  the  surface  to  make  it  rough  and provide  mechanical  key  for  further  treatment.  Provide  and  lay  average  15  mm  thk protective coat of CM in 1:4 over the surface and allow to set and cure. Provide and lay 112  mm  thk  BB  coba  in  average  thickness  in  cement  mortar  1:5  with  one  pouch  of thorough  blend  of  special  cements,  aldehyde  based  polymers,  shrinkage  compensating agents   -  which  is  based  on  special  cements,  aldehyde  based  polymers,  shrinkage compensating agents and selected sands having high abrasion resistance as approved by Engineer in charge per 50 Kg bag of cement and finishing with 40 mm thick IPS layer in CC M – 20  by mixing  one pouch  of 330  grams of   thorough blend  of special cements, aldehyde  based  polymers,  shrinkage  compensating  agents   per  50  Kg  bag  of  cement, including all lead, lifts and laid to proper slope to drain off water entirely preparing bell mouth including watta, beveled or champhered portion at the junction of parapet and work up  to  a  height  of  300  mm  or  as  directed  and  including  finishing  the  top  layer  of waterproofing treatment with false marking of 30 cm x 30 cm or as directed, curing and covering   the   whole   treatment.    Single   Component,   Liquid   Applied,   chlorinated paraffinated  talcum  polyurethane  (CPTP)  elastomeric  membrane  should  have  following minimum properties: 1) Specific Gravity: 1.30 ± 0.1  2) Elongation %: &gt;600  3) Tack Free
Time: 24-48 hrs   4) Tensile Strength N/mm2: 2.1  5) Shore Hardness: 40 ± 5</t>
    </r>
  </si>
  <si>
    <t>Removing loose rust from the reinforcement bars by wire brushing, light hammering etc. and  applying  sulphate  and  chloride  free  inorganic  single  component  rust   remover Rusticide  as approved by Engineer in charge conforming to IS 9077. The rusted surface shall become blackish non rusted colour. After 24 hours of application of rust remover, loose  particles  shall  be  removed  by  brush.  Apply  one  more  coat  of  Rusticide.  Apply bonding  coat  slurry  of  high  performance  acrylic  polymer  -  Methyl  2-methylpropenoate copolymer with another enoate as approved by Engineer in charge on entire surface. Mix 1 Kg of acrylic polymer with 0.5 Kg of cement. Finish it with ready to use repair polymer modified  mortar  based  on  special  cements,  aldehyde  based  polymers  with  thixotropy modifying  agents  as  approved  by  Engineer  in  charge  (The  Polymer  Modified  Mortar (PMM) should attain min. compressive strength of 20 N/mm2  in 1 day and 30 N/mm2  in 7 days) by adding 13 - 16% water by weight of polymer modified mortar for treatment to the damaged RCC members. Add 1 Kg of Migrating Corrosion Inhibiting Admixture as approved by Engineer in charge per 25 Kg bag of polymer modified mortar. After mixing polymer  modified mortar,  it can  be trowel applied or  sprayed. When  applying by hand, polymer  modified  mortar  must  be  forced  tightly  into  the  substrate  to  ensure  complete contact with the substrate.  (If scaffolding is required, same shall be provided and will be paid under relevant item) (Upto 15 mm thickness at a time).</t>
  </si>
  <si>
    <t>Removing loose rust from the reinforcement bars by wire brushing, light hammering etc. and  applying  sulphate  and  chloride  free  inorganic  single  component  rust   remover Rusticide  as approved by Engineer in charge conforming to IS 9077. The rusted surface shall become blackish non rusted colour. After 24 hours of application of rust remover, loose  particles  shall  be  removed  by  brush.  Apply  one  more  coat  of  Rusticide.  Apply bonding  coat  slurry  of  high  performance  acrylic  polymer  -  Methyl  2-methylpropenoate copolymer  with  another  innovate  as  approved  by Engineer  in  charge  on  entire  surface. Mix 1 Kg of acrylic  polymer with  0.5 Kg  of cement.  Finish  it  with ready to use  repair polymer  modified  mortar  based  on  special  cements,  formaldehyde  based  polymer  with thixotropy modifying agents as approved by Engineer in charge (The Polymer Modified Mortar (PMM)  should attain  min. compressive  strength of  20 N/mm2   in 1  day and  30 N/mm2  in 7 days) by adding 13 - 16% water by weight of polymer modified mortar for treatment  to  the  damaged  RCC  members.  Add  1  Kg  of  Migrating  Corrosion  Inhibiting Admixture as approved by Engineer in charge per 25 Kg bag of polymer modified mortar. After  mixing  polymer  modified  mortar,  it  can  be  trowel  applied  or  sprayed.  When applying  by hand,  polymer modified  mortar must  be forced  tightly into  the substrate  to ensure  complete  contact  with  the  substrate.   (If  scaffolding  is  required,  same  shall  be provided and will be paid under relevant item) (15-30 mm thickness at a time).</t>
  </si>
  <si>
    <r>
      <rPr>
        <sz val="11"/>
        <rFont val="Times New Roman"/>
        <family val="1"/>
      </rPr>
      <t>For Strengthening of concrete RCC, Columns, Beams, Slabs, Foundation etc. Execute the work  as  follows.  Remove  dust,  laitance,  grease,  oil,  curing  compounds,  waxes,  foreign particles, coatings and disintegrated materials by mechanical means (i.e., blast cleaning). Empty entire pre-packed and pre-weighed contents of ‘B’ Component into pail containing ‘A’ Component. Mix for 30 seconds with a low speed stirrer. (400-600 rpm). After proper mixing of component ‘A’ and ‘B’, now empty entire pre-packed and pre-weighed part ‘C’ component  into  the  mix  and  using  a  mechanical  stirrer  mix  all the  components  for  1-3 minutes with a low speed stirrer (400 to 600 rpm). Caution: Mix only that limited quantity which can be placed within the pot life. Material should be quickly brushed/ poured from pail  onto  concrete  surface  to  obtain  prolonged  working  life.  Inspect  the  underside  for evidence of full depth cracks that may require additional treatment to prevent draining of the  resin.  Cracks  greater  than  1/8"  width  should  be  repaired  individually.  Fill  1/8"  or larger  cracks  with  loose  sand  and  pour  small  quantity of  mixed  2-(methoxycarbonyl)-1- Propene Resin Sealer Cum Grout as approved by Engineer in charge into the crack, allow to cure. The above Material is spread evenly on the surface as a flood coat with a squeegee or  rollers  on  horizontal  and  vertical  surfaces  and allowed  to absorb  completely into  the concrete substrate. Drill injecting holes to a depth of 2 - 4” in concrete depending upon the width of crack, extent of damage and dimension of structural element. Fix the grouting nozzle and inject the mixture of 2-(methoxycarbonyl)-1-Propene Resin Sealer Cum Grout at  pressure  of  50  -  100  psi.  (Rate  for  fixing  nozzle  is  not  included  in  this  item).  Low Viscosity,  Transparent,  Three  Component,  2-(methoxycarbonyl)-1-Propene Resin  Sealer Cum Grout should have following minimum properties: 1. Viscosity: &lt; 5 cps 2. Flexural Strength (ASTM D-790): 1 day - 17.2 MPa
3.  Bond  Strength  (ASTM  C-882): 2  days  -  14.4  MPa  (Dry Cure);  14  days  - 15.8  MPa (Moist  cure)  4.  Volume  Solids  %:  ~100  It  shall  be  applied  as  per  manufacturer’s specification.   (If scaffolding is required, same shall be provided and will be paid under relevant item) (Coatings and Grouting Items shall be separate)</t>
    </r>
  </si>
  <si>
    <r>
      <rPr>
        <sz val="11"/>
        <rFont val="Times New Roman"/>
        <family val="1"/>
      </rPr>
      <t>Providing  and applying one coat of thiazolinones (TZ) based Microbial Wall Wash and Anti-rooting  Solution  treatment  as  approved  by Engineer  in  charge  to  entire  surface  of external wall. At the junction of chajja and wall and also on the parapet wall top, give a coat  of  anti  fungal  treatment.  Cracks,  if  any,  shall  be  filled  with  acrylic  polymeric  non- shrink crack filler putty as approved by Engineer in charge, before giving waterproofing treatment to the external surfaces. This is followed by one coat of 2-(methoxycarbonyl)-1- propene-Butyl-2 propenoate (MPBP) based polymeric waterproofing solution as approved by Engineer in charge, having a non-toxic acrylic polymer liquid and white cement mix in proportion 1:1 by weight with coat interval as 24 hours. Air curing shall be done for 24 hours. Before giving this treatment the entire surface of wall shall be thoroughly cleaned to  remove  existing  paint,  dust,  dirt,  oil  etc.  After  the  waterproofing  treatment  is  cured, provide  and  apply  two  coats  of  titanium  dioxide  based  2-(methoxycarbonyl)-1-propene- butyl-2 propenoate (TMPBP) emulsion, heat insulating, waterproofing exterior coating as approved by Engineer in charge in the desired shade. The inter-coat gap to be 24 hours. The  rate  shall  include  complete  treatment  mentioned  above.  100%  Acrylic,  Decorative, Waterproofing,  Heat  Insulating, Exterior  Coating, Anticarbonation  Coating should  have following minimum properties: 1. Specific Gravity: 1.3 ± 0.1 at 25°C 2. pH: 7.0 to 10.00
3. Viscosity: 18 to 30 sec. at 25°C by Ford Cup No. B-4 (Dilute 2 parts of product with 1 part of water) (If scaffolding is required, same shall be provided and will be paid under relevant item)</t>
    </r>
  </si>
  <si>
    <r>
      <rPr>
        <sz val="11"/>
        <rFont val="Times New Roman"/>
        <family val="1"/>
      </rPr>
      <t>Providing and fixing zinc alloy based galvanic disk type sacrificial anodes (50 mm dia, 18 mm thick) as approved by Engineer in charge to the reinforcement, that should have a 3 years  track  record  of  use  in  PWD  projects,  4  year  track  record  in  corrosive  region  of abroad  and  pass  500  hours  salt  spray  test  as  per  ASTM  B  117.  The  anode  shall  be connected  to  the  reinforcement  steel by connectors  provided with  the anode.  Sacrificial Galvanic Anode should have following minimum properties:
1. Base: Zinc Alloy
2. Conformance: ASTM B 418 Type II
3. Zinc Mass: Min 40 g per anode
4. Geometry: Disc Type
5. Diameter: 50 mm
5. Height: 18 mm
6. Surface Area: 6751 sq mm
It shall be applied as per manufacturers specification.
(If scaffolding is required, same shall be provided and will be paid under relevant item)</t>
    </r>
  </si>
  <si>
    <r>
      <rPr>
        <sz val="11"/>
        <rFont val="Times New Roman"/>
        <family val="1"/>
      </rPr>
      <t>Make the surface clean of loose particles, dirt, dust, oils, and paints etc. by wire brush. Remove all laitance from surface. On the entire clean surface, apply a coat of Ter polymer of    enoates    of    2-(methoxycarbonyl)-1-propene-Butyl-2    propenoate    (MPBP)    and propenonitrile  as  approved  by  Engineer  in  charge  and  cement  (1:0.25)  by  spray  or ordinary cement brush. Fill up all bug holes with above slurry. Apply slurry generously on entire  surface  without  pinholes.  Similar  treatment  to  be  given  to  other  block  surface immediately.   Place   coated   area   of   one   block   over   coated   area   of   another   block immediately  after  application.  Polymeric  bonding  agent  to  be  used  for  AAC  Block  to AAC  Block  &amp;  CC  Brick  Block  to  CC  Brick  Block  should  have  following  minimum properties:
1. Base: Polymeric Emulsion
2. Specific Gravity: 1.03 ± 0.02
3. pH Value: 7.5 - 8
It shall be applied as per manufacturer’s specification.
(If scaffolding is required, same shall be provided and will be paid under relevant item)</t>
    </r>
  </si>
  <si>
    <r>
      <rPr>
        <sz val="11"/>
        <rFont val="Times New Roman"/>
        <family val="1"/>
      </rPr>
      <t>It is ready to use inorganic, bio compatible, low viscosity, non hazardous, soil stabilizing two  component  colloidal  silica  base  chemical  grout.  Providing  and  carrying  out  this grouting  to  stabilize  the  strata  above  the  tunnel, foundations,  cutting slope  stabilization and sub structures by using ultimate fine Nano grout as approved by Engineer in charge. Drill injecting holes to required depth in loose soil strata. Fix the grouting pipes. Grout must be continuously stirred during addition of accelerator and fully mixed to transparent solution prior to grouting into the soil/strata. No white precipitates should remain in the grout mix. This is ultimate fine grouting can be completed by Nano grout.  Solvent Free, Inorganic, Hydrophilic, Non-hazardous, Low Viscosity Chemical Grout for Stabilization and Consolidation of Sandy/Silty Soil should have following minimum properties:
Grout:  (Rate for fixing nozzle is not included in this item).
1) Specific Gravity: 1.2 ± 0.1   2)  pH: 11.3 ± 0.1   3) Viscosity in B4 Ford cup at 28°C: 12-15 sec
Accelerator:
1) Specific Gravity: 1.07 ± 0.01  2) pH: 7.0 ± 0.1  3) Viscosity in B4 Ford cup at 28°C: 10- 12 sec
Sungeogrout Mix:
1) Specific Gravity: 1.2 ± 0.1  2) Viscosity in B4 Ford cup at 28°C: 12-15 sec It shall be applied as per manufacturer’s specification.
(If scaffolding is required, same shall be provided and will be paid under relevant item)</t>
    </r>
  </si>
  <si>
    <r>
      <rPr>
        <sz val="11"/>
        <rFont val="Times New Roman"/>
        <family val="1"/>
      </rPr>
      <t>Waterproofing Treatment to plastered surface of toilet &amp; bathroom walls minimum up to
90  cm  (Dado)  by  using  2-(methoxycarbonyl)-1-propene-Butyl-2  propenoate  (MPBP) based  polymeric  waterproofing  solution  as  approved  by Engineer  in  charge.   Clean  the entire   surface   thoroughly  and   over   this   prepared   surface,   apply    three   coats   of   2- (methoxycarbonyl)-1-propene-Butyl-2 propenoate (MPBP) based polymeric waterproofing solution as approved by Engineer in charge.While the 3 coat is wet broadcast sand on the surface. Provide 20 mm thick cement plaster in CM 1:3  with one pouch of 330 grams of thorough  blend  of  special  cements,  aldehyde  based  polymers,  shrinkage  compensating agents  as approved by Engineer in charge per 50 Kg bag of cement   including all lead, lifts  ,curing  etc  complete.  Acrylic  Polymeric  Waterproofing  Coating  for  Concrete  and Masonry should have following minimum properties:
1. Elongation % (ASTM D412-2016): @ 100%
2. Tensile Strength N/mm2 (ASTM D412-2016): 3.3
3. Specific Gravity: 1.02 ± 0.02
4. Total Solids (ASTM D1644-2012): 43.98
5. Hardness Shore A (ASTM D2240-2015): 82
It shall be applied as per manufacturer’s specification.</t>
    </r>
  </si>
  <si>
    <r>
      <rPr>
        <sz val="11"/>
        <rFont val="Times New Roman"/>
        <family val="1"/>
      </rPr>
      <t>Providing  &amp;  mixing  liquid  internal  curing  compound  which  is  based  on  water  soluble oxyethylene polymer (OEP) for RCC, Shotcrete, mortar .The liquid shall be conforming to  AS  3799  -1998  for  curing  efficiency  not  less  than  90%  &amp;  capable  of  improving workability,  pumpability,  impermeability,  full hydration  of  all types  of cement  essential for optimum strength development. The dose of liquid shall be average 1.25 % by weight of   cement.   The   liquid   is   to   be   mixed   with   gauging   water   while   mixing   the
concrete/motar/shortcrete.</t>
    </r>
  </si>
  <si>
    <t>Water proofing treatment</t>
  </si>
  <si>
    <r>
      <rPr>
        <sz val="11"/>
        <rFont val="Times New Roman"/>
        <family val="1"/>
      </rPr>
      <t>Clean the existing surface / terrace thoroughly to remove dirt, loose particles, laitance etc. For emergency waterproofing of existing terrace. Use a vacuum cleaner or high pressure jet or wire brushing as per requirement. Examine the surface closely for any cracks. Fill it with acrylic polymeric non-shrink crack filler putty as approved by Engineer in charge a pure aliphatic, acrylic, polymer modified ready to use paste. After filling, allow the surface to dry for atleast 24 hrs. If the depth of the crack is more than 2-3 mm apply in layers at intervals.  Moisten  the  surface  with  a  water  jet  one  day  prior  to  the  application  of waterproofing coating. Mix 1 part of 2-(methoxycarbonyl)-1-propene-Butyl-2 propenoate (MPBP)  membrane  as  approved  by  Engineer  in  charge  and  1  part  of  grey  cement  by weight using a low speed mechanical stirrer to form slurry lump free consistency. Apply this  as  a  primer  coat  of  2-(methoxycarbonyl)-1-propene-Butyl-2  propenoate  (MPBP) membrane  as approved by Engineer in charge. Apply the same slurry by roller at 24 hrs interval between the applications of each coat. Extend the coating to parapet walls. Allow the  primer  coat  to  set  for  24  hrs.  After  the  primer  coat  is  set,  apply two  coats  of  pure enoate  based  polymer  titanium  dioxide  based  2-(methoxycarbonyl)-1-propene-butyl-2 propenoate  (TMPBP)  and   2-(methoxycarbonyl)-1-propene-Butyl-2  propenoate  (MPBP) of  waterproof  coating  as  approved  by  Engineer  in  charge  on  surface.  Ensure  that  no pinholes  are  let  untouched.  Allow  the  membrane  to  cure  for  24-48  hours.  Single Component, UV Resistant, Elastomeric, High Build Waterproof Coating (Confirming to DIN 1048) should have following minimum properties: 1) Elongation % (ASTM D 638): @ 400%  2) Tensile Strength (ASTM D 412): 150 psi  3) Water Permeability (DIN 1048):
Zero   4) Solids: &gt; 65%    5) pH: 8.5 - 10.5</t>
    </r>
  </si>
  <si>
    <t>Providing  Water  proofing  treatment  to  old  terraces  by  removing  existing  treatment, sealing  of  cracks  by  non  shrink  crack  fill  compound  applying  first  coat  of  polymer modified semi-viscous paste prepared by mixing polymer of approved make  and Cement in  1  :  2  proportion  (1  litre  polymer  :  2  Kg  Cement  )  to  a  neatly cleaned  and  dust  free concrete  surface  and  upto  300  mm  over  parapet  wall  prepared  by  removing  loose  and deposited material with brush and water, followed by a coat of flexible cementious coating eg. MYK-Aqufine U.M.,  EL Monobond or equivalent as per manufacturer specification after laying glass fibre mesh of 10 x 10 specification of approved make over tacky surface of first coat of polymer followed by second coat in transverse direction, sprinkling coarse sand over it, followed by protective mechanical cover of 20 mm water proof plaster after sufficient curing 40 to 75 mm IPS 1:2:3 proportion using coarse aggregate of 10 MSA and water proofing compound and polypropylene fibres @ 125 gm per bag of cement within it conforming to IS in pannels making groove 3 to 4 mm wide &amp; 10 mm deep &amp; 3m/4m or as per site condition &amp; filling the joints with polt sulphide sealant after curing, including providing  holler  with  drip  moulds   at   the   junction  and  finishing   the  concrete  surface with neat cement slurry including curing as directed and ponding the surface as directed etc.  complete;  covering  10  years  guarantee  against  leakproofness  on  Court  Fee  Stamp Paper of Rs. 100/-</t>
  </si>
  <si>
    <t>As directed by Engineer- in-charge.</t>
  </si>
  <si>
    <t>Providing Water proofing treatment to newly laid fully cured concrete slab of terraces by applying first coat of polymer modified semi-viscous paste prepared by mixing polymer of approved  make  and  Cement  in  1  : 2  proportion  (  1  litre  polymer  : 2  Kg.  Cement)  to  a neatly cleaned and dust free concrete surface and upto 300 mm. over parapet wall prepared by removing loose and deposited material with brush and water, laying glass fibre mesh of 10  x  10  specification  of  approved  make  over  tacky  surface  of  first  coat  of  polymer followed by second coat in transverse direction, sprinkling coarse sand over it, followed by protective  mechanical  cover  water  proof  plaster  20  mm  thick  after  sufficient  curing apply  IPS  40  mm  to  75  mm.  thick  cement  concrete  of  1:2:3  proportion  using  coarse aggregate of 10 MSA and water proofing compound of approved make and polypropylene fibres @ 125 gm per bag of cement making groovr 3 to 4 mm wide &amp; 10 mm deep   in concrete,  in  pannels  of  3m/4m  or  as  per  site  condition  &amp;  filling  the  joints  with  poly sulphide sealant after curing including providing holler with drip moulds at the junction and finishing  the concrete surface  with neat  cement slurry,  as directed  and ponding  the surface  as directed  etc.complete ;  covering 10  years guarantee  against  leakproofness  on court Fee stamp paper of Rs 100/-</t>
  </si>
  <si>
    <r>
      <rPr>
        <sz val="11"/>
        <rFont val="Times New Roman"/>
        <family val="1"/>
      </rPr>
      <t>Providng Grouting by specially prepared grout of approved make chemical  with cement in proportion 1:3.5 (1 part chemical &amp; 3.5 part cement by weight) along wih 50 ml super plasticizer    non  cracking  antiwash  high  strength  polymer  cement  grout  P  C  grout available in bags or equivalent with proper water for injectable consistency and applying it in  the  body  of  structure  like  slab,  beam,  column,  pillars,  deckslab,  retaining  wall, basement, underground and elevated water storage reservoir concrete and brick wall, crack portion  of  structure  etc.  by injectng  method,  to  achieve  its  original  strength  including drilling of suitable diameter  drills holes at 2 to 4  Nos. per  sqm. using  caps and  nozzle grouting machinery necessary, scaffolding, finishing and covering gurantee of 10 years on court stamp paper of Rs. 100/- and necessary testing etc. complete.  (Prior permission of
S.E. in writing is necessary before inclusion of this item in estimate)</t>
    </r>
  </si>
  <si>
    <t>As directed by Engineer In Charge</t>
  </si>
  <si>
    <t>Bridge repair</t>
  </si>
  <si>
    <t>For all concrete New / Repair of RCC / PSC Bridges using migrating, non-nitrite based corrosion inhibiting admixture  as approved by Engineer in charge at a dose of 3 Kg per cum  of  concrete.  The  admixture  should  protect  both  cathodic  and  anodic  sites  and  has been recommended for use by Ministry of Road Transport &amp; Highways and should have a 8 year track record of use in both abroad and India. Admixture should have evaluated test reports demonstrating a corrosion rate of zero coulombs after 9 test cycles and less than 2000  coulombs  as  per  ASTM  G  109  when  tested  from  a  research  institution  NBA accredited  Grade  A and  internationally ranked  among  top  5  research  institutions  in  the world in Annual Survey conducted by Georgia Institute of Technology ranking of research institutions.  PH of admixture should be alkaline in nature and is based on  Polyalkalene polyamines  with  specific  gravity  of  0.99  -  1.1  brownish  colour.  The  contractor  must intimate the engineer in charge prior to addition in concrete for recording. If the admixture is  put  in  the  concrete  mix  at  the  batching  plant,  a  written  record  of  the  amount  of admixture  used  shall  be  supplied  to  the  engineer.  The  engineer  must  ensure  that  the specified  dosage of admixture is added in the concrete mix.   (If scaffolding is required, same shall be provided and will be paid under relevant item)</t>
  </si>
  <si>
    <r>
      <rPr>
        <sz val="11"/>
        <rFont val="Times New Roman"/>
        <family val="1"/>
      </rPr>
      <t>For Strengthening of concrete RCC, PSC bridges including piers, girders, deck slabs etc. Execute  the  work  as  follows.  Remove  dust,  laitance,  grease,  oil,  curing  compounds, waxes, foreign particles, coatings and disintegrated materials by mechanical means (i.e., blast cleaning). Empty entire pre-packed and pre-weighed contents of ‘B’ Component into pail containing  ‘A’  Component. Mix  for 30  seconds with  a low  speed stirrer.  (400-600 rpm). After proper mixing of component ‘A’ and ‘B’, now empty entire pre-packed and pre-weighed part ‘C’ component into the mix and using a mechanical stirrer mix all the components for 1-3 minutes with a low speed stirrer (400 to 600 rpm). Caution: Mix only that limited quantity which can be placed within the pot life. Material should be quickly brushed/ poured from pail onto concrete surface to obtain prolonged working life. Inspect the  underside for  evidence of  full depth  cracks that  may require  additional treatment  to prevent  draining  of  the  resin.  Cracks   greater  than   1/8"  width   should  be  repaired individually. Fill 1/8" or larger cracks with loose sand and pour small quantity of mixed 2- (methoxycarbonyl)-1-Propene Resin Sealer Cum Grout as approved by Engineer in charge into the crack, allow to cure. The above Material is spread evenly on the surface as a flood coat with a squeegee or rollers on horizontal and vertical surfaces and allowed to absorb completely into the concrete substrate. Drill injecting holes to a depth of 2 - 4” in concrete depending upon the width of crack, extent of damage and dimension of structural element. Fix the grouting nozzle and inject  the mixture  of 2-(methoxycarbonyl)-1-Propene  Resin Sealer Cum Grout at pressure of 50 - 100 psi. (Rate for fixing nozzle is not included in this   item).   Low   Viscosity,   Transparent,   Three   Component,   2-(methoxycarbonyl)-1- Propene   Resin   Sealer   Cum   Grout   should   have  following   minimum  properties:   1. Viscosity: &lt; 5 cps        2. Flexural Strength (ASTM D-790): 1 day - 17.2 MPa  3.  Bond Strength (ASTM C-882): 2 days - 14.4 MPa (Dry Cure); 14 days - 15.8 MPa (Moist cure)
4. Volume Solids %: ~100 It shall be applied as per manufacturer’s specification.
(If scaffolding is required, same shall be provided and will be paid under relevant item) (Coatings and Grouting Items shall be separate)</t>
    </r>
  </si>
  <si>
    <r>
      <rPr>
        <sz val="11"/>
        <rFont val="Times New Roman"/>
        <family val="1"/>
      </rPr>
      <t>Cleaning the existing surface by mechanical means such as sand blasting so as to remove all  the  existing  loose   rust  etc.  Cleaning  the  existing  concrete  substrate  to  achieve maximum  adhesion  between  the  coating  and  substrate.  Free  the  surface  from  loose material,  grease  and  oil  by  water  jet/mechanical  means.  Dry  the  surface  completely. Providing and applying  one coat of Two component, solvent free, substituted long chain nylon reticulant based coating/primer as approved by Engineer in charge. This should be followed  by  two  coats  of  protective  two  component,  acyclic  polyisocyanate  reticulant (APR) based, UV resistant coating as approved by Engineer in charge. Apply the coats by brush or spray at 4-6 hours interval between each coat. Manufacturer of the coating shall be Dakks ISO 9001:2015 accredited for manufacturing and design; &amp; have a track record of  supplying  the  anticarbonation  coating  internationally.  Two  Component,  Air  Drying, Acyclic, Polyisocyanate Reticulant (APR) based coating should have following properties:
1. Carbon dioxide diffusion equivalent air layer thickness (DIN EN 1062-6): &gt; 200 m   2. Carbon  dioxide  diffusion  resistance  co-efficient  (DIN  EN  1062-6):  &gt;  1.0  X  10^5  3. Elongation  of  cured  film  shall  be  as  per  ASTM  D  2370/98:  &gt;  17  %     4.  Chloride  Ion Diffusion (ASTM C 1556): &gt; 8.61 X 10^-12 5. The top coat shall have a minimum 5 year track record of use in the weather conditions of the Mumbai region 6. Minimum DFT of the entire coating system: 250 micron  7. Solid content of the base coat material: &gt; 95%
8. Solid content of the top coat material: &gt; 37%  9. The shade of the top coat should be different   from   the   shade   of   the   base   anti-carbonation   coating.   10.   The   base   anti- carbonation coating material shall have evaluated test reports demonstrating conformance to the following properties when tested  from a research institution NBA accredited Grade A  and  internationally  ranked  among  top  5  research  institutions  in  the  world  in  Annual Survey conducted by Georgia Institute of Technology ranking of research institutions. It shall be applied as per manufacturer’s specification. (If scaffolding is required, same shall be provided and will be paid under relevant item)</t>
    </r>
  </si>
  <si>
    <r>
      <rPr>
        <sz val="11"/>
        <rFont val="Times New Roman"/>
        <family val="1"/>
      </rPr>
      <t>Cleaning  the  existing  steel surface  by mechanical means  such as  sand blasting  so as  to remove all the existing loose  rust etc. Using cotton waste swab and apply Rusticide as approved  by Engineer  in  charge  rust  converting,  steel passivating,  flash rust  preventing sulphate  and  chloride  free,  non-alkaline,  inorganic  single  component,  and  nano  film forming surface passivator (conforms to IS 9077-1979 (reaffirmed 1997) App. B CI. 5.3.3 for procedure). After 24 hours remove the free / loose rust particles by simple dusting with brush. Providing and applying  one coat of Two component, anti-corrosive, solvent free, substituted  long  chain  nylon  reticulant  based  coating/primer  LCNR  as  approved  by Engineer in charge. This should be followed by two coats of protective two component, acryclic  polyisocyanate  reticulant  based,  UV  resistant  anticorrosive  coating  of  APR  as approved by Engineer in charge. Apply the coats by brush or spray at 4-6 hours interval between  each  coat.  Two  Component,  Air  Drying,  Acryclic  Polyisocyanate  Reticulant (APR) based Coating should have following properties:
1.  Volume  Solids:  40  ±  3%  (Depending  upon  shade)                                                     2.
Adhesion (ASTM D 4541): &gt; 500 psi (Concrete Failure)
3. Impact Resistance (ASTM G 14): 25 - 30 J
4. Conformance: IS 13213
5. Dry Film Thickness/Coat: 40-50 microns at recommended coverage It shall be applied as per manufacturer’s specification.
(If scaffolding is required, same shall be provided and will be paid under relevant item)</t>
    </r>
  </si>
  <si>
    <r>
      <rPr>
        <sz val="11"/>
        <rFont val="Times New Roman"/>
        <family val="1"/>
      </rPr>
      <t>Remove  loose,  disintegrated  and  porous  concrete  at  cracks  and  joints.  Repair  the  same with epoxy or polymer modified mortar. Drill injecting holes to a depth of 2-4 inches in the  concrete  depending  upon  width  of  cracks,  extent  of  damage  and  dimension  of structural elements. Fix the grouting nozzles. Clean all loose dust particles from the cracks and holes by blowing compressed air through all the nozzles in succession.  Mix and place Polyurethane Based Leakage Sealing Grouting as approved by Engineer  in charge.  Mix one  batch  at  a  time  using  a  bucket  and  drill connected  to  a  stirrer. Polyurethane  Based Leakage  Sealing  Grouting  by  using  PU  Foam  Grout  should  have  following  minimum properties:
1. Viscosity @ 25°C: 1300 ± 400 cps
2. Specific Gravity: 1.16± 0.05
It shall be applied as per manufacturer’s specification.
(If scaffolding is required, same shall be provided and will be paid under relevant item)</t>
    </r>
  </si>
  <si>
    <r>
      <rPr>
        <sz val="11"/>
        <rFont val="Times New Roman"/>
        <family val="1"/>
      </rPr>
      <t>It is ready to use inorganic, bio compatible, low viscosity, non hazardous, soil stabilizing two  component  colloidal  silica  base  chemical  grout.  Providing  and  carrying  out  this grouting  to  stabilize  the  strata  above  the  tunnel, foundations,  cutting slope  stabilization and sub structures by using ultimate fine Nano grout as approved by Engineer in charge. Drill injecting holes to required depth in loose soil strata. Fix the grouting pipes. Grout must be continuously stirred during addition of accelerator and fully mixed to transparent solution prior to grouting into the soil/strata. No white precipitates should remain in the grout mix. This is ultimate fine grouting can be completed by Nano grout.  Solvent Free, Inorganic, Hydrophilic, Non-hazardous, Low Viscosity Chemical Grout for Stabilization and Consolidation of Sandy/Silty Soil should have following minimum properties:
Grout:  (Rate for fixing nozzle is not included in this item).
1) Specific Gravity: 1.2 ± 0.1 2)  pH: 11.3 ± 0.1
3) Viscosity in B4 Ford cup at 28°C: 12-15 sec Accelerator:
1) Specific Gravity: 1.07 ± 0.01 2) pH: 7.0 ± 0.1
3) Viscosity in B4 Ford cup at 28°C: 10-12 sec Sungeogrout Mix:
1) Specific Gravity: 1.2 ± 0.1
2) Viscosity in B4 Ford cup at 28°C: 12-15 sec
It shall be applied as per manufacturer’s specification.
(If scaffolding is required, same shall be provided and will be paid under relevant item)</t>
    </r>
  </si>
  <si>
    <r>
      <rPr>
        <sz val="11"/>
        <rFont val="Times New Roman"/>
        <family val="1"/>
      </rPr>
      <t>Removing loose rust from the reinforcement bars by wire brushing, light hammering etc. and  applying  sulphate  and  chloride  free  inorganic  single  component  rust   remover Rusticide  as approved by Engineer in charge conforming to IS 9077. The rusted surface shall become blackish non rusted colour. After 24 hours of application of rust remover, loose  particles  shall  be  removed  by  brush.  Apply  one  more  coat  of  Rusticide.  Apply bonding  coat  slurry  of  high  performance  acrylic  polymer  -  Methyl  2-methylpropenoate copolymer with another enoate as approved by Engineer in charge on entire surface. Mix 1 Kg of acrylic polymer with 0.5 Kg of cement. Finish it with ready to use repair polymer modified  mortar  based  on  special  cements,  aldehyde  based  polymers  with  thixotropy modifying  agents  as  approved  by  Engineer  in  charge  (The  Polymer  Modified  Mortar (PMM) should attain min. compressive strength of 20 N/mm2  in 1 day and 30 N/mm2  in 7 days) by adding 13 - 16% water by weight of polymer modified mortar for treatment to the damaged RCC members. Add 1 Kg of Migrating Corrosion Inhibiting Admixture as approved by Engineer in charge per 25 Kg bag of polymer modified mortar. After mixing polymer  modified mortar,  it can  be trowel applied or  sprayed. When  applying by hand, polymer  modified  mortar  must  be  forced  tightly  into  the  substrate  to  ensure  complete contact with the substrate.
(If  scaffolding  is  required,  same  shall  be  provided  and  will  be  paid  under  relevant item)(Upto 15 mm thickness at a time).</t>
    </r>
  </si>
  <si>
    <r>
      <rPr>
        <sz val="11"/>
        <rFont val="Times New Roman"/>
        <family val="1"/>
      </rPr>
      <t>Removing loose rust from the reinforcement bars by wire brushing, light hammering etc. and  applying  sulphate  and  chloride  free  inorganic  single  component  rust   remover Rusticide  as approved by Engineer in charge conforming to IS 9077. The rusted surface shall become blackish non rusted colour. After 24 hours of application of rust remover, loose  particles  shall  be  removed  by  brush.  Apply  one  more  coat  of  Rusticide.  Apply bonding  coat  slurry  of  high  performance  acrylic  polymer  -  Methyl  2-methylpropenoate copolymer  with  another  innovate  as  approved  by Engineer  in  charge  on  entire  surface. Mix 1 Kg of acrylic  polymer with  0.5 Kg  of cement.  Finish  it  with ready to use  repair polymer  modified  mortar  based  on  special  cements,  formaldehyde  based  polymer  with thixotropy modifying agents as approved by Engineer in charge (The Polymer Modified Mortar (PMM)  should attain  min. compressive  strength of  20 N/mm2   in 1  day and  30 N/mm2  in 7 days) by adding 13 - 16% water by weight of polymer modified mortar for treatment  to  the  damaged  RCC  members.  Add  1  Kg  of  Migrating  Corrosion  Inhibiting Admixture as approved by Engineer in charge per 25 Kg bag of polymer modified mortar. After  mixing  polymer  modified  mortar,  it  can  be  trowel  applied  or  sprayed.  When applying  by hand,  polymer modified  mortar must  be forced  tightly into  the substrate  to ensure complete contact with the substrate.
(If scaffolding is required, same shall be provided and will be paid under relevant item)(15- 30 mm thickness at a time).</t>
    </r>
  </si>
  <si>
    <r>
      <rPr>
        <sz val="11"/>
        <rFont val="Times New Roman"/>
        <family val="1"/>
      </rPr>
      <t>Providing and fixing zinc alloy based galvanic disk type sacrificial anodes (50 mm dia, 18 mm thick) as approved by Engineer in charge to the reinforcement, that should have a 3 year track record of use in PWD projects, 4 year track record in corrosive region of abroad and pass 500 hours salt spray test as per ASTM B 117. The anode shall be connected to the reinforcement steel by connectors provided with the anode. Sacrificial Galvanic Anode should have following minimum properties:
1. Base: Zinc Alloy
2. Conformance: ASTM B 418 Type II
3. Zinc Mass: Min 40 g per anode
4. Geometry: Disc Type
5. Diameter: 50 mm
5. Height: 18 mm
6. Surface Area: 6751 sq mm
It shall be applied as per manufacturer’s specification.
(If scaffolding is required, same shall be provided and will be paid under relevant item)</t>
    </r>
  </si>
  <si>
    <t>Rake out loose pointing mortar material atleast upto 50 mm in depth and clean with using a  nylon  brush  or  low-pressure  compressed  air.  It  may  require  more  depth  some  times depending  upon  the  loss  of  integrity  of  existing  mortar.  Care  is  to  be  taken  that  the adjacent good and sound matrix is not disturbed. Provide anti-rooting treatment to entire recessed pointed area. Clean the joint area properly and pointing shall be done with High Viscosity   having  special thicxotropic  chemicals  along  with  long  chain  nylon  reticulent (LCNR) Epoxy Resin Mortar as approved by Engineer in charge. Mix 2 kg Resin + 1 kg Hardener + 9-12 kg Quartz Sand (Graded) thoroughly to homogeneity using a slow speed (300-500 rpm) flame proof or air driven drill fitted with a mixing attachment. Hand press this mortar in the joint and finish the surface and allow the mortar to set for minimum 24 hours. (If scaffolding is required, same shall be provided and will be paid under relevant item)</t>
  </si>
  <si>
    <r>
      <rPr>
        <sz val="11"/>
        <rFont val="Times New Roman"/>
        <family val="1"/>
      </rPr>
      <t>Rake  out  loose  pointing  mortar  material  from  the  joints  of  the  heritage  stone  masonry atleast upto 50 mm in depth and clean the same by using a nylon brush or low-pressure compressed air. It may sometimes require more depth depending upon the loss of integrity of  existing  mortar.  Care  is  to  be  taken  that  the  adjacent  good  and  sound  matrix  is  not disturbed. Provide anti-rooting treatment to entire recessed pointed area. Clean the joint area properly and pointing shall be filled with a special mix of lime base hydraulic mortar and  water  for  masonry  with  highly  sulphate  resistant  cement  and  silica  aggregates  as approved by Engineer in charge. This lime based mortar is based on special limes with thixotropic  agents,  aldehyde  based  polymer  and  selected  sands  having  high  abrasion resistance. Hand press this mortar in the joint and finish the surface and allow the mortar to  set  for  minimum  24  hours.  Mortar  should  have  Compression  Strength  of  Appr.  10 N/mm2. (If scaffolding is required, same shall be provided and will be paid under relevant
item)</t>
    </r>
  </si>
  <si>
    <r>
      <rPr>
        <sz val="11"/>
        <rFont val="Times New Roman"/>
        <family val="1"/>
      </rPr>
      <t>Remove  loose,  disintegrated  and  porous  concrete  at  cracks  and  joints.  Repair  the  same with epoxy or polymer modified mortar. Drill injecting holes to a depth of 2 - 4 inches in the  concrete  depending  upon  width  of  cracks,  extent  of  damage  and  dimension  of structural elements. Fix the grouting nozzles. Clean all loose dust particles from the cracks and  holes  by  blowing  compressed  air  through  all  the  nozzles  in  succession.  Whenever required grouting nozzle can be introduced for subsequent cementitious lime grout  which is  based  on  special limes  with  thixotropic  agents,  aldehyde  based  polymer and  selected sands   having   high   abrasion   resistance   by   using   Lime   based   Hydraulic   Injection Suspension as approved by Engineer in charge. Before injecting the grout, it is advisable to  make  sure  the  nozzles  are  free  of  dust.  Care  is  to  be  taken  that  the  air  pressure  is monitored and maintained so as not to damage the matrix. Mix cementitious lime based hydraulic ready to use - Hydraulic Injection Suspension with 35 - 45% water by its weight in clean container using a low speed air driven mixer / stirrer to form a mix of uniform and flowable consistency. Depending on temperature, the water demand may vary. Lime based Hydraulic Injection Suspension should have following properties:
1. Bulk Density: 1.8 ± 0.2
2. Compressive Strength (28 days): W/P (0.45) - Appx. 10 Mpa. It shall be applied as per manufacturer’s specification.
(If scaffolding is required, same shall be provided and will be paid under relevant item)</t>
    </r>
  </si>
  <si>
    <t>One Kilo Gram</t>
  </si>
  <si>
    <r>
      <rPr>
        <sz val="11"/>
        <rFont val="Times New Roman"/>
        <family val="1"/>
      </rPr>
      <t>Remove roots of the plant from joints of the stone masonry manually.  Make sure that no part of the root has remained inside the masonry. Pour thiazolinones based Microbial Wall Wash and Anti-rooting Solution as approved by Engineer in charge in the Stone Masonry joints depending upon width of roots, extent of damage and dimension of roots of plant. For wider roots, it is necessary to first drill the holes in the bark from all the sides which should subsequently totally filled  with Microbial Wall Wash and Anti-rooting Solution so that the same percolate in the bark. On complete absorption of the liquid, refill and the process  must  be  continued  atleast  5  -  6  times,  if  necessary.  Microbial  Wall  Wash  and Antirooting Solution should have following properties:
1. pH (5 % Solution): 6 - 8
2. Specific Gravity @ RT: 1.05 ± 0.02
It shall be applied as per manufacturer’s specification.
(If scaffolding is required, same shall be provided and will be paid under relevant item)</t>
    </r>
  </si>
  <si>
    <t>Road Surevy</t>
  </si>
  <si>
    <r>
      <rPr>
        <sz val="11"/>
        <rFont val="Times New Roman"/>
        <family val="1"/>
      </rPr>
      <t>Visits   (   minimum   2)   to    site   of   Bridge/Bandhara   of   length   upto   100   m    by Expert/Professional  Consultant,  noting  the  broad  features  like  span,  height,  type  of foundation,  special  features  specific  to  the  site  to  come  to  the  conclusion  of  adopting standard design &amp; drawing, checking suitability of site, finalizing site for construction of Bridge/Bandhara  and  submitting  the  observation  note  accordingly  to  Department.  ( Transporation from Regional Head quarter to actual site and accomodation at site / Taluka head  quarter  /  District  Headquarter  is  not  included  in  this  item  and  it  shall  be  paid
separately wherever necessary.)</t>
    </r>
  </si>
  <si>
    <r>
      <rPr>
        <sz val="11"/>
        <rFont val="Times New Roman"/>
        <family val="1"/>
      </rPr>
      <t>Taking  longitudinal  section  of  stream  extending  1.20  km  on   upstream  side  of  the bandhara  site,   requisite  One  Number  of  cross  sections  (minimum  3)   of  the  stream  on upstream side, taking bed slope of stream and other details,  taking 3 trial pits 1.00 m x
1.00 m x 3.00 m, plotting details of stratification indicating type of soil/rock,   preparation of detailed survey data including preparation of hydraulic design including calculations for afflux, height of the weir and storage capacity of bandhara etc., obtaining  the village map and studying the land width of nalla, make a preliminary assessment of likely storage of nalla with  nalla training as per width shown in  village map, marking  on village map the locations of existing wells, bore wells within radius of 1.5 km and also depth of water and borewell depth, identifying  the maji malgujari tanks or other lakes owned by Govt. within radius of 3 km, assessing the radial distance and plan area as per village map, preparing detailed plans  referring the std. design &amp; drawing  and  preparing detailed estimate as per approved  SSR  in  3  copies  and  submitting   the  project  duly  typed  along  with   relevant drawings  in hard  and soft copies in CD / Pen Drive etc. as required by the  Department.</t>
    </r>
  </si>
  <si>
    <t>Drone survey</t>
  </si>
  <si>
    <r>
      <rPr>
        <sz val="11"/>
        <rFont val="Times New Roman"/>
        <family val="1"/>
      </rPr>
      <t>To carry out linear Drone survey agencies will use fully autonomous professional survey grade drone and in post process for aerial triangulation required ground control points and benchmarks  will be collected by using survey grade dual frequency DGPS-PPK system. After post processing agency will deliver following final output.
1.Geotagged images in JPG format with resolution of 4-5cm/pixel  with  70% overlap
2.  GCP values in .CSV format.
3.  3D point cloud cover in .las format.
4.  digital surface model (DSM) in .tiff format.
5.  2D orthorectified images in .t iff format with 5 cm resolution which gives capability to capture detailed features. For Linear UAV Survey</t>
    </r>
  </si>
  <si>
    <r>
      <rPr>
        <sz val="11"/>
        <rFont val="Times New Roman"/>
        <family val="1"/>
      </rPr>
      <t>To  carry  out  polygon   Drone  survey  agencies  will  use  fully  autonomous  professional survey grade  drone  and  in  post  process  for  aerial triangulation  required  ground  control points and benchmarks will be collected by using survey grade dual frequency DGPS-PPK system. After post processing agency will deliver following final output.
1.Geotagged images in JPG format with resolution of 4-5cm/pixel  with  70% overlap
2.  GCP values in .CSV format.
3.  3D point cloud cover in .las format.
4.  digital surface model (DSM) in .tiff format.
5.  2D orthorectified images in .t iff format with 5 cm resolution which gives capability to capture detailed features. For Polygon UAV Survey</t>
    </r>
  </si>
  <si>
    <t>Road Furniture new item</t>
  </si>
  <si>
    <t>Supplying and fixing M.S. Pipe 80 mm diameter ( 4.85 mm thick ) heavy type drilled on top and painted with one coat of epoxy primer and two coats of epoxy finish paint having black  and  white  bands  of  25  cm,  last  part  of  the  post  0.75  mt.  below  ground  level  is painted with three coats of red lead paint with two One Number of high tensile G.I. bolt and nut of size 10 mm die of 25 mm long including transportation etc. complete.</t>
  </si>
  <si>
    <t>Running One Meter</t>
  </si>
  <si>
    <t>Supplying and fixing G.I.. Pipe 50 mm diameter  heavy type drilled on top and painted with one coat of epoxy primer and two coats of epoxy finish paint having black and white bands of 25 cm, last part of the post 0.75 mt.  below ground  level is  painted with  three coats of red lead paint with two One Number of high tensile G.I. bolt and nut of size 10 mm die of 25 mm long including transportation etc. complete.</t>
  </si>
  <si>
    <t>Running one Meter</t>
  </si>
  <si>
    <t>Partition</t>
  </si>
  <si>
    <r>
      <rPr>
        <sz val="11"/>
        <rFont val="Times New Roman"/>
        <family val="1"/>
      </rPr>
      <t>Medium Height Partition @ 1800/1200HT TILE BASED PARTITION SYSTEM
Tile  based  Aluminum  partition  system  of  1800/1200mm  ht.  made  of  60mm  thick aluminum frames having two separate race ways for laying electrical &amp; computer wiring. The wire management shall be through to the race way to be fitted at bottom of partition other immediately below of work top with hook on type raceway cover for easy access of wires.  Frames  to  be  joined  by  aluminum  connectors  with  M6  x  16  pan-head  machine screw and washer with aluminum post cover. Post cover snap on fashion to be connected on aluminum connector visible aluminium to be in anodized / powdercoated finish. The top exposed sides of the frame and posts should be covered with horizontal/ Vertical trim and  caps  made of  Aluminum in  anodized /  powdercoated finish  in order  to enhance  its look.Upper tiles on the partition to be in Soft Board or Marker or prelaminated partical board tile of 9mm. thk., prelaminated partical board lower tiles in laminate finish 9mm. thk. on both the sides .Size :- 1200/1800mm (H)</t>
    </r>
  </si>
  <si>
    <t>Full Height  Partitions  in Solid finish - Providing and Fixing 80mm to 85mm thick Full height  Double Skin partition up to 3 mtr height with All visible sections in Anodized / Powdercoated finish. Made up of Frames and Tiles. Frame construction In combinaton of Aluminium Rails and Bottom ,Center and Top members, Connected with 2 way Round Shape Post , 3way Post , 4 way Post made up of Aluminium Extruded and Tiles in 9mm thk.  Prelaminated   Partical  Board  of  on  both  side.  With  all  the  Joints  in  the  partitions covered  with  PVC  extrusions  to  provide  better  sound  Proofing.  Tiles  to  be  separated 55mm from each other to provide adequate space for drawing cables for electric, data and telephone with proper facility for fixing electrical and data switch plates. as per design and drawing.</t>
  </si>
  <si>
    <t>Full Height Partitions in Glass finish -  Providing and Fixing 80mm to 85mm thick Full height  Double Skin partition up to 3 mtr height with All visible sections in Anodized / Powdercoated finish. Made up of Frames and Tiles. Frame construction In combinaton of Aluminium Rails and Bottom ,Center and Top members, Connected with 2 way Round Shape Post , 3way Post , 4 way Post made up of Aluminium Extruded and Tiles in 5mm thk. Non Toughened Glass on both side. With all the Joints in the partitions covered with PVC extrusions to provide better sound Proofing. Tiles to be separated 55mm from each other to provide adequate space for drawing cables for electric, data and telephone with proper facility for fixing electrical and data switch plates. as per design and drawing.</t>
  </si>
  <si>
    <t>Door</t>
  </si>
  <si>
    <t>Providing and fixing Factory made 31mm ABS Plastic Door made of abs plastic moulded sheet  of  1.5  mm  thickness  P.U.  foam  insulated  of  density 40  kg  per  cubic  meter  with seasoned wood to fit lock and hardware covered with aluminium ‘A’ section of 31mm x 27mm  x27mm  x  1.5mm  thick  powder  coated  and  fitted  with  PVC  ‘  L’  Corner  of dimension   75mm   x75mm   x   10mm   thick   on   all   four   sides   including   all   labour, material,stainless steel fixtures and fastening etc complete</t>
  </si>
  <si>
    <t>Lamination</t>
  </si>
  <si>
    <r>
      <rPr>
        <sz val="11"/>
        <rFont val="Times New Roman"/>
        <family val="1"/>
      </rPr>
      <t>Providing and fixing  4mm thick  High Pressure interior compact Laminate made out of thermosetting resign treated  Kraft as core material and design paper as a finish surface. Compact laminates should have the characteristic of flame retardant fulfilled the criteria of under  BS-476/97  and EN438-6  with   classification  of  BS1D0  standard property,  Anti bacterial and anti-termite property under JIS Z2801:2000,   Chemical resistance, Scratch resistant ,fire resistance, weather &amp; climatic shock resistance( The  manufacturer  should provide10  years  warranty  certification  on   any  manufacturing  and  moisture  related defects.)The  compact  laminates   should  be  resistance   to   water  immersion  through permissible  increase  on  thickness  and  mass  &lt;0.60%  and  board  should  have    density
&gt;1.35kg/cm3   and  fulfilled  the  criteria  of  FSCand  Green  Guard  Gold  certification  and manufactured under EN438-2&amp;3:2005 standard . Finish and  colour of compact laminates should  be  finalised   under  direction  of  Engineer  –in-charge.Including  fixing  Compact laminates    on  25x50mm  aluminium  tube  or  approved  tube  size   at  600mm  c/c   under desirable height and fixed through same compact colour rievts or compact adhesive as per recommended by compact supplied agency. Finish and colour of Interior clade should be approved under engineer-in-charge direction.</t>
    </r>
  </si>
  <si>
    <r>
      <rPr>
        <sz val="11"/>
        <rFont val="Times New Roman"/>
        <family val="1"/>
      </rPr>
      <t>Providing and fixing  6 mm thick  High Pressure interior compact Laminate made out of thermosetting resign treated  Kraft as core material and design paper as a finish surface. Compact laminates should have the characteristic of flame retardant fulfilled the criteria of under  BS-476/97  and EN438-6  with   classification  of  BS1D0  standard property,  Anti bacterial and anti-termite property under JIS Z2801:2000,   Chemical resistance, Scratch resistant ,fire resistance, weather &amp; climatic shock resistance( The  manufacturer  should provide10  years  warranty  certification  on   any  manufacturing  and  moisture  related defects.)The  compact  laminates   should  be  resistance   to   water  immersion  through permissible  increase  on  thickness  and  mass  &lt;0.60%  and  board  should  have    density
&gt;1.35kg/cm3   and  fulfilled  the  criteria  of  FSCand  Green  Guard  Gold  certification  and manufactured under EN438-2&amp;3:2005 standard . Finish and  colour of compact laminates should  be  finalised   under  direction  of  Engineer  –in-charge.  including  fixing  Compact laminates  on  25x50  mm  aluminium  tube  or  approved  tube  size   at  600  mm  c/c   under desirable height and fixed through same compact colour rievts or compact adhesive as per recommended by compact supplied agency. Finish and colour of Interior clade should be approved under engineer-in-charge direction.</t>
    </r>
  </si>
  <si>
    <t>SSR 2022-23 :- New Items 2021-22</t>
  </si>
  <si>
    <t>Rebar</t>
  </si>
  <si>
    <t>Supplying,  Drilling/Cleaning  hole  and  injecting   chemical.  Application  to  be  designed separately for Rebars as Simply Supported, Moment or Splice Connection as per EC2/TR 023  or  relevant  tested  and  accepted  rebar  guidelines.  The  chemical  should  have  ETA approval for seismic rebar as a minimum qualifying criterion. Drilling hole with double flute  type  drill  bits  or  hollow  drill  bits  to  the  required  depth  by  rotary  hammer  drill, cleaning with brush and jet of clean air, filling resin and hardener using serrated nozzle to eliminate mixing error with standard HDE A22 battery dispenser along with piston plug. The  installation  and  the  setting  instructions  should  be  strictly  followed  as  per  the manufacturer’s recommendations. The adequate diameter and embedment of rebars to be decided  as  per  PROFIS  Rebar  Software  &amp;  the  report  to  be  submitted  to  the  project manager/  design  engineer  for  approval.  Scanning  before  drilling  to  be  done  to  avoid hitting existing rebars. Re 500 -8mm dia 160mm depth</t>
  </si>
  <si>
    <t>Bd.C.2 Page No. 275</t>
  </si>
  <si>
    <t>Supplying,  Drilling/Cleaning  hole  and  injecting   chemical.  Application  to  be  designed separately for Rebars as Simply Supported, Moment or Splice Connection as per EC2/TR 023  or  relevant  tested  and  accepted  rebar  guidelines.  The  chemical  should  have  ETA approval for seismic rebar as a minimum qualifying criterion. Drilling hole with double flute  type  drill  bits  or  hollow  drill  bits  to  the  required  depth  by  rotary  hammer  drill, cleaning with brush and jet of clean air, filling resin and hardener using serrated nozzle to eliminate mixing error with standard HDE A22 battery dispenser along with piston plug. The  installation  and  the  setting  instructions  should  be  strictly  followed  as  per  the manufacturer’s recommendations. The adequate diameter and embedment of rebars to be decided  as  per  PROFIS  Rebar  Software  &amp;  the  report  to  be  submitted  to  the  project manager/  design  engineer  for  approval.  Scanning  before  drilling  to  be  done  to  avoid hitting existing rebars. Re 500 -10 mm dia 200mm depth</t>
  </si>
  <si>
    <t>Supplying,  Drilling/Cleaning  hole  and  injecting   chemical.  Application  to  be  designed separately for Rebars as Simply Supported, Moment or Splice Connection as per EC2/TR 023  or  relevant  tested  and  accepted  rebar  guidelines.  The  chemical  should  have  ETA approval for seismic rebar as a minimum qualifying criterion. Drilling hole with double flute  type  drill  bits  or  hollow  drill  bits  to  the  required  depth  by  rotary  hammer  drill, cleaning with brush and jet of clean air, filling resin and hardener using serrated nozzle to eliminate mixing error with standard HDE A22 battery dispenser along with piston plug. The  installation  and  the  setting  instructions  should  be  strictly  followed  as  per  the manufacturer’s recommendations. The adequate diameter and embedment of rebars to be decided  as  per  PROFIS  Rebar  Software  &amp;  the  report  to  be  submitted  to  the  project manager/  design  engineer  for  approval.  Scanning  before  drilling  to  be  done  to  avoid hitting existing rebars. Re 500 -12 mm dia 240mm depth</t>
  </si>
  <si>
    <t>Supplying,  Drilling/Cleaning  hole  and  injecting   chemical.  Application  to  be  designed separately for Rebars as Simply Supported, Moment or Splice Connection as per EC2/TR 023  or  relevant  tested  and  accepted  rebar  guidelines.  The  chemical  should  have  ETA approval for seismic rebar as a minimum qualifying criterion. Drilling hole with double flute  type  drill  bits  or  hollow  drill  bits  to  the  required  depth  by  rotary  hammer  drill, cleaning with brush and jet of clean air, filling resin and hardener using serrated nozzle to eliminate mixing error with standard HDE A22 battery dispenser along with piston plug. The  installation  and  the  setting  instructions  should  be  strictly  followed  as  per  the manufacturer’s recommendations. The adequate diameter and embedment of rebars to be decided  as  per  PROFIS  Rebar  Software  &amp;  the  report  to  be  submitted  to  the  project manager/  design  engineer  for  approval.  Scanning  before  drilling  to  be  done  to  avoid hitting existing rebars. Re 500 -16 mm dia 320mm depth</t>
  </si>
  <si>
    <t>Supplying,  Drilling/Cleaning  hole  and  injecting   chemical.  Application  to  be  designed separately for Rebars as Simply Supported, Moment or Splice Connection as per EC2/TR 023  or  relevant  tested  and  accepted  rebar  guidelines.  The  chemical  should  have  ETA approval for seismic rebar as a minimum qualifying criterion. Drilling hole with double flute  type  drill  bits  or  hollow  drill  bits  to  the  required  depth  by  rotary  hammer  drill, cleaning with brush and jet of clean air, filling resin and hardener using serrated nozzle to eliminate mixing error with standard HDE A22 battery dispenser along with piston plug. The  installation  and  the  setting  instructions  should  be  strictly  followed  as  per  the manufacturer’s recommendations. The adequate diameter and embedment of rebars to be decided  as  per  PROFIS  Rebar  Software  &amp;  the  report  to  be  submitted  to  the  project manager/  design  engineer  for  approval.  Scanning  before  drilling  to  be  done  to  avoid hitting existing rebars. Re 500 -20 mm dia400mm depth</t>
  </si>
  <si>
    <t>Supplying,  Drilling/Cleaning  hole  and  injecting   chemical.  Application  to  be  designed separately for Rebars as Simply Supported, Moment or Splice Connection as per EC2/TR 023  or  relevant  tested  and  accepted  rebar  guidelines.  The  chemical  should  have  ETA approval for seismic rebar as a minimum qualifying criterion. Drilling hole with double flute  type  drill  bits  or  hollow  drill  bits  to  the  required  depth  by  rotary  hammer  drill, cleaning with brush and jet of clean air, filling resin and hardener using serrated nozzle to eliminate mixing error with standard HDE A22 battery dispenser along with piston plug. The  installation  and  the  setting  instructions  should  be  strictly  followed  as  per  the manufacturer’s recommendations. The adequate diameter and embedment of rebars to be decided  as  per  PROFIS  Rebar  Software  &amp;  the  report  to  be  submitted  to  the  project manager/  design  engineer  for  approval.  Scanning  before  drilling  to  be  done  to  avoid hitting existing rebars. Re 500 -25mm dia 500mm depth</t>
  </si>
  <si>
    <t>Supplying,  Drilling/Cleaning  hole  and  injecting   chemical.  Application  to  be  designed separately for Rebars as Simply Supported, Moment or Splice Connection as per EC2/TR 023  or  relevant  tested  and  accepted  rebar  guidelines.  The  chemical  should  have  ETA approval for seismic rebar as a minimum qualifying criterion. Drilling hole with double flute  type  drill  bits  or  hollow  drill  bits  to  the  required  depth  by  rotary  hammer  drill, cleaning with brush and jet of clean air, filling resin and hardener using serrated nozzle to eliminate mixing error with standard HDE A22 battery dispenser along with piston plug. The  installation  and  the  setting  instructions  should  be  strictly  followed  as  per  the manufacturer’s recommendations. The adequate diameter and embedment of rebars to be decided  as  per  PROFIS  Rebar  Software  &amp;  the  report  to  be  submitted  to  the  project manager/  design  engineer  for  approval.  Scanning  before  drilling  to  be  done  to  avoid hitting existing rebars. Re 500 -32mm dia 640mm depth</t>
  </si>
  <si>
    <t>Supplying,  Drilling/Cleaning  hole  and  injecting  chemical.  Application  to  be  designed separately for Rebars as Simply Supported, Moment or Splice Connection as per EC2/TR 023  or  relevant  tested  and  accepted  rebar  guidelines.  The  chemical  should  have  ETA approval for seismic rebar as a minimum qualifying criterion. Drilling hole with double flute  type  drill  bits  or  hollow  drill  bits  to  the  required  depth  by  rotary  hammer  drill, cleaning with brush and jet of clean air, filling resin and hardener using serrated nozzle to eliminate mixing error with standard HDE A22 battery dispenser along with piston plug. The  installation  and  the  setting  instructions  should  be  strictly  followed  as  per  the manufacturer’s recommendations. The adequate diameter and embedment of rebars to be decided  as  per  PROFIS  Rebar  Software  &amp;  the  report  to  be  submitted  to  the  project manager/  design  engineer  for  approval.  Scanning  before  drilling  to  be  done  to  avoid hitting existing rebars. HY20 -8mm dia 160mm depth</t>
  </si>
  <si>
    <t>Supplying,  Drilling/Cleaning  hole  and  injecting  chemical.  Application  to  be  designed separately for Rebars as Simply Supported, Moment or Splice Connection as per EC2/TR 023  or  relevant  tested  and  accepted  rebar  guidelines.  The  chemical  should  have  ETA approval for seismic rebar as a minimum qualifying criterion. Drilling hole with double flute  type  drill  bits  or  hollow  drill  bits  to  the  required  depth  by  rotary  hammer  drill, cleaning with brush and jet of clean air, filling resin and hardener using serrated nozzle to eliminate mixing error with standard HDE A22 battery dispenser along with piston plug. The  installation  and  the  setting  instructions  should  be  strictly  followed  as  per  the manufacturer’s recommendations. The adequate diameter and embedment of rebars to be decided  as  per  PROFIS  Rebar  Software  &amp;  the  report  to  be  submitted  to  the  project manager/  design  engineer  for  approval.  Scanning  before  drilling  to  be  done  to  avoid hitting existing rebars. HY200 -10 mm dia 200mm depth</t>
  </si>
  <si>
    <t>Supplying,  Drilling/Cleaning  hole  and  injecting  chemical.  Application  to  be  designed separately for Rebars as Simply Supported, Moment or Splice Connection as per EC2/TR 023  or  relevant  tested  and  accepted  rebar  guidelines.  The  chemical  should  have  ETA approval for seismic rebar as a minimum qualifying criterion. Drilling hole with double flute  type  drill  bits  or  hollow  drill  bits  to  the  required  depth  by  rotary  hammer  drill, cleaning with brush and jet of clean air, filling resin and hardener using serrated nozzle to eliminate mixing error with standard HDE A22 battery dispenser along with piston plug. The  installation  and  the  setting  instructions  should  be  strictly  followed  as  per  the manufacturer’s recommendations. The adequate diameter and embedment of rebars to be decided  as  per  PROFIS  Rebar  Software  &amp;  the  report  to  be  submitted  to  the  project manager/  design  engineer  for  approval.  Scanning  before  drilling  to  be  done  to  avoid hitting existing rebars. HY200 -12 mm dia 240mm depth</t>
  </si>
  <si>
    <t>Supplying,  Drilling/Cleaning  hole  and  injecting  chemical.  Application  to  be  designed separately for Rebars as Simply Supported, Moment or Splice Connection as per EC2/TR 023  or  relevant  tested  and  accepted  rebar  guidelines.  The  chemical  should  have  ETA approval for seismic rebar as a minimum qualifying criterion. Drilling hole with double flute  type  drill  bits  or  hollow  drill  bits  to  the  required  depth  by  rotary  hammer  drill, cleaning with brush and jet of clean air, filling resin and hardener using serrated nozzle to eliminate mixing error with standard HDE A22 battery dispenser along with piston plug. The  installation  and  the  setting  instructions  should  be  strictly  followed  as  per  the manufacturer’s recommendations. The adequate diameter and embedment of rebars to be decided  as  per  PROFIS  Rebar  Software  &amp;  the  report  to  be  submitted  to  the  project manager/  design  engineer  for  approval.  Scanning  before  drilling  to  be  done  to  avoid hitting existing rebars. HY200 -16 mm dia 320mm depth</t>
  </si>
  <si>
    <t>Supplying,  Drilling/Cleaning  hole  and  injecting  chemical.  Application  to  be  designed separately for Rebars as Simply Supported, Moment or Splice Connection as per EC2/TR 023  or  relevant  tested  and  accepted  rebar  guidelines.  The  chemical  should  have  ETA approval for seismic rebar as a minimum qualifying criterion. Drilling hole with double flute  type  drill  bits  or  hollow  drill  bits  to  the  required  depth  by  rotary  hammer  drill, cleaning with brush and jet of clean air, filling resin and hardener using serrated nozzle to eliminate mixing error with standard HDE A22 battery dispenser along with piston plug. The  installation  and  the  setting  instructions  should  be  strictly  followed  as  per  the manufacturer’s recommendations. The adequate diameter and embedment of rebars to be decided  as  per  PROFIS  Rebar  Software  &amp;  the  report  to  be  submitted  to  the  project manager/  design  engineer  for  approval.  Scanning  before  drilling  to  be  done  to  avoid hitting existing rebars. HY200 -20 mm dia400mm depth</t>
  </si>
  <si>
    <t>Supplying,  Drilling/Cleaning  hole  and  injecting  chemical.  Application  to  be  designed separately for Rebars as Simply Supported, Moment or Splice Connection as per EC2/TR 023  or  relevant  tested  and  accepted  rebar  guidelines.  The  chemical  should  have  ETA approval for seismic rebar as a minimum qualifying criterion. Drilling hole with double flute  type  drill  bits  or  hollow  drill  bits  to  the  required  depth  by  rotary  hammer  drill, cleaning with brush and jet of clean air, filling resin and hardener using serrated nozzle to eliminate mixing error with standard HDE A22 battery dispenser along with piston plug. The  installation  and  the  setting  instructions  should  be  strictly  followed  as  per  the manufacturer’s recommendations. The adequate diameter and embedment of rebars to be decided  as  per  PROFIS  Rebar  Software  &amp;  the  report  to  be  submitted  to  the  project manager/  design  engineer  for  approval.  Scanning  before  drilling  to  be  done  to  avoid hitting existing rebars. HY 200 -25mm dia 500mm depth</t>
  </si>
  <si>
    <t>Supplying,  drilling/cleaning  hole  and  fixing  of   Torque  Controlled  Expansion  Anchor HST3, of sizes ranging from M8 to M24. The Anchor should be third party tested, possess ETA approval and should be pre-assembled with a galvanized bolt as per EN ISO 4042: 1999, ingenious expansion sleeve M10 and M16 (galvanized) and M8, M12, M20, M24 - Stainless Steel (EN ISO 4042: 1999), a nut of Strength Class 8 (EN ISO 20898-2:2012) and a galvanized washer (EN ISO 4042:1999). The anchor should be approved for use in Cracked  Concrete.  Anchor  must  be  tested  and  approved  as  per  Seismic  C1  and  C2 Category of TR045. ETA to have Fire Resistance values for up to 120 mins as per EOTA TR  020  and  FM  Approval  (use  in  Pipe  Hangers).  Anchor  shall  be  fixed  at  right embedment depth as per embedment mark and activated using Hilti AT Tool Module to ensure adequate torque as per manufacture’s torque tolerance published in ETA and same shall be documented and submitted to Project Manager at the time of inspection. Design of Anchor should be done as per ETAG 001 Annex C and TR045 using PROFIS Software as  per  actual load  data  and  site  conditions  as  provided  by structural  consultant  and  the report to be submitted to the project manager and design engineer for approval. Scanning before  drilling  to  be done  with Hilti  PS Scanning  tool to  avoid rebar  hits.   stud  anchor HST3 M8x95-30</t>
  </si>
  <si>
    <t>Supplying,  drilling/cleaning  hole  and  fixing  of   Torque  Controlled  Expansion  Anchor HST3, of sizes ranging from M8 to M24. The Anchor should be third party tested, possess ETA approval and should be pre-assembled with a galvanized bolt as per EN ISO 4042: 1999, ingenious expansion sleeve M10 and M16 (galvanized) and M8, M12, M20, M24 - Stainless Steel (EN ISO 4042: 1999), a nut of Strength Class 8 (EN ISO 20898-2:2012) and a galvanized washer (EN ISO 4042:1999). The anchor should be approved for use in Cracked  Concrete.  Anchor  must  be  tested  and  approved  as  per  Seismic  C1  and  C2 Category of TR045. ETA to have Fire Resistance values for up to 120 mins as per EOTA TR  020  and  FM  Approval  (use  in  Pipe  Hangers).  Anchor  shall  be  fixed  at  right embedment depth as per embedment mark and activated using  AT Tool Module to ensure adequate torque as per manufacture’s torque tolerance published in ETA and same shall be  documented  and  submitted  to  Project  Manager  at  the  time  of  inspection.  Design  of Anchor should be done as per ETAG 001 Annex C and TR045 using PROFIS Software as per actual load data and site conditions as provided by structural consultant and the report to be submitted to the project manager and design engineer for approval. Scanning before drilling  to  be  done  with   PS  Scanning  tool  to  avoid  rebar  hits.   stud  anchor  HST3  SS M8x95-30</t>
  </si>
  <si>
    <t>Supplying,  drilling/cleaning  hole  and  fixing  of   Torque  Controlled  Expansion  Anchor HST3, of sizes ranging from M8 to M24. The Anchor should be third party tested, possess ETA approval and should be pre-assembled with a galvanized bolt as per EN ISO 4042: 1999, ingenious expansion sleeve M10 and M16 (galvanized) and M8, M12, M20, M24 - Stainless Steel (EN ISO 4042: 1999), a nut of Strength Class 8 (EN ISO 20898-2:2012) and a galvanized washer (EN ISO 4042:1999). The anchor should be approved for use in Cracked  Concrete.  Anchor  must  be  tested  and  approved  as  per  Seismic  C1  and  C2 Category of TR045. ETA to have Fire Resistance values for up to 120 mins as per EOTA TR  020  and  FM  Approval  (use  in  Pipe  Hangers).  Anchor  shall  be  fixed  at  right embedment depth as per embedment mark and activated using  AT Tool Module to ensure adequate torque as per manufacture’s torque tolerance published in ETA and same shall be  documented  and  submitted  to  Project  Manager  at  the  time  of  inspection.  Design  of Anchor should be done as per ETAG 001 Annex C and TR045 using PROFIS Software as per actual load data and site conditions as provided by structural consultant and the report to be submitted to the project manager and design engineer for approval. Scanning before drilling  to  be  done  with   PS  Scanning  tool  to  avoid  rebar  hits.   stud  anchor  HST3 M10x110-30</t>
  </si>
  <si>
    <t>Supplying,  drilling/cleaning  hole  and  fixing  of   Torque  Controlled  Expansion  Anchor HST3, of sizes ranging from M8 to M24. The Anchor should be third party tested, possess ETA approval and should be pre-assembled with a galvanized bolt as per EN ISO 4042: 1999, ingenious expansion sleeve M10 and M16 (galvanized) and M8, M12, M20, M24 - Stainless Steel (EN ISO 4042: 1999), a nut of Strength Class 8 (EN ISO 20898-2:2012) and a galvanized washer (EN ISO 4042:1999). The anchor should be approved for use in Cracked  Concrete.  Anchor  must  be  tested  and  approved  as  per  Seismic  C1  and  C2 Category of TR045. ETA to have Fire Resistance values for up to 120 mins as per EOTA TR  020  and  FM  Approval  (use  in  Pipe  Hangers).  Anchor  shall  be  fixed  at  right embedment depth as per embedment mark and activated using  AT Tool Module to ensure adequate torque as per manufacture’s torque tolerance published in ETA and same shall be  documented  and  submitted  to  Project  Manager  at  the  time  of  inspection.  Design  of Anchor should be done as per ETAG 001 Annex C and TR045 using PROFIS Software as per actual load data and site conditions as provided by structural consultant and the report to be submitted to the project manager and design engineer for approval. Scanning before drilling  to  be  done  with   PS  Scanning  tool  to  avoid  rebar  hits.   studanchorHST3  SS M10x110-30</t>
  </si>
  <si>
    <t>Supplying,  drilling/cleaning  hole  and  fixing  of   Torque  Controlled  Expansion  Anchor HST3, of sizes ranging from M8 to M24. The Anchor should be third party tested, possess ETA approval and should be pre-assembled with a galvanized bolt as per EN ISO 4042: 1999, ingenious expansion sleeve M10 and M16 (galvanized) and M8, M12, M20, M24 - Stainless Steel (EN ISO 4042: 1999), a nut of Strength Class 8 (EN ISO 20898-2:2012) and a galvanized washer (EN ISO 4042:1999). The anchor should be approved for use in Cracked  Concrete.  Anchor  must  be  tested  and  approved  as  per  Seismic  C1  and  C2 Category of TR045. ETA to have Fire Resistance values for up to 120 mins as per EOTA TR  020  and  FM  Approval  (use  in  Pipe  Hangers).  Anchor  shall  be  fixed  at  right embedment depth as per embedment mark and activated using  AT Tool Module to ensure adequate torque as per manufacture’s torque tolerance published in ETA and same shall be  documented  and  submitted  to  Project  Manager  at  the  time  of  inspection.  Design  of Anchor should be done as per ETAG 001 Annex C and TR045 using PROFIS Software as per actual load data and site conditions as provided by structural consultant and the report to be submitted to the project manager and design engineer for approval. Scanning before drilling  to  be  done  with   PS  Scanning  tool  to  avoid  rebar  hits.   stud  anchor  HST3 M12x115-20</t>
  </si>
  <si>
    <t>Supplying,  drilling/cleaning  hole  and  fixing  of   Torque  Controlled  Expansion  Anchor HST3, of sizes ranging from M8 to M24. The Anchor should be third party tested, possess ETA approval and should be pre-assembled with a galvanized bolt as per EN ISO 4042: 1999, ingenious expansion sleeve M10 and M16 (galvanized) and M8, M12, M20, M24 - Stainless Steel (EN ISO 4042: 1999), a nut of Strength Class 8 (EN ISO 20898-2:2012) and a galvanized washer (EN ISO 4042:1999). The anchor should be approved for use in Cracked  Concrete.  Anchor  must  be  tested  and  approved  as  per  Seismic  C1  and  C2 Category of TR045. ETA to have Fire Resistance values for up to 120 mins as per EOTA TR  020  and  FM  Approval  (use  in  Pipe  Hangers).  Anchor  shall  be  fixed  at  right embedment depth as per embedment mark and activated using  AT Tool Module to ensure adequate torque as per manufacture’s torque tolerance published in ETA and same shall be  documented  and  submitted  to  Project  Manager  at  the  time  of  inspection.  Design  of Anchor should be done as per ETAG 001 Annex C and TR045 using PROFIS Software as per actual load data and site conditions as provided by structural consultant and the report to be submitted to the project manager and design engineer for approval. Scanning before drilling to be done with  PS Scanning tool to avoid rebar hits.  stud anchor HST3 SSM12 x 115-20</t>
  </si>
  <si>
    <t>Supplying,  drilling/cleaning  hole  and  fixing  of   Torque  Controlled  Expansion  Anchor HST3, of sizes ranging from M8 to M24. The Anchor should be third party tested, possess ETA approval and should be pre-assembled with a galvanized bolt as per EN ISO 4042: 1999, ingenious expansion sleeve M10 and M16 (galvanized) and M8, M12, M20, M24 - Stainless Steel (EN ISO 4042: 1999), a nut of Strength Class 8 (EN ISO 20898-2:2012) and a galvanized washer (EN ISO 4042:1999). The anchor should be approved for use in Cracked  Concrete.  Anchor  must  be  tested  and  approved  as  per  Seismic  C1  and  C2 Category of TR045. ETA to have Fire Resistance values for up to 120 mins as per EOTA TR  020  and  FM  Approval  (use  in  Pipe  Hangers).  Anchor  shall  be  fixed  at  right embedment depth as per embedment mark and activated using  AT Tool Module to ensure adequate torque as per manufacture’s torque tolerance published in ETA and same shall be  documented  and  submitted  to  Project  Manager  at  the  time  of  inspection.  Design  of Anchor should be done as per ETAG 001 Annex C and TR045 using PROFIS Software as per actual load data and site conditions as provided by structural consultant and the report to be submitted to the project manager and design engineer for approval. Scanning before drilling  to  be  done  with   PS  Scanning  tool  to  avoid  rebar  hits.  stud  anchor  HST3  SS M8x95-30</t>
  </si>
  <si>
    <t>Supplying,  drilling/cleaning  hole  and  fixing  of   Torque  Controlled  Expansion  Anchor HST3, of sizes ranging from M8 to M24. The Anchor should be third party tested, possess ETA approval and should be pre-assembled with a galvanized bolt as per EN ISO 4042: 1999, ingenious expansion sleeve M10 and M16 (galvanized) and M8, M12, M20, M24 - Stainless Steel (EN ISO 4042: 1999), a nut of Strength Class 8 (EN ISO 20898-2:2012) and a galvanized washer (EN ISO 4042:1999). The anchor should be approved for use in Cracked  Concrete.  Anchor  must  be  tested  and  approved  as  per  Seismic  C1  and  C2 Category of TR045. ETA to have Fire Resistance values for up to 120 mins as per EOTA TR  020  and  FM  Approval  (use  in  Pipe  Hangers).  Anchor  shall  be  fixed  at  right embedment depth as per embedment mark and activated using  AT Tool Module to ensure adequate torque as per manufacture’s torque tolerance published in ETA and same shall be  documented  and  submitted  to  Project  Manager  at  the  time  of  inspection.  Design  of Anchor should be done as per ETAG 001 Annex C and TR045 using PROFIS Software as per actual load data and site conditions as provided by structural consultant and the report to be submitted to the project manager and design engineer for approval. Scanning before drilling  to  be  done  with   PS  Scanning  tool  to  avoid  rebar  hits.  stud  anchor  HST3  SS M16x145-45</t>
  </si>
  <si>
    <t>Supplying,  drilling/cleaning  hole  and  fixing  of   Torque  Controlled  Expansion  Anchor HST3, of sizes ranging from M8 to M24. The Anchor should be third party tested, possess ETA approval and should be pre-assembled with a galvanized bolt as per EN ISO 4042: 1999, ingenious expansion sleeve M10 and M16 (galvanized) and M8, M12, M20, M24 - Stainless Steel (EN ISO 4042: 1999), a nut of Strength Class 8 (EN ISO 20898-2:2012) and a galvanized washer (EN ISO 4042:1999). The anchor should be approved for use in Cracked  Concrete.  Anchor  must  be  tested  and  approved  as  per  Seismic  C1  and  C2 Category of TR045. ETA to have Fire Resistance values for up to 120 mins as per EOTA TR  020  and  FM  Approval  (use  in  Pipe  Hangers).  Anchor  shall  be  fixed  at  right embedment depth as per embedment mark and activated using  AT Tool Module to ensure adequate torque as per manufacture’s torque tolerance published in ETA and same shall be  documented  and  submitted  to  Project  Manager  at  the  time  of  inspection.  Design  of Anchor should be done as per ETAG 001 Annex C and TR045 using PROFIS Software as per actual load data and site conditions as provided by structural consultant and the report to be submitted to the project manager and design engineer for approval. Scanning before drilling to be done with  PS Scanning tool to avoid rebar hits.  Safety stud anchor HST3 M20x170</t>
  </si>
  <si>
    <t>Supplying,  drilling/cleaning  hole  and  fixing  of   Torque  Controlled  Expansion  Anchor HST3, of sizes ranging from M8 to M24. The Anchor should be third party tested, possess ETA approval and should be pre-assembled with a galvanized bolt as per EN ISO 4042: 1999, ingenious expansion sleeve M10 and M16 (galvanized) and M8, M12, M20, M24 - Stainless Steel (EN ISO 4042: 1999), a nut of Strength Class 8 (EN ISO 20898-2:2012) and a galvanized washer (EN ISO 4042:1999). The anchor should be approved for use in Cracked  Concrete.  Anchor  must  be  tested  and  approved  as  per  Seismic  C1  and  C2 Category of TR045. ETA to have Fire Resistance values for up to 120 mins as per EOTA TR  020  and  FM  Approval  (use  in  Pipe  Hangers).  Anchor  shall  be  fixed  at  right embedment depth as per embedment mark and activated using  AT Tool Module to ensure adequate torque as per manufacture’s torque tolerance published in ETA and same shall be  documented  and  submitted  to  Project  Manager  at  the  time  of  inspection.  Design  of Anchor should be done as per ETAG 001 Annex C and TR045 using PROFIS Software as per actual load data and site conditions as provided by structural consultant and the report to be submitted to the project manager and design engineer for approval. Scanning before drilling  to  be  done  with   PS  Scanning  tool  to  avoid  rebar  hits.  stud  anchor  HST3  SS M20x170</t>
  </si>
  <si>
    <t>Supplying,  drilling/cleaning  hole  and  fixing  of   Torque  Controlled  Expansion  Anchor HST3, of sizes ranging from M8 to M24. The Anchor should be third party tested, possess ETA approval and should be pre-assembled with a galvanized bolt as per EN ISO 4042: 1999, ingenious expansion sleeve M10 and M16 (galvanized) and M8, M12, M20, M24 - Stainless Steel (EN ISO 4042: 1999), a nut of Strength Class 8 (EN ISO 20898-2:2012) and a galvanized washer (EN ISO 4042:1999). The anchor should be approved for use in Cracked  Concrete.  Anchor  must  be  tested  and  approved  as  per  Seismic  C1  and  C2 Category of TR045. ETA to have Fire Resistance values for up to 120 mins as per EOTA TR  020  and  FM  Approval  (use  in  Pipe  Hangers).  Anchor  shall  be  fixed  at  right embedment depth as per embedment mark and activated using  AT Tool Module to ensure adequate torque as per manufacture’s torque tolerance published in ETA and same shall be  documented  and  submitted  to  Project  Manager  at  the  time  of  inspection.  Design  of Anchor should be done as per ETAG 001 Annex C and TR045 using PROFIS Software as per actual load data and site conditions as provided by structural consultant and the report to be submitted to the project manager and design engineer for approval. Scanning before drilling  to  be  done  with   PS  Scanning  tool  to  avoid  rebar  hits.  stud  anchor  HST3 M24x200 30</t>
  </si>
  <si>
    <t>Supplying,  drilling/cleaning  hole  and  fixing  of   Torque  Controlled  Expansion  Anchor HST3, of sizes ranging from M8 to M24. The Anchor should be third party tested, possess ETA approval and should be pre-assembled with a galvanized bolt as per EN ISO 4042: 1999, ingenious expansion sleeve M10 and M16 (galvanized) and M8, M12, M20, M24 - Stainless Steel (EN ISO 4042: 1999), a nut of Strength Class 8 (EN ISO 20898-2:2012) and a galvanized washer (EN ISO 4042:1999). The anchor should be approved for use in Cracked  Concrete.  Anchor  must  be  tested  and  approved  as  per  Seismic  C1  and  C2 Category of TR045. ETA to have Fire Resistance values for up to 120 mins as per EOTA TR  020  and  FM  Approval  (use  in  Pipe  Hangers).  Anchor  shall  be  fixed  at  right embedment depth as per embedment mark and activated using  AT Tool Module to ensure adequate torque as per manufacture’s torque tolerance published in ETA and same shall be  documented  and  submitted  to  Project  Manager  at  the  time  of  inspection.  Design  of Anchor should be done as per ETAG 001 Annex C and TR045 using PROFIS Software as per actual load data and site conditions as provided by structural consultant and the report to be submitted to the project manager and design engineer for approval. Scanning before drilling  to  be  done  with   PS  Scanning  tool  to  avoid  rebar  hits.  stud  anchor  HST3  SS M24x200 30</t>
  </si>
  <si>
    <t>Suppling, Drilling/Cleaning hole and fixing  make heavy duty ETA Approved  Chemical Anchor of appropriate size and fixing plates subsequently. Anchor comprises of HVU-2 flexible  foil  capsule  that  contains  styrene  free  Urethane  Methacrylate  resin,  hardener, quartz, sand/corundum and HAS-U threaded rod of minimum 5.8 steel grade, galvanized to  minimum  5  microns.  Anchor  should  be  approved  for  cracked  concrete,  seismic  &amp; diamond drill holes. Manufacture should  submit Anchor  Design report  based on  design loads  &amp;  other  parameters  as  provided  by  consultants.  Chemical  anchors  should  be designed  in  accordance  with  EOTA-TR-029  “guidelines  for  anchorage  of  chemical anchors  for  use  in  concrete”  for  approval.  Application  at  site  should  be  done  as  per manufacturer  guidelines.  Any report  submittal with  Installation  pictures  should be  done using  CFS-DM  Software,  which  shall  be  charged  extra.   Anchor  HVU2+  HAS  U M10X90-21</t>
  </si>
  <si>
    <t>Suppling, Drilling/Cleaning hole and fixing  make heavy duty ETA Approved  Chemical Anchor of appropriate size and fixing plates subsequently. Anchor comprises of HVU-2 flexible  foil  capsule  that  contains  styrene  free  Urethane  Methacrylate  resin,  hardener, quartz, sand/corundum and HAS-U threaded rod of minimum 5.8 steel grade, galvanized to  minimum  5  microns.  Anchor  should  be  approved  for  cracked  concrete,  seismic  &amp; diamond drill holes. Manufacture should  submit Anchor  Design report  based on  design loads  &amp;  other  parameters  as  provided  by  consultants.  Chemical  anchors  should  be designed  in  accordance  with  EOTA-TR-029  “guidelines  for  anchorage  of  chemical anchors  for  use  in  concrete”  for  approval.  Application  at  site  should  be  done  as  per manufacturer  guidelines.  Any report  submittal with  Installation  pictures  should be  done using CFS-DM Software, which shall be charged extra. AnchorHVU2+ HAS U M12x110- 90</t>
  </si>
  <si>
    <t>Suppling, Drilling/Cleaning hole and fixing  make heavy duty ETA Approved  Chemical Anchor of appropriate size and fixing plates subsequently. Anchor comprises of HVU-2 flexible  foil  capsule  that  contains  styrene  free  Urethane  Methacrylate  resin,  hardener, quartz, sand/corundum and HAS-U threaded rod of minimum 5.8 steel grade, galvanized to  minimum  5  microns.  Anchor  should  be  approved  for  cracked  concrete,  seismic  &amp; diamond drill holes. Manufacture should  submit Anchor  Design report  based on  design loads  &amp;  other  parameters  as  provided  by  consultants.  Chemical  anchors  should  be designed  in  accordance  with  EOTA-TR-029  “guidelines  for  anchorage  of  chemical anchors  for  use  in  concrete”  for  approval.  Application  at  site  should  be  done  as  per manufacturer  guidelines.  Any report  submittal with  Installation  pictures  should be  done using CFS-DM Software, which shall be charged extra. Anchor HVU2+ HAS U M16x125</t>
  </si>
  <si>
    <t>Suppling, Drilling/Cleaning hole and fixing  make heavy duty ETA Approved  Chemical Anchor of appropriate size and fixing plates subsequently. Anchor comprises of HVU-2 flexible  foil  capsule  that  contains  styrene  free  Urethane  Methacrylate  resin,  hardener, quartz, sand/corundum and HAS-U threaded rod of minimum 5.8 steel grade, galvanized to  minimum  5  microns.  Anchor  should  be  approved  for  cracked  concrete,  seismic  &amp; diamond drill holes. Manufacture should  submit Anchor  Design report  based on  design loads  &amp;  other  parameters  as  provided  by  consultants.  Chemical  anchors  should  be designed  in  accordance  with  EOTA-TR-029  “guidelines  for  anchorage  of  chemical anchors  for  use  in  concrete”  for  approval.  Application  at  site  should  be  done  as  per manufacturer  guidelines.  Any report  submittal with  Installation  pictures  should be  done using CFS-DM Software, which shall be charged extra. Anchor HVU2+ HAS U M20x170</t>
  </si>
  <si>
    <t>Suppling, Drilling/Cleaning hole and fixing  make heavy duty ETA Approved  Chemical Anchor of appropriate size and fixing plates subsequently. Anchor comprises of HVU-2 flexible  foil  capsule  that  contains  styrene  free  Urethane  Methacrylate  resin,  hardener, quartz, sand/corundum and HAS-U threaded rod of minimum 5.8 steel grade, galvanized to  minimum  5  microns.  Anchor  should  be  approved  for  cracked  concrete,  seismic  &amp; diamond drill holes. Manufacture should  submit Anchor  Design report  based on  design loads  &amp;  other  parameters  as  provided  by  consultants.  Chemical  anchors  should  be designed  in  accordance  with  EOTA-TR-029  “guidelines  for  anchorage  of  chemical anchors  for  use  in  concrete”  for  approval.  Application  at  site  should  be  done  as  per manufacturer  guidelines.  Any report  submittal with  Installation  pictures  should be  done using CFS-DM Software, which shall be charged extra. Anchor HVU2+ HAS U M24x300</t>
  </si>
  <si>
    <t>Suppling, Drilling/Cleaning hole and fixing  make heavy duty ETA Approved  Chemical Anchor of appropriate size and fixing plates subsequently. Anchor comprises of HVU-2 flexible  foil  capsule  that  contains  styrene  free  Urethane  Methacrylate  resin,  hardener, quartz, sand/corundum and HAS-U threaded rod of minimum 5.8 steel grade, galvanized to  minimum  5  microns.  Anchor  should  be  approved  for  cracked  concrete,  seismic  &amp; diamond drill holes. Manufacture should  submit Anchor  Design report  based on  design loads  &amp;  other  parameters  as  provided  by  consultants.  Chemical  anchors  should  be designed  in  accordance  with  EOTA-TR-029  “guidelines  for  anchorage  of  chemical anchors  for  use  in  concrete”  for  approval.  Application  at  site  should  be  done  as  per manufacturer  guidelines.  Any report  submittal with  Installation  pictures  should be  done using CFS-DM Software, which shall be charged extra. Anchor HVU2+ HAS U M30 x 270</t>
  </si>
  <si>
    <t>Ceiling and roofing ( New Item )</t>
  </si>
  <si>
    <t>ACOUSTICAL  WOODWOOL  WALL  PANELLING:  Providing  &amp;  fixing  of  100% Natural  Material- Magnesite  (Hygroscopic  &amp;  biologically sound  binding  agent)  bonded woodwool Heradesign planks of 600Mm*1200Mm *25Mm thickness made out of wood wool  fibre  of  width  1Mm  Fiber  thickness  mixed  with  Natural  water  &amp;  Magnesite  (No- Cement)  with  open  &amp;  smooth  surface  texture,  Weight  of  panel  to  be  11.3  Kg/m2.   A Completly harmless  Envirenment  &amp;  Human  Friendly &amp;  also  a  disposable  or  recyclable Material &amp; can last for more than 80 Years in building interiors As it has long lifespan &amp; suitable for Indoor conditions with relative air humidity of upto 90%. Magnesite protects the wood cells against ageing &amp; fungal attack. To achive upto NRC=1.00 it should be a clear  gap  of  200Mm from  wall slab  along  with  the  backing  of  Mineral  wool of  50mm thick with 64 kg/m3 density. Ecologically Sound Material with high mechanical strength with  Crash  test  of  90Km/H  with  Ball  Impact  Test  DIN18032  &amp;  EN13964  with  flying colors &amp; A sustainable material (PEFC &amp; FSC Certified) along with EPD Certified Acc. to EN ISO 14025 (AUB-Envirenmental Product declaration). Manufacturing tolerance for nominal size: Length, Width &amp; Thickness ± 1 mm, &amp; In a Standard Climate of  23° C and 50%  rel.  humidity.  FIXING  &amp;  SUBSTRUCTURE:  Impact  Resitant  According  to  DIN- 18023 or EN13964 to be Fixed on CD Sections Profile framework with Screw 9Pc/Panel &amp; Centre  Distance  Support  of  300Mm &amp; Centre  distance  of  Cross  Profile  would  be  at 600Mm  &amp;  Main  Profile  at  900Mm  CD  Profile  is  made  out  of  GI(  Sections  Profile 60/27/0.6Mm-0.6MmThick x 60Mm Width x 0.27Mm height). The Main Profile is in the legth of 3000Mm &amp; to form a section of 600mm x 1200mm. Heradesign Superfine panels to be fixed on the wall with a minimum of 200Mm void or gap with Galvanized screws of length 50Mm &amp; Dia 4.5Mm with a backing of Mineral Wool of density 64kg/m3 density (50mm  thick).Colour  Of  Panels  :  NATURAL  BEIGE,  Can  be  Painted  to  the  desired colour (Any- RAL, NCS or StoColor Shades) using water based color by Spray method prior to installation. FIRE CLASS as per EN 13501-1:B –s1, d0. Test Certificates to be submitted.</t>
  </si>
  <si>
    <t>ACOUSTICAL WOODWOOL FALSE CEILING: Providing  &amp; fixing of 100% Natural Material- Magnesite (Hygroscopic &amp; biologically sound binding agent) bonded woodwool Heradesign planks of 600Mm*1200Mm *25Mm thickness made out of wood wool fiber of width 1Mm Fiber thickness mixed with Natural water &amp; Magnesite (No-Cement) with open  &amp;  smooth  surface  texture,  Weight  of  panel  to  be  11.3  Kg/m2.   A  Completely harmless  Environment &amp; Human Friendly &amp; also a disposable or recyclable Material &amp; can last for more than 80 Years in building interiors As it has long lifespan &amp; suitable for Indoor conditions with relative air humidity of upto  90%. Magnesite  protects the  wood cells against ageing &amp; fungal attack. To achieve upto NRC=1.00 it should be a clear gap of 200Mm from wall slab along with the backing of Mineral wool of 50mm thick with 64 kg/m3 density. Ecologically Sound Material with high mechanical strength with Crash test of  90Km/H  with  Ball  Impact  Test  DIN18032  &amp;  EN13964  with  flying  colors  &amp;  A sustainable material (PEFC &amp; FSC Certified) along with EPD Certified Acc. to EN ISO 14025  (AUB-Environmental  Product  declaration).  Manufacturing  tolerance  for  nominal size: Length, Width &amp; Thickness ± 1 mm, &amp; In a Standard Climate of  23° C and 50% rel. humidity.  FIXING &amp; SUBSTRUCTURE: Impact Resistant  According to DIN-18023 or EN13964 to be Fixed on CD Sections Profile framework with Screw 9Pc/Panel &amp; Centre Distance Support of 300Mm &amp; Centre distance of Cross Profile would be at 600Mm &amp; Main  Profile  at  900Mm  CD  Profile  is  made  out  of  GI(  Sections  Profile  60/27/0.6Mm- 0.6MmThick  x  60Mm  Width  x  0.27Mm  height).  The  Main  Profile  is  in  the  length  of 3000mm &amp; to form a section of 600mm x 1200mm. The CD Profile is to be suspended from  soffit  with  the  help  of  nonius  hanger  at  a  center  distance  of  900mm.  UD  Profile 28/27/0.6mm to be fixed on wall at the perimeter of the wall. If the main CD profile needs to extended, it needs to be connected with CD profile connector 60/27. The CD profiles to be  connected  to  each  other  at  the  intersection  by  CD  cross  connector.  Heradesign Superfine panels to be fixed to the ceiling with a minimum of 200mm void or gap with Galvanized  screws  of  length  50Mm &amp; Dia  4.5Mm  with  a  backing  of  Mineral Wool  of density 64kg/m3 density (50mm thick). Colour  pf Panels  : NATURAL BEIGE, Can  be Painted  to  the  desired  colour  (Any- RAL,  NCS  or  StoColor  Shades)  using water  based</t>
  </si>
  <si>
    <r>
      <rPr>
        <sz val="11"/>
        <rFont val="Times New Roman"/>
        <family val="1"/>
      </rPr>
      <t>METAL   FALSE   CEILING   WITHOUT   SUSPENSION   SUPPORT   FROM   TRUE
CEILING:   Providing &amp; fixing horizontal level suspended metal ceilings comprising of Metalworks  F-H  600  Hook-on  corridor  system  manufactured  by  Armstrong  Ceiling Solutions with Rectangular panels made of 0.7mm thick Galvanised Steel (GI) of 120gsm, post  coated  to  Global  White  colour,  suitable  for  Interior  applications  and  architectural finishes,  double  grid  concealed  system  and  butt  joint  panels.  The  panel  width  shall  be 300mm, length ranging from 1500mm to 2660mm. General Specifications:Entire system to  be  designed  for  Interior  applications,  and  concealed  Grid,  Butt  joint  panels.  Panel Specifications:  Material:  The  F-H  600  rectangular  Hook-on  panels  to  be  made  of galvanized steel (GI) of minimum 120gsm hot dipped galvanization (both sides included) as per IS 277 (2003), zero or minimum spangled, in minimum base material thickness of 0.7mm as per in IS:513 (1994). Dimensions: The panel Length varies between 1500mm to 2660mm,  panel  Width  shall  be  300mm.  The  dimensional  tolerances  for  length  shall  be
±1.0m up to 1000mm L; ±1.5mm between 1001 to 2000mm L; ±2.0mm between 2001 to 3000mm  L.  The  dimensional  tolerances  for  width  shall  be  ±0.5m  up  to  300mm  W. Dimensional Tolerances for panel Thickness / panel width / panel length - to be measured in accordance with TAIM standards. Edge detail: the panels shall ha+A3ve Square Edge, with a 3mm(W) x 8mm(H) black foam gasket glued at the edges, typically on one long and  one  short  side.  All  adjacent  panels  shall touch  each  other  forming  a  butt  joint  and concealed grid visuals. Upturns: The short side of the panel shall have vertical upturns of minimum  30mm  (H)  and  shall  be  bent  appropriately  bent  as  per  the  manufacturer’s specifications  for  providing  hook-on  ends.  The  long  side  shall  have  inside  horizontal bends of 5-15mm for rigidity and vertical upturns of 40mm (for length ranging from 1251- 2660mm). Surface Finish: Plain: The panels shall be in plain unperforated finish (without any   acoustical   backing   /   felt).   Colour   and   finishes:   The   panel   surface   shall   be electrostatically  powder  coated  (post  coat)  on  visible  side  after  mechanical  production, using  RoHS  compliant  powder,  to  achieve  coating  thickness  ranging  from  60-80µ  and architectural quality finish. The powder coating shall pass Salt Spray Test for 750 Hours as per ASTM B117, QUV –A Test for 1000hours as per ASTM G-154 – (Cycle – 1) and</t>
    </r>
  </si>
  <si>
    <t>Installation Specifications: Primary and secondary runners Installation: U-Profiles, spaced at 1200mm, to be suspended from ceiling using clamping brackets and threaded rods OR hanger  wires.  Hanger  wires  must  be  wrapped  tightly  with  3  full  wraps.  The  J-Bars (directional)  shall  intersect  the  U-profile  at  90°  at  every  module  dictated  by  the  panel length.  The  J-Bar  is  connected  to  the  U-profile  with  a  J-Bar  hanger  and  secured  to  the matching square U-Profile slots using plug-in clips. Self-tapping screws to be used when square U-Profile slots do not match the hangers. The U-profiles and J-Bars be fastened to two  adjacent  walls  using  the  wall  anchor  and  bolts.  U-Profiles  and  J-bars  to  be  at  a maximum  distance  of  450mm  (max.)  to  a  perimeter  wall  or  outside  edge  of  a  floating module. To join two pieces of continuous U-profiles and J-Bars, a U-Profile splice and J- Bar splice to be used respectively. Panel Installation: Full size metalworks R-H 200 panels (directional) to be hooked on to the J-Bars (in accordance with the shop drawings) along the  short  side  (typical)  to  cover  the  span  /  width  of  the  corridor.  Field-cut  Panels: Perimeter  panels  that  require  field  cutting  to  fit  on  a  wall  trim  option  must  have  a minimum  of  12mm  edge  resting  on  the  horizontal  surface  of  the  wall  moldings.  Wall Moldings: 19x19 wall angle to be fastened to the perimeter using screws, at every 450mm to  600mm  L.  Warranty:  The  Tile  &amp;  Grid  system  used  together  shall  carry  a  10  year warranty  against   manufacturing   defect   and   manufacturer   shall   provide   a   warranty certificate.  The  Tile &amp; Grid shall have the  manufacturers name  embossed/printed  on  it. The supply shall be backed by a Manufacturing Test Certificate.</t>
  </si>
  <si>
    <r>
      <rPr>
        <sz val="11"/>
        <rFont val="Times New Roman"/>
        <family val="1"/>
      </rPr>
      <t>METAL BAFFLE CEILING : Providing &amp; fixing  of horizontal  level suspended  ceiling comprising  of  Vertical  Linear  Baffle  Ceiling  made  out  of  Aluminum  Extrusion  in Aluminum alloy grade 6063 T5. The baffle blade shall be in size of 100x25x3600mm in powder coated to Woodgrain/Plain finish (Red Oak, Cherry, Black &amp; White).. The baffle shall be electrostatically polyester powder coated to a coating thickness of 60-80 micron. The powder coating shall pass Salt Spray Test for 750 Hours as per ASTM B117, QUV
–A  Test  for  1000hours  as  per  ASTM  G-154  –  (Cycle  –  1)  and  Humidity  test  for 1000hours as per DIN 50017. The powder coating shall have an adhesion of GT0 as per EN ISO 2409. The shade variation within a manufacturing batch shall be delta E&lt;1 using Excite/BYK  Gardner  instrument  and  gloss  level  25±5  at  60˚  as  per  ASTM  D523  (Not applicable of Wood Grain  Shade). The  baffle blade  shall be  suspended using  Slotted U- profile  of  20  x  30  x  3700mm  (Thk-1.5mm)  having  slots  in  module  of  25mm  to  keep baffles  at  an  on-center  spacing  in  multiples  of  25mm.  Longer  lengths  of  Baffle  to  be connected by Baffle Joiner and the ends to be fixed with End caps..SUSPENSION: Shall be  hanged  using  baffle  hanger  from  U-profile  made  of  mild  steel  with  powder  coating thickness of 60-80 micron. The U – profile to comprise of alternate square &amp; rectangular slots  of 6.5x6.5mm &amp; 28x6.5mm respectively on  the web  for locking  the baffle  hanger using  plugin  clip  to  secure  the  hanger  in  perfect  position  and  achieve  uniform  spacing between baffles. The overall dimension of the U – profile is 20(W) x 30(H) x 3750(L) mm and  is  rolled  form from 1.5mm thick  mild  steel with  a  powder  coating  thickness  of  60- 80micron. U- Profile to be connected to each other using U –Profile Splice. The U- profile shall be hanged from the true ceiling using threaded rod using a U- Profile hanger. The Baffle along with suspension system used together shall carry a 10 year warranty against manufacturing  defect  and  manufacturer  shall provide  a  warranty certificate.  The  supply shall be backed by a Manufacturing Test Certificate.</t>
    </r>
  </si>
  <si>
    <t>INSTALLATION:   Installation  of  U-Grid:  The  U  profile  to  be  suspended  at  every 1200mm  center  to  center  using  6mm  threaded  rod  from  the  structural  soffit  using  U- profile  hanger.  U-profile  splice  to  be  used  to  join  more  than  one  U  profiles  of  length 3.7M. 1st U-Grid Channel must be no more than 400mm from the perimeter. Installation of  Baffles:   Locate  the  slot  for  Baffle Hangers  in U  Profile section  at 1200mm centers. Hangers are inserted into the slot, then rotated 90° and fixed into position by tightening the grub screw. Baffle to  be lifted  into position  and hangers  engage over  lip of  U-Grid Channel. Each Hanger to be secured into position by inserting the Locking Clip.  When doing  continuous  installation,  Baffles  blades  are  to  be  connected  at  ends  with  Baffle Joiner,  which are  inserted into  the top  and bottom slots of  the Baffle  closed profile  for alignment only. The bottom Joiner to be located first and fastened on one side only. The top Joiner to be fitted then and secured with grub screws on one side. Then the two Baffle sections shall be joined and the top Joiner is screw fastened on the 2nd Baffle profile. End Caps  to  be  located  by pushing  the  End  Cap  tongues  into  open  Baffle slots.  Installation should be carried out as per Manufacturer recommended procedure.</t>
  </si>
  <si>
    <t>METAL  OPEN  CELL  CEILING  :  Providing  &amp;  fixing  horizontal  level  Open  cell Aluminium   lay-in   ceiling   tiles   with   border   panels   forming   board   edge   of   size 600x600x38mm  (Nominal)  having  cell  size  of  100x100mm  made  of  AA-3003-H14 (Tempered) grade Aluminium suitable for architectural finishes  in 0.35mm thickness  as per in IS:2676 (1981) in Global white color. The tile shall be electrostatically polyester powder coated using RoHS compliant powder having coating thickness ranging from 60- 80 microns. The powder coating shall pass Salt Spray Test for 750 hours as per ASTM B117, QUV –A Test for 1000 hours as per ASTM G-154 – (Cycle – 1) and Humidity test for 1000 hours as per DIN 50017. The powder coating shall have an adhesion of GT0 as per  EN  ISO  2409.  The  shade  variation   across   batches   shall  be  delta  E&lt;1  using Excite/BYK Gardner instrument and gloss level of 25±5% at 60˚ as per ASTM D523. Tile shall have a Fire Performance class A as per GB 8624-2012. SUSPENSION: The tile shall be laid on 15 mm wide T - section flanges colour global white (matching to tile colour) having double stroke rotary stitching on all T sections i.e. the Main Runner, 1200 mm &amp; 600 mm Cross Tees with a web height of 38mm (all sections). The deflection loading of the system shall be 12.5 kg/m2 (as per standard installation layout mentioned below) and main beam tested as per ASTM C635 (Deflection limit less than L/360) with a deflection loading of 15kg/m. The end details of the cross tee shall be made of pre hardened steel clip  fixed  to  the  ends  of  the  cross  tee  to  provide  double  locking  between  “cross  tee  to cross  tee” and “cross tee to main beam”. All main beam to main beam and cross tee to cross  tee connection shall have a pull out strength of more than 100kg. The T  Sections shall  be  made  of  hot  dipped  galvanized  steel  90  gsm  and  pre-painted  steel  with  baked polyester paint of 0T  bending capability.   , The  Tile &amp; Grid system used together  shall carry a 10 year warranty against  manufacturing defect and manufacturer shall provide a warranty certificate. The Tile &amp; Grid shall have the manufacturers name embossed/printed on it. The supply shall be backed by a Manufacturing Test Certificate. INSTALLATION: To comprise main runner spaced at 1200mm securely fixed to the structural soffit using suspension   system   (specifications   below)   at   1200mm   maximum.   The   First/Last suspension system at the end of each main runner shall not be greater than 450mm from</t>
  </si>
  <si>
    <r>
      <rPr>
        <sz val="11"/>
        <rFont val="Times New Roman"/>
        <family val="1"/>
      </rPr>
      <t xml:space="preserve">ACOUSTICAL  GLASS  FIBRE   FALSE  CEILING  BLADES  :  Providing  and  Fixing
Acoustical blade which are 40 mm thick, flat glass fibre panels  with Humidity Resistance RH  90%,  with  factory fitted  embedded  metal  insert  with  ¼”  –  20  threading  for  fixing cable adjuster for hanging application. Acoustical blades shall have sizes of 200x1200mm, 200x1600mm,     400x1200mm,     400x1600mm,     400x1800mm,     500x1200mm     or 500x1600mm with both side laminated scrim finished with uniform water based paint on all  surface  (including  edges).  Acoustical  performance  of  0.65  NRC(for  400mm  high  x 40mm  thick  baffles  with  400mm  on  centre  distance  and  overall  depth  of  construction 1000mm) as per ASTM C-423 (Average value of Absorption Co-efficient readings taken at 250 Hz, 500 Hz, 1000 Hz and 2000 Hz) in standard White color with Light reflectance 87%  or  in  the  color  specified  by the  Architect  (Shell  /  Tangerine  /  Cranberry /  Moss  / Kiwi / Reef / Lagoon), Fire Performance Class B2 – s1, d0 as per EN 13501-1 .The blade shall be made of Glass fibre panel with density of 110-120 Kg/ m3. SUSPENSION: The panel shall be hung using hanging kit comprising of griper structure anchor &amp; cap of dia 20mm, spring loaded bottom end cable adjuster of dia. 9mm and 2.4m long aircraft cable of   1/16”  dia.   The  Blade  along  with  suspension  system  shall  carry  a  1  year  warranty against  manufacturing defect and manufacturer shall provide a warranty certificate.  The supply shall be backed by a Manufacturing Test Certificate.  </t>
    </r>
  </si>
  <si>
    <r>
      <rPr>
        <sz val="11"/>
        <rFont val="Times New Roman"/>
        <family val="1"/>
      </rPr>
      <t>Suspension System Details   Components   1) Griper  structure  anchor  2) Gripper  anchor cap  3)  Cable  adjuster  4)  Aircraft  Cable  Cable  adjuster  Spring  loaded  bottom end  cable adjuster  of  dia.  9mm  and  45mm  long  Aircraft  cable  Material  Galvanized  Steel  Aircraft cable  dimension  1/16”   Ø  x  2.4m  Tolerance  ±1mm.  INSTALLATION:  Hanger  Wire Attachment  to  Structure:  Attach  the  gripper  structure  anchor  to  the  structure  with  an appropriate fastener (1/4"-20 Threading) that will carry the full weight of the blades. Insert the end of the cable into the gripper anchor cap. Screw the gripper anchor cap completely into the gripper structure anchor. Insert Suspension Cables:  The panel is to be suspended using the aircraft cables which are suspended from the soffit using the gripper structure anchors  and its other end passing  through the  bottom end  cable adjuster.  The height  &amp; level of the panels can be adjusted using the bottom end cable adjusters.
Suspension of Blade: Locate the two factory fitted female inserts on the blades. Suspend the  Blades  by  screwing  the  bottom  end  of  the  cable  adjuster  into  the  female  inserts. Installation should be carried out as per Manufacturer recommended procedure.</t>
    </r>
  </si>
  <si>
    <r>
      <rPr>
        <sz val="11"/>
        <rFont val="Times New Roman"/>
        <family val="1"/>
      </rPr>
      <t xml:space="preserve">ACOUSTICAL GLASS FIBRE  FALSE CEILING CLOUDS &amp; SHAPES : Providing and
Fixing Acoustical Clouds/Shapes - Acoustical clouds which are 30 mm thick, flat  glass fibre panels of Humidity Resistance  RH 95%, with embedded frame made of aluminium extruded section of  38X10mm of grade 6063-T6 as per dimension mentioned in below table  for  reinforcement  and  secured  hanging.  Embedded  extrusion  shall  have  grub  slot with pre inserted nut for group hanging and connected using Aluminium die casted corner connector with ¼” – 20 threading for hanging using cable adjuster for independent clouds. The  form of  Acoustical Clouds/Shapes  - shall be Square  / Convex  / Concave  / Circle  / Hexagon  /  Trapezoid  /  Parallelogram  (Left  &amp;  Right)  /  Rectangle  (Small  &amp;  Large)   in standard Traffic White color with light reflectance 90% as per ASTM 1477-98 or in the color specified by the Architect / Engineer in charge (Shell / Tangerine / Cranberry / Moss
/ Kiwi / Reef / Lagoon). The Acoustical Clouds/Shapes shall be made of Glass fibre panel with density of 110-120 Kgs/m3 along with acoustical sound absorbing scrim on the face to achieve sound absorption as per below mentioned table in accordance to EN ISO 354
:2003  (average  of  500-4000Hz)  .  The  face  and  edges  shall  be  finished  with  matching water based texture paint. Shape Nominal Size and Sound Absorption – Metric Sabin
1.  Square  1170x1170mm  -  2.48  Metric  Sabin  2.  Convex  1170x1140mm  2.28  Metric Sabin 3. Concave 1170x1140mm 1.94 Metric Sabin 4. Circle 1170 Dia. 2.12 Metric Sabin
5.  Hexagon  1170x1010mm 1.61  Metric Sabin  6. Trapezoid  1170x1170mm 2.15  Metric Sabin  7.  Left  Parallelogram  1170x1170mm  2.15  Metric  Sabin  8.  Right  Parallelogram 1170x1170mm 2.15 Metric Sabin.The panel shall be hung as per the following based on the installation. Individual Suspension - The panel shall be hung using deck hanging kit comprising of griper structure anchor &amp; cap of dia. 20mm, spring loaded bottom end cable adjuster of dia. 9mm and 2.4m long aircraft cable of  1/16” dia. The One Number of deck hanger will be as per Table 1 above.  </t>
    </r>
  </si>
  <si>
    <t>The Acoustical Clouds/Shapes shall carry a 1 year warranty against manufacturing defect and  supported  by a  manufacturer  warranty certificate.  The  supply shall be  backed  by a Manufacturing  Test  Certificate.  Suspension  System  Details  Components   1)  Griper structure anchor, 2) Gripper anchor cap 3) Cable adjuster 4) Aircraft Cable Cable adjuster Spring  loaded  bottom  end  cable  adjuster  of  dia.  9mm  and  45mm  long  Aircraft  cable Material  Galvanized  Steel  Aircraft  cable  dimension  1/16”   Ø  x  2.4m  Tolerance  ±1mm INSTALLATION: Individual Suspension. The panels to be suspended individually using the Acoustical Clouds/Shapes Deck hanging kit as per the One Number specified in above Table 1. Hanger Wire Attachment to Structure: Attach the gripper structure anchor to the true  ceiling  using  an  appropriate  fastener  (1/4"-20  Threading)  that  will  carry  the  full weight  of the panels. Insert the end of the cable into the gripper anchor cap. Screw the gripper anchor cap completely into the gripper structure anchor.The panel to be suspended using  the  aircraft  cables   from  the  soffit  by fixing  the  cap  end  of  the  cable  to   gripper structure anchors and the  other end passing through the bottom end cable adjuster. The height &amp; level of the panels can be adjusted using the bottom end cable adjusters.Suspend the  Acoustical  Clouds/Shapes  by  locating  and  screwing  the  bottom  end  of  the  cable adjuster  into  the  threading  of  the  connector.  The  height  &amp;  level  of  the  panels  can  be adjusted using the bottom end cable adjusters.</t>
  </si>
  <si>
    <r>
      <rPr>
        <sz val="11"/>
        <rFont val="Times New Roman"/>
        <family val="1"/>
      </rPr>
      <t>CUSTOM PRINTED ACOUSTICAL  FALSE CEILING :Providing &amp; Fixing of Custom color  Printed  Mineral  Fibre  Acoustical  Suspended  Ceiling  System  with  19mm  thick Microlook 90 Edge Tiles with 15mm face exposed grid. The tiles shall have smooth bright laminated  visual  with  Humidity  Resistance  (RH)  of  99%,  NRC  0.7  (Average  value  of Absorption Co-efficient readings taken at 250 Hz, 500 Hz, 1000 Hz and 2000 Hz) as per ASTM C423 standard, CAC of 41db as per ASTM E1414, Light Reflectance ≥87% as per ASTM  E-1477,  Thermal Conductivity k  =  0.045  - 0.048  W/mK,  Colour  Global White, Fire Performance of Class 0/1 as per BS 476 Part6/7 and Class A as per ASTM E 84 with 19mm  Square  Tegular/Microlook  90˚  edge  and  8mm  drop  in  module  size  of  600  x 600mm. The scrim on the face of the tile shall be cleanable, soil and scratch resistant and having superior scrub-ability (Gardner Test). The tiles shall be classified as ISO 14644-1 cleanroom  class  5.  The  tile  shall  have  a  rating  of  8  or  above  for  tests  conducted  for Resistance  to  growth  of  Mold  in  accordance  to  ASTM  D3273.  It  shall  be  suitable  for Green   Building   application,   with   Recycled   content   of   36%.   The   tile   shall   have certifications  from  GRIHA  and  GreenPro  thereby confirming  that  it  is  an  environment friendly product. SUSPENSION: The tile shall be laid on with 15 mm wide T - section flanges  colour  global  white  (matching  to  tile  color)  having  roll  formed  double  stroke rotary stitching on all T sections i.e. the Main Runner, 1200 mm &amp; 600 mm Cross Tees with a web height of 38mm (all sections). The deflection loading of the system shall be
12.5 kg/m2 (as per standard installation layout mentioned below) and main beam tested as per ASTM C635 (Deflection limit less than L/360) with a deflection loading of 15kg/m. The end details of the cross tee shall be made of pre hardened steel and fixed to the ends of the cross tee to provide double locking between “cross tee to cross tee” and “cross tee to main beam”. All main beam to main beam and cross tee to cross tee connection shall have a pull out strength of more than 100kg. The T Sections shall be made of hot dipped galvanized steel of 90 gsm as per IS 277 (2003) and pre-painted steel with baked polyester paint with 0T bending capability. All border cross tee/main beam shall be levelled using perimeter fill.</t>
    </r>
  </si>
  <si>
    <r>
      <rPr>
        <sz val="11"/>
        <rFont val="Times New Roman"/>
        <family val="1"/>
      </rPr>
      <t>INSTALLATION:  To  comprise  main  runner  spaced  at  1200mm  securely  fixed  to  the structural  soffit  using  suspension  system  (specifications  above)  at  1200mm  maximum. The First/Last suspension system at the end of each main runner shall not be greater than 450mm from the adjacent wall along with the first and the last main beam shall be at less than  600mm  from  the  wall.  Flush  fitting  1200mm  long  cross  tees  to  be  interlocked between main runners at 600mm to form 1200 x 600 mm module.  Cut cross tees longer than 600mm require independent support. 600 x 600mm module to be formed by fitting 600mm long flush fitting cross tees centrally between the 1200 mm cross tees. Perimeter trim to be wall angles of size 3000x19x19mm, secured to walls using screws at 450mm centre   to   centre   maximum.    Installation   shall  be   carried   out   as   per   Manufacturer recommended procedure.  SUSPENSION SYSTEM accessories supplied by Manufacturer consisting of M6 Anchor Fasteners with hanger hole, pre-straightened hanger wire of dia
–  2.5  mm of  1.80  m  length  having  a  tensile  strength  of  344-413  MPa  and  a  minimum loading  strength  of  110  kgs.  (Optionally,  adjustable  hook  clips  made  of  0.7mm  thick Grade 1 C55 galvanized spring steel of dimension 100 x 20mm and 4 mm aquiline wire to be used for level adjustment during installation purpose in main runners)..</t>
    </r>
  </si>
  <si>
    <r>
      <rPr>
        <sz val="11"/>
        <rFont val="Times New Roman"/>
        <family val="1"/>
      </rPr>
      <t>PRIVIDING  AND  FIXING  METAL  WALL  PANELLING:  W-H  1100  Hook-on  wall
cladding system manufactured by Armstrong  Ceiling Solutions  with Rectangular  panels made of 1.0mm thick Galvanised Steel (GI) of 120gsm, post coated to wood grain finish, suitable for Interior applications and architectural finishes, wall mounted concealed grid system  and  butt  joint  panels.  The  panel  width  shall  be  495mm,  length  ranging  from 300mm to 1195mm.
General Specifications: Entire system to be designed in accordance with EN 13964 and TAIM  e.V.  quality  guidelines  suitable  for  Green  Building  Application  for  Interior applications, and concealed Grid, Butt joint panels.Panel Specifications: Material: The W- H  1100  rectangular  Hook-on  panels  to  be  made  of  galvanized  steel  (GI)  of  minimum 120gsm  hot  dipped  galvanization  (both  sides  included)  as  per  IS  277  (2003),  zero  or minimum spangled, in minimum base material thickness of 1.0mm as per in IS:513 (1994) Dimensions:  The  panel  Length  varies  between  300mm  to  1195mm,  panel  Width  is 495mm. The dimensional tolerances for length shall be ±1.0m up to 1000mm L; ±2.0mm between 1001 to 2000mm L;. The dimensional tolerances for width shall be ±0.75m up to 600mm W;. Dimensional Tolerances for panel Thickness / panel width / panel length - to be  measured  in  accordance  with  TAIM  standards.  Edge  detail:  The  panels  shall  have Square Edge, with a 5mm(W) x 8mm(H) black foam gasket glued at the edges, typically on one long and one short side. All adjacent panels shall touch each other forming a butt joint and concealed grid visuals. Upturns: The hook side of the panel shall have vertical upturns   of  minimum  30mm  (H)  and  shall  be  bent   appropriately  bent   as  per  the manufacturer’s specifications for providing hook-on ends. The long side shall have inside horizontal  bends  of  around  10mm  for  rigidity  and  vertical  upturns  of  30mm.Surface Finish: Plain / Perforated: The panels shall be in plain or perforated finish with acoustical backing  /  felt.  Colour  and  finishes:  The  panel  surface  shall  be  electrostatically  powder coated  (post  coat)  on  visible  side  after  mechanical  production,  using  RoHS  compliant powder,  to  achieve  coating  thickness  ranging  from  60-100µ  and  architectural  quality finish.  The  shade  variation  across  batches  shall  be  delta  E  (∆e)  &lt;1  measured  using Excite/BYK Gardner instrument and gloss level of 25±5% at 60˚ as per ASTM D523. The</t>
    </r>
  </si>
  <si>
    <r>
      <rPr>
        <sz val="11"/>
        <rFont val="Times New Roman"/>
        <family val="1"/>
      </rPr>
      <t>PRIVIDING    AND    FIXING    MODULAR    ACOUCTICAL    WOODEN    WALL
PANELLING:  Of  nominal  width  100  /  150mm,  having  80mm  wide  panel  with  20mm reveal  having  a  thickness  of  15mm  thickness  and  length  2400  mm.  The  panel shall  be made  of  a  Moisture  resistant  fibre  board  substrate  having  a  minimum  density  of  595 Kg/m3 with a laminated facing as per the approved shade (Portland  Maple, Sea  Beech, Siam Wood &amp; Mystique Walnut) and a melamine balancing layer on the reverse side. The panel shall have 0.7mm PVC edge banding along the length side with a similar finish as that of the face. The back of the panel shall have a black acoustic felt to cover the reveal of 20mm to attain an NRC of 0.4 for 150mm. / 0.5 for 100mm. module (Average value of Absorption Co-efficient readings taken at 250 Hz, 500 Hz, 1000 Hz and 2000 Hz) as per ASTM C423. The panels shall provide a Humidity Resistance (RH) of 70% with camber limit  less  than  1mm/1000mm  and  bow  less  than  1mm/300mm.  The  back  of  the  panels shall  be  profile-grooved  to  receive  3600mm  special  main  beam  carrier  with  integrated factory fitted clips for installation. SUSPENSION: The panels shall be upward mounted on 24 mm wide T - section flanges having rotary stitching along the length of the beam with a web height of 43mm. The Main Beam shall have integrated (factory fitted) locking clips  installed  at  100  /  150mm  centre  to  centre  distance.  The  deflection  loading  of  the main beam tested as per ASTM C635 (Deflection limit less than L/360) shall be at least 21.4kg/m. The end details of the main beam shall be made of pre hardened steel and fixed to the ends with 3 point fixing. All main beam to main beam connection shall have a pull out strength of more than 100kg. The T Sections shall be made of hot dipped galvanized steel  of  100  gsm as  per IS  277 (2003)  and pre-painted  steel with  baked polyester  paint with  0T  bending  capability.  Installation  should  be  carried  out  as  per  Manufacturer recommended   procedure.   The   grid   shall   be   installed   with   suspension   system   of Manufacturer make.</t>
    </r>
  </si>
  <si>
    <r>
      <rPr>
        <sz val="11"/>
        <rFont val="Times New Roman"/>
        <family val="1"/>
      </rPr>
      <t>The panel &amp; grid system used together shall carry a 1 year warranty against manufacturing defect and manufacturer shall provide a warranty certificate. The panel &amp; grid shall have the  manufacturers  name  embossed/printed  on  itself.  The  supply  shall  be  backed  by  a Manufacturer Test Certificate. CEILING INSTALLATION:
Perimeter  trim  to  be  wall  angles  of  size  3000x19x19mm,  secured  to  walls  at  450  mm maximum  centre  to  centre.  Mount  the  wall  angle  around  perimeter  at  desired  height. Install the main beam with factory fitted locking clip at a level 16mm above the wall angle level. Main beam to be supported from the structure with 1st suspension not more than 300mm from the wall and distance between suspensions to be less than 900mm centre to centre. Each main beam are to be place at 600mm centre to centre with the 1st main beam at  not  more  than  100mm  from  the  wall.  Install  the  panels  one-by-one  by  inserting  the profile-groove at the back of the panel in the clips fitted on the main beam. Use a wood splice  accessory  provided  by  Manufacturer  to  join  planks.  Continue  installing  rows  of planks till the actual length/width is achieved. Place the border panels on the wall angles for a finished visual. Finish the edges using the edge banding tape to cover the cut edge of the panel provided by Manufacturer.</t>
    </r>
  </si>
  <si>
    <r>
      <rPr>
        <sz val="11"/>
        <rFont val="Times New Roman"/>
        <family val="1"/>
      </rPr>
      <t>SUSPENSION   SYSTEM   accessories   manufactured   and   supplied   by   Manufacturer consisting of M6 Anchor Fasteners with hanger hole, pre straightened Hanger wire of dia
–  2.5  mm of  1.80  m  length  having  a  tensile  strength  of  344-413  MPa  and  a  minimum loading  strength  of  110  kgs.  Additionally,  adjustable  hook  clips  made  of  0.7mm  thick Grade 1 C55 galvanized spring steel of dimension 100 x 20mm and 4 mm aquiline wire to be used for level adjustment during installation purpose in main runners.
WALL   INSTALLATION:   An   appropriate   vapour   barrier   (by   others)   shall   be applied/installed  on  the  vertical  surface  before  the  installation  to  properly  seal  against entry of any moisture. Vapour barrier (by others) shall be installed as per Manufacturer’s recommendation. Install wooden battens (provided by others) of section 50x50mm or as approved by the Architect on the solid wall horizontally using screws and plugs at spacing of 600mm centre to centre in plumb line &amp; level. Install the main beam with factory fitted locking clips to the battens using rigid mounting clip. Main beam to be fixed to the batten with  1st  rigid  mounting  clip  not  more  than  300mm  from  the  perimeter  and  distance between the clips to be less than 900mm c/c. Each main beam are to be place at 600mm centre  to  centre  with  the  1st  main  beam  at  not  more  than  100mm  from  the  perimeter. Install the panels one-by-one by inserting the profile groove at the back of the panel in the clips  fitted  on  the  main  beam. Use  wood splice  accessory provided  by Manufacturer  to join  planks.  Continue  installing  rows  of  planks  till  the  actual  length/width  is  achieved. Finish the edges using the edge banding tape to cover the cut edge of the panel provided by Manufacturer.</t>
    </r>
  </si>
  <si>
    <t>FACETED/CURVED   INSTALLATION:   Perimeter   trim  to   be  wall   angles   of   size 3000x19x19mm, secured to walls at 450 mm maximum centre to centre. Mount the wall angle around perimeter at desired height. Install the main beam with factory fitted locking clip  at  a  level  16mm  above  the  wall  angle  level.  Main  beam  to  be  supported  from  the structure with 1st suspension not more than 300mm from the wall and distance between suspensions to be less than 900mm centre to centre. Each main beam are to be place at 600mm centre to centre with the 1st main beam at not more than 100mm from the wall An appropriate  vapour  barrier  (by  others)  shall  be  applied/installed  on  the  vertical  surface before the installation to properly seal against entry of any moisture. Vapour barrier (by others) shall be installed as per Manufacturer’s recommendation.  Install wooden battens (provided by others) of section 50x50mm or as approved by the Architect on the solid wall horizontally using screws and plugs at spacing of 600mm centre-to-centre in plumb line &amp; level. To bend the carrier directly, a curve, as specified by the Architect, should be drawn on an appropriate background material like plywood. Carrier should be partially cut and fixed with faceted joining clip provided by Manufacturer to maintain the curve. Ceiling side of the carrier should be suspended by hanger wire  in continuation  with the  ceiling carriers. These carriers should be installed vertically on the wall spaced at 600mm centre to centre. Install the panels one-by-one by inserting the profile-groove at the back of the panel  in  the  clips  fitted  on  the  main  beam.  Use  wood  splice  accessory  provided  by Manufacturer to join planks. Continue installing rows of planks till the actual length/width is  achieved.  Finish  the  edges  using  the Edge  banding tape  to cover  the cut  edge of  the panel provided by Manufacturer.</t>
  </si>
  <si>
    <r>
      <rPr>
        <sz val="11"/>
        <rFont val="Times New Roman"/>
        <family val="1"/>
      </rPr>
      <t>PRIVIDING   AND   FIXING   ANTIMICROBIAL   ACOUSTICAL   FALSE   CEILING:
Bioguard Mineral Fibre Acoustical Suspended Ceiling System with 19mm thick Acoustics Microlook 90 Edge Tiles with 15mm face exposed grid. The tiles shall have smooth bright laminated  visual  with  Humidity  Resistance  (RH)  of  99%,  NRC  0.7  (Average  value  of Absorption Co-efficient readings taken at 250 Hz, 500 Hz, 1000 Hz and 2000 Hz) as per ASTM C423 standard, CAC of 41db as per ASTM E1414, Light Reflectance ≥87% as per ASTM  E-1477,  Thermal Conductivity k  =  0.052  - 0.057  W/mK,  Colour  Global White, Fire Performance of Class 0/1 as per BS 476 Part6/7 and Class A as per ASTM E 84  with 19mm  Square  Tegular/Microlook  90˚  edge  and  8mm  drop  in  module  size  of  600  x 600mm./ 600x1200mm. The scrim on the face of the tile shall be cleanable, washable up to 500 cycle as per ASTM D-4828 and resistant to disinfectants. The tile shall be treated with Anti Microbial coating on the face of the tile to achieve cleanroom classification of class  5  (Class  100)  as  per  ISO  14644-1  and  suitable  for   zone  4  area  having  partical emission  under  normal  conditions  of  ISO  5,  Decontamination  Class  of  CP10  and Bacteriological Cleanliness Class B1 for specific strains as per NF S 90-35:2003 The tile shall have a rating of 8 or above (face) for tests conducted  for Resistance  to growth  of Mold in accordance to ASTM D3273. It shall be suitable for Green Building application, with  Recycled  content  of  35%  having  VOC  and  Formaldehyde  emission  rate  less  than 0.1mg/m2/hr.  The  tile  shall  have  certifications  from  GRIHA  and  GreenPro  thereby confirming  that  it  is  an  environment  friendly product.  SUSPENSION:  The  tile  shall  be laid on 15 mm wide T - section flanges colour global white (matching to tile color) having roll formed double stroke rotary stitching on all T sections i.e. the Main Runner, 1200 mm &amp; 600 mm Cross Tees with a web height of 38mm (all sections). The deflection loading of the system shall be 12.5 kg/m2 (as per standard installation  layout mentioned below) and  main  beam  tested  as  per  ASTM  C635  (Deflection  limit  less  than  L/360)  with  a deflection loading of 15kg/m.</t>
    </r>
  </si>
  <si>
    <r>
      <rPr>
        <sz val="11"/>
        <rFont val="Times New Roman"/>
        <family val="1"/>
      </rPr>
      <t>The end details of the cross tee shall be made of pre hardened steel and fixed to the ends of the cross tee to provide double locking between “cross tee to cross tee” and “cross tee to main beam”. All main beam to main beam and cross tee to cross tee connection shall have a pull out strength of more than 100kg. The T Sections shall be made of hot dipped galvanized steel of 90 gsm as per IS 277 (2003) and pre-painted steel with baked polyester paint with 0T bending capability. All border cross tee/main beam shall be levelled using perimeter  fill.  INSTALLATION:  To  comprise  main  runner  spaced  at  1200mm  securely fixed to the  structural soffit  using suspension  system (specifications  above) at  1200mm maximum. The First/Last suspension system at the end of each main runner shall not be greater than 450mm from the adjacent  wall along with the first and the last main beam shall  be  at less  than 600mm from the  wall. Flush  fitting 1200mm long cross  tees to  be interlocked between main runners at 600mm to form 1200 x 600 mm module.  Cut cross tees longer than 600mm require independent support. 600 x 600mm module to be formed by fitting 600mm long flush fitting cross tees centrally between the 1200 mm cross tees. Perimeter trim to be wall angles of size 3000x19x19mm, secured to walls using screws at 450mm centre to centre maximum.  Installation shall be carried out as per Manufacturer recommended procedure. SUSPENSION SYSTEM accessories supplied by Manufacturer consisting of M6 Anchor Fasteners with hanger hole, pre-straightened hanger wire of dia
–  2.5  mm of  1.80  m  length  having  a  tensile  strength  of  344-413  MPa  and  a  minimum loading  strength  of  110  kgs.  (Optionally,  adjustable  hook  clips  made  of  0.7mm  thick Grade 1 C55 galvanized spring steel of dimension 100 x 20mm and 4 mm aquiline wire to be used for level adjustment during installation purpose in main runners).</t>
    </r>
  </si>
  <si>
    <r>
      <rPr>
        <sz val="11"/>
        <rFont val="Times New Roman"/>
        <family val="1"/>
      </rPr>
      <t>PRIVIDING AND FIXING ACOUSTICAL  FALSE CEILING WITH 0.7 NRC:  Sierra
Mineral  Fibre  Acoustical  Suspended  Ceiling  System with  13mm thick  Microlook  Edge Tiles  with   15mm face exposed  grid. The  tiles shall have smooth  laminated salt  pepper visual with Humidity Resistance (RH) of 95%, NRC 0.7 (Average value of Absorption Co- efficient readings taken at 250 Hz, 500 Hz, 1000 Hz and 2000 Hz) as per ASTM C423 standard, CAC of 28db as  per ASTM  E1414, Light  Reflectance ≥85%  as per  ASTM E- 1477, Thermal Conductivity λ = 0.037W/mK, Colour Global White, Fire Performance of class A2-s1, d0 according to EN 13501-1 with 13mm Microlook edge and 8mm drop in module size of 600 x 600mm. The scrim on the face of the tile shall be cleanable. The tiles shall  be  classified  as  ISO  14644-1  cleanroom  class  5.  It  shall  be  suitable  for  Green Building  application,  with  Recycled  content  of  60%.  The  tile  shall  have  certifications from GRIHA and GreenPro thereby confirming that it is an environment friendly product. SUSPENSION: The tile shall be laid on  15 mm wide T  - section  flanges colour  global white (matching to tile color) having roll formed double stroke rotary stitching on all T sections  i.e.  the  Main  Runner,  1200  mm  &amp;  600  mm  Cross  Tees  with  a  web  height  of 38mm  (all  sections).  The  deflection  loading  of  the  system  shall  be  12.5  kg/m2  (as  per standard installation layout mentioned below) and main beam tested as per ASTM C635 (Deflection limit less than L/360) with a deflection loading of 15kg/m. The end details of the cross tee shall be made of pre hardened steel and fixed to the ends of the cross tee to provide double locking between “cross tee to cross tee” and “cross tee to main beam”. All main  beam  to  main  beam  and  cross  tee  to  cross  tee  connection  shall  have  a  pull  out strength of more than 100kg. The T Sections shall be made of hot dipped galvanized steel of 90 gsm as per IS 277 (2003) and pre-painted steel with baked polyester paint with 0T bending capability. All border cross tee/main beam shall be levelled using perimeter fill. The   Tile   &amp;   Grid   system   used   together   shall   carry   a   10   year   warranty   against manufacturing  defect  and  manufacturer shall provide a  warranty certificate.  The Tile  &amp; Grid  shall  have  the  manufacturers  name  embossed/printed  on  it.  The  supply  shall  be backed by a Manufacturing Test Certificate.</t>
    </r>
  </si>
  <si>
    <r>
      <rPr>
        <sz val="11"/>
        <rFont val="Times New Roman"/>
        <family val="1"/>
      </rPr>
      <t>INSTALLATION:  To  comprise  main  runner  spaced  at  1200mm  securely  fixed  to  the structural  soffit  using  suspension  system  (specifications  above)  at  1200mm  maximum. The First/Last suspension system at the end of each main runner shall not be greater than 450mm from the adjacent wall along with the first and the last main beam shall be at less than  600mm  from  the  wall.  Flush  fitting  1200mm  long  cross  tees  to  be  interlocked between main runners at 600mm to form 1200 x 600 mm module.  Cut cross tees longer than 600mm require independent support. 600 x 600mm module to be formed by fitting 600mm long flush fitting cross tees centrally between the 1200 mm cross tees. Perimeter trim to be wall angles of size 3000x19x19mm, secured to walls using screws at 450mm centre   to   centre   maximum.   Installation   shall   be   carried   out   as   per   Manufacturer recommended procedure. SUSPENSION SYSTEM accessories supplied by Manufacturer consisting of M6 Anchor Fasteners with hanger hole, pre-straightened hanger wire of dia
–  2.5  mm of  1.80  m  length  having  a  tensile  strength  of  344-413  MPa  and  a  minimum loading  strength  of  110  kgs.  (Optionally,  adjustable  hook  clips  made  of  0.7mm  thick Grade 1 C55 galvanized spring steel of dimension 100 x 20mm and 4 mm aquiline wire to be used for level adjustment during installation purpose in main runners).</t>
    </r>
  </si>
  <si>
    <r>
      <rPr>
        <sz val="11"/>
        <rFont val="Times New Roman"/>
        <family val="1"/>
      </rPr>
      <t>PRIVIDING AND FIXING ACOUSTICAL  FALSE CEILING WITH 0.9 NRC:  Sierra
Mineral Fibre Acoustical Suspended Ceiling System with 15mm thick Sierra OP Tegular 15/90 Edge Tiles with  Suprafine 15mm face exposed grid. The tiles shall have smooth laminated  visual with  Humidity Resistance  (RH)  of  95%,  NRC  0.90  (Average  value  of Absorption Co-efficient readings taken at 250 Hz, 500 Hz, 1000 Hz and 2000 Hz) as per ASTM C423 standard, CAC of 25db as per ASTM E1414, Light Reflectance ≥86% as per ASTM  E-1477,  Thermal  Conductivity  λ  =  0.040  W/mK,  Colour  Global  White,  Fire Performance of class A2-s1, d0 according to EN 13501-1 with 15mm Tegular 15/90˚ edge and 8mm drop in module size of 600 x 600mm. The scrim on the face of the tile shall be cleanable and classified as ISO 14644-1 cleanroom class 5. It shall be suitable for Green Building application, with Recycled content of 43% and VOC Emissions (French) class of A+.  The  tile  shall  have  Environmental  Product  Declaration  as  per  ISO  14025  and  EN 15804+A2.   The   tile   shall   have   certifications   from  GRIHA  and  GreenPro   thereby confirming  that  it  is  an  environment  friendly product.  SUSPENSION:  The  tile  shall  be laid on  Suprafine 38 with 15 mm wide T - section flanges colour global white (matching to tile color) having roll formed double  stroke rotary stitching  on  all T  sections i.e.  the Main Runner, 1200 mm &amp; 600 mm Cross Tees with a web height of 38mm (all sections). The  deflection  loading  of  the  system  shall  be  12.5  kg/m2  (as  per  standard  installation layout mentioned below) and main beam tested as per ASTM C635 (Deflection limit less than L/360) with a deflection loading of 15kg/m. The end details of the cross tee shall be made of pre hardened steel and fixed to the ends of the cross tee to provide double locking between “cross tee to cross tee” and “cross tee to main beam”. All main  beam to  main beam  and  cross  tee  to  cross  tee  connection  shall have  a  pull  out  strength  of  more  than 100kg. The T Sections shall be made of hot dipped galvanized steel of 90 gsm as per IS 277 (2003) and pre-painted steel with baked polyester paint with 0T bending capability. All border cross tee/main beam shall be levelled using perimeter fill.</t>
    </r>
  </si>
  <si>
    <t>The   Tile   &amp;   Grid   system   used   together   shall   carry   a   10   year   warranty   against manufacturing  defect  and  manufacturer shall provide a  warranty certificate.  The Tile  &amp; Grid  shall  have  the  manufacturers  name  embossed/printed  on  it.  The  supply  shall  be backed by a Manufacturing Test Certificate.INSTALLATION: To comprise main runner spaced  at  1200mm  securely  fixed  to  the  structural  soffit  using   suspension  system (specifications above) at 1200mm maximum. The First/Last  suspension system at the end of each main runner shall not be greater than 450mm from the adjacent wall along with the first and the last main beam shall be at less than 600mm from the wall. Flush fitting 1200mm long cross tees to be interlocked between main runners at 600mm to form 1200 x 600 mm module.  Cut cross tees longer than 600mm require independent support. 600 x 600mm  module  to  be  formed  by  fitting  600mm  long  flush  fitting  cross  tees  centrally between   the   1200   mm   cross   tees.   Perimeter   trim   to   be    wall   angles   of   size 3000x19x19mm,  secured  to  walls  using  screws  at  450mm  centre  to  centre  maximum. Installation   shall   be   carried   out   as   per    recommended   procedure.    SUSPENSION SYSTEM accessories supplied by  consisting of M6 Anchor Fasteners with hanger hole, pre-straightened hanger wire of dia – 2.5 mm of 1.80 m length having a tensile strength of 344-413 MPa and a minimum loading strength of 110 kgs. (Optionally, adjustable hook clips made of 0.7mm thick Grade 1 C55 galvanized spring steel of dimension 100 x 20mm and  4  mm  aquiline  wire  to  be  used  for  level  adjustment  during  installation  purpose  in main runners).</t>
  </si>
  <si>
    <t>NATURAL BAMBOO WALL PANELLING : Providing &amp; fixing of Wooden Grill panel with  backer  made  of  natural  bamboo  with  24mm  Face  black  exposed  grid.  The  Grill panels   shall   be   made   of   rapidly   renewable   natural   bamboo   core   having   density 600+Kgs/m3  as  per  BS  EN323  (1993)  and  bending  strength  of  96+  N/mm2  as  per  BS EN310  (1993).  The  Grill  panel  shall  have  a  seven  layer  UV  coating  of  thickness  0.09- 0.11mm as per BS EN71 finished to natural or carbonized shades. The Grill panel shall be of  nominal  size  35x300x2400mm  comprising  8  blades/slats  of  35x16x2376mm  with centre to centre spacing of 37.5mm fixed through Backer of size 12x22x300mm having centre to centre spacing of 300mm and additional end backers at 150mm from both the edges. The Grill panel shall have a fire performance of Class A according to ASTM-E84. The Grill panel shall have moisture content of 8-14% as per IS 1708 (Part 1):1986 and a Humidity Resistance (RH) of 70%.</t>
  </si>
  <si>
    <t>NATURAL BAMBOO  CEILING: Providing &amp; fixing of Wooden Grill panel with backer made of natural bamboo with 24mm Face black exposed grid. The Grill panels shall be made  of  rapidly renewable  natural bamboo  core having  density 600+Kgs/m3  as per  BS EN323 (1993) and bending strength of 96+ N/mm2 as per BS EN310 (1993). The Grill panel  shall  have  a  seven  layer  UV  coating  of  thickness  0.09-0.11mm  as  per  BS  EN71 finished  to  natural  or  carbonized  shades.  The  Grill  panel  shall  be  of  nominal  size 35x300x2400mm  comprising  8  blades/slats  of  35x16x2376mm  with  centre  to  centre spacing of 37.5mm fixed through Backer of size 12x22x300mm having centre to centre spacing of 300mm and additional end backers at 150mm from both the edges. The Grill panel shall have a fire performance of Class A according to ASTM-E84. The Grill panel shall  have  moisture  content  of  8-14%  as  per  IS  1708  (Part  1):1986  and  a  Humidity Resistance (RH) of 70%. SUSPENSION: The tile shall be installed on 24 mm wide T - section flanges having rotary stitching on all T sections i.e. the Main Runner, 1200 mm &amp; 600  mm  Cross  Tees  with  a  web  height  of  43mm,  35mm  and  30mm  respectively.  The deflection loading of the system shall be 17.8 kg/m2 (as per standard installation layout mentioned below) and main beam tested as per ASTM C635 (Deflection limit less than L/360) with a deflection loading of 21.4kg/m. The end details of the main beam and cross tee shall be made of pre hardened steel fixed to the ends. The cross tee to provide double locking between “cross tee to cross tee” and “cross tee to main beam”. All main beam to main beam and cross tee to cross tee connection shall have a  pull out  strength of  more than 100kg. The T Sections shall be made of hot dipped galvanized steel of 100 gsm as per  IS  277  (2003)  and  pre-painted  steel  with  baked  polyester  paint  with  0T  bending capability.  All exposed panel ends to be covered using edge caps. All wall angles to be covered   using   ledgers.   Installation   should   be   carried   out   as   per   Manufacturer recommended   procedure.   The   grid   shall   be   installed   with   suspension   system   of recommended make.</t>
  </si>
  <si>
    <r>
      <rPr>
        <sz val="11"/>
        <rFont val="Times New Roman"/>
        <family val="1"/>
      </rPr>
      <t>INSTALLATION:
To  comprise  main  runner  spaced  at  1200mm  centre  to  centre  securely  fixed  to  the structural  soffit  using  suspension  system  (specifications  below)  at  1200mm  maximum centre.   The First/Last  suspension system at the end  of each  main runner  should not  be greater than 450mm from the adjacent wall.  Flush fitting 1200mm long cross tees to be interlocked between main runners at 600mm centre to form 1200 x 600 mm module.  Cut cross tees longer than 600mm require independent support.  600 x 600mm module to be formed  by  fitting  600mm  long  flush  fitting  cross  tees  centrally  between  the  1200  mm cross tees.  Perimeter trim to be wall angles of size 3000x19x19mm, secured to walls at 450 mm maximum centre to centre. Metal spring backer clips shall be used to fix the Grill panel  to  suspension  system with a  grid formation  of 600mm along the  blade/slat and  2 pieces along each backer (total 8 clips per full panel size) for every individual panel. Raise the  panel  up  against  the  suspension  system  and  align  the  backers  with  the  suspension system.  Push  upwards  on  the  spring  backer  clip  to  engage  the  clip  tabs  on  to  the suspension  system  flange.  Ensure  that  both  clip  tabs  engage  the  suspension  system flange.SUSPENSION SYSTEM accessories manufactured and supplied by Manufacturer consisting of M6 Anchor Fasteners with hanger hole, pre Straightened Hanger wire of dia
–  2.5  mm of  1.80  m  length  having  a  tensile  strength  of  344-413  MPa  and  a  minimum loading  strength  of  110  kgs.  Additionally,  adjustable  hook  clips  made  of  0.7mm  thick Grade 1 C55 galvanized spring steel of dimension 100 x 20mm and 4 mm aquiline wire to be used for level adjustment during installation purpose in main runners.</t>
    </r>
  </si>
  <si>
    <t>Expansion Joint ( New Item )</t>
  </si>
  <si>
    <r>
      <rPr>
        <sz val="11"/>
        <rFont val="Times New Roman"/>
        <family val="1"/>
      </rPr>
      <t>Providing and fixing  interior wall to wall expansion joint cover model W90 for 50 mm gap size, this surface mounted aluminium cover is designed for interior application where low  maintenance  is  desirable.  This  model  is  made  using  Aluminium  alloy  6063  and temper T5/T6. This cover is installed using stailness steel clip in the rear which helps the
movement to + 10 mm.</t>
    </r>
  </si>
  <si>
    <t>Providing  and fixing of  external  wall to wall cover model ASM 200X for 50 mm gap size,this surface-mounted metal wall cover is designed for exterior applications where low maintenance  or  tamper-resistant  applications  are  desired.  The  free-floating  aluminum center  plate  spans  the  joint  and  slides  over  the  surface  of  the  wall  to  allow  required movement.EPDM  vapor  barrier  to  protect  the  joint with  water. This  profile is  extruded aluminum  with  ASTM  B  221,  Alloy  6063-T5.  This  profile  has  been  tested  under Architectural Testing Agency ( an Intertek Company) for the movement performance. The minimum opening  of the  profile is  10mm (  -40mm) and  the maximum openeing of  the profile is 76mm (+26mm) which is more than ±50% movement.</t>
  </si>
  <si>
    <t>Providing and fixig of  floor to floor expansion joint cover GFT 200 for 50 mm gap size. The cover which is designed for interior floor to floor application suitable for most floor finishes  where  frame  depth  and  configuration  is  variable  to  suit  selected  finish.  It  is  a gasketed  floor  to  floor  joint  cover  comprises  of  extruded  aluminium  frames  made  of aluminium alloy 6063 temper T5/ T6 and TPR seal having strength of 90 shore A as per ASTM D2000 and available in 4 colours, with standard loading capacity of 500 lbs. The nominal joint width of the profile is 51 mm which contracts down to 38 mm as minimum and can expand 64 mm as maximum,  the movement  has been  tested with  Architectural testing INC., an Intertek company (Intertek – ATI) as per ASTM E 1399-97 Report no. 84287.01-106-31</t>
  </si>
  <si>
    <t>Providing  and  Fixing  of   external  Roof  cover  model  RJT  200  for  50  mm  gap  size, Aluminium roof cover comprised of extruded alumunium components, Injection molded turnbar, duroflex gaskets and EPDM vapor barrier.This profile is extruded aluminum with ASTM  B 221,  Alloy 6063-T5. This  profile has  been tested  under Architectural  Testing Agency ( an Intertek Company) for the movement performance. The minimum opening of the profile is 3mm ( -47mm) and the maximum openeing of the profile is 92mm (+42mm) which is more than ±50% movement.</t>
  </si>
  <si>
    <t>Green Building  ( New Item )</t>
  </si>
  <si>
    <t>Supplying and providing various materials for REED BED filter media of 1 meter depth comprising of 300 mm thick brick  bats at  bottom,60 mm/40  mm  gravel 150 mm thick over  it,20  mm  gravel  100  mm  thick,Natural  sand  100  mm  thick,activated  charcoal 60/40mm 50 kg 175 mm thick, 50 kg of coco pit in powder form 175 mm thick and 5 nos aquatic  plants  at  top.The  rate  is  exclusive  of  cost  of  tank  but   inclusive  of  fixing  non return valve including all materials labour etc.</t>
  </si>
  <si>
    <t>Precast RCC Panels</t>
  </si>
  <si>
    <r>
      <rPr>
        <sz val="11"/>
        <rFont val="Times New Roman"/>
        <family val="1"/>
      </rPr>
      <t>Providing and fixing in position factory made EPS cement sandwich wall/roof/floor light weight solid core pannel made of core material of EPS granule ball/beads (conforming to IS   4671:1984   and   shall   have   density   not   less   than   15   kg   per   cum)   adhesive, cement,sand,flyash  and  other  bonding   material  in  mortar  state  processed  to  form  in  a preset mould. The outer face on both sides of the panels will be non asbestos fibre cement board  confirming  to  IS  14862:2000  or  Calcium  Silicate  Board  confirming  to  EN 14306:2009  of  5  mm thick  each  Panels  shall be  laid on  6 mm thick cement  mortar (  1 cement  : 2 fine sand)mixed with chemical adhesive of 0.5  Kg  per  50 Kg  of cement  or shall   be   preferbly   fixed   into   'C'    channel   made   of   1.2   mm   thick   MS   plate screwed/fastenered  to  the  salb/coloumn/beam  etc.  The  Panel  shall  fixed  vertically  with tongue  and  groove  joint  and  horizontally locked  with  steel  bar  between  each  other  and floors  and  filled  with  cement  mortar  and  adhesive.  Panels  should  be  used  as  floor  and roofing with additional structure support, steel or RCC depending upon the design. All the operation  shall be  completed  in  all respect  as  per  drawing,  manufacturing  specification and under the overall direction of Enginner-in-charge ( Cost oa all the material is included except 'C' channel which will be paid separtely)
A) Non Load bearing panels 60 mm thick required size</t>
    </r>
  </si>
  <si>
    <r>
      <rPr>
        <sz val="11"/>
        <rFont val="Times New Roman"/>
        <family val="1"/>
      </rPr>
      <t>Providing and fixing in position factory made EPS cement sandwich wall/roof/floor light weight solid core pannel made of core material of EPS granule ball/beads (conforming to IS   4671:1984   and   shall   have   density   not   less   than   15   kg   per   cum)   adhesive, cement,sand,flyash  and  other  bonding   material  in  mortar  state  processed  to  form  in  a preset mould. The outer face on both sides of the panels will be non asbestos fibre cement board  confirming  to  IS  14862:2000  or  Calcium  Silicate  Board  confirming  to  EN 14306:2009  of  5  mm thick  each  Panels  shall be  laid on  6 mm thick cement  mortar (  1 cement  : 2 fine sand)mixed with chemical adhesive of 0.5  Kg  per  50 Kg  of cement  or shall   be   preferbly   fixed   into   'C'    channel   made   of   1.2   mm   thick   MS   plate screwed/fastenered  to  the  salb/coloumn/beam  etc.  The  Panel  shall  fixed  vertically  with tongue  and  groove  joint  and  horizontally locked  with  steel  bar  between  each  other  and floors  and  filled  with  cement  mortar  and  adhesive.  Panels  should  be  used  as  floor  and roofing with additional structure support, steel or RCC depending upon the design. All the operation  shall be  completed  in  all respect  as  per  drawing,  manufacturing  specification and under the overall direction of Enginner-in-charge ( Cost oa all the material is included except 'C' channel which will be paid separtely)
B) Non Load bearing panels 75 mm thick required size</t>
    </r>
  </si>
  <si>
    <r>
      <rPr>
        <sz val="11"/>
        <rFont val="Times New Roman"/>
        <family val="1"/>
      </rPr>
      <t>Providing and fixing in position factory made EPS cement sandwich wall/roof/floor light weight solid core pannel made of core material of EPS granule ball/beads (conforming to IS   4671:1984   and   shall   have   density   not   less   than   15   kg   per   cum)   adhesive, cement,sand,flyash  and  other  bonding   material  in  mortar  state  processed  to  form  in  a preset mould. The outer face on both sides of the panels will be non asbestos fibre cement board  confirming  to  IS  14862:2000  or  Calcium  Silicate  Board  confirming  to  EN 14306:2009  of  5  mm thick  each  Panels  shall be  laid on  6 mm thick cement  mortar (  1 cement  : 2 fine sand)mixed with chemical adhesive of 0.5  Kg  per  50 Kg  of cement  or shall   be   preferbly   fixed   into   'C'    channel   made   of   1.2   mm   thick   MS   plate screwed/fastenered  to  the  salb/coloumn/beam  etc.  The  Panel  shall  fixed  vertically  with tongue  and  groove  joint  and  horizontally locked  with  steel  bar  between  each  other  and floors  and  filled  with  cement  mortar  and  adhesive.  Panels  should  be  used  as  floor  and roofing with additional structure support, steel or RCC depending upon the design. All the operation  shall be  completed  in  all respect  as  per  drawing,  manufacturing  specification and  under  the  overall  direction  of  Enginner-in-charge        (  Cost  oa  all  the  material  is included except 'C' channel which will be paid separtely)
C) Non Load bearing panels 90 mm thick required size</t>
    </r>
  </si>
  <si>
    <r>
      <rPr>
        <sz val="11"/>
        <rFont val="Times New Roman"/>
        <family val="1"/>
      </rPr>
      <t>Providing and fixing in position factory made EPS cement sandwich wall/roof/floor light weight solid core pannel made of core material of EPS granule ball/beads (conforming to IS   4671:1984   and   shall   have   density   not   less   than   15   kg   per   cum)   adhesive, cement,sand,flyash  and  other  bonding   material  in  mortar  state  processed  to  form  in  a preset mould. The outer face on both sides of the panels will be non asbestos fibre cement board  confirming  to  IS  14862:2000  or  Calcium  Silicate  Board  confirming  to  EN 14306:2009  of  5  mm thick  each  Panels  shall be  laid on  6 mm thick cement  mortar (  1 cement  : 2 fine sand)mixed with chemical adhesive of 0.5  Kg  per  50 Kg  of cement  or shall   be   preferbly   fixed   into   'C'    channel   made   of   1.2   mm   thick   MS   plate screwed/fastenered  to  the  salb/coloumn/beam  etc.  The  Panel  shall  fixed  vertically  with tongue  and  groove  joint  and  horizontally locked  with  steel  bar  between  each  other  and floors  and  filled  with  cement  mortar  and  adhesive.  Panels  should  be  used  as  floor  and roofing with additional structure support, steel or RCC depending upon the design. All the operation  shall be  completed  in  all respect  as  per  drawing,  manufacturing  specification and under the overall direction of Enginner-in-charge ( Cost oa all the material is included except 'C' channel which will be paid separtely)
D) Non Load bearing panels 100 mm thick required size</t>
    </r>
  </si>
  <si>
    <r>
      <rPr>
        <sz val="11"/>
        <rFont val="Times New Roman"/>
        <family val="1"/>
      </rPr>
      <t>Providing  and  laying  of  white  pre-formed  patterned  pavement  marking  tapes,  with  pre- coated  self-adhesive,  having  abrasion-resistant  high  refractive  index  microcrystalline ceramic beads bonded to a highly durable top coat, having a nominal thickness of 2.0 mm at pattern heights, meeting the requirements specified in ASTM D4505-12. The patterned surface shall have approximately 50% ± 15% of the surface area raised and presenting a near vertical face,  angled from 0 degree  to 60  degree, to  traffic from any direction.  All microcrystalline ceramic beads shall have a minimum index of refraction of 2.3 and 1.8 and  ceramic  beads  shall  show  resistance  to  corrosion  on  exposure  to  a  1%  solution  of sulfuric  acid.  The  applied  marking  surface  to  be  level,  uniform  and  free  from  streaks, cracks and holes. Markings shall have initial average skid resistance value of at least 45 BPN when tested according to ASTM E303 and meet the initial retro reflectance average values as measured in accordance with the stated testing procedures in the following table: Test   Method   (Description   of   conditions)   Typical   average   initial   coefficients   of retroreflected luminance, RL ASTM E1710 (Dry Average) 500 mcd/m2/lux
ASTM   E2177   (Wet   Recovery   Average)     250   mcd/m2/lux   ASTM   E2832   (Wet Continuous  Average)  250  mcd/m2/lux*Observation  Angle  =  1.05°,  Entrance  Angle  = 88.8°</t>
    </r>
  </si>
  <si>
    <t>Providing  and  laying  of  white  contrast  pre-formed  patterned  pavement  marking  tapes, with    pre-coated    self-adhesive,    having    abrasion-resistant    high    refractive    index microcrystalline  ceramic  beads  bonded  to  a  highly  durable  top  coat,  having  a  nominal thickness  of  2.0  mm  at  pattern  heights,  meeting  the  requirements  specified  in  ASTM D4505-12. The patterned surface shall have approximately 50% ± 15% of the surface area raised and presenting a near vertical face, angled from 0 degree  to 60  degree, to  traffic from any direction. Contrast markings shall consist of durable, retroreflective white, pliant polymer  materials  with  durable  matte  black,  non-reflective,  pliant  polymer  borders.  All microcrystalline ceramic beads shall have a minimum index of refraction of 2.3 and 1.8 and  ceramic  beads  shall  show  resistance  to  corrosion  on  exposure  to  a  1%  solution  of sulfuric  acid.  The  applied  marking  surface  to  be  level,  uniform  and  free  from  streaks, cracks and holes. Markings shall have initial average skid resistance value of at least 45 BPN when tested according to ASTM E303 and meet the initial retro reflectance average values as measured in accordance with the stated testing procedures in the following table: Test   Method   (Description   of   conditions)   Typical   average   initial   coefficients   of retroreflected luminance, RL ASTM E1710 (Dry Average) 500 mcd/m2/lux ASTM E2177 (Wet Recovery Average)   250 mcd/m2/lux ASTM E2832 (Wet Continuous Average) 250 mcd/m2/lux *Observation Angle = 1.05°, Entrance Angle = 88.8°</t>
  </si>
  <si>
    <r>
      <rPr>
        <sz val="11"/>
        <rFont val="Times New Roman"/>
        <family val="1"/>
      </rPr>
      <t xml:space="preserve">Providing and fixing Mandatory/Regulatory sign boards in circular shape of </t>
    </r>
    <r>
      <rPr>
        <u/>
        <sz val="11"/>
        <rFont val="Times New Roman"/>
        <family val="1"/>
      </rPr>
      <t>             </t>
    </r>
    <r>
      <rPr>
        <sz val="11"/>
        <rFont val="Times New Roman"/>
        <family val="1"/>
      </rPr>
      <t xml:space="preserve"> mm dia  made out of </t>
    </r>
    <r>
      <rPr>
        <u/>
        <sz val="11"/>
        <rFont val="Times New Roman"/>
        <family val="1"/>
      </rPr>
      <t>        </t>
    </r>
    <r>
      <rPr>
        <sz val="11"/>
        <rFont val="Times New Roman"/>
        <family val="1"/>
      </rPr>
      <t xml:space="preserve">mm aluminum sheet bonded with white retro reflective sheeting of Class  B  (  Type  IV  High  intensity micro-prismatic  grade  sheeting-HIP)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  B  (  Type  IV  High  intensity  micro-prismatic  grade  sheeting-HIP)  shall have 7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
</t>
    </r>
    <r>
      <rPr>
        <b/>
        <sz val="11"/>
        <rFont val="Times New Roman"/>
        <family val="1"/>
      </rPr>
      <t>a. 600 mm dia  made out of 3mm aluminum composite material  with 0.25 mm skin thickness on either side</t>
    </r>
  </si>
  <si>
    <r>
      <rPr>
        <sz val="11"/>
        <rFont val="Times New Roman"/>
        <family val="1"/>
      </rPr>
      <t xml:space="preserve">Providing and fixing Mandatory/Regulatory sign boards in circular shape of </t>
    </r>
    <r>
      <rPr>
        <u/>
        <sz val="11"/>
        <rFont val="Times New Roman"/>
        <family val="1"/>
      </rPr>
      <t>             </t>
    </r>
    <r>
      <rPr>
        <sz val="11"/>
        <rFont val="Times New Roman"/>
        <family val="1"/>
      </rPr>
      <t xml:space="preserve"> mm dia  made out of </t>
    </r>
    <r>
      <rPr>
        <u/>
        <sz val="11"/>
        <rFont val="Times New Roman"/>
        <family val="1"/>
      </rPr>
      <t>        </t>
    </r>
    <r>
      <rPr>
        <sz val="11"/>
        <rFont val="Times New Roman"/>
        <family val="1"/>
      </rPr>
      <t xml:space="preserve">mm aluminum sheet bonded with white retro reflective sheeting of Class  B  (  Type  IV  High  intensity micro-prismatic  grade  sheeting-HIP)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  B  (  Type  IV  High  intensity  micro-prismatic  grade  sheeting-HIP)  shall have 7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
</t>
    </r>
    <r>
      <rPr>
        <b/>
        <sz val="11"/>
        <rFont val="Times New Roman"/>
        <family val="1"/>
      </rPr>
      <t>b. 750 mm dia  made out of 4mm aluminum composite material  with 0.5 mm skin thickness on either side</t>
    </r>
  </si>
  <si>
    <r>
      <rPr>
        <sz val="11"/>
        <rFont val="Times New Roman"/>
        <family val="1"/>
      </rPr>
      <t xml:space="preserve">Providing and fixing Mandatory/Regulatory sign boards in circular shape of </t>
    </r>
    <r>
      <rPr>
        <u/>
        <sz val="11"/>
        <rFont val="Times New Roman"/>
        <family val="1"/>
      </rPr>
      <t>             </t>
    </r>
    <r>
      <rPr>
        <sz val="11"/>
        <rFont val="Times New Roman"/>
        <family val="1"/>
      </rPr>
      <t xml:space="preserve">mm dia  made out of </t>
    </r>
    <r>
      <rPr>
        <u/>
        <sz val="11"/>
        <rFont val="Times New Roman"/>
        <family val="1"/>
      </rPr>
      <t>        </t>
    </r>
    <r>
      <rPr>
        <sz val="11"/>
        <rFont val="Times New Roman"/>
        <family val="1"/>
      </rPr>
      <t xml:space="preserve">mm aluminum sheet bonded with white retro reflective sheeting of Class  B  (  Type  IV  High  intensity micro-prismatic  grade  sheeting-HIP)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  B  (  Type  IV  High  intensity  micro-prismatic  grade  sheeting-HIP)  shall have 7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
</t>
    </r>
    <r>
      <rPr>
        <b/>
        <sz val="11"/>
        <rFont val="Times New Roman"/>
        <family val="1"/>
      </rPr>
      <t>c. 900 mm dia  made out of 4mm aluminum composite material with 0.5 mm skin thickness on either side</t>
    </r>
  </si>
  <si>
    <r>
      <rPr>
        <sz val="11"/>
        <rFont val="Times New Roman"/>
        <family val="1"/>
      </rPr>
      <t xml:space="preserve">Providing and fixing Mandatory/Regulatory sign boards in circular shape of </t>
    </r>
    <r>
      <rPr>
        <u/>
        <sz val="11"/>
        <rFont val="Times New Roman"/>
        <family val="1"/>
      </rPr>
      <t>             </t>
    </r>
    <r>
      <rPr>
        <sz val="11"/>
        <rFont val="Times New Roman"/>
        <family val="1"/>
      </rPr>
      <t xml:space="preserve"> mm dia  made out of </t>
    </r>
    <r>
      <rPr>
        <u/>
        <sz val="11"/>
        <rFont val="Times New Roman"/>
        <family val="1"/>
      </rPr>
      <t>        </t>
    </r>
    <r>
      <rPr>
        <sz val="11"/>
        <rFont val="Times New Roman"/>
        <family val="1"/>
      </rPr>
      <t xml:space="preserve">mm aluminum sheet bonded with white retro reflective sheeting of Class  B  (  Type  IV  High  intensity micro-prismatic  grade  sheeting-HIP)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  B  (  Type  IV  High  intensity  micro-prismatic  grade  sheeting-HIP)  shall have 7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
</t>
    </r>
    <r>
      <rPr>
        <b/>
        <sz val="11"/>
        <rFont val="Times New Roman"/>
        <family val="1"/>
      </rPr>
      <t>d.1200 mm dia  made out of 4mm aluminum composite material with 0.5 mm skin thickness on either side</t>
    </r>
  </si>
  <si>
    <r>
      <rPr>
        <sz val="11"/>
        <rFont val="Times New Roman"/>
        <family val="1"/>
      </rPr>
      <t xml:space="preserve">Providing and fixing Mandatory/Regulatory sign boards in circular shape of </t>
    </r>
    <r>
      <rPr>
        <u/>
        <sz val="11"/>
        <rFont val="Times New Roman"/>
        <family val="1"/>
      </rPr>
      <t>      </t>
    </r>
    <r>
      <rPr>
        <sz val="11"/>
        <rFont val="Times New Roman"/>
        <family val="1"/>
      </rPr>
      <t xml:space="preserve">mm dia made  out  of  </t>
    </r>
    <r>
      <rPr>
        <u/>
        <sz val="11"/>
        <rFont val="Times New Roman"/>
        <family val="1"/>
      </rPr>
      <t>        </t>
    </r>
    <r>
      <rPr>
        <sz val="11"/>
        <rFont val="Times New Roman"/>
        <family val="1"/>
      </rPr>
      <t xml:space="preserve">mm  aluminum  sheet  bonded  with  white  retro  reflective  sheeting  of Class  C  (  Type  XI  Micro  prismatic  grade  sheeting)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  C  ( Type XI Micro prismatic grade sheeting) shall have 10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
</t>
    </r>
    <r>
      <rPr>
        <b/>
        <sz val="11"/>
        <rFont val="Times New Roman"/>
        <family val="1"/>
      </rPr>
      <t>a. 600 mm dia  made out of  3mm aluminum  composite material with 0.25 mm skin thickness on either side</t>
    </r>
  </si>
  <si>
    <r>
      <rPr>
        <sz val="11"/>
        <rFont val="Times New Roman"/>
        <family val="1"/>
      </rPr>
      <t xml:space="preserve">Providing and fixing Mandatory/Regulatory sign boards in circular shape of </t>
    </r>
    <r>
      <rPr>
        <u/>
        <sz val="11"/>
        <rFont val="Times New Roman"/>
        <family val="1"/>
      </rPr>
      <t>      </t>
    </r>
    <r>
      <rPr>
        <sz val="11"/>
        <rFont val="Times New Roman"/>
        <family val="1"/>
      </rPr>
      <t xml:space="preserve">mm dia made  out  of  </t>
    </r>
    <r>
      <rPr>
        <u/>
        <sz val="11"/>
        <rFont val="Times New Roman"/>
        <family val="1"/>
      </rPr>
      <t>        </t>
    </r>
    <r>
      <rPr>
        <sz val="11"/>
        <rFont val="Times New Roman"/>
        <family val="1"/>
      </rPr>
      <t xml:space="preserve">mm  aluminum  sheet  bonded  with  white  retro  reflective  sheeting  of Class  C  (  Type  XI  Micro  prismatic  grade  sheeting)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  C  ( Type XI Micro prismatic grade sheeting) shall have 10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contractor/supplier.600  mm  dia   made  out  of   3mm  aluminum   composite  material with 0.25 mm skin thickness on either side
</t>
    </r>
    <r>
      <rPr>
        <b/>
        <sz val="11"/>
        <rFont val="Times New Roman"/>
        <family val="1"/>
      </rPr>
      <t>b. 750 mm dia  made out of  4mm aluminum composite material with 0.5 mm skin thickness on either side</t>
    </r>
  </si>
  <si>
    <r>
      <rPr>
        <sz val="11"/>
        <rFont val="Times New Roman"/>
        <family val="1"/>
      </rPr>
      <t xml:space="preserve">Providing and fixing Mandatory/Regulatory sign boards in circular shape of </t>
    </r>
    <r>
      <rPr>
        <u/>
        <sz val="11"/>
        <rFont val="Times New Roman"/>
        <family val="1"/>
      </rPr>
      <t>      </t>
    </r>
    <r>
      <rPr>
        <sz val="11"/>
        <rFont val="Times New Roman"/>
        <family val="1"/>
      </rPr>
      <t xml:space="preserve">mm dia made  out  of  </t>
    </r>
    <r>
      <rPr>
        <u/>
        <sz val="11"/>
        <rFont val="Times New Roman"/>
        <family val="1"/>
      </rPr>
      <t>        </t>
    </r>
    <r>
      <rPr>
        <sz val="11"/>
        <rFont val="Times New Roman"/>
        <family val="1"/>
      </rPr>
      <t xml:space="preserve">mm  aluminum  sheet  bonded  with  white  retro  reflective  sheeting  of Class  C  (  Type  XI  Micro  prismatic  grade  sheeting)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  C  ( Type XI Micro prismatic grade sheeting) shall have 10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contractor/supplier.600  mm  dia   made  out  of   3mm  aluminum   composite  material with 0.25 mm skin thickness on either side
</t>
    </r>
    <r>
      <rPr>
        <b/>
        <sz val="11"/>
        <rFont val="Times New Roman"/>
        <family val="1"/>
      </rPr>
      <t>c. 900 mm dia  made out of  4mm aluminum composite material  with 0.5 mm skin thickness on either side</t>
    </r>
  </si>
  <si>
    <r>
      <rPr>
        <sz val="11"/>
        <rFont val="Times New Roman"/>
        <family val="1"/>
      </rPr>
      <t xml:space="preserve">Providing and fixing Mandatory/Regulatory sign boards in circular shape of </t>
    </r>
    <r>
      <rPr>
        <u/>
        <sz val="11"/>
        <rFont val="Times New Roman"/>
        <family val="1"/>
      </rPr>
      <t>      </t>
    </r>
    <r>
      <rPr>
        <sz val="11"/>
        <rFont val="Times New Roman"/>
        <family val="1"/>
      </rPr>
      <t xml:space="preserve">mm dia made  out  of  </t>
    </r>
    <r>
      <rPr>
        <u/>
        <sz val="11"/>
        <rFont val="Times New Roman"/>
        <family val="1"/>
      </rPr>
      <t>        </t>
    </r>
    <r>
      <rPr>
        <sz val="11"/>
        <rFont val="Times New Roman"/>
        <family val="1"/>
      </rPr>
      <t xml:space="preserve">mm  aluminum  sheet  bonded  with  white  retro  reflective  sheeting  of Class  C  (  Type  XI  Micro  prismatic  grade  sheeting)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  C  ( Type XI Micro prismatic grade sheeting) shall have 10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contractor/supplier.600  mm  dia   made  out  of   3mm  aluminum   composite  material with 0.25 mm skin thickness on either side
</t>
    </r>
    <r>
      <rPr>
        <b/>
        <sz val="11"/>
        <rFont val="Times New Roman"/>
        <family val="1"/>
      </rPr>
      <t>d. 1200 mm dia  made out of  4mm aluminum composite material  with 0.5 mm skin thickness on either side</t>
    </r>
  </si>
  <si>
    <r>
      <rPr>
        <sz val="11"/>
        <rFont val="Times New Roman"/>
        <family val="1"/>
      </rPr>
      <t xml:space="preserve">Providing  and  fixing  Cautionary/Warning  sign  boards  in  Equilateral  Triangle  size  of
</t>
    </r>
    <r>
      <rPr>
        <u/>
        <sz val="11"/>
        <rFont val="Times New Roman"/>
        <family val="1"/>
      </rPr>
      <t>        </t>
    </r>
    <r>
      <rPr>
        <sz val="11"/>
        <rFont val="Times New Roman"/>
        <family val="1"/>
      </rPr>
      <t xml:space="preserve">mm  made out of </t>
    </r>
    <r>
      <rPr>
        <u/>
        <sz val="11"/>
        <rFont val="Times New Roman"/>
        <family val="1"/>
      </rPr>
      <t>      </t>
    </r>
    <r>
      <rPr>
        <sz val="11"/>
        <rFont val="Times New Roman"/>
        <family val="1"/>
      </rPr>
      <t xml:space="preserve">mm aluminum sheet bonded with white retro reflective sheeting of  Class B ( Type IV High intensity micro-prismatic grade sheeting-HIP)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  B  (  Type  IV  High  intensity  micro-prismatic  grade  sheeting-HIP)  shall have 7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
</t>
    </r>
    <r>
      <rPr>
        <b/>
        <sz val="11"/>
        <rFont val="Times New Roman"/>
        <family val="1"/>
      </rPr>
      <t>600  mm   made  out  of  3mm  aluminum  composite  material  with  0.25  mm  skin thickness on either side</t>
    </r>
  </si>
  <si>
    <r>
      <rPr>
        <sz val="11"/>
        <rFont val="Times New Roman"/>
        <family val="1"/>
      </rPr>
      <t xml:space="preserve">Providing  and  fixing  Cautionary/Warning  sign  boards  in  Equilateral  Triangle  size  of
</t>
    </r>
    <r>
      <rPr>
        <u/>
        <sz val="11"/>
        <rFont val="Times New Roman"/>
        <family val="1"/>
      </rPr>
      <t>        </t>
    </r>
    <r>
      <rPr>
        <sz val="11"/>
        <rFont val="Times New Roman"/>
        <family val="1"/>
      </rPr>
      <t xml:space="preserve">mm  made out of </t>
    </r>
    <r>
      <rPr>
        <u/>
        <sz val="11"/>
        <rFont val="Times New Roman"/>
        <family val="1"/>
      </rPr>
      <t>      </t>
    </r>
    <r>
      <rPr>
        <sz val="11"/>
        <rFont val="Times New Roman"/>
        <family val="1"/>
      </rPr>
      <t xml:space="preserve">mm aluminum sheet bonded with white retro reflective sheeting of  Class B ( Type IV High intensity micro-prismatic grade sheeting-HIP)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  B  (  Type  IV  High  intensity  micro-prismatic  grade  sheeting-HIP)  shall have 7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
</t>
    </r>
    <r>
      <rPr>
        <b/>
        <sz val="11"/>
        <rFont val="Times New Roman"/>
        <family val="1"/>
      </rPr>
      <t>750  mm   made  out  of  4mm  aluminum  composite  material   with  0.5  mm  skin thickness on either side</t>
    </r>
  </si>
  <si>
    <r>
      <rPr>
        <sz val="11"/>
        <rFont val="Times New Roman"/>
        <family val="1"/>
      </rPr>
      <t xml:space="preserve">Providing  and  fixing  Cautionary/Warning  sign  boards  in  Equilateral  Triangle  size  of
</t>
    </r>
    <r>
      <rPr>
        <u/>
        <sz val="11"/>
        <rFont val="Times New Roman"/>
        <family val="1"/>
      </rPr>
      <t>        </t>
    </r>
    <r>
      <rPr>
        <sz val="11"/>
        <rFont val="Times New Roman"/>
        <family val="1"/>
      </rPr>
      <t xml:space="preserve">mm  made out of </t>
    </r>
    <r>
      <rPr>
        <u/>
        <sz val="11"/>
        <rFont val="Times New Roman"/>
        <family val="1"/>
      </rPr>
      <t>      </t>
    </r>
    <r>
      <rPr>
        <sz val="11"/>
        <rFont val="Times New Roman"/>
        <family val="1"/>
      </rPr>
      <t xml:space="preserve">mm aluminum sheet bonded with white retro reflective sheeting of  Class B ( Type IV High intensity micro-prismatic grade sheeting-HIP)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  B  (  Type  IV  High  intensity  micro-prismatic  grade  sheeting-HIP)  shall have 7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
</t>
    </r>
    <r>
      <rPr>
        <b/>
        <sz val="11"/>
        <rFont val="Times New Roman"/>
        <family val="1"/>
      </rPr>
      <t>900  mm   made  out  of  4mm  aluminum  composite  material   with  0.5  mm  skin thickness on either side</t>
    </r>
  </si>
  <si>
    <r>
      <rPr>
        <sz val="11"/>
        <rFont val="Times New Roman"/>
        <family val="1"/>
      </rPr>
      <t xml:space="preserve">Providing  and  fixing  Cautionary/Warning  sign  boards  in  Equilateral  Triangle  size  of
</t>
    </r>
    <r>
      <rPr>
        <u/>
        <sz val="11"/>
        <rFont val="Times New Roman"/>
        <family val="1"/>
      </rPr>
      <t>        </t>
    </r>
    <r>
      <rPr>
        <sz val="11"/>
        <rFont val="Times New Roman"/>
        <family val="1"/>
      </rPr>
      <t xml:space="preserve">mm  made out of </t>
    </r>
    <r>
      <rPr>
        <u/>
        <sz val="11"/>
        <rFont val="Times New Roman"/>
        <family val="1"/>
      </rPr>
      <t>      </t>
    </r>
    <r>
      <rPr>
        <sz val="11"/>
        <rFont val="Times New Roman"/>
        <family val="1"/>
      </rPr>
      <t xml:space="preserve">mm aluminum sheet bonded with white retro reflective sheeting of  Class B ( Type IV High intensity micro-prismatic grade sheeting-HIP)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  B  (  Type  IV  High  intensity  micro-prismatic  grade  sheeting-HIP)  shall have 7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
</t>
    </r>
    <r>
      <rPr>
        <b/>
        <sz val="11"/>
        <rFont val="Times New Roman"/>
        <family val="1"/>
      </rPr>
      <t>1200  mm   made  out  of  4mm  aluminum  composite  material   with  0.5  mm  skin thickness on either side+F26</t>
    </r>
  </si>
  <si>
    <r>
      <rPr>
        <sz val="11"/>
        <rFont val="Times New Roman"/>
        <family val="1"/>
      </rPr>
      <t xml:space="preserve">Providing  and  fixing  Cautionary/Warning  sign  boards  in  Equilateral  Triangle  size  of
</t>
    </r>
    <r>
      <rPr>
        <u/>
        <sz val="11"/>
        <rFont val="Times New Roman"/>
        <family val="1"/>
      </rPr>
      <t>           </t>
    </r>
    <r>
      <rPr>
        <sz val="11"/>
        <rFont val="Times New Roman"/>
        <family val="1"/>
      </rPr>
      <t xml:space="preserve"> mm   made  out  of  </t>
    </r>
    <r>
      <rPr>
        <u/>
        <sz val="11"/>
        <rFont val="Times New Roman"/>
        <family val="1"/>
      </rPr>
      <t>        </t>
    </r>
    <r>
      <rPr>
        <sz val="11"/>
        <rFont val="Times New Roman"/>
        <family val="1"/>
      </rPr>
      <t xml:space="preserve">mm  aluminum  sheet  bonded  with  white  retro  reflective sheeting  of   Class  C  (  Type  XI  Micro  prismatic  grade  sheeting)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ClassC ( Type XI Micro prismatic grade sheeting) shall have 10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                                                             </t>
    </r>
    <r>
      <rPr>
        <b/>
        <sz val="11"/>
        <rFont val="Times New Roman"/>
        <family val="1"/>
      </rPr>
      <t>600
mm  made out of  3mm aluminum composite material  with 0.25 mm skin thickness on either side</t>
    </r>
  </si>
  <si>
    <r>
      <rPr>
        <sz val="11"/>
        <rFont val="Times New Roman"/>
        <family val="1"/>
      </rPr>
      <t xml:space="preserve">Providing  and  fixing  Cautionary/Warning  sign  boards  in  Equilateral  Triangle  size  of
</t>
    </r>
    <r>
      <rPr>
        <u/>
        <sz val="11"/>
        <rFont val="Times New Roman"/>
        <family val="1"/>
      </rPr>
      <t>           </t>
    </r>
    <r>
      <rPr>
        <sz val="11"/>
        <rFont val="Times New Roman"/>
        <family val="1"/>
      </rPr>
      <t xml:space="preserve"> mm   made  out  of  </t>
    </r>
    <r>
      <rPr>
        <u/>
        <sz val="11"/>
        <rFont val="Times New Roman"/>
        <family val="1"/>
      </rPr>
      <t>        </t>
    </r>
    <r>
      <rPr>
        <sz val="11"/>
        <rFont val="Times New Roman"/>
        <family val="1"/>
      </rPr>
      <t xml:space="preserve">mm  aluminum  sheet  bonded  with  white  retro  reflective sheeting  of   Class  C  (  Type  XI  Micro  prismatic  grade  sheeting)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ClassC ( Type XI Micro prismatic grade sheeting) shall have 10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
</t>
    </r>
    <r>
      <rPr>
        <b/>
        <sz val="11"/>
        <rFont val="Times New Roman"/>
        <family val="1"/>
      </rPr>
      <t>750  mm   made  out  of   4mm  aluminum  composite  material   with  0.5  mm  skin thickness on either side</t>
    </r>
  </si>
  <si>
    <r>
      <rPr>
        <sz val="11"/>
        <rFont val="Times New Roman"/>
        <family val="1"/>
      </rPr>
      <t xml:space="preserve">Providing  and  fixing  Cautionary/Warning  sign  boards  in  Equilateral  Triangle  size  of
</t>
    </r>
    <r>
      <rPr>
        <u/>
        <sz val="11"/>
        <rFont val="Times New Roman"/>
        <family val="1"/>
      </rPr>
      <t>           </t>
    </r>
    <r>
      <rPr>
        <sz val="11"/>
        <rFont val="Times New Roman"/>
        <family val="1"/>
      </rPr>
      <t xml:space="preserve"> mm   made  out  of  </t>
    </r>
    <r>
      <rPr>
        <u/>
        <sz val="11"/>
        <rFont val="Times New Roman"/>
        <family val="1"/>
      </rPr>
      <t>        </t>
    </r>
    <r>
      <rPr>
        <sz val="11"/>
        <rFont val="Times New Roman"/>
        <family val="1"/>
      </rPr>
      <t xml:space="preserve">mm  aluminum  sheet  bonded  with  white  retro  reflective sheeting  of   Class  C  (  Type  XI  Micro  prismatic  grade  sheeting)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ClassC ( Type XI Micro prismatic grade sheeting) shall have 10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
</t>
    </r>
    <r>
      <rPr>
        <b/>
        <sz val="11"/>
        <rFont val="Times New Roman"/>
        <family val="1"/>
      </rPr>
      <t>900  mm   made  out  of   4mm  aluminum  composite  material  with  0.5  mm  skin thickness on either side</t>
    </r>
  </si>
  <si>
    <r>
      <rPr>
        <sz val="11"/>
        <rFont val="Times New Roman"/>
        <family val="1"/>
      </rPr>
      <t xml:space="preserve">Providing  and  fixing  Cautionary/Warning  sign  boards  in  Equilateral  Triangle  size  of
</t>
    </r>
    <r>
      <rPr>
        <u/>
        <sz val="11"/>
        <rFont val="Times New Roman"/>
        <family val="1"/>
      </rPr>
      <t>           </t>
    </r>
    <r>
      <rPr>
        <sz val="11"/>
        <rFont val="Times New Roman"/>
        <family val="1"/>
      </rPr>
      <t xml:space="preserve"> mm   made  out  of  </t>
    </r>
    <r>
      <rPr>
        <u/>
        <sz val="11"/>
        <rFont val="Times New Roman"/>
        <family val="1"/>
      </rPr>
      <t>        </t>
    </r>
    <r>
      <rPr>
        <sz val="11"/>
        <rFont val="Times New Roman"/>
        <family val="1"/>
      </rPr>
      <t xml:space="preserve">mm  aluminum  sheet  bonded  with  white  retro  reflective sheeting  of   Class  C  (  Type  XI  Micro  prismatic  grade  sheeting)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ClassC ( Type XI Micro prismatic grade sheeting) shall have 10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
</t>
    </r>
    <r>
      <rPr>
        <b/>
        <sz val="11"/>
        <rFont val="Times New Roman"/>
        <family val="1"/>
      </rPr>
      <t>1200  mm   made  out  of   4mm  aluminum  composite  material   with  0.5  mm  skin thickness on either side</t>
    </r>
  </si>
  <si>
    <r>
      <rPr>
        <sz val="11"/>
        <rFont val="Times New Roman"/>
        <family val="1"/>
      </rPr>
      <t xml:space="preserve">Providing  and  fixing  Cautionary/Warning  sign  boards  in  Octagone  size  of  </t>
    </r>
    <r>
      <rPr>
        <u/>
        <sz val="11"/>
        <rFont val="Times New Roman"/>
        <family val="1"/>
      </rPr>
      <t>          </t>
    </r>
    <r>
      <rPr>
        <sz val="11"/>
        <rFont val="Times New Roman"/>
        <family val="1"/>
      </rPr>
      <t xml:space="preserve">mm made  out  of  </t>
    </r>
    <r>
      <rPr>
        <u/>
        <sz val="11"/>
        <rFont val="Times New Roman"/>
        <family val="1"/>
      </rPr>
      <t>        </t>
    </r>
    <r>
      <rPr>
        <sz val="11"/>
        <rFont val="Times New Roman"/>
        <family val="1"/>
      </rPr>
      <t xml:space="preserve">mm  aluminum  sheet  bonded  with  white  retro  reflective  sheeting  of Class  B  (  Type  IV  High  intensity micro-prismatic  grade  sheeting-HIP)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  B  (  Type  IV  High  intensity  micro-prismatic  grade  sheeting-HIP)  shall have 7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    </t>
    </r>
    <r>
      <rPr>
        <b/>
        <sz val="11"/>
        <rFont val="Times New Roman"/>
        <family val="1"/>
      </rPr>
      <t>750 mm   made out of 4mm aluminum composite material with 0.5 mm skin thickness on either side</t>
    </r>
  </si>
  <si>
    <r>
      <rPr>
        <sz val="11"/>
        <rFont val="Times New Roman"/>
        <family val="1"/>
      </rPr>
      <t xml:space="preserve">Providing  and  fixing  Cautionary/Warning  sign  boards  in  Octagone  size  of  </t>
    </r>
    <r>
      <rPr>
        <u/>
        <sz val="11"/>
        <rFont val="Times New Roman"/>
        <family val="1"/>
      </rPr>
      <t>          </t>
    </r>
    <r>
      <rPr>
        <sz val="11"/>
        <rFont val="Times New Roman"/>
        <family val="1"/>
      </rPr>
      <t xml:space="preserve">mm made  out  of  </t>
    </r>
    <r>
      <rPr>
        <u/>
        <sz val="11"/>
        <rFont val="Times New Roman"/>
        <family val="1"/>
      </rPr>
      <t>        </t>
    </r>
    <r>
      <rPr>
        <sz val="11"/>
        <rFont val="Times New Roman"/>
        <family val="1"/>
      </rPr>
      <t xml:space="preserve">mm  aluminum  sheet  bonded  with  white  retro  reflective  sheeting  of Class  B  (  Type  IV  High  intensity micro-prismatic  grade  sheeting-HIP)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  B  (  Type  IV  High  intensity  micro-prismatic  grade  sheeting-HIP)  shall have 7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   </t>
    </r>
    <r>
      <rPr>
        <b/>
        <sz val="11"/>
        <rFont val="Times New Roman"/>
        <family val="1"/>
      </rPr>
      <t>900 mm   made out  of 4mm aluminum composite material  with 0.5 mm skin thickness on either side</t>
    </r>
  </si>
  <si>
    <r>
      <rPr>
        <sz val="11"/>
        <rFont val="Times New Roman"/>
        <family val="1"/>
      </rPr>
      <t xml:space="preserve">Providing  and fixing Cautionary/Warning  sign boards in Octagone size of </t>
    </r>
    <r>
      <rPr>
        <u/>
        <sz val="11"/>
        <rFont val="Times New Roman"/>
        <family val="1"/>
      </rPr>
      <t>             </t>
    </r>
    <r>
      <rPr>
        <sz val="11"/>
        <rFont val="Times New Roman"/>
        <family val="1"/>
      </rPr>
      <t xml:space="preserve"> mm made  out  of  </t>
    </r>
    <r>
      <rPr>
        <u/>
        <sz val="11"/>
        <rFont val="Times New Roman"/>
        <family val="1"/>
      </rPr>
      <t>        </t>
    </r>
    <r>
      <rPr>
        <sz val="11"/>
        <rFont val="Times New Roman"/>
        <family val="1"/>
      </rPr>
      <t xml:space="preserve">mm  aluminum  sheet  bonded  with  white  retro  reflective  sheeting  of Class  C  (  Type  XI  Micro  prismatic  grade  sheeting)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  C  ( Type XI Micro prismatic grade sheeting) shall have 10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
</t>
    </r>
    <r>
      <rPr>
        <b/>
        <sz val="11"/>
        <rFont val="Times New Roman"/>
        <family val="1"/>
      </rPr>
      <t>750  mm   made  out  of   4mm  aluminum  composite  material   with  0.5  mm  skin thickness on either side</t>
    </r>
  </si>
  <si>
    <r>
      <rPr>
        <sz val="11"/>
        <rFont val="Times New Roman"/>
        <family val="1"/>
      </rPr>
      <t xml:space="preserve">Providing  and fixing Cautionary/Warning  sign boards in Octagone size of </t>
    </r>
    <r>
      <rPr>
        <u/>
        <sz val="11"/>
        <rFont val="Times New Roman"/>
        <family val="1"/>
      </rPr>
      <t>             </t>
    </r>
    <r>
      <rPr>
        <sz val="11"/>
        <rFont val="Times New Roman"/>
        <family val="1"/>
      </rPr>
      <t xml:space="preserve"> mm made  out  of  </t>
    </r>
    <r>
      <rPr>
        <u/>
        <sz val="11"/>
        <rFont val="Times New Roman"/>
        <family val="1"/>
      </rPr>
      <t>        </t>
    </r>
    <r>
      <rPr>
        <sz val="11"/>
        <rFont val="Times New Roman"/>
        <family val="1"/>
      </rPr>
      <t xml:space="preserve">mm  aluminum  sheet  bonded  with  white  retro  reflective  sheeting  of Class  C  (  Type  XI  Micro  prismatic  grade  sheeting)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  C  ( Type XI Micro prismatic grade sheeting) shall have 10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
</t>
    </r>
    <r>
      <rPr>
        <b/>
        <sz val="11"/>
        <rFont val="Times New Roman"/>
        <family val="1"/>
      </rPr>
      <t>900  mm   made  out  of   4mm  aluminum  composite  material  with  0.5  mm  skin thickness on either side</t>
    </r>
  </si>
  <si>
    <t>Providing and fixing of retro- reflectorised informatory sign board rectangular/Square in shape  having  area  less  than  0.9  One  Square  Meterr  made  out  of  4  mm  aluminum composite  panel  with  0.5  mm  skin  thickness  on  either  side  bonded  with  white  retro reflective  sheeting  of   Class B ( Type  IV High  intensity micro-prismatic  grade sheeting- HIP)  having pressure sensitive adhesive retoreflective specified back ground, border and back side retoreflctive symbols, letters, numerals, arrow as per IRC:67-2012 Table No 8.3, supported   with back support frame 25mm x 25mm x 3mm, duly painted on back side with two coats of grey stove enamel paint and supported on one no. mild steel angle iron post 75 mm x 75 mm x 6 mm, 3.5 mt ~ 3.9 mtlong firmly fixed to the ground by means of properly designed foundation with M25 grade cement concrete 45 cm x 45 cm x 60 cm, 60  cm  below  ground  level  as  per  approved  drawing  The  angle  iron  post   shall be  duly painted  with  one  coat  of  epoxy  primer  and  two  coats  of  epoxy  finish  paints  having alternate  black  and  white  bands  of  25  cm  width  including  fixures  and  transportation etc.complete.The nut bolts of board with angle iron post/supporting structure after fixing at  site  has  to  be  electrically welded.  Class  B (  Type  IV  High  intensity micro-prismatic grade sheeting-HIP)  sheeting shall have 7 years  written warranty  from the manufacturer including  the  Digitally  Printed  areas  with  approved  printing  technology  with  sheeting manufacturer  approved  inks  and  laminated  with  UV  overlay  film  and  this  warranty certificate  along  with  sheeting  manufacturer  attested  3  years  outdoor  weathering  test report  from  Indian  govt  lab  must  be  submitted  to  the  Engineer  in  charge  by  the contractor/supplier.</t>
  </si>
  <si>
    <t>Providing and fixing of retro- reflectorised informatory sign board rectangular/Square in shape having area less than 0.9 One Square Meter made out of 4 mm aluminum composite panel  with  0.5  mm  skin  thickness  on  either  side  bonded  with  white  retro  reflective sheeting of  Class C ( Type XI Type XI Micro prismatic grade sheeting) having pressure sensitive adhesive retoreflective specified back ground, border and back side retoreflctive symbols, letters, numerals, arrow as per IRC:67-2012 Table No 8.3,  supported  with back support frame 25mm x 25mm x 3mm, duly painted on back side with two coats of grey stove enamel paint and supported on one no. mild steel angle iron post 75 mm x 75 mm x 6  mm,  3.5  mt  ~  3.9  mtlong  firmly fixed  to  the  ground  by means  of  properly designed foundation with M25 grade cement concrete 45 cm x 45 cm x 60 cm, 60 cm below ground level as per approved drawing The angle iron post  shall be duly painted with one coat of epoxy primer and two coats of epoxy finish paints having alternate black and white bands of 25 cm width including fixures and transportation etc.complete.The nut bolts of board with angle iron post/supporting structure after fixing at site has to be electrically welded. Class C (Type XI Micro prismatic grade sheeting))  sheeting shall have 10 years  written warranty   from  the  manufacturer  including  the  Digitally  Printed  areas  with  approved printing  technology  with  sheeting  manufacturer  approved  inks  and  laminated  with  UV overlay  film  and  this  warranty  certificate  along  with  sheeting  manufacturer  attested  3 years  outdoor  weathering  test  report  from  Indian  govt  lab  must  be  submitted  to  the Engineer in charge by the contractor/supplier.</t>
  </si>
  <si>
    <t>Providing and fixing of retro- reflectorised  informatory sign board rectangular/Square in shape  having  area  greater  than  0.9  One  Square  Meterr  made  out  of   4  mm  aluminum composite  panel   with  0.5  mm  skin  thickness  on  either  side  bonded  with  white  retro reflective  sheeting  of   Class B ( Type  IV High  intensity micro-prismatic  grade sheeting- HIP) having pressure sensitive adhesive retoreflective specified back ground, border and back side retoreflctive symbols, letters, numerals, arrow as per IRC:67-2012 Table No 8.3, supported   with back support frame 25mm x 25mm x 3mm, duly painted on back side with two coats of grey stove enamel paint and supported on two no. mild steel angle iron post 75 mm x 75 mm x 6 mm, 3.5 mt ~ 3.9 mtlong firmly fixed to the ground by means of properly designed foundation with M25 grade cement concrete 45 cm x 45 cm x 60 cm, 60  cm  below  ground  level  as  per  approved  drawing  The  angle  iron  post   shall be  duly painted  with  one  coat  of  epoxy  primer  and  two  coats  of  epoxy  finish  paints  having alternate  black  and  white  bands  of  25  cm  width  including  fixures  and  transportation etc.complete.The nut bolts of board with angle iron post/supporting structure after fixing at  site  has  to  be  electrically welded.  Class  B (  Type  IV  High  intensity micro-prismatic grade sheeting-HIP)  sheeting shall have 7 years  written warranty  from the manufacturer including  the  Digitally  Printed  areas  with  approved  printing  technology  with  sheeting manufacturer  approved  inks  and  laminated  with  UV  overlay  film  and  this  warranty certificate  along  with  sheeting  manufacturer  attested  3  years  outdoor  weathering  test report  from  Indian  govt  lab  must  be  submitted  to  the  Engineer  in  charge  by  the contractor/supplier.</t>
  </si>
  <si>
    <t>Providing and fixing of retro- reflectorised  informatory sign board rectangular/Square in shape  having  area  greater  than  0.9  One  Square  Meterr  made  out  of  4  mm  aluminum composite  panel  bonded  with  0.5  mm  skin  thickness  on  either  side  with  white  retro reflective sheeting of  Class C ( Type XI Type XI Micro prismatic grade sheeting) having pressure  sensitive  adhesive  retoreflective  specified  back  ground,  border  and  back  side retoreflctive  symbols,  letters,  numerals,  arrow  as  per  IRC:67-2012   Table  No  8.3, supported   with  back  support  frame  25mm  x  25mm  x  3mm,  duly painted  on  back  side with two coats of grey stove enamel paint and supported on two no. mild steel angle iron post 75 mm x 75 mm x 6 mm, 3.5 mt ~ 3.9 mtlong firmly fixed to the ground by means of properly designed foundation with M25 grade cement concrete 45 cm x 45 cm x 60 cm, 60  cm  below  ground  level  as  per  approved  drawing  The  angle  iron  post   shall be  duly painted  with  one  coat  of  epoxy  primer  and  two  coats  of  epoxy  finish  paints  having alternate  black  and  white  bands  of  25  cm  width  including  fixures  and  transportation etc.complete.The nut bolts of board with angle iron post/supporting structure after fixing at site has to be electrically welded. ClassC_ ( Type XI Type XI Micro prismatic grade sheeting)  sheeting shall have 10 years  written warranty  from the manufacturer  including the Digitally Printed areas with approved printing technology with sheeting manufacturer approved inks and laminated with UV overlay film and this warranty certificate along with sheeting manufacturer attested 3 years outdoor weathering test report from Indian govt lab must be submitted to the Engineer in charge by the contractor/supplier.</t>
  </si>
  <si>
    <r>
      <rPr>
        <sz val="11"/>
        <rFont val="Times New Roman"/>
        <family val="1"/>
      </rPr>
      <t>Providing  and  erecting  Overhead  signs  made  out  of  4  mm  aluminum  composite  panel with 0.5 mm skin thickness on either side bonded with white retro reflective sheeting of Class  B  (  Type  IV  High  intensity micro-prismatic  grade  sheeting-HIP)  having  pressure sensitive adhesive retoreflective specified back ground, border and back side retoreflctive symbols, letters, numerals, arrow as per IRC:67-2012, with designed back support frame of mild steel angle with vertical and lateral clearance given in clause 801 and 802, duly painted on back side with two coats of grey stove enamel paint and installed as per clause
802.6  over  a  designed  support  system  of  structural  steel  work  trestles  and  trusses  of sections  and  type  as  per  structural  design  requirements  and  approved  plans  including painting with one coat of epoxy primer and two coats of epoxy finish paint.The nut bolts of board with angle iron post/supporting structure after fixing at site has to be electrically welded. Class B ( Type IV High intensity micro-prismatic grade sheeting-HIP)  sheeting shall have 7 years  written warranty  from the manufacturer including the Digitally Printed areas  with  approved  printing  technology with  sheeting  manufacturer  approved inks  and laminated  with  UV  overlay  film  and  this  warranty  certificate  along  with  sheeting manufacturer attested 3 years outdoor weathering test report from Indian govt lab must be submitted to the Engineer in charge by the contractor/supplier.This item does not include the cost of structural steel work required for support system.</t>
    </r>
  </si>
  <si>
    <t>Providing  and  erecting  Overhead  signs  made  out  of  4  mm  aluminum  composite  panel with 0.5 mm skin thickness on either side bonded with white retro reflective sheeting of Class  C  (Type  XI  Micro  prismatic  grade  sheeting)   having  pressure  sensitive  adhesive retoreflective specified back ground, border and back side  retoreflctive symbols,  letters, numerals,  arrow  as  per  IRC:67-2012,  with  designed  back  support  frame  of  mild  steel angle with vertical and lateral clearance given in clause 801 and 802, duly painted on back side with two coats of grey stove enamel paint and installed as per clause 802.6 over a designed support system of structural steel work trestles and trusses of sections and type as per structural design requirements and approved plans including painting with one coat of epoxy primer and two coats of epoxy finish paint.The nut bolts of board with angle iron post/supporting  structure  after  fixing  at  site  has  to  be  electrically welded.   Class  _C_  ( Type XI Type XI Micro prismatic grade sheeting)   sheeting shall have 10 years  written warranty   from  the  manufacturer  including  the  Digitally  Printed  areas  with  approved printing  technology  with  sheeting  manufacturer  approved  inks  and  laminated  with  UV overlay  film  and  this  warranty  certificate  along  with  sheeting  manufacturer  attested  3 years  outdoor  weathering  test  report  from  Indian  govt  lab  must  be  submitted  to  the Engineer  in  charge  by  the  contractor/supplier.This  item  does  not  include  the  cost  of structural steel work required for support system.</t>
  </si>
  <si>
    <t>Providing and fixing board displaying information, such as "Name of work, Tender cost, Name of Contractor, Work completion and liability period etc", having rectangular shape of 1.20m x 0.90m size made up of 4 mm aluminum composite pannel sheet with 0.5 mm skin thickness on either side bonded with white retro reflective sheeting of Class B (Type IV High intensity micro-prismatic grade sheeting-HIP) having pressure sensitive adhesive. Retro reflective sheeting with specified background, border and back side reto reflective symbols, letters, numerals, arrow as per IRC: 67-2012 Table No 8.3, on M.S.angle of size 35 x 35 x 3 mm frame with properly cross braced M.S. angles of size 35mmx35mmx3mm duly painted including Two M.S. angle iron posts of size 65 mm x 65 mm x 6 mm, 3.65 m long painted with alternate black and white bands of 25 cm width including all fixtures etc.and fixing the boards in 1:4:8 concrete block of size 60 cm x 60 cm x 75 cm including, excavation,  refilling,  transportation,  and  labour  etc  complete.  Class  B  (Type  IV  High intensity micro-prismatic grade sheeting-HIP) shall have 7 years written warranty from the manufacturer including the Digitally Printed areas with approved printing technology with sheeting  manufacturer  approved  inks  and  laminated  with  UV  overlay  film  and  this warranty  certificate  in  original  should  be  submitted  to  the  Engineer  in  charge  by  the contractor/supplier.</t>
  </si>
  <si>
    <t>Providing and fixing board displaying information, such as "Name of work, Tender cost, Name of Contractor, Work completion and liability period etc", having rectangular shape of 1.20m x 0.90m size made up of 4 mm aluminum composite pannel sheet with 0.5 mm skin thickness on either side bonded with white retro reflective sheeting of Class C (Type XI Micro prismatic grade sheeting)  having pressure sensitive adhesive. Retro reflective sheeting with specified background, border and back side reto reflective symbols, letters, numerals, arrow as per IRC: 67-2012 Table No 8.3, on M.S.angle of size 35 x 35 x 3 mm frame  with  properly cross  braced  M.S.  angles  of  size  35mmx35mmx3mm duly painted including Two M.S. angle iron posts of size 65 mm x 65 mm x 6 mm, 3.65 m long painted with alternate black and white bands of 25 cm width including all fixtures etc.and fixing the boards in 1:4:8 concrete block of size 60 cm x 60 cm x 75 cm including, excavation, refilling,  transportation,  and  labour  etc  complete.  Class  _C_  (Type  XI  Micro  prismatic grade sheeting)  shall have 10 years written warranty from the manufacturer including the Digitally  Printed  areas  with  approved  printing  technology  with  sheeting  manufacturer approved inks and laminated with UV overlay film and this warranty certificate in original should be submitted to the Engineer in charge by the contractor/supplier.</t>
  </si>
  <si>
    <t>Providing and fixing board displaying information, such as "Name of work, Tender cost, Name of Contractor, Work completion and liability period etc", having rectangular shape of 1.80m x 1.20m size made up of 4 mm aluminum composite pannel sheet with 0.5 mm skin thickness on either side bonded with white retro reflective sheeting of Class B (Type IV High intensity micro-prismatic grade sheeting-HIP) having pressure sensitive adhesive. Retro reflective sheeting with specified background, border and back side reto reflective symbols, letters, numerals, arrow as per IRC: 67-2012 Table No 8.3, on M.S.angle of size 35 x 35 x 3 mm frame with properly cross braced M.S. angles of size 35mmx35mmx3mm duly painted including Two M.S. angle iron posts of size 65 mm x 65 mm x 6 mm, 3.65 m long painted with alternate black and white bands of 25 cm width including all fixtures etc.and fixing the boards in 1:4:8 concrete block of size 60 cm x 60 cm x 75 cm including, excavation,  refilling,  transportation,  and  labour  etc  complete.  Class  B  (Type  IV  High intensity micro-prismatic grade sheeting-HIP) shall have 7 years written warranty from the manufacturer including the Digitally Printed areas with approved printing technology with sheeting  manufacturer  approved  inks  and  laminated  with  UV  overlay  film  and  this warranty  certificate  in  original  should  be  submitted  to  the  Engineer  in  charge  by  the contractor/supplier.</t>
  </si>
  <si>
    <t>Providing and fixing board displaying information, such as "Name of work, Tender cost, Name of Contractor, Work completion and liability period etc", having rectangular shape of 1.80m x 1.20m size made up of 4 mm aluminum composite pannel sheet with 0.5 mm skin thickness on either side bonded with white retro reflective sheeting of Class C (Type XI Micro  prismatic  grade  sheeting)  having  pressure  sensitive  adhesive.  Retro  reflective sheeting with specified background, border and back side reto reflective symbols, letters, numerals, arrow as per IRC: 67-2012 Table No 8.3, on M.S.angle of size 35 x 35 x 3 mm frame  with  properly cross  braced  M.S.  angles  of  size  35mmx35mmx3mm duly painted including Two M.S. angle iron posts of size 65 mm x 65 mm x 6 mm, 3.65 m long painted with alternate black and white bands of 25 cm width including all fixtures etc.and fixing the boards in 1:4:8 concrete block of size 60 cm x 60 cm x 75 cm including, excavation, refilling,  transportation,  and  labour  etc  complete.  Class  _C_  (Type  XI  Micro  prismatic grade sheeting)) shall have 10 years written warranty from the manufacturer including the Digitally  Printed  areas  with  approved  printing  technology  with  sheeting  manufacturer approved inks and laminated with UV overlay film and this warranty certificate in original should be submitted to the Engineer in charge by the contractor/supplier.</t>
  </si>
  <si>
    <t>SSR 2022-23 :- ADDITIONAL NEW ITEM 2022-23</t>
  </si>
  <si>
    <t>New Item</t>
  </si>
  <si>
    <r>
      <rPr>
        <sz val="11"/>
        <rFont val="Times New Roman"/>
        <family val="1"/>
      </rPr>
      <t>Stamp  Concrete  of  100mm  Thickness  -  Providing  and  Laying  in-situ  M30  Grade unreinforced plain cement stamp concrete of 100mm thickness pavement over a prepared sub base with 43 grade cement, coarse and fine aggregate (natural sand / VSI grade finely washed crushed sand) Confirming to IS 383, as per mixed in a batching and mixing plant / non tilting mixer and weigh batcher as per approved mix design, admixtures, transporting to  site  in  nagpur  city with  lead  upto  20KM  (on  Inner  Ring  Road  from Avasti  nagar  to wadi),  spreading,  laying  with  approved  make  pover,  compacted  and  finished  in  a continous  operation, finishing to lines and grades Also Providing,  Placing and applying stamp  powder  which  is  light  fast  UV  resistant  pigment  with  appropriate  chemical compounds  of  desired  colour  on  base  concrete  after  excess  bleed  water  has  evaporated using  dry shake  method  @5kg  per  sqm.  Including  texturing,  and  covering  with  plastic sheet (min 200 micron thickness) and also applying two coats of UV-stable,30 % solids clear sealer @ 150 to 250 gms per sqm using surface roller and protecting from falling dust,dirt and curring by curring compound / by providing cement vata in cement Mortor 1
:8 @ 0.6m x 0.6m center to center, admeasuring 80mm at bottom and 40mm at top with depth of 75mm and maintaining the same throughout curing period by any other method approved  by Engineer-incharge or  Landscape architect  etc. complete.  (prior approval of superinteding Engineer will be necessary )</t>
    </r>
  </si>
  <si>
    <t>As Directed by Engineer incharge</t>
  </si>
  <si>
    <t>Slope  stabilization,  widening  of  existing  structures:-Designing,  providing  drawings, supply and fixing of fully threaded (only mill or hot thread bars are allowed to avoid any loss of strength), hot-dip galvanized solid geotechnical bars of Required diameter of Soil Nail as per design having yield strength ≥ 670 Mpa, ulimate tensile strength ≥ 800 Mpa and minimum galvanization of 500 grams per sqm required for construction of soil nailed stabilized  slope  including   supply  of  galvanized  nail  plates,  dome  shape  nuts,  tapper washer, coupler (if required), centralizer and all accessories, including all lead and lifts as per  detailed  specification  and  including  the  cost  of  installation,  drilling  and  grouting. Confirming to AFNOR NF P 94270, FHWA NHI, FHWA SA, IS 4759 (For Galvanizing) etc complete. As Directed by Engineer in Charge.</t>
  </si>
  <si>
    <t>one running metre</t>
  </si>
  <si>
    <t>20mm diameter of Soil Nail</t>
  </si>
  <si>
    <t>25mm diameter of Soil Nail</t>
  </si>
  <si>
    <t>28mm diameter of Soil Nail</t>
  </si>
  <si>
    <t>32mm diameter of Soil Nail</t>
  </si>
  <si>
    <t>35mm diameter of Soil Nail</t>
  </si>
  <si>
    <r>
      <rPr>
        <sz val="11"/>
        <rFont val="Times New Roman"/>
        <family val="1"/>
      </rPr>
      <t>Reinforced  Earth  Wall  :-  Supplying  and  laying  of  50mm  to  90mm  wide  high  tensile polymeric  GeoStrap  consisting  of  discrete  channels  of  closely  packed  high  tenacity polyester  tendons  encased  in  a  Linear  Low-Density  Polyethylene  sheath  (LLDPE)  and having  minimum  25KN  up  to  100KN   and  a  maximum  12  pecent  elongation  at  break. Confirming to IRC SP 102 and MoRTH 3100 etc complete. As Directed by Engineer in
Charge.</t>
    </r>
  </si>
  <si>
    <t>Reinforced Soil Abutments:- Supplying and laying of high adherence and high adherence reinforced galvanized steel strips with transverse ribs, having minimum tensile strength of 490N/mm2 and yield strength of 355N/mm2 and minimum galvanization of 1000 grams per sqm as per  BSEN 10025 Grade 355JR, as per BBA certified system for construction of  Reinforced  Earth  walls  and  Pure  Abutments  and  Confirming  to  IS  4759  (For Galvanisation), IRC SP 102 (For Design), BSEN 10025 (For Grade of Steel) etc complete. As Directed by Engineer in Charge.</t>
  </si>
  <si>
    <r>
      <rPr>
        <sz val="11"/>
        <rFont val="Times New Roman"/>
        <family val="1"/>
      </rPr>
      <t>Providing and fixing kerbstone with led lighting system as per following specifications: dimensions  with  vertical  mounting  legs  with  10mm  horizontal  square  shape  mild  steel reinforcements.   Illuminated kerb stone having visible dimensions  :-500mm x 150mm x 150mm.(as per irc - 86-1983 ) 80mm legs having ms reinforcements shal be embedded in bt/concrete road surface.the kerb stone should have kerb angle of 45 degree, with rubber plugs  at  both  ends  of  the  kerbstones  (2  nos)having  load  carrying  capacity  -  vertical  : 1465kg, horizontal : 2349 (certified by govt. Recoganized bodies)having thermal stability -
:  -40  to  +120  degree  celcius  (certified  by  govt.  Recoganized  bodies.  Illuminated  kerb stones including : ingrace protection and connector rating ip67, electrical wire -(as per is: 694),  led  strip  (as  per  lm:80)  standard.  Including  for  electrical  fixing  -frp  junction  box consisting of - 10amp. Switch module power supply(smps)having  input voltage - 230v ac, output voltage 36v dc, 2 pole mcb. Illuminated kerb stones  having warranty for 3 years. illuminated  kerbstone  shall  be  fixed  into  cast-in-situ  cement  concrete  of  m20  grade  at base,   back  filling  and  grooves,  including  dismantling,  fixing,  removal  of  dismantled material  and  cleaning  etc.  Complete.  The  colour  of  kerb  stone  shall  be  provided  as directed by engineer in charge.</t>
    </r>
  </si>
  <si>
    <r>
      <rPr>
        <sz val="11"/>
        <rFont val="Times New Roman"/>
        <family val="1"/>
      </rPr>
      <t>Provinding and errecting 1.80m high Fix knot fencing Bezinal 2000 Type fencing having 16  Rows  of  2.40  mm Bezinal 2000  wire  on  M.S.  angle 50x50x5  mm embedded  in c  c block  of  1:4:8  of  size  450x450x910  mm  at  end  and  block  of  450x450x760  mm  at intermediate,  4.80m specing  of  pole  with  "S" clip  high  Tensile  Bezinal 2000  including pulling high tensile wire with 5 Tone capacity puller including finishing and scoat of oil
painting to M.S. angle etc. complete.</t>
    </r>
  </si>
  <si>
    <r>
      <rPr>
        <sz val="11"/>
        <rFont val="Times New Roman"/>
        <family val="1"/>
      </rPr>
      <t>Provinding and errecting 1.20m high Fix knot fencing Bezinal 2000 Type fencing having 11  Rows  of  2.40  mm Bezinal 2000  wire  on  M.S.  angle 50x50x5  mm embedded  in c  c block  of  1:4:8  of  size  450x450x910  mm  at  end  and  block  of  450x450x760  mm  at intermediate,  4.80m specing  of  pole  with  "S" clip  high  Tensile  Bezinal 2000  including pulling high tensile wire with 5 Tone capacity puller including finishing and scoat of oil
painting to M.S. angle etc. complete</t>
    </r>
  </si>
  <si>
    <r>
      <rPr>
        <sz val="11"/>
        <rFont val="Times New Roman"/>
        <family val="1"/>
      </rPr>
      <t xml:space="preserve">Providing  and  fixing  of  factory made  </t>
    </r>
    <r>
      <rPr>
        <b/>
        <sz val="11"/>
        <rFont val="Times New Roman"/>
        <family val="1"/>
      </rPr>
      <t xml:space="preserve">uPVC  Sliding  window  &amp;  door  </t>
    </r>
    <r>
      <rPr>
        <sz val="11"/>
        <rFont val="Times New Roman"/>
        <family val="1"/>
      </rPr>
      <t>(White  Colour) complete, comprising uPVC multi-chambered frame having in-built uPVC roller track on top and uPVC sash with wall thickness of 2.3mm (+-0.2 mm), duly reinforced with G.I. section  1.5 mm, wherever required.  uPVC window &amp; door profile shall be made in India &amp;  shall  conform  to  BS  EN  12608  and  other  standards  as  mentioned  below:       S.No. Name of the test          Test Method      Specified Parameter
1 Tensile Impact Strength     ISO 8256  - more than   700Kj/m2                              2 Vicat Softening Temperature EN ISO – 306 Shall not be &lt; 750C
3 Charpy Impact Strength EN ISO – 179-2 Shall not be &lt; 20KJ/m2
4 Flexural Modulus Elasticity EN ISO – 178 Shall not be &lt; 2200 N/mm2 5 Mean Breaking Stress for welded corner
(a) For the tensile bending test EN – 514 Shall not be &lt; 25 N/mm2
(b) For the compression bending test Shall not be &lt; 30N/mm2 6 Heat Reversion Test IS:4985-2000 Shall not be &gt; 2.0 %
7 Surface Spread of flame BS : 476 - Part 7 Classification 1
8 Ignitability Evaluation BS : 476 - Part 5 'P' Not easily ignitable 9 Tensile modulus ASTM D 638 Shall not be &lt; 35 MPa
10 Shear Modulus ASTM D 732 Shall not be &lt; 220 MPa 11 Tensile Strength EN ISO 527 Shall not be &lt; 30 MPa
All corners of frame and sash will be fusion welded. After placing 5 mm Float Annealed glass  in  the  sash,  uPVC  glazing  bead,  interlock,  EPDM  /  TPE  gasket,  brush  shall  be provided  including  touch  lock  and  rollers  &amp;  proper  drainage  system  shall  be  provided. Window / Door will be fixed to the wall with 100mm long and 8mm dia. Fasteners and complete in all respect as per direction of Engineer-In-Charge.  uPVC Window and Door Profiles  are  warranted  for  a  period  of  ten  (10)  years  against  non-uniform discoloration, wrapping and rotting under general use.</t>
    </r>
  </si>
  <si>
    <t>Square Meter</t>
  </si>
  <si>
    <r>
      <rPr>
        <sz val="11"/>
        <rFont val="Times New Roman"/>
        <family val="1"/>
      </rPr>
      <t>2 Track 2 / 4 Sash (Big Series) window frame of size 67 x 54 mm &amp; Sash of size 64 x 47
mm</t>
    </r>
  </si>
  <si>
    <r>
      <rPr>
        <sz val="11"/>
        <rFont val="Times New Roman"/>
        <family val="1"/>
      </rPr>
      <t>3 Track 3 / 6 Sash  (Big Series) window frame of size 122 x 54 mm &amp; Sash of size 64 x
47 mm</t>
    </r>
  </si>
  <si>
    <t>3 Track with Mesh-2 Glass Sash + 1 Mesh Sash (Each sash shall be half of width of window)  (Big Series) Window frame of size 122 x 54 mm &amp; Sash of size 64 x 47 mm.</t>
  </si>
  <si>
    <t>2 Track 2 / 4 Sash (Big Series) door frame of size 67 x 54 mm &amp; Sash of size 85 x 47 mm.</t>
  </si>
  <si>
    <r>
      <rPr>
        <sz val="11"/>
        <rFont val="Times New Roman"/>
        <family val="1"/>
      </rPr>
      <t xml:space="preserve">3 Track 3 / 6 Sash (Big Series) door frame of size 122 x 54 mm &amp; Sash of size 85 x 47
mm.        </t>
    </r>
  </si>
  <si>
    <r>
      <rPr>
        <sz val="11"/>
        <rFont val="Times New Roman"/>
        <family val="1"/>
      </rPr>
      <t xml:space="preserve">f) 3 Track with Mesh-2 Glass Sash + 1 Mesh Sash (Each sash shall be half of width of door)  (Big Series) Door frame of size 122 x 54 mm &amp; Door Sash ofsize 85 x 47mm &amp;
Mesh sash of size 85 x 47 mm.    </t>
    </r>
  </si>
  <si>
    <r>
      <rPr>
        <sz val="11"/>
        <rFont val="Times New Roman"/>
        <family val="1"/>
      </rPr>
      <t>Providing  and  fixing  of  factory  made  uPVC  casement  window  /  Fixed  Window  &amp; Casement  Door  (White  Colour)  comprising  uPVC  multi-chambered  frame,  Sash,  &amp; Mullion with wall thickness of 2.3mm (+-0.2 mm ),  duly reinforced with G.I. section 1.5 mm,  wherever  required.  uPVC  window  &amp;  door  profile  shall  be  made  in  India  &amp;  shall conform to BS EN 12608 and other standards as mentioned below:  S.No. Name of the test          Test Method      Specified Parameter
1 Tensile Impact Strength     ISO 8256  - more than   700Kj/m2                              2 Vicat Softening Temperature EN ISO – 306 Shall not be &lt; 750C
3 Charpy Impact Strength EN ISO – 179-2 Shall not be &lt; 20KJ/m2
4 Flexural Modulus Elasticity EN ISO – 178 Shall not be &lt; 2200 N/mm2 5 Mean Breaking Stress for welded corner
(a) For the tensile bending test EN – 514 Shall not be &lt; 25 N/mm2
(b) For the compression bending test Shall not be &lt; 30N/mm2 6 Heat Reversion Test IS:4985-2000 Shall not be &gt; 2.0 %
7 Surface Spread of flame BS : 476 - Part 7 Classification 1
8 Ignitability Evaluation BS : 476 - Part 5 'P' Not easily ignitable 9 Tensile modulus ASTM D 638 Shall not be &lt; 35 MPa
10 Shear Modulus ASTM D 732 Shall not be &lt; 220 MPa
11 Tensile Strength EN ISO 527 Shall not be &lt; 30 MPa.  All corners of frame and sash will be fusion welded. Mullion shall be welded / screwed. EPDM / TPE Gasket shall be provided  in  all  frame,  sash  &amp;  mullion,  wherever  necessary.Thereafter,  5  mm  Float Annealed  glass  shall  be  provided  in  the  sash  with  the  help  of  uPVC  glazing  bead  and hardware,  i.e.,  friction  hinge  &amp;  single  point  handle  (in  window)  &amp;  3D  Hinges  &amp; Multipoint  Lock  (in  door) shall be provided.  Window /  Door shall be fixed  to the  wall with 100mm long and 8mm dia. Fasteners and complete in all respect as per direction of Engineer-In-Charge.  uPVC Window and Door Profiles are warranted for a period of ten
(10) years against non-uniform discoloration, wrapping and rotting under general use.</t>
    </r>
  </si>
  <si>
    <r>
      <rPr>
        <sz val="11"/>
        <rFont val="Times New Roman"/>
        <family val="1"/>
      </rPr>
      <t>Casement Window (Big Series) frame of size 67 x 62 mm &amp; Sash / Mullion of size 67 x
78 mm.</t>
    </r>
  </si>
  <si>
    <r>
      <rPr>
        <sz val="11"/>
        <rFont val="Times New Roman"/>
        <family val="1"/>
      </rPr>
      <t xml:space="preserve">Casement Door (Big Series) frame of size 67 x 62 mm &amp; Door Sash of size 67 x 115 mm
&amp; Mullion (if required) of size 67 x 78 mm.  </t>
    </r>
  </si>
  <si>
    <r>
      <rPr>
        <sz val="11"/>
        <rFont val="Times New Roman"/>
        <family val="1"/>
      </rPr>
      <t>Fixed Window (Big Series) frame of size 67 x 62 mm &amp; Mullion (if required) of size 67 x
78 mm.</t>
    </r>
  </si>
  <si>
    <r>
      <rPr>
        <sz val="11"/>
        <rFont val="Times New Roman"/>
        <family val="1"/>
      </rPr>
      <t xml:space="preserve">Providing and fixing factory made </t>
    </r>
    <r>
      <rPr>
        <b/>
        <sz val="11"/>
        <rFont val="Times New Roman"/>
        <family val="1"/>
      </rPr>
      <t xml:space="preserve">uPVC twin sash casement glazed window and door </t>
    </r>
    <r>
      <rPr>
        <sz val="11"/>
        <rFont val="Times New Roman"/>
        <family val="1"/>
      </rPr>
      <t>(White  Colour)  comprising  of  two  shutters,  one  outward  opening having  glass and  one inward  opening  having  SS  Mesh  and  integrated  grill  provision  between  two  shutters. uPVC  multi-chambered  frame,  sash,  bugmesh  sash  and  mullion  (where  ever  required) extruded  profiles  with  wall  thickness  of  2.3mm  (+-0.2  mm)  duly  reinforced  with  G.I section 1.50 wherever required. uPVC window &amp; door profile shall be made in India &amp; shall conform to BS EN 12608 and other standards as mentioned below: S.No. Name of the test   Test Method   Specified Parameter
1 Tensile Impact Strength     ISO 8256  - more than   700Kj/m2                              2 Vicat Softening Temperature EN ISO – 306 Shall not be &lt; 750C
3 Charpy Impact Strength EN ISO – 179-2 Shall not be &lt; 20KJ/m2
4 Flexural Modulus Elasticity EN ISO – 178 Shall not be &lt; 2200 N/mm2 5 Mean Breaking Stress for welded corner
(a) For the tensile bending test EN – 514 Shall not be &lt; 25 N/mm2
(b) For the compression bending test Shall not be &lt; 30N/mm2 6 Heat Reversion Test IS:4985-2000 Shall not be &gt; 2.0 %
7 Surface Spread of flame BS : 476 - Part 7 Classification 1
8 Ignitability Evaluation BS : 476 - Part 5 'P' Not easily ignitable 9 Tensile modulus ASTM D 638 Shall not be &lt; 35 MPa
10 Shear Modulus ASTM D 732 Shall not be &lt; 220 MPa
11 Tensile Strength EN ISO 527 Shall not be &lt; 30 MPa.     All corners of frame and sash will be fusion welded. Mullion shall be welded / screwed. EPDM / TPE Gasket shall be provided  in  all  frame,  sash  &amp;  mullion,  wherever  necessary.Thereafter,  5  mm  Float Annealed  glass  shall  be  provided  in  the  sash  with  the  help  of  uPVC  glazing  bead  and hardware,  i.e.,  friction  hinge  &amp;  single  point  handle  (in  window)  &amp;  3D  Hinges  &amp; Multipoint  Lock  (in  door) shall be provided.  Window /  Door shall be fixed  to the  wall with 100mm long and 8mm dia. Fasteners and complete in all respect as per direction of Engineer-In-Charge.
uPVC Window and Door Profiles are warranted for a period of ten (10) years against non-</t>
    </r>
  </si>
  <si>
    <t>Twin Sash Casement Window frame of size 122 x 62 mm, sash 67 x 78 mm &amp; bug-mesh sash of 42 x 84 mm.</t>
  </si>
  <si>
    <t>Twin Sash Casement Door frame of size 122 x 62 mm, door sash 67 x 115 mm &amp; bug- mesh sash of 42 x 84 mm.</t>
  </si>
  <si>
    <r>
      <rPr>
        <sz val="11"/>
        <rFont val="Times New Roman"/>
        <family val="1"/>
      </rPr>
      <t xml:space="preserve">Providing and fixing of factory made </t>
    </r>
    <r>
      <rPr>
        <b/>
        <sz val="11"/>
        <rFont val="Times New Roman"/>
        <family val="1"/>
      </rPr>
      <t xml:space="preserve">uPVC Louver window </t>
    </r>
    <r>
      <rPr>
        <sz val="11"/>
        <rFont val="Times New Roman"/>
        <family val="1"/>
      </rPr>
      <t>(White Colour) comprising of  uPVC  multi-chambered  with  wall thickness  of  2.3mm (+-0.2  mm ),   duly reinforced with 1.5 mm thick G. I. Section. uPVC window &amp; door profile shall be made in India &amp; shall conform to BS EN 12608 and other standards as mentioned below: S.No. Name of the test        Test Method      Specifie Parameter
1 Tensile Impact Strength     ISO 8256  - more than   700Kj/m2                              2 Vicat Softening Temperature EN ISO – 306 Shall not be &lt; 750C
3 Charpy Impact Strength EN ISO – 179-2 Shall not be &lt; 20KJ/m2
4 Flexural Modulus Elasticity EN ISO – 178 Shall not be &lt; 2200 N/mm2 5 Mean Breaking Stress for welded corner
(a) For the tensile bending test EN – 514 Shall not be &lt; 25 N/mm2
(b) For the compression bending test Shall not be &lt; 30N/mm2 6 Heat Reversion Test IS:4985-2000 Shall not be &gt; 2.0 %
7 Surface Spread of flame BS : 476 - Part 7 Classification 1
8 Ignitability Evaluation BS : 476 - Part 5 'P' Not easily ignitable 9 Tensile modulus ASTM D 638 Shall not be &lt; 35 MPa
10 Shear Modulus ASTM D 732 Shall not be &lt; 220 MPa
11 Tensile Strength EN ISO 527 Shall not be &lt; 30 MPa.  All corners of frame shall be fusion welded. Both vertical sides of the frame, adjustable louver mechanism having one lever  or  fixed  louver  bracket  shall  be  fitted  with  the  of  4  mm  Frosted  Annealed  glass. Window will be fixed to the wall with 100mm long and 8mm dia. Fasteners and complete in all respect as per direction of Engineer-In-Charge.
uPVC Window and Door Profiles are warranted for a period of ten (10) years against non- uniform discoloration,wrapping and rotting under general use.
a.Louver Window (Big Series) frame of size 67 x 62 mm &amp; Mullion (if required) of size
67 x 78 mm.</t>
    </r>
  </si>
  <si>
    <r>
      <rPr>
        <sz val="11"/>
        <rFont val="Times New Roman"/>
        <family val="1"/>
      </rPr>
      <t xml:space="preserve">Providing and Fixing factory made </t>
    </r>
    <r>
      <rPr>
        <b/>
        <sz val="11"/>
        <rFont val="Times New Roman"/>
        <family val="1"/>
      </rPr>
      <t xml:space="preserve">PVC door frame </t>
    </r>
    <r>
      <rPr>
        <sz val="11"/>
        <rFont val="Times New Roman"/>
        <family val="1"/>
      </rPr>
      <t>made of PVC extruded sections of size 77 mm x 58 mm, having wall thickness 2.0 mm (± 0.2 mm). Both verticalssides of the frame reinforced with PVC profile of cross section size 29 mm x 31 mm x 2 mm thickness (± 0.2 mm) and 75 mm x 200 mm long, including reinforcing both ends of the top frame with  PVC  profile.  PVC  Door  Frame  and  PVC  reinforcement  profile  to  be  mitred  cut, jointed and fusion welded together, including providing and fixing 3 nos of 125 mm long stainless steel hinges to frame, fixing the frame with jamb with required nos &amp; sizes of anchor  dash  fastener,  all  complete  as  per  manufacturer's  specification  and  direction  of engineerin-charge.</t>
    </r>
  </si>
  <si>
    <r>
      <rPr>
        <sz val="11"/>
        <rFont val="Times New Roman"/>
        <family val="1"/>
      </rPr>
      <t xml:space="preserve">Providing and fixing 37 mm thick factory made </t>
    </r>
    <r>
      <rPr>
        <b/>
        <sz val="11"/>
        <rFont val="Times New Roman"/>
        <family val="1"/>
      </rPr>
      <t>PVC Door shutter</t>
    </r>
    <r>
      <rPr>
        <sz val="11"/>
        <rFont val="Times New Roman"/>
        <family val="1"/>
      </rPr>
      <t>, styles and rails made of PVC hollow extruded printed and laminated section having overall dimension 115 mm x 37 mm with wall thickness 2 mm (± 0.2 mm) with inbuilt beading on one side, the styles and rails mitred cut and joint at corners by inserting 2 nos PVC profile reinforcement of size  75  mm  x  200  mm  long  with  cross  section  size  of  29  mm  x  31  mm  having  wall thickness 2 mm (± 0.2 mm). Styles, rails and reinforcements to be fusion welded together. Only  hinge  side  vertical  style  to  be  reinforced  with  PVC  profile  reinforcement  in  full length.  Printed  and  laminated  PVC  lock  rail  of  size  110  mm  x  37  mm  having  wall thickness  2  mm  (±  0.2  mm)  to  be  welded  horizontally  with  the  vertical  styles  after inserting  PVC profile  reinforcement  as  in styles  and rails,  providing with  PVC snap  fit beading, panels of 100 x 20 mm printed &amp; laminated and inserting 2 nos 6 mm dia bright steel rod horizontally with both side threaded and tightened with check nuts and washers complete, all as per manufacturer's specification and direction of engineer-in-charge.</t>
    </r>
  </si>
  <si>
    <t>Finishing  upto  225  mm  thick  cement  concrete  laid  to  proper  level  and  slope  including compacting  finishing  with  tremix  treatment  for  paving  slab  with  compaction  by screed vibrator , removing excess water from the cement concrete by tremix vaccum dewatering system , finishing the surface with floater and trowel including all etc. complete as directed</t>
  </si>
  <si>
    <t>Procurement, Supply, Fabrication, Erection, Installation  of required height Sign Board to have a clear and legible visibility,  made with  100mm x  50mmx 5mm thick 'C' Channel Section, cross bracing in Angle section of size 35mm x 35mm x 5mm (wherever required) and  EPS  panels  of  thickness  75mm.  The  base  will  be  grouted  with  a  M20  grade  Plain Cement  concrete foundation of size  600mm x  600mm x  750mm etc  (Complete of  final size of visible area 10 ft height X ( 4ft horizontal X 4ft Vertical EPS Panel)</t>
  </si>
  <si>
    <t>Procurement, Supply, Fabrication, Erection, Installation  of required height Sign Board to have a clear and legible visibility,  made with  100mm x  50mmx 5mm thick 'C' Channel Section, cross bracing in Angle section of size 35mm x 35mm x 5mm (wherever required) and  EPS  panels  of  thickness  75mm.  The  base  will  be  grouted  with  a  M20  grade  Plain Cement concrete foundation of size 600mm x 600mm x 750 mm etc (Complete of final size of visible area 10 ft height X ( 3ft horizontal X 4ft Vertical EPS Panel)</t>
  </si>
  <si>
    <t>Procurement, Supply, Fabrication, Erection, Installation  of required height Sign Board to have a clear and legible visibility,  made with  100mm x  50mmx 5mm thick 'C' Channel Section, cross bracing in Angle section of size 35mm x 35mm x 5mm (wherever required) and  EPS  panels  of  thickness  75mm.  The  base  will  be  grouted  with  a  M20  grade  Plain Cement  concrete foundation of size 600mm x 600mm x 750mm etc (Complete.Of final size of visible area 10 ft height X ( 5ft horizontal X 4ft Vertical EPS Panel)</t>
  </si>
  <si>
    <t>Procurement, Supply, Fabrication, Erection, Installation  of required height Sign Board to have a clear and legible visibility,  made with  100mm x  50mmx 5mm thick 'C' Channel Section, cross bracing in Angle section of size 35mm x 35mm x 5mm (wherever required) and  EPS  panels  of  thickness  75mm.  The  base  will  be  grouted  with  a  M20  grade  Plain Cement  concrete foundation of size  600mm x  600mm x  750mm etc  (Complete of  final size of visible area 08 ft height X ( 4ft horizontal X 4ft Vertical EPS Panel)</t>
  </si>
  <si>
    <t>Procurement,  Supply,  Fabrication,  Erection,  Installation  (upto  20kms  lead  within  city limits)   of  required  height  Sign  Board  to  have  a  clear  and  legible  visibility,  made  with 100mm  x  50mmx  5mm  thick  Channel  Section,  cross  bracing  in  Angle  section  of  size 35mm x 35mm x 5mm (wherever required) and EPS panels of thickness 75mm. The base will  be  grouted  with  a  M20  grade  Plain  Cement  concrete  foundation  of  size  600mm  x 600mm x 750mm etc (Complete of final size of visible area 08 ft height X ( 3ft horizontal X 4ft Vertical EPS Panel)</t>
  </si>
  <si>
    <t>Procurement,  Supply,  Fabrication,  Erection,  Installation  (upto  20kms  lead  within  city limits)   of  required  height  Sign  Board  to  have  a  clear  and  legible  visibility,  made  with 100mm  x  50mmx  5mm  thick  Channel  Section,  cross  bracing  in  Angle  section  of  size 35mm x 35mm x 5mm (wherever required) and EPS panels of thickness 75mm. The base will  be  grouted  with  a  M20  grade  Plain  Cement  concrete  foundation  of  size  600mm  x 600mm  x  750mm  etc  (Complete  of  final  size  of  visible  area  08  ft  Vertical  X(  5ft horizontal X 4ft vertical) EPS panel</t>
  </si>
  <si>
    <t>Procurement,  Supply,  Fabrication,  Erection,  Installation  (upto  20kms  lead  within  city limits)   of  required  height  Sign  Board  to  have  a  clear  and  legible  visibility,  made  with 100mm  x  50mmx  5mm  thick  Channel  Section,  cross  bracing  in  Angle  section  of  size 35mm x 35mm x 5mm (wherever required) and EPS panels of thickness 75mm. The base will  be  grouted  with  a  M20  grade  Plain  Cement  concrete  foundation  of  size  600mm  x 600mm  x  750mm  etc  (Complete  of  final  size  of  visible  area  06  ft   Vertical  X  (4ft Horizonal X 4 Vertical)</t>
  </si>
  <si>
    <t>Procurement,  Supply,  Fabrication,  Erection,  Installation  (upto  20kms  lead  within  city limits)   of  required  height  Sign  Board  to  have  a  clear  and  legible  visibility,  made  with 100mm  x  50mmx  5mm  thick  Channel  Section,  cross  bracing  in  Angle  section  of  size 35mm x 35mm x 5mm (wherever required) and EPS panels of thickness 75mm. The base will  be  grouted  with  a  M20  grade  Plain  Cement  concrete  foundation  of  size  600mm  x 600mm x 750mm etc (Complete of final size of visible area 06 ft height X ( 3ft horizontal X 4ft Vertical EPS Panel)</t>
  </si>
  <si>
    <r>
      <rPr>
        <sz val="11"/>
        <rFont val="Times New Roman"/>
        <family val="1"/>
      </rPr>
      <t>Procurement, Supply, Installation of required height Sign Board to have a clear and legible visibility,  made with 150mm x 150mm size RCC Pole of M30 grade - 10ft height   and EPS panel of thickness 75mm having size 4  ft Horizontal X 4 ft. vertical. The base will be grouted with a M20 grade Plain Cement concrete foundation of size 600mm x 600mm
x 750mm etc</t>
    </r>
  </si>
  <si>
    <r>
      <rPr>
        <sz val="11"/>
        <rFont val="Times New Roman"/>
        <family val="1"/>
      </rPr>
      <t>Procurement, Supply, Installation of required height Sign Board to have a clear and legible visibility,  made with 150mm x 150mm size RCC Pole of M30 grade - 10ft height   and EPS panel of thickness 75mm having size 3  ft Horizontal X 4 ft. vertical. The base will be grouted with a M20 grade Plain Cement concrete foundation of size 600mm x 600mm
x 750mm etc</t>
    </r>
  </si>
  <si>
    <r>
      <rPr>
        <sz val="11"/>
        <rFont val="Times New Roman"/>
        <family val="1"/>
      </rPr>
      <t>Procurement, Supply, Installation of required height Sign Board to have a clear and legible visibility,  made with 150mm x 150mm size RCC Pole of M30 grade - 10ft height   and EPS panel of thickness 75mm having size 5  ft Horizontal X 4 ft. vertical. The base will be grouted with a M20 grade Plain Cement concrete foundation of size 600mm x 600mm
x 750mm etc</t>
    </r>
  </si>
  <si>
    <r>
      <rPr>
        <sz val="11"/>
        <rFont val="Times New Roman"/>
        <family val="1"/>
      </rPr>
      <t xml:space="preserve">Procurement, Supply, Installation of required height Sign Board to have a clear and legible visibility, made with 150mm x 150mm size RCC Pole of M30 grade - 8ft height and EPS panel of thickness  75mm having size 3  ft  Horizontal X  4 ft.  vertical. The  base will be grouted with a M20 grade Plain Cement concrete foundation of size 600mm x 600mm x
750mm etc  </t>
    </r>
  </si>
  <si>
    <r>
      <rPr>
        <sz val="11"/>
        <rFont val="Times New Roman"/>
        <family val="1"/>
      </rPr>
      <t xml:space="preserve">Procurement, Supply, Installation of required height Sign Board to have a clear and legible visibility, made with 150mm x 150mm size RCC Pole of M30 grade - 8ft height and EPS panel  of  thickness  75mm  having  size5   ft  Horizontal  X  4  ft.  vertical.  The  base  will  be grouted with a M20 grade Plain Cement concrete foundation of size 600mm x 600mm x
750mm etc  </t>
    </r>
  </si>
  <si>
    <r>
      <rPr>
        <sz val="11"/>
        <rFont val="Times New Roman"/>
        <family val="1"/>
      </rPr>
      <t xml:space="preserve">Procurement, Supply, Installation of required height Sign Board to have a clear and legible visibility, made with 150mm x 150mm size RCC Pole of M30 grade - 6ft height and EPS panel  of  thickness  75mm having  size  4  ft  Horizontal  X  4  ft.  vertical.  The  base  will  be grouted with a M20 grade Plain Cement concrete foundation of size 600mm x 600mm x
750mm etc  </t>
    </r>
  </si>
  <si>
    <r>
      <rPr>
        <sz val="11"/>
        <rFont val="Times New Roman"/>
        <family val="1"/>
      </rPr>
      <t xml:space="preserve">Procurement, Supply, Installation of required height Sign Board to have a clear and legible visibility, made with 150mm x 150mm size RCC Pole of M30 grade - 6ft height and EPS panel  of  thickness  75mm having  size  3  ft  Horizontal  X  4  ft.  vertical.  The  base  will  be grouted with a M20 grade Plain Cement concrete foundation of size 600mm x 600mm x
750mm etc  </t>
    </r>
  </si>
  <si>
    <r>
      <rPr>
        <sz val="11"/>
        <rFont val="Times New Roman"/>
        <family val="1"/>
      </rPr>
      <t xml:space="preserve">Procurement, Supply, Installation of required height Sign Board to have a clear and legible visibility, made with 150mm x 150mm size RCC Pole of M30 grade - 6ft height and EPS panel  of  thickness  75mm having  size  5  ft  Horizontal  X  4  ft.  vertical.  The  base  will  be grouted with a M20 grade Plain Cement concrete foundation of size 600mm x 600mm x
750mm etc  </t>
    </r>
  </si>
  <si>
    <t>SSR Mterial rate I.No.2/398</t>
  </si>
  <si>
    <t>Providing &amp; Supplying brick batts including all lift &amp; leads etc. Complete.</t>
  </si>
  <si>
    <t>Cum</t>
  </si>
  <si>
    <t>Brick batts</t>
  </si>
  <si>
    <t>DSD CSR FOR BOREWELL</t>
  </si>
  <si>
    <t>GSD ltr no 4985/ 2015 Dt. 4/12/2015 It. No. A 1</t>
  </si>
  <si>
    <t>Providing and fixing casing of 150 mm diameter of Cast Iron.ERW Medium class (IS: 1239) including lowering &amp; welding work 4.8 mm thick.</t>
  </si>
  <si>
    <t>Rmt</t>
  </si>
  <si>
    <t xml:space="preserve">Testing of Yield of water </t>
  </si>
  <si>
    <t>Job</t>
  </si>
  <si>
    <t xml:space="preserve">Chemical Analysis Testing charges for water ……… etc complete. </t>
  </si>
  <si>
    <t xml:space="preserve">Providing and fixing of cap of 150 mm dia for casing pipe (As per I.S.1239 )……… etc complete. </t>
  </si>
  <si>
    <t>Nos.</t>
  </si>
  <si>
    <t xml:space="preserve">Providing and fixing of socket of 150 mm dia for casing pipe (As per I.S.1239 )……… etc complete. </t>
  </si>
  <si>
    <t>PARKS &amp; GARDEN</t>
  </si>
  <si>
    <t>Schedule rates for HW Parks &amp; Garden 2016-17 It No 1 pg no.7</t>
  </si>
  <si>
    <t xml:space="preserve"> Preparing lawn - Excavating  the ground to a required depth of 30 cms, removing and conveying unwanted stuff to a required distance as directed. Filling fresh garden soil and mnure in excavated area in 2:1 proportion to  a height f 30 cms (Tank silt, manure and sand in 2:1, 1:2 proportion to a height of 35 cms for nagpur and Amravati Region) Mixing garden soil and manure throughly, well levelling, watering on previous heihgt planting required variety of lawn grass as directed and maintaining till well established by watering, weeding, clipping, rolling, etc complete. </t>
  </si>
  <si>
    <t>Sqm</t>
  </si>
  <si>
    <t>Schedule rates for HW Parks &amp; Garden 2016-17 It No 1 pg no.6</t>
  </si>
  <si>
    <t>Supplying roses ……. Etc complete.</t>
  </si>
  <si>
    <t>Schedule rates for HW Parks &amp; Garden 2016-17 It No 8 pg no 96</t>
  </si>
  <si>
    <t xml:space="preserve">Planting Small &amp; medium size ornamental / Flowering plant- Diggng pit with size 0.6m x 0.6m x 0.6m removing &amp; conveying unwanted stuff to required distance as directed. Filling the pit with fresh garden soil farm yard Manure up to height of 0.60m in 3 ;1  proportion  Mixing garden soil &amp; Manure thoroughly well, levelling, watering on previous night . Planting  one to two year old healthy plant saplings as per specification . maintaining till well established by watering , stirring of soil and manure  replacing casualities etc. complete. </t>
  </si>
  <si>
    <t xml:space="preserve">Preparing Shrubbery - Excavating  the ground to a required depth of 30 cms, removing and conveying unwanted stuff to a required distance as directed. Filling fresh garden soil and manure in excavated area in 3:1 proportion to  a height f 30 cms. Mixing garden soil &amp; Manure thoroughly well, levelling, watering on previous night . Planting well developed shrubs plant 0.50 mtrs apart as directed and maintaining till well established by watering , weeding stirring, replacing casualities etc. complete. </t>
  </si>
  <si>
    <t>Planting large flowering sheddy trees ( ht upto 2.00 mtrs) digging pits with size 0.90*0.90*0.90 removing unwanted stuff to required distance as directed, filling the pit with approved material upto a ht of 0.30 m and remaining height of 0.60 m with fresh garden soil and mannure in 1:3 proportion mixing soil and mannure throughly well, levelling as directed, watering  Previous night , planting 2 to 3 years minimum old - 2 m heighe ,healthy trees saplings as per specification, maintaining till well established , watering , weeding, streering of soil, replacing of casualties, etc complete.</t>
  </si>
  <si>
    <t>KITCHEN NON SSR ITEM</t>
  </si>
  <si>
    <t>K1</t>
  </si>
  <si>
    <t>Stainless Steel Work Table with Under shelf Providing, supplying, and installing factory-fabricated stainless steel work table of size 1800 mm (L) × 600 mm (W) × 850 mm (H), made from SS 304-grade, 1.2 mm thick sheet, including a 38 mm backsplash, sound-deadening top, and one under shelf with SS 304 square pipe framework. Table legs to be made of SS 304 round tube with adjustable nylon bullet feet. All joints shall be argon-arc welded, ground smooth, and finished in satin polis</t>
  </si>
  <si>
    <t>Nos</t>
  </si>
  <si>
    <t>K2</t>
  </si>
  <si>
    <t>Decorative pedestal Lights and shandilyer Providing and fixing decorative pedestal lights and shandilyer (Small) Height 0.90 mt. and diameter 0.45 mt. including all cables and wiring etc. complete</t>
  </si>
  <si>
    <t>K3</t>
  </si>
  <si>
    <t>4-Burner Cooking Range with Oven (Gas Operated)
Providing, supplying, and installing a commercial-grade 4-burner gas cooking range with integrated oven below, suitable for heavy-duty kitchen operations. The complete unit shall be fabricated from SS 304-grade stainless steel, including top, side panels, and oven chamber. The cooking range shall be fitted with four high-efficiency brass burners, each rated at 30,000 BTU, with individual pilot ignition and heat control knobs.The oven below shall be gas-operated, thermostat-controlled up to 300°C, and shall include SS-lined interiors with double-wall insulation, and adjustable wire racks. The entire unit shall rest on SS tubular legs with adjustable bullet feet, and all corners and edges shall be rounded for safety.
Approximate dimensions: 1200 mm (Length) × 750 mm (Width) × 850 mm (Height).</t>
  </si>
  <si>
    <t>K4</t>
  </si>
  <si>
    <t>Supplying and fixing wall bracket Light - Decorative type, suitable for indoor use. With fixture height of 1.5 feet (450 mm) and width of 6 inches (150mm) including suitable LED bulb (warm white or as approved) complete with all accessories such as mounting brackets.
screws, internal witing connection, and as per architect's direction. The fixture shall be mounted as standard height from floor level as directed. The work includes testing, commissioning and ensuring proper illumination and aesthetic fininsh</t>
  </si>
  <si>
    <t>K5</t>
  </si>
  <si>
    <t xml:space="preserve">Undercounted Refrigerator (2 Door)
Providing, delivering, and installing a 2-door undercounter refrigerator with an approximate capacity of not less than 250 litres, suitable for commercial kitchen use. The unit shall have both exterior and interior constructed from SS 304-grade stainless steel. The cooling system shall be ventilated (fan-forced), and the temperature maintained within a range of 0°C to +4°C, controlled by a digital electronic controller with LED display.
The unit shall use environment-friendly R290 refrigerant, and be equipped with automatic defrosting, lockable castor wheels for mobility, and magnetic gaskets for airtight sealing. The refrigerator shall include removable GN-compatible shelves and interior LED lighting for visibility.
Approximate dimensions: 1500 mm (L) × 700 mm (W) × 850 mm (H).
</t>
  </si>
  <si>
    <t>K6</t>
  </si>
  <si>
    <t>Three Sink Washing Unit
Providing, fabricating, and installing a three-compartment sink washing unit constructed entirely from 16-gauge (1.5 mm thick) SS 304-grade stainless steel. Each sink bowl shall measure 450 mm (L) × 450 mm (W) × 300 mm (D). The unit shall include integral drainboards on both ends and a 150 mm high rear SS splashback across the entire length.
The entire sink assembly shall be supported on 38 mm diameter SS 304 tubular legs with adjustable nylon bullet feet for levelling. The unit shall be provided with proper outlet connection for drain pipe and provision for hot and cold water taps over each sink bowl.</t>
  </si>
  <si>
    <t>K7</t>
  </si>
  <si>
    <t xml:space="preserve">Exhaust Hood with Filters &amp; Ducting
Supplying, fabricating, and erecting a commercial kitchen exhaust hood of size 3000 mm (L) × 900 mm (D) × 600 mm (H), fabricated entirely from SS 304-grade stainless steel (20–22 gauge). The hood shall be provided with removable stainless steel baffle filters, built-in grease collection traps, and recessed LED light fittings suitable for kitchen environments.
The system shall include galvanized iron (GI) ducting of 22-gauge thickness, complete with necessary bends, supports, and wall penetrations. A centrifugal blower motor of 1.5 HP capacity, delivering a minimum airflow of 1000 CFM, shall be provided along with vibration isolators, canvas (flexible) connectors, and all necessary installation hardware. The system shall be tested and commissioned to ensure proper extraction, minimal vibration, and noise control..
</t>
  </si>
  <si>
    <t>K8</t>
  </si>
  <si>
    <t>SS Storage Rack – 4 Tier
Providing, fabricating, and placing in position a 4-tier stainless steel storage rack of overall size 1200 mm (Length) × 600 mm (Depth) × 1800 mm (Height), suitable for commercial kitchen or pantry use. The frame shall be constructed using 38 mm diameter SS 304-grade round pipe, and the shelves shall be made from 1.2 mm thick SS 304 sheet, all edges rounded and burr-free for safety.
Each of the four shelves shall be rigidly supported and capable of bearing a uniformly distributed load of at least 75 kg. The entire rack shall stand on SS legs with adjustable nylon bullet feet for levelling on uneven floors. All welds to be argon-arc welded, ground smooth, and polished to satin finish</t>
  </si>
  <si>
    <t>K9</t>
  </si>
  <si>
    <t>Tandoor (Gas Operated)
Providing, supplying, and installing a gas-operated tandoor suitable for commercial kitchen use. The inner chamber shall be made of high-grade clay, properly cured and insulated, while the outer body shall be fabricated from SS 304-grade stainless steel for hygiene and durability. The unit shall include a stainless steel skewer stand, gas control knobs, and pilot ignition with flame control for safe and efficient operation.The tandoor shall be mounted on heavy-duty caster wheels with locking mechanism for easy mobility. It shall be fitted with commercial-grade gas burners, designed for even heat distribution, and tested for safety and durability.Approximate dimensions: 900 mm (L) × 750 mm (W) × 900 mm (H).</t>
  </si>
  <si>
    <t>K10</t>
  </si>
  <si>
    <t xml:space="preserve">Bain-Marie Hot Holding Counter
Providing, fabricating, and placing in position a bain-marie hot holding service counter, suitable for commercial kitchens and buffet service. The unit shall be made entirely from SS 304-grade stainless steel, with overall dimensions of 1500 mm (Length) × 750 mm (Depth) × 850 mm (Height).
The bain-marie section shall be equipped with GN 1/1 pans (minimum 150 mm deep), fitted over an SS water tank with immersion-type electric heating elements and thermostatic temperature control (range: 30°C to 90°C). The top surface shall be SS 304 with insulated construction, and a lower shelf shall be provided for storage. A front service counter and a clear acrylic or toughened glass sneeze guard shall be integrated into the design. All electrical components must be ISI/CE-certified.
</t>
  </si>
  <si>
    <t>K11</t>
  </si>
  <si>
    <t xml:space="preserve">Cold Room – Walk-in Chiller (Modular)
Designing, supplying, and installing a modular-type walk-in cold room of internal size approx. 3000 mm (L) × 3000 mm (W) × 2400 mm (H), comprising PUF-insulated wall, ceiling, and floor panels. Wall and ceiling panels shall be 60 mm thick, PUF-filled, density 40 ± 2 kg/m³, laminated with pre-painted galvanized steel or SS sheet, and joined with a cam-lock system for quick assembly. The floor shall be insulated with 50–60 mm thick PUF panels, finished with either anti-skid aluminium checker plate (2–3 mm thick) or SS 304 sheet (1.5 mm thick) as specified, suitable for foot and trolley traffic. Installation shall include vapour barrier tape, PU sealant, and aluminium edge trim. The cold room shall have a SS-clad hinged door with magnetic gasket, locking handle, and internal emergency release. The refrigeration unit shall be remote-type, consisting of a scroll compressor, air-cooled condenser, ceiling-mounted evaporator fans, and temperature control panel with digital display, high/low pressure safety cut-outs, and all protective devices. System temperature range: 0°C to +4°C. Scope includes refrigerant copper piping, drain connection, electrical cabling, vibration isolators, and all related accessories. Complete installation, testing, and commissioning shall be done as per standards
</t>
  </si>
  <si>
    <t>K12</t>
  </si>
  <si>
    <t>Combi Oven – 6 Tray (Electric) and Hood-Type Dishwasher
Supplying, installing, testing, and commissioning of a 6-tray electric combi oven and a hood-type commercial dishwasher, both designed for continuous use in a professional commercial kitchen environment. The combi oven shall be constructed entirely from SS 304-grade stainless steel, both internally and externally, with smooth rounded internal corners for hygiene and ease of cleaning. The unit shall support three cooking modes—convection, steam, and a combination of both—with digital touchscreen controls for adjusting temperature (range: 30°C to 300°C), humidity, cooking time, and multi-stage programmable cycles. It shall accommodate 6 GN 1/1 pans, properly spaced to ensure airflow, and be equipped with an integrated steam generator, core temperature probe, automatic cleaning system with detergent dosing, double-glazed viewing door, and IPX4-rated safety thermostat. The oven shall be supplied with 6 perforated GN 1/1 pans, 6 solid pans, a Teflon-coated baking tray, a 1,500 L water softener, and a stainless steel stacking stand. Power supply shall be 9–12 kW, 3-phase, and the make shall be from Rational, Convotherm, Electrolux, UNOX, or equivalent CE-certified brand.The hood-type commercial dishwasher shall also be made of SS 304 with a minimum capacity of 30 racks/hour, equipped with a 500 mm × 500 mm rack, upper and lower rinse and wash arms, digital temperature control, built-in chemical dosing pumps, and an integrated booster heater. The dishwasher shall have wash cycles of 60/120 seconds and be provided with an inlet table (with integrated SS sink) and outlet table for efficient workflow. All required plumbing, electrical connections with MCBs and earthing, drain piping, and other accessories shall be included in the scope of installation. The complete system shall be delivered, tested, and commissioned on site, and a minimum one-year comprehensive warranty for parts and labour shall be provided, along with staff training and operational handover. Optional extended AMC to be quoted separately.</t>
  </si>
  <si>
    <t>K13</t>
  </si>
  <si>
    <t>Commercial Hood-Type Dishwasher (Additional)
Supplying, installing, testing, and commissioning a commercial hood-type dishwasher suitable for heavy-duty use in a professional kitchen. The unit shall be fabricated entirely from SS 304-grade stainless steel, with a minimum throughput capacity of 30 racks per hour, and a wash cycle time of 60/120 seconds. The dishwasher shall be provided with a 500 mm × 500 mm dish rack, upper and lower wash and rinse arms, and a digital temperature control system to monitor both wash and rinse temperatures.
The system shall include integrated chemical dosing pumps for detergent and rinse aid, a booster heater for final rinse temperature compliance, and a starter control panel with necessary protections. The unit shall operate on a power load of 6–9 kW, suitable for 3-phase electrical connection.
Scope includes supply and installation of inlet table with integrated stainless steel sink, outlet table for clean rack drying, water softener unit, and complete plumbing and drain connections, along with electrical cabling, MCBs, and earthing. The machine shall be delivered fully functional, tested, and commissioned at site, complete with operation manual and basic user training.</t>
  </si>
  <si>
    <t>K14</t>
  </si>
  <si>
    <t>Platform Trolley – 3 Tier
Providing, fabricating, and delivering a 3-tier platform trolley constructed from SS 304-grade stainless steel, suitable for transport of food, utensils, or kitchen equipment. The trolley shall have three stainless steel shelves of 1.2 mm thickness with folded safety edges on all sides. Each shelf shall be properly welded and supported by vertical SS square tube frame, with an overall dimension of 900 mm (L) × 600 mm (W) × 900 mm (H).The trolley shall be mounted on four heavy-duty swivel castor wheels (minimum 100 mm diameter), two of which shall have brakes, with nylon or PU wheels and SS brackets. An ergonomic SS handle shall be provided for easy movement. The unit shall have a minimum load-bearing capacity of 100 kg with evenly distributed weight.</t>
  </si>
  <si>
    <t>K15</t>
  </si>
  <si>
    <t>Food Pick-up Counter (Hot &amp; Cold)
Providing, fabricating, and placing in position a food pick-up counter with integrated hot and cold bain-marie sections, suitable for commercial and institutional kitchens or buffet service. The counter shall be fabricated entirely from SS 304-grade stainless steel, including top, frame, sneeze guard, and support structure. The unit shall accommodate 8 GN 1/1 pans total—4 hot + 4 cold.
•	The hot section shall be heated using electric immersion heating elements with a thermostat control (30°C–90°C) and water tank system for even heat distribution.
•	The cold section shall operate on a forced air refrigeration system with a remote or under-counter condensing unit, capable of maintaining temperatures between +2°C and +8°C, controlled via a digital thermostat.
Countertop shall be SS 304 sheet (minimum 1.2 mm thick), supported on a 38 mm × 38 mm SS square pipe frame, with a clear acrylic or toughened glass sneeze guard, one under-shelf, and adjustable bullet feet for levelling. Overall dimensions shall be approx. 2400 mm (L) × 750 mm (D) × 850 mm (H).</t>
  </si>
  <si>
    <t>K16</t>
  </si>
  <si>
    <t xml:space="preserve">16	Waste Collection Table with Bin Holes
Providing, fabricating, supplying, and installing a waste collection table made from SS 304-grade stainless steel, of overall dimensions 1500 mm (L) × 750 mm (W) × 850 mm (H), designed for hygienic collection of food waste and tray management in commercial kitchens or cafeteria setups. The table top shall be fabricated using minimum 1.5 mm thick SS 304 sheet, with 2 nos. circular bin cut-outs (approx. 250 mm diameter each), having smoothly finished, rounded edges. The table shall include an under shelf made from SS 304 (minimum 1.2 mm thick) for tray or bin storage, and shall be supported on 38 mm diameter SS tubular legs with adjustable bullet feet. All welds shall be argon-arc welded, edges folded down and polished smooth. The area beneath the cut-outs shall allow for easy bin placement and removal without obstruction. Unit shall be delivered fully fabricated and ready to use on-site.
</t>
  </si>
  <si>
    <t>K17</t>
  </si>
  <si>
    <t>Wall-mounted SS Shelves
Supplying, fabricating, and fixing wall-mounted stainless steel shelves, consisting of two tiers, each measuring 1200 mm (L) × 300 mm (D), fabricated from SS 304-grade stainless steel. Shelves shall be made from 1.2 mm thick SS sheet, with smooth folded edges and satin finish.Each shelf shall be supported on SS 304 triangular wall brackets (minimum 2 per shelf), and fixed securely to the wall using anchor fasteners with PVC sleeves/buffers to prevent vibration and wall damage. The system shall be designed to support a minimum load of 20–30 kg per shelf, uniformly distributed.All edges shall be rounded and polished to avoid injury. Final installation shall be plumb, level, and securely fastened, ensuring durability and safe load handling</t>
  </si>
  <si>
    <t>FUNITUER</t>
  </si>
  <si>
    <t>F1</t>
  </si>
  <si>
    <r>
      <rPr>
        <b/>
        <sz val="9"/>
        <rFont val="Aptos Narrow"/>
        <family val="2"/>
      </rPr>
      <t>LUXURY DINING TABLE :-</t>
    </r>
    <r>
      <rPr>
        <sz val="9"/>
        <rFont val="Aptos Narrow"/>
        <family val="2"/>
      </rPr>
      <t xml:space="preserve">
Providing, fabricating, and installing a premium luxury dining table measuring approximately 2400 mm (length) × 1100 mm (width) × 760 mm (height), comprising a table top made from 12 mm thick acrylic-based solid surface material such as LG Hi-Macs, Corian, or equivalent. The surface shall be seamless, factory-finished in matte or satin texture, and compliant with BIS IS:2046 for thermosetting resin laminate standards, with added properties of UV stability, stain resistance, and food-grade safety. The table top shall feature precision CNC-cut brass inlay work embedded into the surface in a geometric or Art Deco pattern, with lacquer coating for tarnish resistance and long-term durability. The table top shall be supported on a pedestal or trestle-style base, fabricated from either PU-coated solid teak wood conforming to IS:1328 or powder-coated mild steel conforming to IS:13871. All structural joinery shall use branded adhesives (IS:848 compliant) and stainless steel fasteners (SS-304, IS:1367), with concealed fixings and anti-skid base pads. Edges of the table shall be bevelled or chamfered, machine-finished, and polished for a smooth profile. All finishing shall be carried out in a dust-free, factory-controlled environment using satin PU or polyester coatings, compliant with IS:8652 and CPWD General Specifications. The complete unit shall be subject to approval by the Engineer-in-Charge for aesthetics, finish quality, and structural stability</t>
    </r>
  </si>
  <si>
    <t>Clearing grass and removal of rubbish up to a distance of 50 metres outside the periphery
of the area .</t>
  </si>
  <si>
    <t>Providing  leak  proof  treatment  by  Injection   grouting  method   to  old   floor  without removing  tiles  of  W.C.,  bath,  with  cement  sand  proportion  of  1:1.5  and  waterproofing compound  at  2  Kilogram/bag   of   cement   mixed   in   35   liters   of   water   including drilling  holes  in  required position grouting with above mixed solution and ceiling etc.
complete.</t>
  </si>
  <si>
    <t>Cleaning  elevated  water  storage  Reservoir  within  a  given  period,  by  using  bleaching powder at the rate of 14 gm/sq.m .washing thrice potassium permanganate at the rate of
2.50  gm/sq.m.  finally,  cleaning  washing  by  using  nylon  brush,  coir  string  and  duster, bailing out water etc. complete.             i)Tank capacity up to 2,000 litre.</t>
  </si>
  <si>
    <t>Providing  and  fixing  on  walls  /ceiling/  floor  40  mm  dia.  CPVC  pipe  with  necessary fittings, remaking good the demolished portion etc. complete. Including removing existing pipe line if necessary and conveying and stacking the same in PWD chowky or as directed
etc. complete.</t>
  </si>
  <si>
    <t>Dismantling  brick  masonry  in  lime  or  cement  mortar  and  stacking  the  materils  as
directed with all leads, lifts etc.</t>
  </si>
  <si>
    <t>Providing   and   applying   two   coats   of   exterior    weather   shield   paint   of   approved manufacture  and   of   approved   colour   to   the   plastered   surfaces   including   cleaning
,preparing   the   plaster  surface  ,applying  primer  coat  ,scaffolding  if  necessary,  and watering the surface for two days etc  complete. NOTE:   For
Item One Number 15 to 18 prior approval of Superintending Engineer will be necessary</t>
  </si>
  <si>
    <t>Providing and laying jointless Polydee-LM, a highly flexible elastometric coating for RCC
/ cementitious surface for terrace waterproofing on B.B. Coba / R.C.C, after application of TP-  42  Primer  on  perfectly  clean  surface  (free  from  loose  dust  and  foreign  matter) application of 1st coat of Polydee-LM @ 700 gms/ One Square Metre and applying 2nd coat  of  Polydee-LM  @  700  gms/  One  Square  Metre  and  finishing  the  same  with sprinkling the AG-10 granules on the wet coating. (After finishing covering the treatment with 25mm cement plaster for protection with fibrillated 6mm Plyplast fibre @ 125 gms/ One Square Metre to be paid in separate item.) covering 7 years guarantee on Court Fee Stamp Paper of Rs. 100/- etc. complete.</t>
  </si>
  <si>
    <t>Providing  and  fixing  45  cm  wide  mild  steel  ladder  of  40mm  x  6  mm  mild  steel  flat stringers and  steps  of  18  mm  dia.  mild  steel  bar  for  water  tank  including  fixing  it in   (1:2:4)   M-15  cement   concrete   block   60cm   x   30cm   x   30cm   and   painting   the ladder  complete.  (Anti
Corossive Paint)</t>
  </si>
  <si>
    <t>Cleaning  elevated  water  storage  Reservoir  within  a  given  period,  by  using  bleaching powder at the rate of 14 gm/sq.m .washing thrice potassium permanganate at the rate of
2.50  gm/sq.m.  finally,  cleaning  washing  by  using  nylon  brush,  coir  string  and  duster, bailing out water etc. complete.                   ix) Tank capacity up to 40,001 to 50000 litre.</t>
  </si>
  <si>
    <t>Excavation  for  foundation  in  hard  murum including  removing  the  excavated  material upto distance  of  50  metres  beyond  the  building  area  and  stacking  and  spreading  as directed,  dewatering,   preparing   the   bed   for   the   foundation   and   necessary   back filling,  ramming, watering  including  shoring  and  strutting  etc.  complete.  (Lift  upto
1.50  m)  By  Mechanical Means</t>
  </si>
  <si>
    <t>Providing and fixing in position. (as per I.S.1868 / 1982) Aluminium sliding window of two tracks  with  rectangular  pipe having overall  dimension  63.50  x  38.10  x  1.02  mm at  weight 0.547 Kilogram/One Running Metre. and window frame bottom track section
61.85 x 31.75 x 1.20 mm at  weight  0.695  Kilogram/One Running Metre.  Top  and  side track section  61.85  x  31.75  x 1.30 mm at weight 0.659 Kilogram/One Running Metre. The  shutter   should   be  of   bearing   bottom   40  x   18  x   1.25  mm   at   weight   0.417 Kilogram/One Running Metre. Inter locking section 40 x 18 x 1.10 mm at weight 0.469 Kilogram/One Running Metre. And handle section 40 x 18 x 1.25 mm at weight 0.417 Kilogram/One  Running  Metre.  and  top  section  40  x  18  x  1.25  mm  at  weight  0.417 Kilogram/Running  metre.  As  per  detailed  drawings  and  as  directed  by  Engineer  in charge  with  all  necessary  Aluminium  sections  fixtures  and  fastenings  such  as  roller bearing  in  nylon  casting  and  self  locking  catch  fitted  in  vertical  section  of  shutter including  5 mm thick plain glass with all required screws and nuts  etc, complete.  With powder coating with box</t>
  </si>
  <si>
    <t>Providing and  fixing in  position  (as  per  1868  /  1982)  Aluminium sliding window  of three tracks with rectangular pipe 95 x 38.10 x 0.90 mm at weight 0.637 Kilogram/One Running Metre. with   window   frame   bottom   track   section   92   x   31.75   x   1.30 mm   at   weight   1.070 Kilogram/One Running Metre.. Top and side track section 92 x
31.75 x 1.30 mm at weight 0.933 Kilogram/Running  metre.  The  shutter  should  be  of bearing  bottom  40  x  18  x  1.25  mm  at weight 0.417  Kilogram/One Running Metre. Inter locking section 40  x 18  x 1.10  mm at  weight 0.469  Kilogram/Running   metre. and    handle    and    top    section    40    x    18    x    1.25    mm   at    weight   0.417 Kilogram/Running     metre.     As     per     detailed     drawings     and     as     directed     by Engineerincharge with all necessary Aluminium sections fixtures and fastenings such as roller bearing in nylon casting and self locking catch fitted  in vertical section of shutter including 5 mm  thick  plain  glass  and  aluminium  mosquito  net  shutter  with  stainless steel  jail  with  all required screws and nuts etc, complete. With powder coating with box</t>
  </si>
  <si>
    <t>Providing  and  applying  two  coats  of  synthetic  enamel paint  of  approved  colour  to  new
/old structural steel work and wood work in buildings, including scaffolding if necessary, cleaning and preparing the surface (excluding primer coat) etc. complete.</t>
  </si>
  <si>
    <t>Providing  and   fixing  on   walls/ceiling/floor  20   mm  dia.   CPVC  pipe  with   necessary fittings, remaking good the demolished portion etc. complete. Including removing existing pipe line if necessary and conveying and stacking the same in PWD chowky or as directed
etc. complete.</t>
  </si>
  <si>
    <t>Providing and laying matt finish ceramic tiles of   having size 30 cm x 30 cm confirming to I.S.15622/2006 (group D II-A) and 7 to 8 mm thick for flooring in required position laid on a bed of 1:4 cement mortar including cement float, filling joint with white/colour
cement slurry cleaning curing etc. complete.</t>
  </si>
  <si>
    <t>Providing  internal  cement  plaster  20mm  thick  in   Single  coats  in  cement  mortar  1:5 without neeru finish, to concrete, brick surface, in all positions including scaffolding and
curing etc. complete</t>
  </si>
  <si>
    <t>Providing   and   fixing   P.V.C.   Rain   water   pipes   of   110mm   outer   diameter   and having  wall thickness  of  2.2  to  2.7  mm  confirming  to  I.S.  13592-1992  including proper   rainwater  receiving  recess  with  P.V.C.  plug,  bend,  necessary  fittings,  such  as, offsets, shoes, inluding fixing the pipe on wall using approved wooden cleats projecting 25mm to 40mm from face of wall a fixing with clips of approved quality and One Number
,filing the joint using rubber gasket with  solvent cement  and  properly  resting  the  shoe of  pipes  on  C.C.  or  masonry  blocks, including necessary scaffolding and maintenance for 3 yrs for any leakages or dislocations of pipes. All the P.V.C. fittings and additional 2 piece socket clips shall be got approved from engineer in charge etc. complete.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</si>
</sst>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 #,##0.00_ ;_ * \-#,##0.00_ ;_ * &quot;-&quot;??_ ;_ @_ "/>
    <numFmt numFmtId="164" formatCode="_(&quot;$&quot;* #,##0.00_);_(&quot;$&quot;* \(#,##0.00\);_(&quot;$&quot;* &quot;-&quot;??_);_(@_)"/>
    <numFmt numFmtId="165" formatCode="_(* #,##0.00_);_(* \(#,##0.00\);_(* &quot;-&quot;??_);_(@_)"/>
    <numFmt numFmtId="166" formatCode="0.000"/>
    <numFmt numFmtId="167" formatCode="0.0000"/>
    <numFmt numFmtId="168" formatCode="0.00000"/>
    <numFmt numFmtId="169" formatCode="0.00000000"/>
    <numFmt numFmtId="170" formatCode="0.0"/>
    <numFmt numFmtId="171" formatCode="&quot;@&quot;&quot;#&quot;\,&quot;#&quot;&quot;#&quot;&quot;#&quot;&quot;&lt;&quot;"/>
    <numFmt numFmtId="172" formatCode="&quot;&lt;&quot;0"/>
    <numFmt numFmtId="173" formatCode="&quot;@&quot;0.0"/>
    <numFmt numFmtId="174" formatCode="_([$€]* #,##0.00_);_([$€]* \(#,##0.00\);_([$€]* &quot;-&quot;??_);_(@_)"/>
    <numFmt numFmtId="175" formatCode="_([$€-2]* #,##0.00_);_([$€-2]* \(#,##0.00\);_([$€-2]* &quot;-&quot;??_)"/>
    <numFmt numFmtId="176" formatCode="mm/dd/yy"/>
  </numFmts>
  <fonts count="93" x14ac:knownFonts="1">
    <font>
      <sz val="10"/>
      <name val="Arial"/>
      <family val="2"/>
    </font>
    <font>
      <sz val="11"/>
      <color theme="1"/>
      <name val="Calibri"/>
      <family val="2"/>
      <scheme val="minor"/>
    </font>
    <font>
      <sz val="11"/>
      <color rgb="FFFF0000"/>
      <name val="Calibri"/>
      <family val="2"/>
      <scheme val="minor"/>
    </font>
    <font>
      <sz val="10"/>
      <name val="Arial"/>
      <family val="2"/>
    </font>
    <font>
      <b/>
      <sz val="11"/>
      <name val="Times New Roman"/>
      <family val="1"/>
    </font>
    <font>
      <b/>
      <sz val="11"/>
      <color rgb="FFFF0000"/>
      <name val="Times New Roman"/>
      <family val="1"/>
    </font>
    <font>
      <sz val="11"/>
      <color rgb="FF000000"/>
      <name val="Times New Roman"/>
      <family val="1"/>
    </font>
    <font>
      <sz val="9"/>
      <color rgb="FFFF0000"/>
      <name val="Times New Roman"/>
      <family val="1"/>
    </font>
    <font>
      <b/>
      <sz val="10"/>
      <name val="Times New Roman"/>
      <family val="1"/>
    </font>
    <font>
      <b/>
      <sz val="10"/>
      <color rgb="FF006600"/>
      <name val="Times New Roman"/>
      <family val="1"/>
    </font>
    <font>
      <b/>
      <sz val="9"/>
      <name val="Times New Roman"/>
      <family val="1"/>
    </font>
    <font>
      <b/>
      <sz val="9"/>
      <color rgb="FFFF0000"/>
      <name val="Times New Roman"/>
      <family val="1"/>
    </font>
    <font>
      <sz val="10"/>
      <color rgb="FF000000"/>
      <name val="Times New Roman"/>
      <family val="1"/>
    </font>
    <font>
      <b/>
      <sz val="9"/>
      <name val="Calibri"/>
      <family val="2"/>
      <scheme val="minor"/>
    </font>
    <font>
      <b/>
      <sz val="9"/>
      <color rgb="FFFF0000"/>
      <name val="Calibri"/>
      <family val="2"/>
      <scheme val="minor"/>
    </font>
    <font>
      <sz val="11"/>
      <name val="Times New Roman"/>
      <family val="1"/>
    </font>
    <font>
      <sz val="11"/>
      <color rgb="FFFF0000"/>
      <name val="Times New Roman"/>
      <family val="1"/>
    </font>
    <font>
      <sz val="11"/>
      <color rgb="FF000000"/>
      <name val="Times New Roman"/>
      <family val="2"/>
    </font>
    <font>
      <sz val="11"/>
      <name val="Arial"/>
      <family val="2"/>
    </font>
    <font>
      <sz val="11"/>
      <name val="Times New Roman"/>
      <family val="2"/>
    </font>
    <font>
      <sz val="7.5"/>
      <color rgb="FF000000"/>
      <name val="Times New Roman"/>
      <family val="2"/>
    </font>
    <font>
      <sz val="7.5"/>
      <name val="Times New Roman"/>
      <family val="1"/>
    </font>
    <font>
      <sz val="10"/>
      <name val="Cambria"/>
      <family val="1"/>
      <scheme val="major"/>
    </font>
    <font>
      <b/>
      <sz val="14"/>
      <color rgb="FFFF0000"/>
      <name val="Cambria"/>
      <family val="1"/>
      <scheme val="major"/>
    </font>
    <font>
      <sz val="9"/>
      <color rgb="FFFF0000"/>
      <name val="Cambria"/>
      <family val="1"/>
      <scheme val="major"/>
    </font>
    <font>
      <sz val="10"/>
      <color rgb="FFCC00CC"/>
      <name val="Cambria"/>
      <family val="1"/>
      <scheme val="major"/>
    </font>
    <font>
      <b/>
      <sz val="10"/>
      <name val="Cambria"/>
      <family val="1"/>
      <scheme val="major"/>
    </font>
    <font>
      <b/>
      <sz val="11"/>
      <name val="Calibri"/>
      <family val="2"/>
      <scheme val="minor"/>
    </font>
    <font>
      <sz val="11"/>
      <name val="Calibri"/>
      <family val="2"/>
      <scheme val="minor"/>
    </font>
    <font>
      <b/>
      <sz val="12"/>
      <color rgb="FFFF0000"/>
      <name val="Cambria"/>
      <family val="1"/>
      <scheme val="major"/>
    </font>
    <font>
      <b/>
      <sz val="11"/>
      <color rgb="FFFF0000"/>
      <name val="Calibri"/>
      <family val="2"/>
      <scheme val="minor"/>
    </font>
    <font>
      <b/>
      <sz val="11"/>
      <color rgb="FFFF0000"/>
      <name val="Cambria"/>
      <family val="1"/>
      <scheme val="major"/>
    </font>
    <font>
      <u/>
      <sz val="11"/>
      <name val="Times New Roman"/>
      <family val="1"/>
    </font>
    <font>
      <u/>
      <sz val="11"/>
      <name val="Times New Roman"/>
      <family val="2"/>
    </font>
    <font>
      <b/>
      <sz val="12"/>
      <color rgb="FFFF0000"/>
      <name val="Times New Roman"/>
      <family val="1"/>
    </font>
    <font>
      <b/>
      <sz val="14"/>
      <color rgb="FFFF0000"/>
      <name val="Times New Roman"/>
      <family val="1"/>
    </font>
    <font>
      <sz val="12"/>
      <name val="Times New Roman"/>
      <family val="1"/>
    </font>
    <font>
      <sz val="12"/>
      <color theme="1"/>
      <name val="Calibri"/>
      <family val="2"/>
      <scheme val="minor"/>
    </font>
    <font>
      <sz val="12"/>
      <name val="Times New Roman"/>
      <family val="2"/>
    </font>
    <font>
      <sz val="10"/>
      <name val="Times New Roman"/>
      <family val="1"/>
    </font>
    <font>
      <b/>
      <sz val="16"/>
      <color rgb="FFFF0000"/>
      <name val="Times New Roman"/>
      <family val="1"/>
    </font>
    <font>
      <b/>
      <sz val="16"/>
      <color rgb="FFFF0000"/>
      <name val="Cambria"/>
      <family val="1"/>
      <scheme val="major"/>
    </font>
    <font>
      <b/>
      <sz val="11"/>
      <color rgb="FFFF0000"/>
      <name val="Algerian"/>
      <family val="5"/>
    </font>
    <font>
      <sz val="10"/>
      <color rgb="FFFF0000"/>
      <name val="Algerian"/>
      <family val="5"/>
    </font>
    <font>
      <b/>
      <sz val="10"/>
      <color rgb="FFFF0000"/>
      <name val="Algerian"/>
      <family val="5"/>
    </font>
    <font>
      <sz val="9"/>
      <color rgb="FF000000"/>
      <name val="Times New Roman"/>
      <family val="1"/>
    </font>
    <font>
      <sz val="11"/>
      <name val="Nirmala UI"/>
      <family val="2"/>
    </font>
    <font>
      <b/>
      <sz val="10"/>
      <color rgb="FFFF0000"/>
      <name val="Calibri"/>
      <family val="2"/>
    </font>
    <font>
      <sz val="10"/>
      <color theme="1"/>
      <name val="Calibri"/>
      <family val="2"/>
    </font>
    <font>
      <sz val="9"/>
      <name val="Times New Roman"/>
      <family val="1"/>
    </font>
    <font>
      <sz val="9"/>
      <color theme="1"/>
      <name val="Book Antiqua"/>
      <family val="1"/>
    </font>
    <font>
      <sz val="10"/>
      <color theme="1"/>
      <name val="Book Antiqua"/>
      <family val="1"/>
    </font>
    <font>
      <b/>
      <sz val="11"/>
      <color rgb="FFFF0000"/>
      <name val="Book Antiqua"/>
      <family val="1"/>
    </font>
    <font>
      <sz val="9"/>
      <color rgb="FF000000"/>
      <name val="Aptos Narrow"/>
      <family val="2"/>
    </font>
    <font>
      <sz val="9"/>
      <color theme="1"/>
      <name val="Aptos Narrow"/>
      <family val="2"/>
    </font>
    <font>
      <b/>
      <sz val="9"/>
      <color rgb="FFFF0000"/>
      <name val="Aptos Narrow"/>
      <family val="2"/>
    </font>
    <font>
      <sz val="9"/>
      <name val="Aptos Narrow"/>
      <family val="2"/>
    </font>
    <font>
      <sz val="9"/>
      <color rgb="FFFF0000"/>
      <name val="Aptos Narrow"/>
      <family val="2"/>
    </font>
    <font>
      <b/>
      <sz val="9"/>
      <color rgb="FF000000"/>
      <name val="Aptos"/>
      <family val="2"/>
    </font>
    <font>
      <b/>
      <sz val="9"/>
      <name val="Aptos Narrow"/>
      <family val="2"/>
    </font>
    <font>
      <b/>
      <sz val="11"/>
      <color rgb="FF006600"/>
      <name val="Times New Roman"/>
      <family val="1"/>
    </font>
    <font>
      <sz val="11"/>
      <color indexed="8"/>
      <name val="Calibri"/>
      <family val="2"/>
    </font>
    <font>
      <sz val="11"/>
      <color indexed="9"/>
      <name val="Calibri"/>
      <family val="2"/>
    </font>
    <font>
      <sz val="11"/>
      <color indexed="20"/>
      <name val="Calibri"/>
      <family val="2"/>
    </font>
    <font>
      <sz val="10"/>
      <color indexed="8"/>
      <name val="Arial"/>
      <family val="2"/>
    </font>
    <font>
      <b/>
      <sz val="11"/>
      <color indexed="52"/>
      <name val="Calibri"/>
      <family val="2"/>
    </font>
    <font>
      <b/>
      <sz val="11"/>
      <color indexed="9"/>
      <name val="Calibri"/>
      <family val="2"/>
    </font>
    <font>
      <sz val="10"/>
      <name val="MS Serif"/>
      <family val="1"/>
    </font>
    <font>
      <sz val="10"/>
      <color indexed="16"/>
      <name val="MS Serif"/>
      <family val="1"/>
    </font>
    <font>
      <sz val="10"/>
      <name val="Arial"/>
      <family val="2"/>
      <charset val="1"/>
    </font>
    <font>
      <i/>
      <sz val="11"/>
      <color indexed="23"/>
      <name val="Calibri"/>
      <family val="2"/>
    </font>
    <font>
      <sz val="11"/>
      <color indexed="17"/>
      <name val="Calibri"/>
      <family val="2"/>
    </font>
    <font>
      <sz val="8"/>
      <name val="Arial"/>
      <family val="2"/>
    </font>
    <font>
      <b/>
      <sz val="12"/>
      <name val="Arial"/>
      <family val="2"/>
    </font>
    <font>
      <b/>
      <sz val="15"/>
      <color indexed="56"/>
      <name val="Calibri"/>
      <family val="2"/>
    </font>
    <font>
      <b/>
      <sz val="13"/>
      <color indexed="56"/>
      <name val="Calibri"/>
      <family val="2"/>
    </font>
    <font>
      <b/>
      <sz val="11"/>
      <color indexed="56"/>
      <name val="Calibri"/>
      <family val="2"/>
    </font>
    <font>
      <u/>
      <sz val="11"/>
      <color indexed="12"/>
      <name val="Calibri"/>
      <family val="2"/>
    </font>
    <font>
      <u/>
      <sz val="10"/>
      <color indexed="12"/>
      <name val="Arial"/>
      <family val="2"/>
    </font>
    <font>
      <sz val="11"/>
      <color indexed="62"/>
      <name val="Calibri"/>
      <family val="2"/>
    </font>
    <font>
      <sz val="11"/>
      <color indexed="52"/>
      <name val="Calibri"/>
      <family val="2"/>
    </font>
    <font>
      <sz val="11"/>
      <color indexed="60"/>
      <name val="Calibri"/>
      <family val="2"/>
    </font>
    <font>
      <sz val="10"/>
      <name val="Book Antiqua"/>
      <family val="1"/>
    </font>
    <font>
      <sz val="12"/>
      <name val="Arial"/>
      <family val="2"/>
    </font>
    <font>
      <sz val="11"/>
      <color theme="1"/>
      <name val="Century Gothic"/>
      <family val="2"/>
    </font>
    <font>
      <sz val="10"/>
      <color theme="1"/>
      <name val="Calibri"/>
      <family val="2"/>
      <scheme val="minor"/>
    </font>
    <font>
      <b/>
      <sz val="11"/>
      <color indexed="63"/>
      <name val="Calibri"/>
      <family val="2"/>
    </font>
    <font>
      <sz val="8"/>
      <name val="Helv"/>
    </font>
    <font>
      <b/>
      <sz val="10"/>
      <name val="Arial"/>
      <family val="2"/>
    </font>
    <font>
      <b/>
      <sz val="8"/>
      <color indexed="8"/>
      <name val="Helv"/>
    </font>
    <font>
      <b/>
      <sz val="18"/>
      <color indexed="56"/>
      <name val="Cambria"/>
      <family val="2"/>
    </font>
    <font>
      <b/>
      <sz val="11"/>
      <color indexed="8"/>
      <name val="Calibri"/>
      <family val="2"/>
    </font>
    <font>
      <sz val="11"/>
      <color indexed="10"/>
      <name val="Calibri"/>
      <family val="2"/>
    </font>
  </fonts>
  <fills count="33">
    <fill>
      <patternFill patternType="none"/>
    </fill>
    <fill>
      <patternFill patternType="gray125"/>
    </fill>
    <fill>
      <patternFill patternType="solid">
        <fgColor rgb="FFDCE8E1"/>
        <bgColor indexed="64"/>
      </patternFill>
    </fill>
    <fill>
      <patternFill patternType="solid">
        <fgColor rgb="FFA8C8A9"/>
        <bgColor indexed="64"/>
      </patternFill>
    </fill>
    <fill>
      <patternFill patternType="solid">
        <fgColor theme="9" tint="0.59999389629810485"/>
        <bgColor indexed="64"/>
      </patternFill>
    </fill>
    <fill>
      <patternFill patternType="solid">
        <fgColor rgb="FFFF0000"/>
        <bgColor indexed="64"/>
      </patternFill>
    </fill>
    <fill>
      <patternFill patternType="solid">
        <fgColor rgb="FFFFFF00"/>
        <bgColor indexed="64"/>
      </patternFill>
    </fill>
    <fill>
      <patternFill patternType="solid">
        <fgColor theme="0"/>
        <bgColor indexed="64"/>
      </patternFill>
    </fill>
    <fill>
      <patternFill patternType="solid">
        <fgColor theme="5" tint="0.7999816888943144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64"/>
      </patternFill>
    </fill>
    <fill>
      <patternFill patternType="solid">
        <fgColor indexed="26"/>
        <bgColor indexed="64"/>
      </patternFill>
    </fill>
    <fill>
      <patternFill patternType="solid">
        <fgColor indexed="43"/>
      </patternFill>
    </fill>
    <fill>
      <patternFill patternType="solid">
        <fgColor indexed="26"/>
      </patternFill>
    </fill>
  </fills>
  <borders count="36">
    <border>
      <left/>
      <right/>
      <top/>
      <bottom/>
      <diagonal/>
    </border>
    <border>
      <left/>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style="thin">
        <color rgb="FF9900FF"/>
      </left>
      <right style="thin">
        <color rgb="FF9900FF"/>
      </right>
      <top style="thin">
        <color rgb="FF000000"/>
      </top>
      <bottom style="thin">
        <color theme="9" tint="-0.24994659260841701"/>
      </bottom>
      <diagonal/>
    </border>
    <border>
      <left style="thin">
        <color auto="1"/>
      </left>
      <right style="thin">
        <color auto="1"/>
      </right>
      <top style="thin">
        <color theme="0" tint="-0.499984740745262"/>
      </top>
      <bottom style="thin">
        <color theme="0" tint="-0.499984740745262"/>
      </bottom>
      <diagonal/>
    </border>
    <border>
      <left style="thin">
        <color rgb="FF9900FF"/>
      </left>
      <right style="thin">
        <color rgb="FF000000"/>
      </right>
      <top style="thin">
        <color rgb="FF000000"/>
      </top>
      <bottom style="thin">
        <color theme="9" tint="-0.24994659260841701"/>
      </bottom>
      <diagonal/>
    </border>
    <border>
      <left style="thin">
        <color rgb="FF9900FF"/>
      </left>
      <right style="thin">
        <color rgb="FF9900FF"/>
      </right>
      <top style="thin">
        <color theme="9" tint="-0.24994659260841701"/>
      </top>
      <bottom style="thin">
        <color theme="9" tint="-0.24994659260841701"/>
      </bottom>
      <diagonal/>
    </border>
    <border>
      <left style="thin">
        <color rgb="FF9900FF"/>
      </left>
      <right style="thin">
        <color rgb="FF000000"/>
      </right>
      <top style="thin">
        <color theme="9" tint="-0.24994659260841701"/>
      </top>
      <bottom style="thin">
        <color theme="9" tint="-0.24994659260841701"/>
      </bottom>
      <diagonal/>
    </border>
    <border>
      <left style="thin">
        <color rgb="FF000000"/>
      </left>
      <right style="thin">
        <color rgb="FF9900FF"/>
      </right>
      <top style="thin">
        <color theme="9" tint="-0.24994659260841701"/>
      </top>
      <bottom style="thin">
        <color theme="9" tint="-0.24994659260841701"/>
      </bottom>
      <diagonal/>
    </border>
    <border>
      <left style="thin">
        <color rgb="FFFFC000"/>
      </left>
      <right style="thin">
        <color rgb="FFFFC000"/>
      </right>
      <top style="thin">
        <color rgb="FF00B050"/>
      </top>
      <bottom style="thin">
        <color rgb="FF00B050"/>
      </bottom>
      <diagonal/>
    </border>
    <border>
      <left style="thin">
        <color rgb="FF000000"/>
      </left>
      <right/>
      <top/>
      <bottom/>
      <diagonal/>
    </border>
    <border>
      <left style="thin">
        <color indexed="64"/>
      </left>
      <right style="thin">
        <color indexed="64"/>
      </right>
      <top style="thin">
        <color theme="9" tint="0.39994506668294322"/>
      </top>
      <bottom style="thin">
        <color theme="9" tint="0.39994506668294322"/>
      </bottom>
      <diagonal/>
    </border>
    <border>
      <left style="thin">
        <color rgb="FF9900FF"/>
      </left>
      <right/>
      <top style="thin">
        <color theme="9" tint="-0.24994659260841701"/>
      </top>
      <bottom style="thin">
        <color theme="9" tint="-0.2499465926084170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style="thin">
        <color indexed="64"/>
      </right>
      <top style="hair">
        <color indexed="64"/>
      </top>
      <bottom style="hair">
        <color indexed="64"/>
      </bottom>
      <diagonal/>
    </border>
    <border>
      <left style="thin">
        <color auto="1"/>
      </left>
      <right style="thin">
        <color auto="1"/>
      </right>
      <top style="thin">
        <color auto="1"/>
      </top>
      <bottom style="thin">
        <color auto="1"/>
      </bottom>
      <diagonal/>
    </border>
    <border>
      <left style="thin">
        <color theme="9" tint="0.39997558519241921"/>
      </left>
      <right style="thin">
        <color theme="9" tint="0.39997558519241921"/>
      </right>
      <top style="thin">
        <color theme="9" tint="0.39997558519241921"/>
      </top>
      <bottom style="thin">
        <color theme="9" tint="0.39997558519241921"/>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medium">
        <color indexed="64"/>
      </top>
      <bottom style="medium">
        <color indexed="64"/>
      </bottom>
      <diagonal/>
    </border>
    <border>
      <left/>
      <right/>
      <top style="thin">
        <color auto="1"/>
      </top>
      <bottom style="thin">
        <color auto="1"/>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s>
  <cellStyleXfs count="359">
    <xf numFmtId="0" fontId="0" fillId="0" borderId="0"/>
    <xf numFmtId="165" fontId="3" fillId="0" borderId="0" applyFont="0" applyFill="0" applyBorder="0" applyAlignment="0" applyProtection="0"/>
    <xf numFmtId="0" fontId="3" fillId="0" borderId="0"/>
    <xf numFmtId="0" fontId="1" fillId="0" borderId="0"/>
    <xf numFmtId="0" fontId="3" fillId="0" borderId="0"/>
    <xf numFmtId="0" fontId="1" fillId="0" borderId="0"/>
    <xf numFmtId="0" fontId="3" fillId="0" borderId="0"/>
    <xf numFmtId="0" fontId="61" fillId="9" borderId="0" applyNumberFormat="0" applyBorder="0" applyAlignment="0" applyProtection="0"/>
    <xf numFmtId="0" fontId="61" fillId="10" borderId="0" applyNumberFormat="0" applyBorder="0" applyAlignment="0" applyProtection="0"/>
    <xf numFmtId="0" fontId="61" fillId="11" borderId="0" applyNumberFormat="0" applyBorder="0" applyAlignment="0" applyProtection="0"/>
    <xf numFmtId="0" fontId="61" fillId="12" borderId="0" applyNumberFormat="0" applyBorder="0" applyAlignment="0" applyProtection="0"/>
    <xf numFmtId="0" fontId="61" fillId="13" borderId="0" applyNumberFormat="0" applyBorder="0" applyAlignment="0" applyProtection="0"/>
    <xf numFmtId="0" fontId="61" fillId="14" borderId="0" applyNumberFormat="0" applyBorder="0" applyAlignment="0" applyProtection="0"/>
    <xf numFmtId="0" fontId="61" fillId="15" borderId="0" applyNumberFormat="0" applyBorder="0" applyAlignment="0" applyProtection="0"/>
    <xf numFmtId="0" fontId="61" fillId="16" borderId="0" applyNumberFormat="0" applyBorder="0" applyAlignment="0" applyProtection="0"/>
    <xf numFmtId="0" fontId="61" fillId="17" borderId="0" applyNumberFormat="0" applyBorder="0" applyAlignment="0" applyProtection="0"/>
    <xf numFmtId="0" fontId="61" fillId="12" borderId="0" applyNumberFormat="0" applyBorder="0" applyAlignment="0" applyProtection="0"/>
    <xf numFmtId="0" fontId="61" fillId="15" borderId="0" applyNumberFormat="0" applyBorder="0" applyAlignment="0" applyProtection="0"/>
    <xf numFmtId="0" fontId="61" fillId="18" borderId="0" applyNumberFormat="0" applyBorder="0" applyAlignment="0" applyProtection="0"/>
    <xf numFmtId="0" fontId="62" fillId="19" borderId="0" applyNumberFormat="0" applyBorder="0" applyAlignment="0" applyProtection="0"/>
    <xf numFmtId="0" fontId="62" fillId="16" borderId="0" applyNumberFormat="0" applyBorder="0" applyAlignment="0" applyProtection="0"/>
    <xf numFmtId="0" fontId="62" fillId="17" borderId="0" applyNumberFormat="0" applyBorder="0" applyAlignment="0" applyProtection="0"/>
    <xf numFmtId="0" fontId="62" fillId="20" borderId="0" applyNumberFormat="0" applyBorder="0" applyAlignment="0" applyProtection="0"/>
    <xf numFmtId="0" fontId="62" fillId="21" borderId="0" applyNumberFormat="0" applyBorder="0" applyAlignment="0" applyProtection="0"/>
    <xf numFmtId="0" fontId="62" fillId="22" borderId="0" applyNumberFormat="0" applyBorder="0" applyAlignment="0" applyProtection="0"/>
    <xf numFmtId="0" fontId="62" fillId="23" borderId="0" applyNumberFormat="0" applyBorder="0" applyAlignment="0" applyProtection="0"/>
    <xf numFmtId="0" fontId="62" fillId="24" borderId="0" applyNumberFormat="0" applyBorder="0" applyAlignment="0" applyProtection="0"/>
    <xf numFmtId="0" fontId="62" fillId="25" borderId="0" applyNumberFormat="0" applyBorder="0" applyAlignment="0" applyProtection="0"/>
    <xf numFmtId="0" fontId="62" fillId="20" borderId="0" applyNumberFormat="0" applyBorder="0" applyAlignment="0" applyProtection="0"/>
    <xf numFmtId="0" fontId="62" fillId="21" borderId="0" applyNumberFormat="0" applyBorder="0" applyAlignment="0" applyProtection="0"/>
    <xf numFmtId="0" fontId="62" fillId="26" borderId="0" applyNumberFormat="0" applyBorder="0" applyAlignment="0" applyProtection="0"/>
    <xf numFmtId="171" fontId="3" fillId="0" borderId="0" applyFont="0" applyFill="0" applyBorder="0" applyProtection="0">
      <alignment vertical="center"/>
    </xf>
    <xf numFmtId="171" fontId="3" fillId="0" borderId="0" applyFont="0" applyFill="0" applyBorder="0" applyProtection="0">
      <alignment vertical="center"/>
    </xf>
    <xf numFmtId="171" fontId="3" fillId="0" borderId="0" applyFont="0" applyFill="0" applyBorder="0" applyProtection="0">
      <alignment vertical="center"/>
    </xf>
    <xf numFmtId="171" fontId="3" fillId="0" borderId="0" applyFont="0" applyFill="0" applyBorder="0" applyProtection="0">
      <alignment vertical="center"/>
    </xf>
    <xf numFmtId="171" fontId="3" fillId="0" borderId="0" applyFont="0" applyFill="0" applyBorder="0" applyProtection="0">
      <alignment vertical="center"/>
    </xf>
    <xf numFmtId="171" fontId="3" fillId="0" borderId="0" applyFont="0" applyFill="0" applyBorder="0" applyProtection="0">
      <alignment vertical="center"/>
    </xf>
    <xf numFmtId="0" fontId="63" fillId="10" borderId="0" applyNumberFormat="0" applyBorder="0" applyAlignment="0" applyProtection="0"/>
    <xf numFmtId="172" fontId="3" fillId="0" borderId="0" applyFont="0" applyFill="0" applyBorder="0" applyProtection="0">
      <alignment vertical="center"/>
    </xf>
    <xf numFmtId="0" fontId="64" fillId="0" borderId="0" applyFill="0" applyBorder="0" applyAlignment="0"/>
    <xf numFmtId="0" fontId="65" fillId="27" borderId="25" applyNumberFormat="0" applyAlignment="0" applyProtection="0"/>
    <xf numFmtId="0" fontId="65" fillId="27" borderId="25" applyNumberFormat="0" applyAlignment="0" applyProtection="0"/>
    <xf numFmtId="0" fontId="66" fillId="28" borderId="26" applyNumberFormat="0" applyAlignment="0" applyProtection="0"/>
    <xf numFmtId="165" fontId="3" fillId="0" borderId="0" applyFont="0" applyFill="0" applyBorder="0" applyAlignment="0" applyProtection="0"/>
    <xf numFmtId="0"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1" fillId="0" borderId="0" applyFont="0" applyFill="0" applyBorder="0" applyAlignment="0" applyProtection="0"/>
    <xf numFmtId="165" fontId="61" fillId="0" borderId="0" applyFont="0" applyFill="0" applyBorder="0" applyAlignment="0" applyProtection="0"/>
    <xf numFmtId="165" fontId="61"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0"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0" fontId="67" fillId="0" borderId="0" applyNumberFormat="0" applyAlignment="0">
      <alignment horizontal="left"/>
    </xf>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73" fontId="3" fillId="0" borderId="0" applyFont="0" applyFill="0" applyBorder="0" applyProtection="0">
      <alignment horizontal="left" vertical="center"/>
    </xf>
    <xf numFmtId="173" fontId="3" fillId="0" borderId="0" applyFont="0" applyFill="0" applyBorder="0" applyProtection="0">
      <alignment horizontal="left" vertical="center"/>
    </xf>
    <xf numFmtId="173" fontId="3" fillId="0" borderId="0" applyFont="0" applyFill="0" applyBorder="0" applyProtection="0">
      <alignment horizontal="left" vertical="center"/>
    </xf>
    <xf numFmtId="173" fontId="3" fillId="0" borderId="0" applyFont="0" applyFill="0" applyBorder="0" applyProtection="0">
      <alignment horizontal="left" vertical="center"/>
    </xf>
    <xf numFmtId="173" fontId="3" fillId="0" borderId="0" applyFont="0" applyFill="0" applyBorder="0" applyProtection="0">
      <alignment horizontal="left" vertical="center"/>
    </xf>
    <xf numFmtId="173" fontId="3" fillId="0" borderId="0" applyFont="0" applyFill="0" applyBorder="0" applyProtection="0">
      <alignment horizontal="left" vertical="center"/>
    </xf>
    <xf numFmtId="0" fontId="68" fillId="0" borderId="0" applyNumberFormat="0" applyAlignment="0">
      <alignment horizontal="left"/>
    </xf>
    <xf numFmtId="174" fontId="3" fillId="0" borderId="0" applyFont="0" applyFill="0" applyBorder="0" applyAlignment="0" applyProtection="0">
      <alignment vertical="top" wrapText="1"/>
    </xf>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175" fontId="3" fillId="0" borderId="0" applyFont="0" applyFill="0" applyBorder="0" applyAlignment="0" applyProtection="0"/>
    <xf numFmtId="0" fontId="69" fillId="0" borderId="0"/>
    <xf numFmtId="0" fontId="70" fillId="0" borderId="0" applyNumberFormat="0" applyFill="0" applyBorder="0" applyAlignment="0" applyProtection="0"/>
    <xf numFmtId="0" fontId="71" fillId="11" borderId="0" applyNumberFormat="0" applyBorder="0" applyAlignment="0" applyProtection="0"/>
    <xf numFmtId="38" fontId="72" fillId="29" borderId="0" applyNumberFormat="0" applyBorder="0" applyAlignment="0" applyProtection="0"/>
    <xf numFmtId="0" fontId="73" fillId="0" borderId="27" applyNumberFormat="0" applyAlignment="0" applyProtection="0">
      <alignment horizontal="left" vertical="center"/>
    </xf>
    <xf numFmtId="0" fontId="73" fillId="0" borderId="28">
      <alignment horizontal="left" vertical="center"/>
    </xf>
    <xf numFmtId="0" fontId="74" fillId="0" borderId="29" applyNumberFormat="0" applyFill="0" applyAlignment="0" applyProtection="0"/>
    <xf numFmtId="0" fontId="75" fillId="0" borderId="30" applyNumberFormat="0" applyFill="0" applyAlignment="0" applyProtection="0"/>
    <xf numFmtId="0" fontId="76" fillId="0" borderId="31" applyNumberFormat="0" applyFill="0" applyAlignment="0" applyProtection="0"/>
    <xf numFmtId="0" fontId="76" fillId="0" borderId="0" applyNumberFormat="0" applyFill="0" applyBorder="0" applyAlignment="0" applyProtection="0"/>
    <xf numFmtId="0" fontId="77" fillId="0" borderId="0" applyNumberFormat="0" applyFill="0" applyBorder="0" applyAlignment="0" applyProtection="0"/>
    <xf numFmtId="0" fontId="78" fillId="0" borderId="0" applyNumberFormat="0" applyFill="0" applyBorder="0" applyAlignment="0" applyProtection="0"/>
    <xf numFmtId="10" fontId="72" fillId="30" borderId="23" applyNumberFormat="0" applyBorder="0" applyAlignment="0" applyProtection="0"/>
    <xf numFmtId="0" fontId="79" fillId="14" borderId="25" applyNumberFormat="0" applyAlignment="0" applyProtection="0"/>
    <xf numFmtId="0" fontId="79" fillId="14" borderId="25" applyNumberFormat="0" applyAlignment="0" applyProtection="0"/>
    <xf numFmtId="173" fontId="3" fillId="0" borderId="0" applyFont="0" applyFill="0" applyBorder="0" applyProtection="0">
      <alignment horizontal="left" vertical="center"/>
    </xf>
    <xf numFmtId="173" fontId="3" fillId="0" borderId="0" applyFont="0" applyFill="0" applyBorder="0" applyProtection="0">
      <alignment horizontal="left" vertical="center"/>
    </xf>
    <xf numFmtId="173" fontId="3" fillId="0" borderId="0" applyFont="0" applyFill="0" applyBorder="0" applyProtection="0">
      <alignment horizontal="left" vertical="center"/>
    </xf>
    <xf numFmtId="173" fontId="3" fillId="0" borderId="0" applyFont="0" applyFill="0" applyBorder="0" applyProtection="0">
      <alignment horizontal="left" vertical="center"/>
    </xf>
    <xf numFmtId="173" fontId="3" fillId="0" borderId="0" applyFont="0" applyFill="0" applyBorder="0" applyProtection="0">
      <alignment horizontal="left" vertical="center"/>
    </xf>
    <xf numFmtId="173" fontId="3" fillId="0" borderId="0" applyFont="0" applyFill="0" applyBorder="0" applyProtection="0">
      <alignment horizontal="left" vertical="center"/>
    </xf>
    <xf numFmtId="0" fontId="80" fillId="0" borderId="32" applyNumberFormat="0" applyFill="0" applyAlignment="0" applyProtection="0"/>
    <xf numFmtId="0" fontId="80" fillId="0" borderId="32" applyNumberFormat="0" applyFill="0" applyAlignment="0" applyProtection="0"/>
    <xf numFmtId="0" fontId="80" fillId="0" borderId="32" applyNumberFormat="0" applyFill="0" applyAlignment="0" applyProtection="0"/>
    <xf numFmtId="0" fontId="80" fillId="0" borderId="32" applyNumberFormat="0" applyFill="0" applyAlignment="0" applyProtection="0"/>
    <xf numFmtId="0" fontId="3" fillId="0" borderId="0">
      <alignment horizontal="left" vertical="top" wrapText="1"/>
      <protection hidden="1"/>
    </xf>
    <xf numFmtId="0" fontId="81" fillId="31" borderId="0" applyNumberFormat="0" applyBorder="0" applyAlignment="0" applyProtection="0"/>
    <xf numFmtId="0" fontId="1" fillId="0" borderId="0"/>
    <xf numFmtId="0" fontId="3" fillId="0" borderId="0">
      <alignment vertical="top"/>
    </xf>
    <xf numFmtId="0" fontId="3" fillId="0" borderId="0"/>
    <xf numFmtId="0" fontId="1" fillId="0" borderId="0"/>
    <xf numFmtId="0" fontId="1" fillId="0" borderId="0"/>
    <xf numFmtId="0" fontId="1" fillId="0" borderId="0"/>
    <xf numFmtId="0" fontId="3" fillId="0" borderId="0"/>
    <xf numFmtId="0" fontId="3" fillId="0" borderId="0">
      <alignment vertical="top"/>
    </xf>
    <xf numFmtId="0" fontId="3" fillId="0" borderId="0">
      <alignment vertical="top"/>
    </xf>
    <xf numFmtId="0" fontId="3" fillId="0" borderId="0"/>
    <xf numFmtId="0" fontId="3" fillId="0" borderId="0"/>
    <xf numFmtId="0" fontId="3" fillId="0" borderId="0"/>
    <xf numFmtId="0" fontId="3" fillId="0" borderId="0"/>
    <xf numFmtId="0" fontId="3" fillId="0" borderId="0"/>
    <xf numFmtId="0" fontId="82" fillId="0" borderId="0"/>
    <xf numFmtId="0" fontId="82" fillId="0" borderId="0"/>
    <xf numFmtId="0" fontId="8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1" fillId="0" borderId="0"/>
    <xf numFmtId="0" fontId="39" fillId="0" borderId="0"/>
    <xf numFmtId="0" fontId="3" fillId="0" borderId="0"/>
    <xf numFmtId="0" fontId="3" fillId="0" borderId="0"/>
    <xf numFmtId="0" fontId="3" fillId="0" borderId="0"/>
    <xf numFmtId="0" fontId="1" fillId="0" borderId="0"/>
    <xf numFmtId="0" fontId="3" fillId="0" borderId="0"/>
    <xf numFmtId="0" fontId="1" fillId="0" borderId="0"/>
    <xf numFmtId="0" fontId="1" fillId="0" borderId="0"/>
    <xf numFmtId="0" fontId="3" fillId="0" borderId="0"/>
    <xf numFmtId="0" fontId="3" fillId="0" borderId="0"/>
    <xf numFmtId="0" fontId="3" fillId="0" borderId="0"/>
    <xf numFmtId="0" fontId="3" fillId="0" borderId="0"/>
    <xf numFmtId="0" fontId="3" fillId="0" borderId="0"/>
    <xf numFmtId="0" fontId="6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2" fillId="0" borderId="0"/>
    <xf numFmtId="0" fontId="3" fillId="0" borderId="0"/>
    <xf numFmtId="0" fontId="82" fillId="0" borderId="0"/>
    <xf numFmtId="0" fontId="3" fillId="0" borderId="0"/>
    <xf numFmtId="0" fontId="82" fillId="0" borderId="0"/>
    <xf numFmtId="0" fontId="82" fillId="0" borderId="0"/>
    <xf numFmtId="0" fontId="3" fillId="0" borderId="0"/>
    <xf numFmtId="0" fontId="3" fillId="0" borderId="0"/>
    <xf numFmtId="0" fontId="82" fillId="0" borderId="0"/>
    <xf numFmtId="0" fontId="1" fillId="0" borderId="0"/>
    <xf numFmtId="0" fontId="3" fillId="0" borderId="0"/>
    <xf numFmtId="0" fontId="3" fillId="0" borderId="0"/>
    <xf numFmtId="0" fontId="83" fillId="0" borderId="0"/>
    <xf numFmtId="0" fontId="8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2" fillId="0" borderId="0"/>
    <xf numFmtId="0" fontId="82" fillId="0" borderId="0"/>
    <xf numFmtId="0" fontId="82" fillId="0" borderId="0"/>
    <xf numFmtId="0" fontId="82" fillId="0" borderId="0"/>
    <xf numFmtId="0" fontId="82" fillId="0" borderId="0"/>
    <xf numFmtId="0" fontId="1" fillId="0" borderId="0"/>
    <xf numFmtId="0" fontId="1" fillId="0" borderId="0"/>
    <xf numFmtId="0" fontId="1" fillId="0" borderId="0"/>
    <xf numFmtId="0" fontId="1" fillId="0" borderId="0"/>
    <xf numFmtId="0" fontId="3" fillId="0" borderId="0">
      <alignment vertical="top"/>
    </xf>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1" fillId="0" borderId="0"/>
    <xf numFmtId="0" fontId="28" fillId="0" borderId="0"/>
    <xf numFmtId="0" fontId="85" fillId="0" borderId="0"/>
    <xf numFmtId="0" fontId="1" fillId="0" borderId="0"/>
    <xf numFmtId="0" fontId="3" fillId="0" borderId="0"/>
    <xf numFmtId="0" fontId="6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1" fillId="0" borderId="0"/>
    <xf numFmtId="0" fontId="61" fillId="0" borderId="0"/>
    <xf numFmtId="0" fontId="61" fillId="0" borderId="0"/>
    <xf numFmtId="0" fontId="61" fillId="0" borderId="0"/>
    <xf numFmtId="0" fontId="61" fillId="0" borderId="0"/>
    <xf numFmtId="0" fontId="1" fillId="0" borderId="0"/>
    <xf numFmtId="0" fontId="8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3" fillId="0" borderId="0"/>
    <xf numFmtId="0" fontId="3" fillId="0" borderId="0">
      <alignment vertical="top"/>
    </xf>
    <xf numFmtId="0" fontId="3" fillId="0" borderId="0">
      <alignment vertical="top"/>
    </xf>
    <xf numFmtId="0" fontId="3" fillId="32" borderId="33" applyNumberFormat="0" applyFont="0" applyAlignment="0" applyProtection="0"/>
    <xf numFmtId="0" fontId="3" fillId="32" borderId="33" applyNumberFormat="0" applyFont="0" applyAlignment="0" applyProtection="0"/>
    <xf numFmtId="0" fontId="86" fillId="27" borderId="34" applyNumberFormat="0" applyAlignment="0" applyProtection="0"/>
    <xf numFmtId="0" fontId="86" fillId="27" borderId="34" applyNumberFormat="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0"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176" fontId="87" fillId="0" borderId="0" applyNumberFormat="0" applyFill="0" applyBorder="0" applyAlignment="0" applyProtection="0">
      <alignment horizontal="left"/>
    </xf>
    <xf numFmtId="0" fontId="88" fillId="0" borderId="0">
      <alignment horizontal="center" vertical="top" wrapText="1"/>
    </xf>
    <xf numFmtId="40" fontId="89" fillId="0" borderId="0" applyBorder="0">
      <alignment horizontal="right"/>
    </xf>
    <xf numFmtId="0" fontId="90" fillId="0" borderId="0" applyNumberFormat="0" applyFill="0" applyBorder="0" applyAlignment="0" applyProtection="0"/>
    <xf numFmtId="0" fontId="91" fillId="0" borderId="35" applyNumberFormat="0" applyFill="0" applyAlignment="0" applyProtection="0"/>
    <xf numFmtId="0" fontId="91" fillId="0" borderId="35" applyNumberFormat="0" applyFill="0" applyAlignment="0" applyProtection="0"/>
    <xf numFmtId="0" fontId="92" fillId="0" borderId="0" applyNumberFormat="0" applyFill="0" applyBorder="0" applyAlignment="0" applyProtection="0"/>
  </cellStyleXfs>
  <cellXfs count="364">
    <xf numFmtId="0" fontId="0" fillId="0" borderId="0" xfId="0"/>
    <xf numFmtId="0" fontId="5" fillId="0" borderId="2" xfId="0" applyFont="1" applyBorder="1" applyAlignment="1">
      <alignment vertical="top" wrapText="1"/>
    </xf>
    <xf numFmtId="0" fontId="6" fillId="0" borderId="0" xfId="0" applyFont="1" applyAlignment="1">
      <alignment horizontal="left" vertical="top"/>
    </xf>
    <xf numFmtId="0" fontId="7" fillId="0" borderId="0" xfId="0" applyFont="1" applyAlignment="1">
      <alignment horizontal="left" vertical="top"/>
    </xf>
    <xf numFmtId="0" fontId="8" fillId="2" borderId="4" xfId="0" applyFont="1" applyFill="1" applyBorder="1" applyAlignment="1">
      <alignment horizontal="center" vertical="top" wrapText="1"/>
    </xf>
    <xf numFmtId="0" fontId="9" fillId="2" borderId="4" xfId="0" applyFont="1" applyFill="1" applyBorder="1" applyAlignment="1">
      <alignment horizontal="center" vertical="top" wrapText="1"/>
    </xf>
    <xf numFmtId="0" fontId="10" fillId="2" borderId="4" xfId="0" applyFont="1" applyFill="1" applyBorder="1" applyAlignment="1">
      <alignment horizontal="center" vertical="top" wrapText="1"/>
    </xf>
    <xf numFmtId="0" fontId="11" fillId="2" borderId="4" xfId="0" applyFont="1" applyFill="1" applyBorder="1" applyAlignment="1">
      <alignment horizontal="center" vertical="top" textRotation="90" wrapText="1"/>
    </xf>
    <xf numFmtId="0" fontId="12" fillId="2" borderId="4" xfId="0" applyFont="1" applyFill="1" applyBorder="1" applyAlignment="1">
      <alignment horizontal="center" vertical="top" wrapText="1"/>
    </xf>
    <xf numFmtId="0" fontId="13" fillId="3" borderId="5" xfId="2" applyFont="1" applyFill="1" applyBorder="1" applyAlignment="1">
      <alignment horizontal="left" vertical="center" textRotation="90" wrapText="1"/>
    </xf>
    <xf numFmtId="166" fontId="13" fillId="3" borderId="5" xfId="2" applyNumberFormat="1" applyFont="1" applyFill="1" applyBorder="1" applyAlignment="1">
      <alignment horizontal="left" vertical="center" textRotation="90"/>
    </xf>
    <xf numFmtId="0" fontId="13" fillId="4" borderId="5" xfId="2" applyFont="1" applyFill="1" applyBorder="1" applyAlignment="1">
      <alignment horizontal="left" vertical="center" textRotation="90" wrapText="1"/>
    </xf>
    <xf numFmtId="166" fontId="13" fillId="3" borderId="5" xfId="2" applyNumberFormat="1" applyFont="1" applyFill="1" applyBorder="1" applyAlignment="1">
      <alignment horizontal="left" vertical="center" textRotation="90" wrapText="1"/>
    </xf>
    <xf numFmtId="0" fontId="14" fillId="4" borderId="5" xfId="2" applyFont="1" applyFill="1" applyBorder="1" applyAlignment="1">
      <alignment horizontal="left" vertical="center" textRotation="90" wrapText="1"/>
    </xf>
    <xf numFmtId="0" fontId="13" fillId="4" borderId="5" xfId="2" applyFont="1" applyFill="1" applyBorder="1" applyAlignment="1">
      <alignment horizontal="center" vertical="center" textRotation="90" wrapText="1"/>
    </xf>
    <xf numFmtId="0" fontId="4" fillId="5" borderId="6" xfId="0" applyFont="1" applyFill="1" applyBorder="1" applyAlignment="1">
      <alignment horizontal="center" vertical="top" wrapText="1"/>
    </xf>
    <xf numFmtId="0" fontId="4" fillId="5" borderId="2" xfId="0" applyFont="1" applyFill="1" applyBorder="1" applyAlignment="1">
      <alignment horizontal="center" vertical="top" wrapText="1"/>
    </xf>
    <xf numFmtId="0" fontId="10" fillId="5" borderId="2" xfId="0" applyFont="1" applyFill="1" applyBorder="1" applyAlignment="1">
      <alignment horizontal="center" vertical="top" wrapText="1"/>
    </xf>
    <xf numFmtId="0" fontId="6" fillId="2" borderId="0" xfId="0" applyFont="1" applyFill="1" applyAlignment="1">
      <alignment horizontal="left" vertical="top"/>
    </xf>
    <xf numFmtId="0" fontId="7" fillId="2" borderId="0" xfId="0" applyFont="1" applyFill="1" applyAlignment="1">
      <alignment horizontal="left" vertical="top"/>
    </xf>
    <xf numFmtId="1" fontId="6" fillId="0" borderId="4" xfId="0" applyNumberFormat="1" applyFont="1" applyBorder="1" applyAlignment="1">
      <alignment horizontal="left" vertical="top" indent="1" shrinkToFit="1"/>
    </xf>
    <xf numFmtId="0" fontId="15" fillId="0" borderId="4" xfId="0" applyFont="1" applyBorder="1" applyAlignment="1">
      <alignment horizontal="left" vertical="top" wrapText="1" indent="1"/>
    </xf>
    <xf numFmtId="2" fontId="6" fillId="0" borderId="4" xfId="0" applyNumberFormat="1" applyFont="1" applyBorder="1" applyAlignment="1">
      <alignment horizontal="right" vertical="top" indent="1" shrinkToFit="1"/>
    </xf>
    <xf numFmtId="0" fontId="6" fillId="0" borderId="4" xfId="0" applyFont="1" applyBorder="1" applyAlignment="1">
      <alignment horizontal="left" vertical="top" wrapText="1"/>
    </xf>
    <xf numFmtId="0" fontId="15" fillId="0" borderId="4" xfId="0" applyFont="1" applyBorder="1" applyAlignment="1">
      <alignment horizontal="left" vertical="top" wrapText="1"/>
    </xf>
    <xf numFmtId="0" fontId="15" fillId="0" borderId="4" xfId="0" applyFont="1" applyBorder="1" applyAlignment="1">
      <alignment horizontal="center" vertical="top" wrapText="1"/>
    </xf>
    <xf numFmtId="1" fontId="6" fillId="0" borderId="4" xfId="0" applyNumberFormat="1" applyFont="1" applyBorder="1" applyAlignment="1">
      <alignment horizontal="center" vertical="top" shrinkToFit="1"/>
    </xf>
    <xf numFmtId="0" fontId="6" fillId="2" borderId="9" xfId="0" applyFont="1" applyFill="1" applyBorder="1" applyAlignment="1">
      <alignment horizontal="left" vertical="top"/>
    </xf>
    <xf numFmtId="0" fontId="3" fillId="2" borderId="10" xfId="0" applyFont="1" applyFill="1" applyBorder="1" applyAlignment="1">
      <alignment horizontal="justify" vertical="top" wrapText="1"/>
    </xf>
    <xf numFmtId="0" fontId="6" fillId="2" borderId="11" xfId="0" applyFont="1" applyFill="1" applyBorder="1" applyAlignment="1">
      <alignment horizontal="left" vertical="top"/>
    </xf>
    <xf numFmtId="0" fontId="15" fillId="0" borderId="4" xfId="0" applyFont="1" applyBorder="1" applyAlignment="1">
      <alignment horizontal="right" vertical="top" wrapText="1"/>
    </xf>
    <xf numFmtId="0" fontId="6" fillId="2" borderId="12" xfId="0" applyFont="1" applyFill="1" applyBorder="1" applyAlignment="1">
      <alignment horizontal="left" vertical="top"/>
    </xf>
    <xf numFmtId="0" fontId="16" fillId="2" borderId="12" xfId="0" applyFont="1" applyFill="1" applyBorder="1" applyAlignment="1">
      <alignment horizontal="left" vertical="top"/>
    </xf>
    <xf numFmtId="0" fontId="6" fillId="2" borderId="13" xfId="0" applyFont="1" applyFill="1" applyBorder="1" applyAlignment="1">
      <alignment horizontal="left" vertical="top"/>
    </xf>
    <xf numFmtId="0" fontId="6" fillId="0" borderId="4" xfId="0" applyFont="1" applyBorder="1" applyAlignment="1">
      <alignment horizontal="left" vertical="center" wrapText="1"/>
    </xf>
    <xf numFmtId="0" fontId="6" fillId="0" borderId="4" xfId="0" applyFont="1" applyBorder="1" applyAlignment="1">
      <alignment horizontal="center" vertical="top" wrapText="1"/>
    </xf>
    <xf numFmtId="1" fontId="17" fillId="0" borderId="4" xfId="0" applyNumberFormat="1" applyFont="1" applyBorder="1" applyAlignment="1">
      <alignment horizontal="left" vertical="top" indent="1" shrinkToFit="1"/>
    </xf>
    <xf numFmtId="2" fontId="17" fillId="0" borderId="4" xfId="0" applyNumberFormat="1" applyFont="1" applyBorder="1" applyAlignment="1">
      <alignment horizontal="right" vertical="top" indent="1" shrinkToFit="1"/>
    </xf>
    <xf numFmtId="0" fontId="18" fillId="0" borderId="4" xfId="0" applyFont="1" applyBorder="1" applyAlignment="1">
      <alignment horizontal="left" vertical="top" wrapText="1"/>
    </xf>
    <xf numFmtId="0" fontId="15" fillId="0" borderId="4" xfId="0" applyFont="1" applyBorder="1" applyAlignment="1">
      <alignment horizontal="left" vertical="top" wrapText="1" indent="2"/>
    </xf>
    <xf numFmtId="1" fontId="17" fillId="0" borderId="4" xfId="0" applyNumberFormat="1" applyFont="1" applyBorder="1" applyAlignment="1">
      <alignment horizontal="center" vertical="top" shrinkToFit="1"/>
    </xf>
    <xf numFmtId="0" fontId="18" fillId="2" borderId="10" xfId="0" applyFont="1" applyFill="1" applyBorder="1" applyAlignment="1">
      <alignment horizontal="justify" vertical="top" wrapText="1"/>
    </xf>
    <xf numFmtId="0" fontId="19" fillId="0" borderId="4" xfId="0" applyFont="1" applyBorder="1" applyAlignment="1">
      <alignment horizontal="left" vertical="top" wrapText="1" indent="1"/>
    </xf>
    <xf numFmtId="0" fontId="17" fillId="0" borderId="4" xfId="0" applyFont="1" applyBorder="1" applyAlignment="1">
      <alignment horizontal="left" vertical="top" wrapText="1"/>
    </xf>
    <xf numFmtId="0" fontId="19" fillId="0" borderId="4" xfId="0" applyFont="1" applyBorder="1" applyAlignment="1">
      <alignment horizontal="left" vertical="top" wrapText="1"/>
    </xf>
    <xf numFmtId="0" fontId="19" fillId="0" borderId="4" xfId="0" applyFont="1" applyBorder="1" applyAlignment="1">
      <alignment horizontal="center" vertical="top" wrapText="1"/>
    </xf>
    <xf numFmtId="0" fontId="17" fillId="0" borderId="4" xfId="0" applyFont="1" applyBorder="1" applyAlignment="1">
      <alignment horizontal="left" vertical="center" wrapText="1"/>
    </xf>
    <xf numFmtId="0" fontId="17" fillId="0" borderId="4" xfId="0" applyFont="1" applyBorder="1" applyAlignment="1">
      <alignment horizontal="center" vertical="top" wrapText="1"/>
    </xf>
    <xf numFmtId="1" fontId="17" fillId="0" borderId="4" xfId="0" applyNumberFormat="1" applyFont="1" applyBorder="1" applyAlignment="1">
      <alignment horizontal="right" vertical="top" indent="1" shrinkToFit="1"/>
    </xf>
    <xf numFmtId="1" fontId="17" fillId="0" borderId="4" xfId="0" applyNumberFormat="1" applyFont="1" applyBorder="1" applyAlignment="1">
      <alignment horizontal="right" vertical="top" indent="2" shrinkToFit="1"/>
    </xf>
    <xf numFmtId="1" fontId="20" fillId="0" borderId="4" xfId="0" applyNumberFormat="1" applyFont="1" applyBorder="1" applyAlignment="1">
      <alignment horizontal="left" vertical="top" indent="1" shrinkToFit="1"/>
    </xf>
    <xf numFmtId="0" fontId="21" fillId="0" borderId="4" xfId="0" applyFont="1" applyBorder="1" applyAlignment="1">
      <alignment horizontal="left" vertical="top" wrapText="1" indent="1"/>
    </xf>
    <xf numFmtId="2" fontId="20" fillId="0" borderId="4" xfId="0" applyNumberFormat="1" applyFont="1" applyBorder="1" applyAlignment="1">
      <alignment horizontal="right" vertical="top" indent="1" shrinkToFit="1"/>
    </xf>
    <xf numFmtId="0" fontId="0" fillId="0" borderId="4" xfId="0" applyBorder="1" applyAlignment="1">
      <alignment horizontal="left" vertical="center" wrapText="1"/>
    </xf>
    <xf numFmtId="0" fontId="21" fillId="0" borderId="4" xfId="0" applyFont="1" applyBorder="1" applyAlignment="1">
      <alignment horizontal="left" vertical="top" wrapText="1"/>
    </xf>
    <xf numFmtId="0" fontId="21" fillId="0" borderId="4" xfId="0" applyFont="1" applyBorder="1" applyAlignment="1">
      <alignment horizontal="center" vertical="top" wrapText="1"/>
    </xf>
    <xf numFmtId="1" fontId="20" fillId="0" borderId="4" xfId="0" applyNumberFormat="1" applyFont="1" applyBorder="1" applyAlignment="1">
      <alignment horizontal="center" vertical="top" shrinkToFit="1"/>
    </xf>
    <xf numFmtId="0" fontId="0" fillId="0" borderId="4" xfId="0" applyBorder="1" applyAlignment="1">
      <alignment horizontal="left" vertical="top" wrapText="1"/>
    </xf>
    <xf numFmtId="0" fontId="0" fillId="0" borderId="4" xfId="0" applyBorder="1" applyAlignment="1">
      <alignment horizontal="center" vertical="top" wrapText="1"/>
    </xf>
    <xf numFmtId="0" fontId="15" fillId="2" borderId="14" xfId="0" applyFont="1" applyFill="1" applyBorder="1" applyAlignment="1">
      <alignment vertical="top" wrapText="1"/>
    </xf>
    <xf numFmtId="0" fontId="22" fillId="2" borderId="12" xfId="0" applyFont="1" applyFill="1" applyBorder="1" applyAlignment="1">
      <alignment vertical="top" wrapText="1"/>
    </xf>
    <xf numFmtId="2" fontId="22" fillId="0" borderId="4" xfId="0" applyNumberFormat="1" applyFont="1" applyBorder="1" applyAlignment="1">
      <alignment horizontal="right" vertical="top" indent="1" shrinkToFit="1"/>
    </xf>
    <xf numFmtId="0" fontId="22" fillId="2" borderId="9" xfId="0" applyFont="1" applyFill="1" applyBorder="1" applyAlignment="1">
      <alignment horizontal="center" vertical="top" wrapText="1"/>
    </xf>
    <xf numFmtId="0" fontId="23" fillId="6" borderId="9" xfId="0" applyFont="1" applyFill="1" applyBorder="1" applyAlignment="1">
      <alignment horizontal="center" vertical="top" wrapText="1"/>
    </xf>
    <xf numFmtId="0" fontId="22" fillId="2" borderId="9" xfId="0" applyFont="1" applyFill="1" applyBorder="1" applyAlignment="1">
      <alignment vertical="top" wrapText="1"/>
    </xf>
    <xf numFmtId="0" fontId="24" fillId="2" borderId="9" xfId="0" applyFont="1" applyFill="1" applyBorder="1" applyAlignment="1">
      <alignment horizontal="center" vertical="top" textRotation="90" wrapText="1"/>
    </xf>
    <xf numFmtId="2" fontId="25" fillId="2" borderId="9" xfId="0" applyNumberFormat="1" applyFont="1" applyFill="1" applyBorder="1" applyAlignment="1">
      <alignment horizontal="center" vertical="top" textRotation="90" wrapText="1"/>
    </xf>
    <xf numFmtId="0" fontId="15" fillId="0" borderId="4" xfId="0" applyFont="1" applyBorder="1" applyAlignment="1">
      <alignment horizontal="right" vertical="top" wrapText="1" indent="1"/>
    </xf>
    <xf numFmtId="1" fontId="17" fillId="2" borderId="14" xfId="0" applyNumberFormat="1" applyFont="1" applyFill="1" applyBorder="1" applyAlignment="1">
      <alignment vertical="top" shrinkToFit="1"/>
    </xf>
    <xf numFmtId="2" fontId="22" fillId="0" borderId="0" xfId="0" applyNumberFormat="1" applyFont="1" applyAlignment="1">
      <alignment horizontal="right" vertical="top" indent="1" shrinkToFit="1"/>
    </xf>
    <xf numFmtId="0" fontId="26" fillId="6" borderId="12" xfId="0" applyFont="1" applyFill="1" applyBorder="1" applyAlignment="1">
      <alignment horizontal="center" vertical="top" wrapText="1"/>
    </xf>
    <xf numFmtId="0" fontId="16" fillId="2" borderId="0" xfId="0" applyFont="1" applyFill="1" applyAlignment="1">
      <alignment horizontal="left" vertical="top"/>
    </xf>
    <xf numFmtId="0" fontId="1" fillId="0" borderId="15" xfId="0" applyFont="1" applyBorder="1" applyAlignment="1">
      <alignment horizontal="justify" vertical="center" textRotation="90" wrapText="1"/>
    </xf>
    <xf numFmtId="0" fontId="1" fillId="0" borderId="0" xfId="0" applyFont="1"/>
    <xf numFmtId="0" fontId="6" fillId="0" borderId="0" xfId="0" applyFont="1"/>
    <xf numFmtId="0" fontId="6" fillId="0" borderId="15" xfId="0" applyFont="1" applyBorder="1" applyAlignment="1">
      <alignment horizontal="justify" vertical="top" wrapText="1"/>
    </xf>
    <xf numFmtId="0" fontId="2" fillId="0" borderId="0" xfId="3" applyFont="1" applyAlignment="1">
      <alignment vertical="top"/>
    </xf>
    <xf numFmtId="167" fontId="1" fillId="0" borderId="15" xfId="0" applyNumberFormat="1" applyFont="1" applyBorder="1" applyAlignment="1">
      <alignment horizontal="center" vertical="center" textRotation="90" wrapText="1"/>
    </xf>
    <xf numFmtId="1" fontId="27" fillId="7" borderId="15" xfId="4" applyNumberFormat="1" applyFont="1" applyFill="1" applyBorder="1" applyAlignment="1">
      <alignment vertical="top"/>
    </xf>
    <xf numFmtId="0" fontId="28" fillId="7" borderId="15" xfId="4" applyFont="1" applyFill="1" applyBorder="1" applyAlignment="1">
      <alignment vertical="top"/>
    </xf>
    <xf numFmtId="0" fontId="1" fillId="0" borderId="15" xfId="0" applyFont="1" applyBorder="1"/>
    <xf numFmtId="2" fontId="22" fillId="0" borderId="4" xfId="0" applyNumberFormat="1" applyFont="1" applyBorder="1" applyAlignment="1">
      <alignment horizontal="center" vertical="top" shrinkToFit="1"/>
    </xf>
    <xf numFmtId="1" fontId="27" fillId="6" borderId="15" xfId="4" applyNumberFormat="1" applyFont="1" applyFill="1" applyBorder="1" applyAlignment="1">
      <alignment vertical="top"/>
    </xf>
    <xf numFmtId="0" fontId="28" fillId="6" borderId="15" xfId="4" applyFont="1" applyFill="1" applyBorder="1" applyAlignment="1">
      <alignment vertical="top"/>
    </xf>
    <xf numFmtId="0" fontId="1" fillId="6" borderId="15" xfId="0" applyFont="1" applyFill="1" applyBorder="1"/>
    <xf numFmtId="0" fontId="1" fillId="6" borderId="0" xfId="0" applyFont="1" applyFill="1"/>
    <xf numFmtId="0" fontId="6" fillId="6" borderId="0" xfId="0" applyFont="1" applyFill="1"/>
    <xf numFmtId="0" fontId="1" fillId="6" borderId="15" xfId="0" applyFont="1" applyFill="1" applyBorder="1" applyAlignment="1">
      <alignment horizontal="justify" vertical="center" textRotation="90" wrapText="1"/>
    </xf>
    <xf numFmtId="0" fontId="6" fillId="6" borderId="15" xfId="0" applyFont="1" applyFill="1" applyBorder="1" applyAlignment="1">
      <alignment horizontal="justify" vertical="top" wrapText="1"/>
    </xf>
    <xf numFmtId="0" fontId="2" fillId="6" borderId="0" xfId="3" applyFont="1" applyFill="1" applyAlignment="1">
      <alignment vertical="top"/>
    </xf>
    <xf numFmtId="167" fontId="6" fillId="0" borderId="15" xfId="0" applyNumberFormat="1" applyFont="1" applyBorder="1" applyAlignment="1">
      <alignment horizontal="justify" vertical="center" textRotation="90" wrapText="1"/>
    </xf>
    <xf numFmtId="167" fontId="28" fillId="0" borderId="15" xfId="0" applyNumberFormat="1" applyFont="1" applyBorder="1" applyAlignment="1">
      <alignment horizontal="justify" vertical="center" textRotation="90" wrapText="1"/>
    </xf>
    <xf numFmtId="0" fontId="6" fillId="0" borderId="4" xfId="0" applyFont="1" applyBorder="1" applyAlignment="1">
      <alignment horizontal="left" vertical="top" wrapText="1" indent="1"/>
    </xf>
    <xf numFmtId="166" fontId="1" fillId="0" borderId="15" xfId="0" applyNumberFormat="1" applyFont="1" applyBorder="1" applyAlignment="1">
      <alignment horizontal="justify" vertical="top" textRotation="90" wrapText="1"/>
    </xf>
    <xf numFmtId="0" fontId="1" fillId="0" borderId="15" xfId="0" applyFont="1" applyBorder="1" applyAlignment="1">
      <alignment vertical="center"/>
    </xf>
    <xf numFmtId="166" fontId="1" fillId="0" borderId="15" xfId="0" applyNumberFormat="1" applyFont="1" applyBorder="1" applyAlignment="1">
      <alignment horizontal="justify" vertical="center" textRotation="90" wrapText="1"/>
    </xf>
    <xf numFmtId="0" fontId="28" fillId="7" borderId="15" xfId="4" applyFont="1" applyFill="1" applyBorder="1" applyAlignment="1">
      <alignment vertical="center"/>
    </xf>
    <xf numFmtId="0" fontId="1" fillId="0" borderId="0" xfId="0" applyFont="1" applyAlignment="1">
      <alignment vertical="center"/>
    </xf>
    <xf numFmtId="0" fontId="6" fillId="0" borderId="0" xfId="0" applyFont="1" applyAlignment="1">
      <alignment vertical="center"/>
    </xf>
    <xf numFmtId="0" fontId="1" fillId="0" borderId="15" xfId="0" applyFont="1" applyBorder="1" applyAlignment="1">
      <alignment horizontal="justify" vertical="top" textRotation="90" wrapText="1"/>
    </xf>
    <xf numFmtId="0" fontId="1" fillId="0" borderId="15" xfId="0" applyFont="1" applyBorder="1" applyAlignment="1">
      <alignment vertical="top"/>
    </xf>
    <xf numFmtId="0" fontId="1" fillId="0" borderId="0" xfId="0" applyFont="1" applyAlignment="1">
      <alignment vertical="top"/>
    </xf>
    <xf numFmtId="0" fontId="6" fillId="0" borderId="0" xfId="0" applyFont="1" applyAlignment="1">
      <alignment vertical="top"/>
    </xf>
    <xf numFmtId="1" fontId="6" fillId="0" borderId="4" xfId="0" applyNumberFormat="1" applyFont="1" applyBorder="1" applyAlignment="1">
      <alignment horizontal="right" vertical="top" indent="2" shrinkToFit="1"/>
    </xf>
    <xf numFmtId="2" fontId="1" fillId="0" borderId="15" xfId="0" applyNumberFormat="1" applyFont="1" applyBorder="1" applyAlignment="1">
      <alignment horizontal="justify" vertical="top" textRotation="90" wrapText="1"/>
    </xf>
    <xf numFmtId="167" fontId="1" fillId="0" borderId="15" xfId="0" applyNumberFormat="1" applyFont="1" applyBorder="1" applyAlignment="1">
      <alignment horizontal="justify" vertical="top" textRotation="90" wrapText="1"/>
    </xf>
    <xf numFmtId="168" fontId="1" fillId="0" borderId="15" xfId="0" applyNumberFormat="1" applyFont="1" applyBorder="1" applyAlignment="1">
      <alignment horizontal="justify" vertical="center" textRotation="90" wrapText="1"/>
    </xf>
    <xf numFmtId="167" fontId="1" fillId="0" borderId="15" xfId="0" applyNumberFormat="1" applyFont="1" applyBorder="1" applyAlignment="1">
      <alignment horizontal="justify" vertical="center" textRotation="90" wrapText="1"/>
    </xf>
    <xf numFmtId="2" fontId="1" fillId="0" borderId="15" xfId="0" applyNumberFormat="1" applyFont="1" applyBorder="1" applyAlignment="1">
      <alignment horizontal="justify" vertical="center" textRotation="90" wrapText="1"/>
    </xf>
    <xf numFmtId="1" fontId="6" fillId="0" borderId="16" xfId="0" applyNumberFormat="1" applyFont="1" applyBorder="1" applyAlignment="1">
      <alignment horizontal="center" vertical="top" shrinkToFit="1"/>
    </xf>
    <xf numFmtId="0" fontId="15" fillId="0" borderId="8" xfId="0" applyFont="1" applyBorder="1" applyAlignment="1">
      <alignment horizontal="center" vertical="top" wrapText="1"/>
    </xf>
    <xf numFmtId="0" fontId="29" fillId="6" borderId="4" xfId="0" applyFont="1" applyFill="1" applyBorder="1" applyAlignment="1">
      <alignment horizontal="center" vertical="top" wrapText="1"/>
    </xf>
    <xf numFmtId="0" fontId="15" fillId="0" borderId="8" xfId="0" applyFont="1" applyBorder="1" applyAlignment="1">
      <alignment horizontal="left" vertical="top" wrapText="1" indent="2"/>
    </xf>
    <xf numFmtId="1" fontId="6" fillId="0" borderId="8" xfId="0" applyNumberFormat="1" applyFont="1" applyBorder="1" applyAlignment="1">
      <alignment horizontal="center" vertical="top" shrinkToFit="1"/>
    </xf>
    <xf numFmtId="1" fontId="6" fillId="0" borderId="8" xfId="0" applyNumberFormat="1" applyFont="1" applyBorder="1" applyAlignment="1">
      <alignment horizontal="right" vertical="top" indent="2" shrinkToFit="1"/>
    </xf>
    <xf numFmtId="0" fontId="19" fillId="0" borderId="4" xfId="0" applyFont="1" applyBorder="1" applyAlignment="1">
      <alignment horizontal="left" vertical="top" wrapText="1" indent="2"/>
    </xf>
    <xf numFmtId="0" fontId="2" fillId="0" borderId="0" xfId="3" applyFont="1"/>
    <xf numFmtId="2" fontId="26" fillId="2" borderId="12" xfId="0" applyNumberFormat="1" applyFont="1" applyFill="1" applyBorder="1" applyAlignment="1">
      <alignment horizontal="center" vertical="top" shrinkToFit="1"/>
    </xf>
    <xf numFmtId="0" fontId="31" fillId="6" borderId="12" xfId="0" applyFont="1" applyFill="1" applyBorder="1" applyAlignment="1">
      <alignment horizontal="center" vertical="top" wrapText="1"/>
    </xf>
    <xf numFmtId="0" fontId="24" fillId="2" borderId="12" xfId="0" applyFont="1" applyFill="1" applyBorder="1" applyAlignment="1">
      <alignment horizontal="center" vertical="top" textRotation="90" wrapText="1"/>
    </xf>
    <xf numFmtId="2" fontId="25" fillId="2" borderId="12" xfId="0" applyNumberFormat="1" applyFont="1" applyFill="1" applyBorder="1" applyAlignment="1">
      <alignment horizontal="center" vertical="top" textRotation="90" shrinkToFit="1"/>
    </xf>
    <xf numFmtId="1" fontId="6" fillId="0" borderId="4" xfId="0" applyNumberFormat="1" applyFont="1" applyBorder="1" applyAlignment="1">
      <alignment horizontal="right" vertical="top" indent="1" shrinkToFit="1"/>
    </xf>
    <xf numFmtId="0" fontId="2" fillId="0" borderId="0" xfId="3" applyFont="1" applyAlignment="1">
      <alignment vertical="center"/>
    </xf>
    <xf numFmtId="169" fontId="1" fillId="0" borderId="15" xfId="0" applyNumberFormat="1" applyFont="1" applyBorder="1" applyAlignment="1">
      <alignment horizontal="justify" vertical="center" textRotation="90" wrapText="1"/>
    </xf>
    <xf numFmtId="0" fontId="1" fillId="0" borderId="15" xfId="0" applyFont="1" applyBorder="1" applyAlignment="1">
      <alignment horizontal="center" vertical="center"/>
    </xf>
    <xf numFmtId="0" fontId="26" fillId="2" borderId="12" xfId="0" applyFont="1" applyFill="1" applyBorder="1" applyAlignment="1">
      <alignment horizontal="center" vertical="top" wrapText="1"/>
    </xf>
    <xf numFmtId="0" fontId="29" fillId="6" borderId="12" xfId="0" applyFont="1" applyFill="1" applyBorder="1" applyAlignment="1">
      <alignment horizontal="center" vertical="top" wrapText="1"/>
    </xf>
    <xf numFmtId="2" fontId="6" fillId="0" borderId="4" xfId="0" applyNumberFormat="1" applyFont="1" applyBorder="1" applyAlignment="1">
      <alignment horizontal="center" vertical="top" shrinkToFit="1"/>
    </xf>
    <xf numFmtId="0" fontId="6" fillId="0" borderId="4" xfId="0" applyFont="1" applyBorder="1" applyAlignment="1">
      <alignment horizontal="left" wrapText="1"/>
    </xf>
    <xf numFmtId="2" fontId="17" fillId="0" borderId="4" xfId="0" applyNumberFormat="1" applyFont="1" applyBorder="1" applyAlignment="1">
      <alignment horizontal="center" vertical="top" shrinkToFit="1"/>
    </xf>
    <xf numFmtId="0" fontId="19" fillId="0" borderId="4" xfId="0" applyFont="1" applyBorder="1" applyAlignment="1">
      <alignment horizontal="right" vertical="top" wrapText="1" indent="1"/>
    </xf>
    <xf numFmtId="2" fontId="17" fillId="0" borderId="4" xfId="0" applyNumberFormat="1" applyFont="1" applyBorder="1" applyAlignment="1">
      <alignment horizontal="left" vertical="top" indent="1" shrinkToFit="1"/>
    </xf>
    <xf numFmtId="0" fontId="22" fillId="0" borderId="4" xfId="0" applyFont="1" applyBorder="1" applyAlignment="1">
      <alignment horizontal="left" vertical="top" wrapText="1"/>
    </xf>
    <xf numFmtId="2" fontId="22" fillId="0" borderId="4" xfId="0" applyNumberFormat="1" applyFont="1" applyBorder="1" applyAlignment="1">
      <alignment horizontal="left" vertical="top" indent="2" shrinkToFit="1"/>
    </xf>
    <xf numFmtId="166" fontId="22" fillId="2" borderId="17" xfId="0" applyNumberFormat="1" applyFont="1" applyFill="1" applyBorder="1" applyAlignment="1">
      <alignment horizontal="left" vertical="top" wrapText="1"/>
    </xf>
    <xf numFmtId="0" fontId="34" fillId="6" borderId="4" xfId="0" applyFont="1" applyFill="1" applyBorder="1" applyAlignment="1">
      <alignment horizontal="center" vertical="top" wrapText="1"/>
    </xf>
    <xf numFmtId="166" fontId="24" fillId="2" borderId="17" xfId="0" applyNumberFormat="1" applyFont="1" applyFill="1" applyBorder="1" applyAlignment="1">
      <alignment horizontal="center" vertical="top" textRotation="90" wrapText="1"/>
    </xf>
    <xf numFmtId="2" fontId="25" fillId="2" borderId="17" xfId="0" applyNumberFormat="1" applyFont="1" applyFill="1" applyBorder="1" applyAlignment="1">
      <alignment horizontal="left" vertical="top" textRotation="90" wrapText="1"/>
    </xf>
    <xf numFmtId="0" fontId="35" fillId="6" borderId="4" xfId="0" applyFont="1" applyFill="1" applyBorder="1" applyAlignment="1">
      <alignment horizontal="center" vertical="top"/>
    </xf>
    <xf numFmtId="0" fontId="1" fillId="0" borderId="0" xfId="0" applyFont="1" applyAlignment="1">
      <alignment horizontal="justify" vertical="top" textRotation="90" wrapText="1"/>
    </xf>
    <xf numFmtId="166" fontId="1" fillId="0" borderId="0" xfId="0" applyNumberFormat="1" applyFont="1" applyAlignment="1">
      <alignment horizontal="justify" vertical="top" textRotation="90" wrapText="1"/>
    </xf>
    <xf numFmtId="0" fontId="28" fillId="7" borderId="0" xfId="4" applyFont="1" applyFill="1" applyAlignment="1">
      <alignment vertical="top"/>
    </xf>
    <xf numFmtId="0" fontId="6" fillId="0" borderId="0" xfId="0" applyFont="1" applyAlignment="1">
      <alignment horizontal="justify" vertical="top" wrapText="1"/>
    </xf>
    <xf numFmtId="0" fontId="36" fillId="0" borderId="4" xfId="5" applyFont="1" applyBorder="1" applyAlignment="1">
      <alignment horizontal="left" vertical="top" wrapText="1"/>
    </xf>
    <xf numFmtId="0" fontId="37" fillId="0" borderId="4" xfId="5" applyFont="1" applyBorder="1" applyAlignment="1">
      <alignment horizontal="left" vertical="top" wrapText="1"/>
    </xf>
    <xf numFmtId="0" fontId="38" fillId="0" borderId="4" xfId="5" applyFont="1" applyBorder="1" applyAlignment="1">
      <alignment horizontal="left" vertical="top" wrapText="1" indent="1"/>
    </xf>
    <xf numFmtId="0" fontId="39" fillId="0" borderId="4" xfId="5" applyFont="1" applyBorder="1" applyAlignment="1">
      <alignment horizontal="left" vertical="top" wrapText="1"/>
    </xf>
    <xf numFmtId="0" fontId="35" fillId="6" borderId="4" xfId="0" applyFont="1" applyFill="1" applyBorder="1" applyAlignment="1">
      <alignment horizontal="center" vertical="top" wrapText="1"/>
    </xf>
    <xf numFmtId="0" fontId="1" fillId="0" borderId="0" xfId="0" applyFont="1" applyAlignment="1">
      <alignment horizontal="justify" vertical="center" textRotation="90" wrapText="1"/>
    </xf>
    <xf numFmtId="2" fontId="6" fillId="4" borderId="4" xfId="0" applyNumberFormat="1" applyFont="1" applyFill="1" applyBorder="1" applyAlignment="1">
      <alignment horizontal="right" vertical="top" indent="1" shrinkToFit="1"/>
    </xf>
    <xf numFmtId="0" fontId="15" fillId="4" borderId="4" xfId="0" applyFont="1" applyFill="1" applyBorder="1" applyAlignment="1">
      <alignment horizontal="center" vertical="top" wrapText="1"/>
    </xf>
    <xf numFmtId="0" fontId="15" fillId="4" borderId="4" xfId="0" applyFont="1" applyFill="1" applyBorder="1" applyAlignment="1">
      <alignment horizontal="left" vertical="top" wrapText="1"/>
    </xf>
    <xf numFmtId="0" fontId="15" fillId="4" borderId="4" xfId="0" applyFont="1" applyFill="1" applyBorder="1" applyAlignment="1">
      <alignment horizontal="left" vertical="top" wrapText="1" indent="1"/>
    </xf>
    <xf numFmtId="1" fontId="6" fillId="4" borderId="4" xfId="0" applyNumberFormat="1" applyFont="1" applyFill="1" applyBorder="1" applyAlignment="1">
      <alignment horizontal="center" vertical="top" shrinkToFit="1"/>
    </xf>
    <xf numFmtId="0" fontId="1" fillId="2" borderId="15" xfId="0" applyFont="1" applyFill="1" applyBorder="1" applyAlignment="1">
      <alignment horizontal="justify" vertical="center" textRotation="90" wrapText="1"/>
    </xf>
    <xf numFmtId="0" fontId="1" fillId="2" borderId="15" xfId="0" applyFont="1" applyFill="1" applyBorder="1" applyAlignment="1">
      <alignment vertical="center"/>
    </xf>
    <xf numFmtId="0" fontId="1" fillId="2" borderId="0" xfId="0" applyFont="1" applyFill="1" applyAlignment="1">
      <alignment horizontal="justify" vertical="center" textRotation="90" wrapText="1"/>
    </xf>
    <xf numFmtId="0" fontId="1" fillId="2" borderId="0" xfId="0" applyFont="1" applyFill="1" applyAlignment="1">
      <alignment vertical="center"/>
    </xf>
    <xf numFmtId="0" fontId="6" fillId="2" borderId="12" xfId="0" applyFont="1" applyFill="1" applyBorder="1" applyAlignment="1">
      <alignment horizontal="left" vertical="top" textRotation="90"/>
    </xf>
    <xf numFmtId="2" fontId="6" fillId="2" borderId="12" xfId="0" applyNumberFormat="1" applyFont="1" applyFill="1" applyBorder="1" applyAlignment="1">
      <alignment horizontal="left" vertical="top" textRotation="90"/>
    </xf>
    <xf numFmtId="167" fontId="27" fillId="2" borderId="15" xfId="4" applyNumberFormat="1" applyFont="1" applyFill="1" applyBorder="1" applyAlignment="1">
      <alignment horizontal="center" vertical="center" textRotation="90"/>
    </xf>
    <xf numFmtId="0" fontId="1" fillId="2" borderId="15" xfId="0" applyFont="1" applyFill="1" applyBorder="1" applyAlignment="1">
      <alignment horizontal="center" vertical="center"/>
    </xf>
    <xf numFmtId="166" fontId="1" fillId="2" borderId="15" xfId="0" applyNumberFormat="1" applyFont="1" applyFill="1" applyBorder="1" applyAlignment="1">
      <alignment horizontal="center" vertical="center" textRotation="90"/>
    </xf>
    <xf numFmtId="166" fontId="6" fillId="2" borderId="12" xfId="0" applyNumberFormat="1" applyFont="1" applyFill="1" applyBorder="1" applyAlignment="1">
      <alignment horizontal="left" vertical="center" textRotation="90"/>
    </xf>
    <xf numFmtId="0" fontId="6" fillId="0" borderId="4" xfId="0" applyFont="1" applyBorder="1" applyAlignment="1">
      <alignment horizontal="left" vertical="top" wrapText="1" indent="2"/>
    </xf>
    <xf numFmtId="0" fontId="15" fillId="0" borderId="0" xfId="0" applyFont="1" applyAlignment="1">
      <alignment horizontal="center" vertical="top" wrapText="1"/>
    </xf>
    <xf numFmtId="0" fontId="15" fillId="0" borderId="0" xfId="0" applyFont="1" applyAlignment="1">
      <alignment horizontal="left" vertical="top" wrapText="1"/>
    </xf>
    <xf numFmtId="1" fontId="6" fillId="0" borderId="0" xfId="0" applyNumberFormat="1" applyFont="1" applyAlignment="1">
      <alignment horizontal="center" vertical="top" shrinkToFit="1"/>
    </xf>
    <xf numFmtId="1" fontId="6" fillId="0" borderId="0" xfId="0" applyNumberFormat="1" applyFont="1" applyAlignment="1">
      <alignment horizontal="right" vertical="top" indent="2" shrinkToFit="1"/>
    </xf>
    <xf numFmtId="0" fontId="0" fillId="0" borderId="4" xfId="0" applyBorder="1" applyAlignment="1">
      <alignment horizontal="left" vertical="top" wrapText="1" indent="1"/>
    </xf>
    <xf numFmtId="1" fontId="20" fillId="0" borderId="16" xfId="0" applyNumberFormat="1" applyFont="1" applyBorder="1" applyAlignment="1">
      <alignment horizontal="center" vertical="top" shrinkToFit="1"/>
    </xf>
    <xf numFmtId="0" fontId="21" fillId="0" borderId="0" xfId="0" applyFont="1" applyAlignment="1">
      <alignment horizontal="center" vertical="top" wrapText="1"/>
    </xf>
    <xf numFmtId="0" fontId="29" fillId="6" borderId="4" xfId="0" applyFont="1" applyFill="1" applyBorder="1" applyAlignment="1">
      <alignment horizontal="center" vertical="top"/>
    </xf>
    <xf numFmtId="0" fontId="0" fillId="0" borderId="0" xfId="0" applyAlignment="1">
      <alignment horizontal="center" vertical="top" wrapText="1"/>
    </xf>
    <xf numFmtId="0" fontId="21" fillId="0" borderId="0" xfId="0" applyFont="1" applyAlignment="1">
      <alignment horizontal="left" vertical="top" wrapText="1" indent="1"/>
    </xf>
    <xf numFmtId="1" fontId="20" fillId="0" borderId="0" xfId="0" applyNumberFormat="1" applyFont="1" applyAlignment="1">
      <alignment horizontal="center" vertical="top" shrinkToFit="1"/>
    </xf>
    <xf numFmtId="167" fontId="27" fillId="7" borderId="15" xfId="4" applyNumberFormat="1" applyFont="1" applyFill="1" applyBorder="1" applyAlignment="1">
      <alignment horizontal="center" vertical="center" textRotation="90"/>
    </xf>
    <xf numFmtId="166" fontId="1" fillId="0" borderId="15" xfId="0" applyNumberFormat="1" applyFont="1" applyBorder="1" applyAlignment="1">
      <alignment horizontal="center" vertical="center" textRotation="90"/>
    </xf>
    <xf numFmtId="0" fontId="6" fillId="2" borderId="12" xfId="0" applyFont="1" applyFill="1" applyBorder="1" applyAlignment="1">
      <alignment horizontal="left" vertical="center" textRotation="90"/>
    </xf>
    <xf numFmtId="2" fontId="6" fillId="2" borderId="12" xfId="0" applyNumberFormat="1" applyFont="1" applyFill="1" applyBorder="1" applyAlignment="1">
      <alignment horizontal="left" vertical="center" textRotation="90"/>
    </xf>
    <xf numFmtId="167" fontId="6" fillId="2" borderId="12" xfId="0" applyNumberFormat="1" applyFont="1" applyFill="1" applyBorder="1" applyAlignment="1">
      <alignment horizontal="left" vertical="center" textRotation="90"/>
    </xf>
    <xf numFmtId="168" fontId="6" fillId="2" borderId="12" xfId="0" applyNumberFormat="1" applyFont="1" applyFill="1" applyBorder="1" applyAlignment="1">
      <alignment horizontal="left" vertical="center" textRotation="90"/>
    </xf>
    <xf numFmtId="166" fontId="16" fillId="2" borderId="12" xfId="0" applyNumberFormat="1" applyFont="1" applyFill="1" applyBorder="1" applyAlignment="1">
      <alignment horizontal="left" vertical="center"/>
    </xf>
    <xf numFmtId="166" fontId="6" fillId="2" borderId="12" xfId="0" applyNumberFormat="1" applyFont="1" applyFill="1" applyBorder="1" applyAlignment="1">
      <alignment horizontal="left" vertical="top" textRotation="90"/>
    </xf>
    <xf numFmtId="166" fontId="6" fillId="2" borderId="12" xfId="0" applyNumberFormat="1" applyFont="1" applyFill="1" applyBorder="1" applyAlignment="1">
      <alignment horizontal="center" vertical="center" textRotation="90"/>
    </xf>
    <xf numFmtId="0" fontId="22" fillId="0" borderId="4" xfId="0" applyFont="1" applyBorder="1" applyAlignment="1">
      <alignment horizontal="left" vertical="top" wrapText="1" indent="2"/>
    </xf>
    <xf numFmtId="166" fontId="17" fillId="0" borderId="4" xfId="0" applyNumberFormat="1" applyFont="1" applyBorder="1" applyAlignment="1">
      <alignment horizontal="right" vertical="top" indent="1" shrinkToFit="1"/>
    </xf>
    <xf numFmtId="166" fontId="17" fillId="0" borderId="4" xfId="0" applyNumberFormat="1" applyFont="1" applyBorder="1" applyAlignment="1">
      <alignment horizontal="left" vertical="top" indent="1" shrinkToFit="1"/>
    </xf>
    <xf numFmtId="0" fontId="26" fillId="0" borderId="2" xfId="0" applyFont="1" applyBorder="1" applyAlignment="1">
      <alignment vertical="top" wrapText="1"/>
    </xf>
    <xf numFmtId="1" fontId="17" fillId="0" borderId="16" xfId="0" applyNumberFormat="1" applyFont="1" applyBorder="1" applyAlignment="1">
      <alignment horizontal="center" vertical="top" shrinkToFit="1"/>
    </xf>
    <xf numFmtId="0" fontId="19" fillId="0" borderId="0" xfId="0" applyFont="1" applyAlignment="1">
      <alignment horizontal="center" vertical="top" wrapText="1"/>
    </xf>
    <xf numFmtId="0" fontId="19" fillId="0" borderId="0" xfId="0" applyFont="1" applyAlignment="1">
      <alignment horizontal="left" vertical="top" wrapText="1"/>
    </xf>
    <xf numFmtId="1" fontId="17" fillId="0" borderId="0" xfId="0" applyNumberFormat="1" applyFont="1" applyAlignment="1">
      <alignment horizontal="center" vertical="top" shrinkToFit="1"/>
    </xf>
    <xf numFmtId="0" fontId="17" fillId="0" borderId="4" xfId="0" applyFont="1" applyBorder="1" applyAlignment="1">
      <alignment horizontal="left" vertical="top" wrapText="1" indent="1"/>
    </xf>
    <xf numFmtId="0" fontId="40" fillId="6" borderId="4" xfId="0" applyFont="1" applyFill="1" applyBorder="1" applyAlignment="1">
      <alignment horizontal="center" vertical="center" wrapText="1"/>
    </xf>
    <xf numFmtId="0" fontId="3" fillId="2" borderId="0" xfId="0" applyFont="1" applyFill="1" applyAlignment="1">
      <alignment horizontal="justify" vertical="top" wrapText="1"/>
    </xf>
    <xf numFmtId="0" fontId="6" fillId="2" borderId="18" xfId="0" applyFont="1" applyFill="1" applyBorder="1" applyAlignment="1">
      <alignment horizontal="left" vertical="top"/>
    </xf>
    <xf numFmtId="0" fontId="35" fillId="6" borderId="4" xfId="0" applyFont="1" applyFill="1" applyBorder="1" applyAlignment="1">
      <alignment horizontal="left" vertical="top" wrapText="1" indent="1"/>
    </xf>
    <xf numFmtId="0" fontId="6" fillId="6" borderId="12" xfId="0" applyFont="1" applyFill="1" applyBorder="1" applyAlignment="1">
      <alignment horizontal="left" vertical="top"/>
    </xf>
    <xf numFmtId="0" fontId="16" fillId="6" borderId="12" xfId="0" applyFont="1" applyFill="1" applyBorder="1" applyAlignment="1">
      <alignment horizontal="left" vertical="top"/>
    </xf>
    <xf numFmtId="0" fontId="6" fillId="0" borderId="0" xfId="0" applyFont="1" applyAlignment="1">
      <alignment horizontal="left" vertical="top" wrapText="1"/>
    </xf>
    <xf numFmtId="0" fontId="41" fillId="6" borderId="4" xfId="0" applyFont="1" applyFill="1" applyBorder="1" applyAlignment="1">
      <alignment horizontal="center" vertical="top" wrapText="1"/>
    </xf>
    <xf numFmtId="0" fontId="37" fillId="0" borderId="4" xfId="0" applyFont="1" applyBorder="1" applyAlignment="1">
      <alignment horizontal="left" vertical="top" wrapText="1"/>
    </xf>
    <xf numFmtId="2" fontId="6" fillId="0" borderId="4" xfId="0" applyNumberFormat="1" applyFont="1" applyBorder="1" applyAlignment="1">
      <alignment horizontal="left" vertical="top" indent="1" shrinkToFit="1"/>
    </xf>
    <xf numFmtId="1" fontId="6" fillId="0" borderId="16" xfId="0" applyNumberFormat="1" applyFont="1" applyBorder="1" applyAlignment="1">
      <alignment horizontal="left" vertical="top" indent="1" shrinkToFit="1"/>
    </xf>
    <xf numFmtId="0" fontId="35" fillId="6" borderId="14" xfId="0" applyFont="1" applyFill="1" applyBorder="1" applyAlignment="1">
      <alignment horizontal="center" wrapText="1"/>
    </xf>
    <xf numFmtId="0" fontId="15" fillId="0" borderId="0" xfId="0" applyFont="1" applyAlignment="1">
      <alignment horizontal="left" vertical="top" wrapText="1" indent="1"/>
    </xf>
    <xf numFmtId="0" fontId="17" fillId="6" borderId="4" xfId="0" applyFont="1" applyFill="1" applyBorder="1" applyAlignment="1">
      <alignment horizontal="left" vertical="top" wrapText="1"/>
    </xf>
    <xf numFmtId="0" fontId="17" fillId="6" borderId="4" xfId="0" applyFont="1" applyFill="1" applyBorder="1" applyAlignment="1">
      <alignment horizontal="center" vertical="top" wrapText="1"/>
    </xf>
    <xf numFmtId="0" fontId="36" fillId="0" borderId="4" xfId="0" applyFont="1" applyBorder="1" applyAlignment="1">
      <alignment horizontal="left" vertical="top" wrapText="1"/>
    </xf>
    <xf numFmtId="1" fontId="17" fillId="6" borderId="4" xfId="0" applyNumberFormat="1" applyFont="1" applyFill="1" applyBorder="1" applyAlignment="1">
      <alignment horizontal="center" vertical="top" shrinkToFit="1"/>
    </xf>
    <xf numFmtId="0" fontId="19" fillId="6" borderId="4" xfId="0" applyFont="1" applyFill="1" applyBorder="1" applyAlignment="1">
      <alignment horizontal="left" vertical="top" wrapText="1"/>
    </xf>
    <xf numFmtId="0" fontId="19" fillId="6" borderId="4" xfId="0" applyFont="1" applyFill="1" applyBorder="1" applyAlignment="1">
      <alignment horizontal="center" vertical="top" wrapText="1"/>
    </xf>
    <xf numFmtId="0" fontId="17" fillId="6" borderId="4" xfId="0" applyFont="1" applyFill="1" applyBorder="1" applyAlignment="1">
      <alignment horizontal="left" vertical="top" wrapText="1" indent="1"/>
    </xf>
    <xf numFmtId="2" fontId="12" fillId="2" borderId="12" xfId="0" applyNumberFormat="1" applyFont="1" applyFill="1" applyBorder="1" applyAlignment="1">
      <alignment horizontal="left" vertical="top"/>
    </xf>
    <xf numFmtId="0" fontId="42" fillId="6" borderId="4" xfId="0" applyFont="1" applyFill="1" applyBorder="1" applyAlignment="1">
      <alignment horizontal="left" vertical="top" wrapText="1" indent="1"/>
    </xf>
    <xf numFmtId="0" fontId="17" fillId="6" borderId="0" xfId="0" applyFont="1" applyFill="1" applyAlignment="1">
      <alignment horizontal="center" vertical="top" wrapText="1"/>
    </xf>
    <xf numFmtId="0" fontId="19" fillId="6" borderId="0" xfId="0" applyFont="1" applyFill="1" applyAlignment="1">
      <alignment horizontal="center" vertical="top" wrapText="1"/>
    </xf>
    <xf numFmtId="1" fontId="17" fillId="6" borderId="0" xfId="0" applyNumberFormat="1" applyFont="1" applyFill="1" applyAlignment="1">
      <alignment horizontal="center" vertical="top" shrinkToFit="1"/>
    </xf>
    <xf numFmtId="0" fontId="0" fillId="6" borderId="4" xfId="0" applyFill="1" applyBorder="1" applyAlignment="1">
      <alignment horizontal="left" vertical="top" wrapText="1"/>
    </xf>
    <xf numFmtId="0" fontId="0" fillId="0" borderId="0" xfId="0" applyAlignment="1">
      <alignment horizontal="left" vertical="top" wrapText="1"/>
    </xf>
    <xf numFmtId="1" fontId="17" fillId="0" borderId="0" xfId="0" applyNumberFormat="1" applyFont="1" applyAlignment="1">
      <alignment horizontal="right" vertical="top" indent="1" shrinkToFit="1"/>
    </xf>
    <xf numFmtId="0" fontId="42" fillId="6" borderId="4" xfId="0" applyFont="1" applyFill="1" applyBorder="1" applyAlignment="1">
      <alignment horizontal="center" vertical="top" wrapText="1"/>
    </xf>
    <xf numFmtId="0" fontId="6" fillId="0" borderId="0" xfId="0" applyFont="1" applyAlignment="1">
      <alignment horizontal="center" vertical="top" wrapText="1"/>
    </xf>
    <xf numFmtId="1" fontId="6" fillId="0" borderId="0" xfId="0" applyNumberFormat="1" applyFont="1" applyAlignment="1">
      <alignment horizontal="right" vertical="top" indent="1" shrinkToFit="1"/>
    </xf>
    <xf numFmtId="0" fontId="23" fillId="6" borderId="4" xfId="0" applyFont="1" applyFill="1" applyBorder="1" applyAlignment="1">
      <alignment horizontal="center" vertical="top" wrapText="1"/>
    </xf>
    <xf numFmtId="0" fontId="43" fillId="6" borderId="4" xfId="0" applyFont="1" applyFill="1" applyBorder="1" applyAlignment="1">
      <alignment horizontal="center" vertical="top" wrapText="1"/>
    </xf>
    <xf numFmtId="0" fontId="44" fillId="6" borderId="4" xfId="0" applyFont="1" applyFill="1" applyBorder="1" applyAlignment="1">
      <alignment horizontal="center" vertical="top" wrapText="1"/>
    </xf>
    <xf numFmtId="1" fontId="6" fillId="0" borderId="0" xfId="0" applyNumberFormat="1" applyFont="1" applyAlignment="1">
      <alignment horizontal="left" vertical="top" indent="1" shrinkToFit="1"/>
    </xf>
    <xf numFmtId="0" fontId="6" fillId="2" borderId="12" xfId="0" applyFont="1" applyFill="1" applyBorder="1" applyAlignment="1">
      <alignment horizontal="left" vertical="center"/>
    </xf>
    <xf numFmtId="0" fontId="12" fillId="2" borderId="12" xfId="0" applyFont="1" applyFill="1" applyBorder="1" applyAlignment="1">
      <alignment horizontal="center" vertical="center" textRotation="90"/>
    </xf>
    <xf numFmtId="0" fontId="12" fillId="2" borderId="12" xfId="0" applyFont="1" applyFill="1" applyBorder="1" applyAlignment="1">
      <alignment horizontal="left" vertical="center" textRotation="90"/>
    </xf>
    <xf numFmtId="0" fontId="12" fillId="2" borderId="12" xfId="0" applyFont="1" applyFill="1" applyBorder="1" applyAlignment="1">
      <alignment horizontal="left" vertical="top" textRotation="90"/>
    </xf>
    <xf numFmtId="0" fontId="7" fillId="2" borderId="12" xfId="0" applyFont="1" applyFill="1" applyBorder="1" applyAlignment="1">
      <alignment horizontal="left" vertical="top"/>
    </xf>
    <xf numFmtId="0" fontId="12" fillId="2" borderId="13" xfId="0" applyFont="1" applyFill="1" applyBorder="1" applyAlignment="1">
      <alignment horizontal="left" vertical="top" textRotation="90"/>
    </xf>
    <xf numFmtId="166" fontId="12" fillId="2" borderId="12" xfId="0" applyNumberFormat="1" applyFont="1" applyFill="1" applyBorder="1" applyAlignment="1">
      <alignment horizontal="left" vertical="center" textRotation="90"/>
    </xf>
    <xf numFmtId="167" fontId="12" fillId="2" borderId="12" xfId="0" applyNumberFormat="1" applyFont="1" applyFill="1" applyBorder="1" applyAlignment="1">
      <alignment horizontal="left" vertical="center" textRotation="90"/>
    </xf>
    <xf numFmtId="2" fontId="12" fillId="2" borderId="12" xfId="0" applyNumberFormat="1" applyFont="1" applyFill="1" applyBorder="1" applyAlignment="1">
      <alignment horizontal="left" vertical="center" textRotation="90"/>
    </xf>
    <xf numFmtId="0" fontId="38" fillId="0" borderId="4" xfId="0" applyFont="1" applyBorder="1" applyAlignment="1">
      <alignment horizontal="left" vertical="top" wrapText="1" indent="1"/>
    </xf>
    <xf numFmtId="166" fontId="45" fillId="2" borderId="12" xfId="0" applyNumberFormat="1" applyFont="1" applyFill="1" applyBorder="1" applyAlignment="1">
      <alignment horizontal="left" vertical="top" textRotation="90"/>
    </xf>
    <xf numFmtId="166" fontId="6" fillId="0" borderId="4" xfId="0" applyNumberFormat="1" applyFont="1" applyBorder="1" applyAlignment="1">
      <alignment horizontal="center" vertical="top" shrinkToFit="1"/>
    </xf>
    <xf numFmtId="0" fontId="35" fillId="6" borderId="0" xfId="0" applyFont="1" applyFill="1" applyAlignment="1">
      <alignment horizontal="center" vertical="top" wrapText="1"/>
    </xf>
    <xf numFmtId="167" fontId="12" fillId="2" borderId="12" xfId="0" applyNumberFormat="1" applyFont="1" applyFill="1" applyBorder="1" applyAlignment="1">
      <alignment horizontal="left" vertical="top" textRotation="90"/>
    </xf>
    <xf numFmtId="1" fontId="6" fillId="0" borderId="4" xfId="0" applyNumberFormat="1" applyFont="1" applyBorder="1" applyAlignment="1">
      <alignment horizontal="left" vertical="top" shrinkToFit="1"/>
    </xf>
    <xf numFmtId="1" fontId="6" fillId="0" borderId="16" xfId="0" applyNumberFormat="1" applyFont="1" applyBorder="1" applyAlignment="1">
      <alignment horizontal="left" vertical="top" shrinkToFit="1"/>
    </xf>
    <xf numFmtId="0" fontId="15" fillId="0" borderId="19" xfId="0" applyFont="1" applyBorder="1" applyAlignment="1">
      <alignment horizontal="left" vertical="top" wrapText="1" indent="2"/>
    </xf>
    <xf numFmtId="2" fontId="6" fillId="0" borderId="19" xfId="0" applyNumberFormat="1" applyFont="1" applyBorder="1" applyAlignment="1">
      <alignment horizontal="right" vertical="top" indent="1" shrinkToFit="1"/>
    </xf>
    <xf numFmtId="1" fontId="6" fillId="0" borderId="19" xfId="0" applyNumberFormat="1" applyFont="1" applyBorder="1" applyAlignment="1">
      <alignment horizontal="left" vertical="top" shrinkToFit="1"/>
    </xf>
    <xf numFmtId="0" fontId="15" fillId="0" borderId="19" xfId="0" applyFont="1" applyBorder="1" applyAlignment="1">
      <alignment horizontal="center" vertical="top" wrapText="1"/>
    </xf>
    <xf numFmtId="0" fontId="6" fillId="0" borderId="19" xfId="0" applyFont="1" applyBorder="1" applyAlignment="1">
      <alignment horizontal="left" vertical="top" wrapText="1"/>
    </xf>
    <xf numFmtId="0" fontId="15" fillId="0" borderId="19" xfId="0" applyFont="1" applyBorder="1" applyAlignment="1">
      <alignment horizontal="left" vertical="top" wrapText="1"/>
    </xf>
    <xf numFmtId="1" fontId="6" fillId="0" borderId="19" xfId="0" applyNumberFormat="1" applyFont="1" applyBorder="1" applyAlignment="1">
      <alignment horizontal="center" vertical="top" shrinkToFit="1"/>
    </xf>
    <xf numFmtId="1" fontId="6" fillId="0" borderId="20" xfId="0" applyNumberFormat="1" applyFont="1" applyBorder="1" applyAlignment="1">
      <alignment horizontal="left" vertical="top" shrinkToFit="1"/>
    </xf>
    <xf numFmtId="0" fontId="15" fillId="0" borderId="20" xfId="0" applyFont="1" applyBorder="1" applyAlignment="1">
      <alignment horizontal="center" vertical="top" wrapText="1"/>
    </xf>
    <xf numFmtId="2" fontId="6" fillId="0" borderId="20" xfId="0" applyNumberFormat="1" applyFont="1" applyBorder="1" applyAlignment="1">
      <alignment horizontal="center" vertical="top" shrinkToFit="1"/>
    </xf>
    <xf numFmtId="0" fontId="6" fillId="0" borderId="20" xfId="0" applyFont="1" applyBorder="1" applyAlignment="1">
      <alignment horizontal="left" vertical="top" wrapText="1"/>
    </xf>
    <xf numFmtId="0" fontId="15" fillId="0" borderId="20" xfId="0" applyFont="1" applyBorder="1" applyAlignment="1">
      <alignment horizontal="left" vertical="top" wrapText="1"/>
    </xf>
    <xf numFmtId="1" fontId="6" fillId="0" borderId="20" xfId="0" applyNumberFormat="1" applyFont="1" applyBorder="1" applyAlignment="1">
      <alignment horizontal="right" vertical="top" indent="2" shrinkToFit="1"/>
    </xf>
    <xf numFmtId="1" fontId="6" fillId="0" borderId="20" xfId="0" applyNumberFormat="1" applyFont="1" applyBorder="1" applyAlignment="1">
      <alignment horizontal="center" vertical="top" shrinkToFit="1"/>
    </xf>
    <xf numFmtId="0" fontId="6" fillId="0" borderId="19" xfId="0" applyFont="1" applyBorder="1" applyAlignment="1">
      <alignment horizontal="left" vertical="center" wrapText="1"/>
    </xf>
    <xf numFmtId="1" fontId="6" fillId="0" borderId="19" xfId="0" applyNumberFormat="1" applyFont="1" applyBorder="1" applyAlignment="1">
      <alignment horizontal="right" vertical="top" indent="2" shrinkToFit="1"/>
    </xf>
    <xf numFmtId="0" fontId="6" fillId="0" borderId="20" xfId="0" applyFont="1" applyBorder="1" applyAlignment="1">
      <alignment horizontal="left" vertical="center" wrapText="1"/>
    </xf>
    <xf numFmtId="2" fontId="6" fillId="0" borderId="19" xfId="0" applyNumberFormat="1" applyFont="1" applyBorder="1" applyAlignment="1">
      <alignment horizontal="center" vertical="top" shrinkToFit="1"/>
    </xf>
    <xf numFmtId="2" fontId="6" fillId="0" borderId="20" xfId="0" applyNumberFormat="1" applyFont="1" applyBorder="1" applyAlignment="1">
      <alignment horizontal="right" vertical="top" indent="1" shrinkToFit="1"/>
    </xf>
    <xf numFmtId="0" fontId="15" fillId="0" borderId="19" xfId="0" applyFont="1" applyBorder="1" applyAlignment="1">
      <alignment horizontal="left" vertical="top" wrapText="1" indent="1"/>
    </xf>
    <xf numFmtId="0" fontId="15" fillId="0" borderId="20" xfId="0" applyFont="1" applyBorder="1" applyAlignment="1">
      <alignment horizontal="left" vertical="top" wrapText="1" indent="1"/>
    </xf>
    <xf numFmtId="0" fontId="6" fillId="0" borderId="19" xfId="0" applyFont="1" applyBorder="1" applyAlignment="1">
      <alignment horizontal="center" vertical="top" wrapText="1"/>
    </xf>
    <xf numFmtId="0" fontId="6" fillId="0" borderId="20" xfId="0" applyFont="1" applyBorder="1" applyAlignment="1">
      <alignment horizontal="center" vertical="top" wrapText="1"/>
    </xf>
    <xf numFmtId="1" fontId="17" fillId="0" borderId="4" xfId="0" applyNumberFormat="1" applyFont="1" applyBorder="1" applyAlignment="1">
      <alignment horizontal="left" vertical="top" shrinkToFit="1"/>
    </xf>
    <xf numFmtId="2" fontId="17" fillId="0" borderId="19" xfId="0" applyNumberFormat="1" applyFont="1" applyBorder="1" applyAlignment="1">
      <alignment horizontal="center" vertical="top" shrinkToFit="1"/>
    </xf>
    <xf numFmtId="1" fontId="17" fillId="0" borderId="20" xfId="0" applyNumberFormat="1" applyFont="1" applyBorder="1" applyAlignment="1">
      <alignment horizontal="left" vertical="top" shrinkToFit="1"/>
    </xf>
    <xf numFmtId="1" fontId="17" fillId="0" borderId="20" xfId="0" applyNumberFormat="1" applyFont="1" applyBorder="1" applyAlignment="1">
      <alignment horizontal="right" vertical="top" indent="2" shrinkToFit="1"/>
    </xf>
    <xf numFmtId="1" fontId="17" fillId="0" borderId="19" xfId="0" applyNumberFormat="1" applyFont="1" applyBorder="1" applyAlignment="1">
      <alignment horizontal="left" vertical="top" shrinkToFit="1"/>
    </xf>
    <xf numFmtId="1" fontId="17" fillId="0" borderId="19" xfId="0" applyNumberFormat="1" applyFont="1" applyBorder="1" applyAlignment="1">
      <alignment horizontal="right" vertical="top" indent="2" shrinkToFit="1"/>
    </xf>
    <xf numFmtId="2" fontId="17" fillId="0" borderId="20" xfId="0" applyNumberFormat="1" applyFont="1" applyBorder="1" applyAlignment="1">
      <alignment horizontal="center" vertical="top" shrinkToFit="1"/>
    </xf>
    <xf numFmtId="1" fontId="17" fillId="0" borderId="19" xfId="0" applyNumberFormat="1" applyFont="1" applyBorder="1" applyAlignment="1">
      <alignment horizontal="center" vertical="top" shrinkToFit="1"/>
    </xf>
    <xf numFmtId="1" fontId="17" fillId="0" borderId="20" xfId="0" applyNumberFormat="1" applyFont="1" applyBorder="1" applyAlignment="1">
      <alignment horizontal="center" vertical="top" shrinkToFit="1"/>
    </xf>
    <xf numFmtId="2" fontId="17" fillId="0" borderId="20" xfId="0" applyNumberFormat="1" applyFont="1" applyBorder="1" applyAlignment="1">
      <alignment horizontal="right" vertical="top" indent="1" shrinkToFit="1"/>
    </xf>
    <xf numFmtId="2" fontId="17" fillId="0" borderId="19" xfId="0" applyNumberFormat="1" applyFont="1" applyBorder="1" applyAlignment="1">
      <alignment horizontal="right" vertical="top" indent="1" shrinkToFit="1"/>
    </xf>
    <xf numFmtId="0" fontId="15" fillId="0" borderId="4" xfId="5" applyFont="1" applyBorder="1" applyAlignment="1">
      <alignment horizontal="center" vertical="top" wrapText="1"/>
    </xf>
    <xf numFmtId="166" fontId="6" fillId="0" borderId="4" xfId="0" applyNumberFormat="1" applyFont="1" applyBorder="1" applyAlignment="1">
      <alignment horizontal="right" vertical="top" indent="1" shrinkToFit="1"/>
    </xf>
    <xf numFmtId="166" fontId="6" fillId="0" borderId="4" xfId="0" applyNumberFormat="1" applyFont="1" applyBorder="1" applyAlignment="1">
      <alignment horizontal="left" vertical="top" indent="1" shrinkToFit="1"/>
    </xf>
    <xf numFmtId="166" fontId="6" fillId="0" borderId="19" xfId="0" applyNumberFormat="1" applyFont="1" applyBorder="1" applyAlignment="1">
      <alignment horizontal="right" vertical="top" indent="1" shrinkToFit="1"/>
    </xf>
    <xf numFmtId="166" fontId="6" fillId="0" borderId="20" xfId="0" applyNumberFormat="1" applyFont="1" applyBorder="1" applyAlignment="1">
      <alignment horizontal="right" vertical="top" indent="1" shrinkToFit="1"/>
    </xf>
    <xf numFmtId="0" fontId="15" fillId="0" borderId="19" xfId="0" applyFont="1" applyBorder="1" applyAlignment="1">
      <alignment horizontal="right" vertical="top" wrapText="1"/>
    </xf>
    <xf numFmtId="1" fontId="6" fillId="0" borderId="19" xfId="0" applyNumberFormat="1" applyFont="1" applyBorder="1" applyAlignment="1">
      <alignment horizontal="right" vertical="top" indent="1" shrinkToFit="1"/>
    </xf>
    <xf numFmtId="1" fontId="6" fillId="0" borderId="21" xfId="0" applyNumberFormat="1" applyFont="1" applyBorder="1" applyAlignment="1">
      <alignment horizontal="left" vertical="top" shrinkToFit="1"/>
    </xf>
    <xf numFmtId="0" fontId="15" fillId="0" borderId="21" xfId="0" applyFont="1" applyBorder="1" applyAlignment="1">
      <alignment horizontal="left" vertical="top" wrapText="1" indent="1"/>
    </xf>
    <xf numFmtId="166" fontId="6" fillId="0" borderId="21" xfId="0" applyNumberFormat="1" applyFont="1" applyBorder="1" applyAlignment="1">
      <alignment horizontal="left" vertical="top" indent="1" shrinkToFit="1"/>
    </xf>
    <xf numFmtId="0" fontId="15" fillId="0" borderId="21" xfId="0" applyFont="1" applyBorder="1" applyAlignment="1">
      <alignment horizontal="left" vertical="top" wrapText="1"/>
    </xf>
    <xf numFmtId="0" fontId="6" fillId="0" borderId="21" xfId="0" applyFont="1" applyBorder="1" applyAlignment="1">
      <alignment horizontal="left" vertical="top" wrapText="1"/>
    </xf>
    <xf numFmtId="1" fontId="6" fillId="0" borderId="21" xfId="0" applyNumberFormat="1" applyFont="1" applyBorder="1" applyAlignment="1">
      <alignment horizontal="left" vertical="top" indent="1" shrinkToFit="1"/>
    </xf>
    <xf numFmtId="1" fontId="6" fillId="0" borderId="21" xfId="0" applyNumberFormat="1" applyFont="1" applyBorder="1" applyAlignment="1">
      <alignment horizontal="center" vertical="top" shrinkToFit="1"/>
    </xf>
    <xf numFmtId="0" fontId="15" fillId="0" borderId="21" xfId="0" applyFont="1" applyBorder="1" applyAlignment="1">
      <alignment horizontal="center" vertical="top" wrapText="1"/>
    </xf>
    <xf numFmtId="170" fontId="6" fillId="0" borderId="4" xfId="0" applyNumberFormat="1" applyFont="1" applyBorder="1" applyAlignment="1">
      <alignment horizontal="right" vertical="top" indent="1" shrinkToFit="1"/>
    </xf>
    <xf numFmtId="2" fontId="6" fillId="0" borderId="0" xfId="0" applyNumberFormat="1" applyFont="1" applyAlignment="1">
      <alignment horizontal="right" vertical="top" indent="1" shrinkToFit="1"/>
    </xf>
    <xf numFmtId="2" fontId="47" fillId="0" borderId="17" xfId="0" applyNumberFormat="1" applyFont="1" applyBorder="1" applyAlignment="1">
      <alignment horizontal="justify" vertical="top" wrapText="1"/>
    </xf>
    <xf numFmtId="2" fontId="48" fillId="0" borderId="17" xfId="0" applyNumberFormat="1" applyFont="1" applyBorder="1" applyAlignment="1">
      <alignment horizontal="justify" vertical="top" wrapText="1"/>
    </xf>
    <xf numFmtId="0" fontId="49" fillId="2" borderId="12" xfId="0" applyFont="1" applyFill="1" applyBorder="1" applyAlignment="1">
      <alignment vertical="top" wrapText="1"/>
    </xf>
    <xf numFmtId="0" fontId="16" fillId="0" borderId="0" xfId="0" applyFont="1" applyAlignment="1">
      <alignment horizontal="left" vertical="top"/>
    </xf>
    <xf numFmtId="0" fontId="45" fillId="0" borderId="0" xfId="0" applyFont="1" applyAlignment="1">
      <alignment horizontal="left" vertical="top"/>
    </xf>
    <xf numFmtId="0" fontId="16" fillId="6" borderId="0" xfId="0" applyFont="1" applyFill="1" applyAlignment="1">
      <alignment horizontal="center" vertical="top" wrapText="1"/>
    </xf>
    <xf numFmtId="0" fontId="50" fillId="0" borderId="22" xfId="6" applyFont="1" applyBorder="1" applyAlignment="1">
      <alignment horizontal="center" vertical="top" wrapText="1"/>
    </xf>
    <xf numFmtId="0" fontId="51" fillId="0" borderId="22" xfId="6" applyFont="1" applyBorder="1" applyAlignment="1">
      <alignment horizontal="center" vertical="top" wrapText="1"/>
    </xf>
    <xf numFmtId="0" fontId="51" fillId="0" borderId="22" xfId="6" applyFont="1" applyBorder="1" applyAlignment="1">
      <alignment horizontal="justify" vertical="top" wrapText="1"/>
    </xf>
    <xf numFmtId="0" fontId="7" fillId="0" borderId="0" xfId="0" applyFont="1" applyAlignment="1">
      <alignment horizontal="center" vertical="top" textRotation="90"/>
    </xf>
    <xf numFmtId="2" fontId="51" fillId="0" borderId="22" xfId="6" applyNumberFormat="1" applyFont="1" applyBorder="1" applyAlignment="1">
      <alignment horizontal="center" vertical="top" wrapText="1"/>
    </xf>
    <xf numFmtId="0" fontId="51" fillId="0" borderId="0" xfId="6" applyFont="1" applyAlignment="1">
      <alignment horizontal="center" vertical="top" wrapText="1"/>
    </xf>
    <xf numFmtId="0" fontId="52" fillId="6" borderId="22" xfId="6" applyFont="1" applyFill="1" applyBorder="1" applyAlignment="1">
      <alignment horizontal="center" vertical="top" wrapText="1"/>
    </xf>
    <xf numFmtId="166" fontId="6" fillId="0" borderId="4" xfId="0" applyNumberFormat="1" applyFont="1" applyBorder="1" applyAlignment="1">
      <alignment horizontal="left" vertical="top" shrinkToFit="1"/>
    </xf>
    <xf numFmtId="166" fontId="45" fillId="0" borderId="0" xfId="0" applyNumberFormat="1" applyFont="1" applyAlignment="1">
      <alignment horizontal="left" vertical="top"/>
    </xf>
    <xf numFmtId="0" fontId="3" fillId="0" borderId="23" xfId="0" applyFont="1" applyBorder="1" applyAlignment="1">
      <alignment horizontal="justify" vertical="top" wrapText="1"/>
    </xf>
    <xf numFmtId="2" fontId="3" fillId="0" borderId="23" xfId="0" applyNumberFormat="1" applyFont="1" applyBorder="1" applyAlignment="1">
      <alignment horizontal="center" vertical="top" wrapText="1"/>
    </xf>
    <xf numFmtId="1" fontId="53" fillId="0" borderId="23" xfId="0" applyNumberFormat="1" applyFont="1" applyBorder="1" applyAlignment="1">
      <alignment horizontal="left" vertical="top" shrinkToFit="1"/>
    </xf>
    <xf numFmtId="0" fontId="53" fillId="0" borderId="23" xfId="0" applyFont="1" applyBorder="1" applyAlignment="1">
      <alignment horizontal="left" vertical="top"/>
    </xf>
    <xf numFmtId="166" fontId="53" fillId="0" borderId="23" xfId="0" applyNumberFormat="1" applyFont="1" applyBorder="1" applyAlignment="1">
      <alignment horizontal="left" vertical="top" wrapText="1" shrinkToFit="1"/>
    </xf>
    <xf numFmtId="0" fontId="54" fillId="0" borderId="23" xfId="6" applyFont="1" applyBorder="1" applyAlignment="1">
      <alignment horizontal="center" vertical="top" wrapText="1"/>
    </xf>
    <xf numFmtId="0" fontId="55" fillId="0" borderId="23" xfId="0" applyFont="1" applyBorder="1" applyAlignment="1">
      <alignment horizontal="justify" vertical="top" wrapText="1"/>
    </xf>
    <xf numFmtId="0" fontId="56" fillId="0" borderId="23" xfId="0" applyFont="1" applyBorder="1" applyAlignment="1">
      <alignment horizontal="center" vertical="top" wrapText="1"/>
    </xf>
    <xf numFmtId="0" fontId="57" fillId="0" borderId="23" xfId="0" applyFont="1" applyBorder="1" applyAlignment="1">
      <alignment horizontal="center" vertical="top" textRotation="90"/>
    </xf>
    <xf numFmtId="43" fontId="56" fillId="0" borderId="23" xfId="1" applyNumberFormat="1" applyFont="1" applyBorder="1" applyAlignment="1">
      <alignment horizontal="center" vertical="top" wrapText="1"/>
    </xf>
    <xf numFmtId="0" fontId="53" fillId="0" borderId="0" xfId="0" applyFont="1" applyAlignment="1">
      <alignment horizontal="left" vertical="top"/>
    </xf>
    <xf numFmtId="0" fontId="58" fillId="8" borderId="24" xfId="0" applyFont="1" applyFill="1" applyBorder="1" applyAlignment="1">
      <alignment horizontal="left" vertical="top"/>
    </xf>
    <xf numFmtId="0" fontId="57" fillId="0" borderId="0" xfId="0" applyFont="1" applyAlignment="1">
      <alignment horizontal="left" vertical="top"/>
    </xf>
    <xf numFmtId="0" fontId="56" fillId="0" borderId="23" xfId="0" applyFont="1" applyBorder="1" applyAlignment="1">
      <alignment horizontal="justify" vertical="top" wrapText="1"/>
    </xf>
    <xf numFmtId="0" fontId="60" fillId="0" borderId="0" xfId="0" applyFont="1" applyAlignment="1">
      <alignment horizontal="center" vertical="top"/>
    </xf>
    <xf numFmtId="0" fontId="6" fillId="0" borderId="21" xfId="0" applyFont="1" applyBorder="1" applyAlignment="1">
      <alignment horizontal="left" vertical="top" wrapText="1"/>
    </xf>
    <xf numFmtId="0" fontId="6" fillId="0" borderId="20" xfId="0" applyFont="1" applyBorder="1" applyAlignment="1">
      <alignment horizontal="left" vertical="top" wrapText="1"/>
    </xf>
    <xf numFmtId="0" fontId="4" fillId="0" borderId="1" xfId="0" applyFont="1" applyBorder="1" applyAlignment="1">
      <alignment horizontal="center" vertical="top" wrapText="1"/>
    </xf>
    <xf numFmtId="0" fontId="5" fillId="0" borderId="2" xfId="0" applyFont="1" applyBorder="1" applyAlignment="1">
      <alignment horizontal="center" vertical="top" wrapText="1"/>
    </xf>
    <xf numFmtId="0" fontId="5" fillId="0" borderId="3" xfId="0" applyFont="1" applyBorder="1" applyAlignment="1">
      <alignment horizontal="center" vertical="top" wrapText="1"/>
    </xf>
    <xf numFmtId="0" fontId="5" fillId="6" borderId="7" xfId="0" applyFont="1" applyFill="1" applyBorder="1" applyAlignment="1">
      <alignment horizontal="center" vertical="top" wrapText="1"/>
    </xf>
    <xf numFmtId="0" fontId="5" fillId="6" borderId="8" xfId="0" applyFont="1" applyFill="1" applyBorder="1" applyAlignment="1">
      <alignment horizontal="center" vertical="top" wrapText="1"/>
    </xf>
    <xf numFmtId="0" fontId="5" fillId="6" borderId="6" xfId="0" applyFont="1" applyFill="1" applyBorder="1" applyAlignment="1">
      <alignment horizontal="center" vertical="top" wrapText="1"/>
    </xf>
    <xf numFmtId="0" fontId="5" fillId="6" borderId="2" xfId="0" applyFont="1" applyFill="1" applyBorder="1" applyAlignment="1">
      <alignment horizontal="center" vertical="top" wrapText="1"/>
    </xf>
    <xf numFmtId="0" fontId="5" fillId="6" borderId="3" xfId="0" applyFont="1" applyFill="1" applyBorder="1" applyAlignment="1">
      <alignment horizontal="center" vertical="top" wrapText="1"/>
    </xf>
    <xf numFmtId="0" fontId="15" fillId="0" borderId="19" xfId="0" applyFont="1" applyBorder="1" applyAlignment="1">
      <alignment horizontal="left" vertical="top" wrapText="1" indent="2"/>
    </xf>
    <xf numFmtId="0" fontId="15" fillId="0" borderId="21" xfId="0" applyFont="1" applyBorder="1" applyAlignment="1">
      <alignment horizontal="left" vertical="top" wrapText="1" indent="2"/>
    </xf>
    <xf numFmtId="0" fontId="15" fillId="0" borderId="19" xfId="0" applyFont="1" applyBorder="1" applyAlignment="1">
      <alignment horizontal="center" vertical="top" wrapText="1"/>
    </xf>
    <xf numFmtId="0" fontId="15" fillId="0" borderId="21" xfId="0" applyFont="1" applyBorder="1" applyAlignment="1">
      <alignment horizontal="center" vertical="top" wrapText="1"/>
    </xf>
    <xf numFmtId="0" fontId="15" fillId="0" borderId="19" xfId="0" applyFont="1" applyBorder="1" applyAlignment="1">
      <alignment horizontal="left" vertical="top" wrapText="1" indent="1"/>
    </xf>
    <xf numFmtId="0" fontId="15" fillId="0" borderId="21" xfId="0" applyFont="1" applyBorder="1" applyAlignment="1">
      <alignment horizontal="left" vertical="top" wrapText="1" indent="1"/>
    </xf>
    <xf numFmtId="0" fontId="15" fillId="0" borderId="20" xfId="0" applyFont="1" applyBorder="1" applyAlignment="1">
      <alignment horizontal="left" vertical="top" wrapText="1" indent="1"/>
    </xf>
    <xf numFmtId="0" fontId="15" fillId="0" borderId="21" xfId="0" applyFont="1" applyBorder="1" applyAlignment="1">
      <alignment horizontal="left" vertical="top" wrapText="1"/>
    </xf>
    <xf numFmtId="2" fontId="17" fillId="0" borderId="19" xfId="0" applyNumberFormat="1" applyFont="1" applyBorder="1" applyAlignment="1">
      <alignment horizontal="left" vertical="top" indent="1" shrinkToFit="1"/>
    </xf>
    <xf numFmtId="2" fontId="17" fillId="0" borderId="20" xfId="0" applyNumberFormat="1" applyFont="1" applyBorder="1" applyAlignment="1">
      <alignment horizontal="left" vertical="top" indent="1" shrinkToFit="1"/>
    </xf>
    <xf numFmtId="2" fontId="17" fillId="0" borderId="21" xfId="0" applyNumberFormat="1" applyFont="1" applyBorder="1" applyAlignment="1">
      <alignment horizontal="left" vertical="top" indent="1" shrinkToFit="1"/>
    </xf>
    <xf numFmtId="166" fontId="6" fillId="0" borderId="21" xfId="0" applyNumberFormat="1" applyFont="1" applyBorder="1" applyAlignment="1">
      <alignment horizontal="left" vertical="top" indent="1" shrinkToFit="1"/>
    </xf>
    <xf numFmtId="0" fontId="35" fillId="6" borderId="6" xfId="0" applyFont="1" applyFill="1" applyBorder="1" applyAlignment="1">
      <alignment horizontal="center" vertical="top" wrapText="1"/>
    </xf>
    <xf numFmtId="0" fontId="35" fillId="6" borderId="2" xfId="0" applyFont="1" applyFill="1" applyBorder="1" applyAlignment="1">
      <alignment horizontal="center" vertical="top" wrapText="1"/>
    </xf>
    <xf numFmtId="0" fontId="35" fillId="6" borderId="3" xfId="0" applyFont="1" applyFill="1" applyBorder="1" applyAlignment="1">
      <alignment horizontal="center" vertical="top" wrapText="1"/>
    </xf>
    <xf numFmtId="1" fontId="6" fillId="0" borderId="21" xfId="0" applyNumberFormat="1" applyFont="1" applyBorder="1" applyAlignment="1">
      <alignment horizontal="left" vertical="top" indent="1" shrinkToFit="1"/>
    </xf>
    <xf numFmtId="1" fontId="6" fillId="0" borderId="21" xfId="0" applyNumberFormat="1" applyFont="1" applyBorder="1" applyAlignment="1">
      <alignment horizontal="center" vertical="top" shrinkToFit="1"/>
    </xf>
    <xf numFmtId="1" fontId="6" fillId="0" borderId="19" xfId="0" applyNumberFormat="1" applyFont="1" applyBorder="1" applyAlignment="1">
      <alignment horizontal="left" vertical="top" shrinkToFit="1"/>
    </xf>
    <xf numFmtId="1" fontId="6" fillId="0" borderId="20" xfId="0" applyNumberFormat="1" applyFont="1" applyBorder="1" applyAlignment="1">
      <alignment horizontal="left" vertical="top" shrinkToFit="1"/>
    </xf>
    <xf numFmtId="0" fontId="15" fillId="0" borderId="20" xfId="0" applyFont="1" applyBorder="1" applyAlignment="1">
      <alignment horizontal="center" vertical="top" wrapText="1"/>
    </xf>
    <xf numFmtId="2" fontId="6" fillId="0" borderId="19" xfId="0" applyNumberFormat="1" applyFont="1" applyBorder="1" applyAlignment="1">
      <alignment horizontal="left" vertical="top" indent="1" shrinkToFit="1"/>
    </xf>
    <xf numFmtId="2" fontId="6" fillId="0" borderId="20" xfId="0" applyNumberFormat="1" applyFont="1" applyBorder="1" applyAlignment="1">
      <alignment horizontal="left" vertical="top" indent="1" shrinkToFit="1"/>
    </xf>
    <xf numFmtId="0" fontId="15" fillId="0" borderId="19" xfId="0" applyFont="1" applyBorder="1" applyAlignment="1">
      <alignment horizontal="left" vertical="top" wrapText="1"/>
    </xf>
    <xf numFmtId="0" fontId="15" fillId="0" borderId="20" xfId="0" applyFont="1" applyBorder="1" applyAlignment="1">
      <alignment horizontal="left" vertical="top" wrapText="1"/>
    </xf>
    <xf numFmtId="1" fontId="6" fillId="0" borderId="19" xfId="0" applyNumberFormat="1" applyFont="1" applyBorder="1" applyAlignment="1">
      <alignment horizontal="left" vertical="top" indent="1" shrinkToFit="1"/>
    </xf>
    <xf numFmtId="1" fontId="6" fillId="0" borderId="20" xfId="0" applyNumberFormat="1" applyFont="1" applyBorder="1" applyAlignment="1">
      <alignment horizontal="left" vertical="top" indent="1" shrinkToFit="1"/>
    </xf>
    <xf numFmtId="1" fontId="6" fillId="0" borderId="19" xfId="0" applyNumberFormat="1" applyFont="1" applyBorder="1" applyAlignment="1">
      <alignment horizontal="center" vertical="top" shrinkToFit="1"/>
    </xf>
    <xf numFmtId="1" fontId="6" fillId="0" borderId="20" xfId="0" applyNumberFormat="1" applyFont="1" applyBorder="1" applyAlignment="1">
      <alignment horizontal="center" vertical="top" shrinkToFit="1"/>
    </xf>
  </cellXfs>
  <cellStyles count="359">
    <cellStyle name="20% - Accent1 2" xfId="7" xr:uid="{00000000-0005-0000-0000-000000000000}"/>
    <cellStyle name="20% - Accent2 2" xfId="8" xr:uid="{00000000-0005-0000-0000-000001000000}"/>
    <cellStyle name="20% - Accent3 2" xfId="9" xr:uid="{00000000-0005-0000-0000-000002000000}"/>
    <cellStyle name="20% - Accent4 2" xfId="10" xr:uid="{00000000-0005-0000-0000-000003000000}"/>
    <cellStyle name="20% - Accent5 2" xfId="11" xr:uid="{00000000-0005-0000-0000-000004000000}"/>
    <cellStyle name="20% - Accent6 2" xfId="12" xr:uid="{00000000-0005-0000-0000-000005000000}"/>
    <cellStyle name="40% - Accent1 2" xfId="13" xr:uid="{00000000-0005-0000-0000-000006000000}"/>
    <cellStyle name="40% - Accent2 2" xfId="14" xr:uid="{00000000-0005-0000-0000-000007000000}"/>
    <cellStyle name="40% - Accent3 2" xfId="15" xr:uid="{00000000-0005-0000-0000-000008000000}"/>
    <cellStyle name="40% - Accent4 2" xfId="16" xr:uid="{00000000-0005-0000-0000-000009000000}"/>
    <cellStyle name="40% - Accent5 2" xfId="17" xr:uid="{00000000-0005-0000-0000-00000A000000}"/>
    <cellStyle name="40% - Accent6 2" xfId="18" xr:uid="{00000000-0005-0000-0000-00000B000000}"/>
    <cellStyle name="60% - Accent1 2" xfId="19" xr:uid="{00000000-0005-0000-0000-00000C000000}"/>
    <cellStyle name="60% - Accent2 2" xfId="20" xr:uid="{00000000-0005-0000-0000-00000D000000}"/>
    <cellStyle name="60% - Accent3 2" xfId="21" xr:uid="{00000000-0005-0000-0000-00000E000000}"/>
    <cellStyle name="60% - Accent4 2" xfId="22" xr:uid="{00000000-0005-0000-0000-00000F000000}"/>
    <cellStyle name="60% - Accent5 2" xfId="23" xr:uid="{00000000-0005-0000-0000-000010000000}"/>
    <cellStyle name="60% - Accent6 2" xfId="24" xr:uid="{00000000-0005-0000-0000-000011000000}"/>
    <cellStyle name="Accent1 2" xfId="25" xr:uid="{00000000-0005-0000-0000-000012000000}"/>
    <cellStyle name="Accent2 2" xfId="26" xr:uid="{00000000-0005-0000-0000-000013000000}"/>
    <cellStyle name="Accent3 2" xfId="27" xr:uid="{00000000-0005-0000-0000-000014000000}"/>
    <cellStyle name="Accent4 2" xfId="28" xr:uid="{00000000-0005-0000-0000-000015000000}"/>
    <cellStyle name="Accent5 2" xfId="29" xr:uid="{00000000-0005-0000-0000-000016000000}"/>
    <cellStyle name="Accent6 2" xfId="30" xr:uid="{00000000-0005-0000-0000-000017000000}"/>
    <cellStyle name="ang" xfId="31" xr:uid="{00000000-0005-0000-0000-000018000000}"/>
    <cellStyle name="ang 2" xfId="32" xr:uid="{00000000-0005-0000-0000-000019000000}"/>
    <cellStyle name="ang 3" xfId="33" xr:uid="{00000000-0005-0000-0000-00001A000000}"/>
    <cellStyle name="ang 4" xfId="34" xr:uid="{00000000-0005-0000-0000-00001B000000}"/>
    <cellStyle name="ang 5" xfId="35" xr:uid="{00000000-0005-0000-0000-00001C000000}"/>
    <cellStyle name="ang 6" xfId="36" xr:uid="{00000000-0005-0000-0000-00001D000000}"/>
    <cellStyle name="Bad 2" xfId="37" xr:uid="{00000000-0005-0000-0000-00001E000000}"/>
    <cellStyle name="Bear_angle" xfId="38" xr:uid="{00000000-0005-0000-0000-00001F000000}"/>
    <cellStyle name="Calc Currency (0)" xfId="39" xr:uid="{00000000-0005-0000-0000-000020000000}"/>
    <cellStyle name="Calculation 2" xfId="40" xr:uid="{00000000-0005-0000-0000-000021000000}"/>
    <cellStyle name="Calculation 2 2" xfId="41" xr:uid="{00000000-0005-0000-0000-000022000000}"/>
    <cellStyle name="Check Cell 2" xfId="42" xr:uid="{00000000-0005-0000-0000-000023000000}"/>
    <cellStyle name="Comma" xfId="1" builtinId="3"/>
    <cellStyle name="Comma 2" xfId="43" xr:uid="{00000000-0005-0000-0000-000025000000}"/>
    <cellStyle name="Comma 2 2" xfId="44" xr:uid="{00000000-0005-0000-0000-000026000000}"/>
    <cellStyle name="Comma 2 2 2" xfId="45" xr:uid="{00000000-0005-0000-0000-000027000000}"/>
    <cellStyle name="Comma 2 2 2 2" xfId="46" xr:uid="{00000000-0005-0000-0000-000028000000}"/>
    <cellStyle name="Comma 2 2 2 3" xfId="47" xr:uid="{00000000-0005-0000-0000-000029000000}"/>
    <cellStyle name="Comma 2 2 2 4" xfId="48" xr:uid="{00000000-0005-0000-0000-00002A000000}"/>
    <cellStyle name="Comma 2 2 2 5" xfId="49" xr:uid="{00000000-0005-0000-0000-00002B000000}"/>
    <cellStyle name="Comma 2 2 2 6" xfId="50" xr:uid="{00000000-0005-0000-0000-00002C000000}"/>
    <cellStyle name="Comma 2 2 3" xfId="51" xr:uid="{00000000-0005-0000-0000-00002D000000}"/>
    <cellStyle name="Comma 2 2 3 2" xfId="52" xr:uid="{00000000-0005-0000-0000-00002E000000}"/>
    <cellStyle name="Comma 2 2 3 3" xfId="53" xr:uid="{00000000-0005-0000-0000-00002F000000}"/>
    <cellStyle name="Comma 2 2 3 4" xfId="54" xr:uid="{00000000-0005-0000-0000-000030000000}"/>
    <cellStyle name="Comma 2 2 3 5" xfId="55" xr:uid="{00000000-0005-0000-0000-000031000000}"/>
    <cellStyle name="Comma 2 2 3 6" xfId="56" xr:uid="{00000000-0005-0000-0000-000032000000}"/>
    <cellStyle name="Comma 2 2 4" xfId="57" xr:uid="{00000000-0005-0000-0000-000033000000}"/>
    <cellStyle name="Comma 2 2 4 2" xfId="58" xr:uid="{00000000-0005-0000-0000-000034000000}"/>
    <cellStyle name="Comma 2 2 4 3" xfId="59" xr:uid="{00000000-0005-0000-0000-000035000000}"/>
    <cellStyle name="Comma 2 2 4 4" xfId="60" xr:uid="{00000000-0005-0000-0000-000036000000}"/>
    <cellStyle name="Comma 2 2 4 5" xfId="61" xr:uid="{00000000-0005-0000-0000-000037000000}"/>
    <cellStyle name="Comma 2 2 4 6" xfId="62" xr:uid="{00000000-0005-0000-0000-000038000000}"/>
    <cellStyle name="Comma 2 2 5" xfId="63" xr:uid="{00000000-0005-0000-0000-000039000000}"/>
    <cellStyle name="Comma 2 2 5 2" xfId="64" xr:uid="{00000000-0005-0000-0000-00003A000000}"/>
    <cellStyle name="Comma 2 2 5 3" xfId="65" xr:uid="{00000000-0005-0000-0000-00003B000000}"/>
    <cellStyle name="Comma 2 2 5 4" xfId="66" xr:uid="{00000000-0005-0000-0000-00003C000000}"/>
    <cellStyle name="Comma 2 2 5 5" xfId="67" xr:uid="{00000000-0005-0000-0000-00003D000000}"/>
    <cellStyle name="Comma 2 2 5 6" xfId="68" xr:uid="{00000000-0005-0000-0000-00003E000000}"/>
    <cellStyle name="Comma 2 2 6" xfId="69" xr:uid="{00000000-0005-0000-0000-00003F000000}"/>
    <cellStyle name="Comma 2 3" xfId="70" xr:uid="{00000000-0005-0000-0000-000040000000}"/>
    <cellStyle name="Comma 2 4" xfId="71" xr:uid="{00000000-0005-0000-0000-000041000000}"/>
    <cellStyle name="Comma 2 5" xfId="72" xr:uid="{00000000-0005-0000-0000-000042000000}"/>
    <cellStyle name="Comma 2 6" xfId="73" xr:uid="{00000000-0005-0000-0000-000043000000}"/>
    <cellStyle name="Comma 3" xfId="74" xr:uid="{00000000-0005-0000-0000-000044000000}"/>
    <cellStyle name="Comma 3 2" xfId="75" xr:uid="{00000000-0005-0000-0000-000045000000}"/>
    <cellStyle name="Comma 3 3" xfId="76" xr:uid="{00000000-0005-0000-0000-000046000000}"/>
    <cellStyle name="Comma 3 4" xfId="77" xr:uid="{00000000-0005-0000-0000-000047000000}"/>
    <cellStyle name="Comma 4" xfId="78" xr:uid="{00000000-0005-0000-0000-000048000000}"/>
    <cellStyle name="Copied" xfId="79" xr:uid="{00000000-0005-0000-0000-000049000000}"/>
    <cellStyle name="Currency 2" xfId="80" xr:uid="{00000000-0005-0000-0000-00004A000000}"/>
    <cellStyle name="Currency 2 2" xfId="81" xr:uid="{00000000-0005-0000-0000-00004B000000}"/>
    <cellStyle name="Currency 2 3" xfId="82" xr:uid="{00000000-0005-0000-0000-00004C000000}"/>
    <cellStyle name="Currency 2 4" xfId="83" xr:uid="{00000000-0005-0000-0000-00004D000000}"/>
    <cellStyle name="Currency 2 5" xfId="84" xr:uid="{00000000-0005-0000-0000-00004E000000}"/>
    <cellStyle name="Currency 2 6" xfId="85" xr:uid="{00000000-0005-0000-0000-00004F000000}"/>
    <cellStyle name="Currency 2 7" xfId="86" xr:uid="{00000000-0005-0000-0000-000050000000}"/>
    <cellStyle name="Dist" xfId="87" xr:uid="{00000000-0005-0000-0000-000051000000}"/>
    <cellStyle name="Dist 2" xfId="88" xr:uid="{00000000-0005-0000-0000-000052000000}"/>
    <cellStyle name="Dist 3" xfId="89" xr:uid="{00000000-0005-0000-0000-000053000000}"/>
    <cellStyle name="Dist 4" xfId="90" xr:uid="{00000000-0005-0000-0000-000054000000}"/>
    <cellStyle name="Dist 5" xfId="91" xr:uid="{00000000-0005-0000-0000-000055000000}"/>
    <cellStyle name="Dist 6" xfId="92" xr:uid="{00000000-0005-0000-0000-000056000000}"/>
    <cellStyle name="Entered" xfId="93" xr:uid="{00000000-0005-0000-0000-000057000000}"/>
    <cellStyle name="Euro" xfId="94" xr:uid="{00000000-0005-0000-0000-000058000000}"/>
    <cellStyle name="Euro 10" xfId="95" xr:uid="{00000000-0005-0000-0000-000059000000}"/>
    <cellStyle name="Euro 11" xfId="96" xr:uid="{00000000-0005-0000-0000-00005A000000}"/>
    <cellStyle name="Euro 12" xfId="97" xr:uid="{00000000-0005-0000-0000-00005B000000}"/>
    <cellStyle name="Euro 13" xfId="98" xr:uid="{00000000-0005-0000-0000-00005C000000}"/>
    <cellStyle name="Euro 14" xfId="99" xr:uid="{00000000-0005-0000-0000-00005D000000}"/>
    <cellStyle name="Euro 15" xfId="100" xr:uid="{00000000-0005-0000-0000-00005E000000}"/>
    <cellStyle name="Euro 16" xfId="101" xr:uid="{00000000-0005-0000-0000-00005F000000}"/>
    <cellStyle name="Euro 17" xfId="102" xr:uid="{00000000-0005-0000-0000-000060000000}"/>
    <cellStyle name="Euro 18" xfId="103" xr:uid="{00000000-0005-0000-0000-000061000000}"/>
    <cellStyle name="Euro 19" xfId="104" xr:uid="{00000000-0005-0000-0000-000062000000}"/>
    <cellStyle name="Euro 2" xfId="105" xr:uid="{00000000-0005-0000-0000-000063000000}"/>
    <cellStyle name="Euro 2 2" xfId="106" xr:uid="{00000000-0005-0000-0000-000064000000}"/>
    <cellStyle name="Euro 2 3" xfId="107" xr:uid="{00000000-0005-0000-0000-000065000000}"/>
    <cellStyle name="Euro 2 4" xfId="108" xr:uid="{00000000-0005-0000-0000-000066000000}"/>
    <cellStyle name="Euro 20" xfId="109" xr:uid="{00000000-0005-0000-0000-000067000000}"/>
    <cellStyle name="Euro 21" xfId="110" xr:uid="{00000000-0005-0000-0000-000068000000}"/>
    <cellStyle name="Euro 3" xfId="111" xr:uid="{00000000-0005-0000-0000-000069000000}"/>
    <cellStyle name="Euro 4" xfId="112" xr:uid="{00000000-0005-0000-0000-00006A000000}"/>
    <cellStyle name="Euro 5" xfId="113" xr:uid="{00000000-0005-0000-0000-00006B000000}"/>
    <cellStyle name="Euro 6" xfId="114" xr:uid="{00000000-0005-0000-0000-00006C000000}"/>
    <cellStyle name="Euro 7" xfId="115" xr:uid="{00000000-0005-0000-0000-00006D000000}"/>
    <cellStyle name="Euro 8" xfId="116" xr:uid="{00000000-0005-0000-0000-00006E000000}"/>
    <cellStyle name="Euro 9" xfId="117" xr:uid="{00000000-0005-0000-0000-00006F000000}"/>
    <cellStyle name="Euro_01) Estimate Open Sonegaon Mr." xfId="118" xr:uid="{00000000-0005-0000-0000-000070000000}"/>
    <cellStyle name="Excel Built-in Normal" xfId="119" xr:uid="{00000000-0005-0000-0000-000071000000}"/>
    <cellStyle name="Explanatory Text 2" xfId="120" xr:uid="{00000000-0005-0000-0000-000072000000}"/>
    <cellStyle name="Good 2" xfId="121" xr:uid="{00000000-0005-0000-0000-000073000000}"/>
    <cellStyle name="Grey" xfId="122" xr:uid="{00000000-0005-0000-0000-000074000000}"/>
    <cellStyle name="Header1" xfId="123" xr:uid="{00000000-0005-0000-0000-000075000000}"/>
    <cellStyle name="Header2" xfId="124" xr:uid="{00000000-0005-0000-0000-000076000000}"/>
    <cellStyle name="Heading 1 2" xfId="125" xr:uid="{00000000-0005-0000-0000-000077000000}"/>
    <cellStyle name="Heading 2 2" xfId="126" xr:uid="{00000000-0005-0000-0000-000078000000}"/>
    <cellStyle name="Heading 3 2" xfId="127" xr:uid="{00000000-0005-0000-0000-000079000000}"/>
    <cellStyle name="Heading 4 2" xfId="128" xr:uid="{00000000-0005-0000-0000-00007A000000}"/>
    <cellStyle name="Hyperlink 2" xfId="129" xr:uid="{00000000-0005-0000-0000-00007B000000}"/>
    <cellStyle name="Hyperlink 3" xfId="130" xr:uid="{00000000-0005-0000-0000-00007C000000}"/>
    <cellStyle name="Input [yellow]" xfId="131" xr:uid="{00000000-0005-0000-0000-00007D000000}"/>
    <cellStyle name="Input 2" xfId="132" xr:uid="{00000000-0005-0000-0000-00007E000000}"/>
    <cellStyle name="Input 2 2" xfId="133" xr:uid="{00000000-0005-0000-0000-00007F000000}"/>
    <cellStyle name="intervals" xfId="134" xr:uid="{00000000-0005-0000-0000-000080000000}"/>
    <cellStyle name="intervals 2" xfId="135" xr:uid="{00000000-0005-0000-0000-000081000000}"/>
    <cellStyle name="intervals 3" xfId="136" xr:uid="{00000000-0005-0000-0000-000082000000}"/>
    <cellStyle name="intervals 4" xfId="137" xr:uid="{00000000-0005-0000-0000-000083000000}"/>
    <cellStyle name="intervals 5" xfId="138" xr:uid="{00000000-0005-0000-0000-000084000000}"/>
    <cellStyle name="intervals 6" xfId="139" xr:uid="{00000000-0005-0000-0000-000085000000}"/>
    <cellStyle name="Linked Cell 2" xfId="140" xr:uid="{00000000-0005-0000-0000-000086000000}"/>
    <cellStyle name="Linked Cell 2 2" xfId="141" xr:uid="{00000000-0005-0000-0000-000087000000}"/>
    <cellStyle name="Linked Cell 2 3" xfId="142" xr:uid="{00000000-0005-0000-0000-000088000000}"/>
    <cellStyle name="Linked Cell 2 4" xfId="143" xr:uid="{00000000-0005-0000-0000-000089000000}"/>
    <cellStyle name="MDH" xfId="144" xr:uid="{00000000-0005-0000-0000-00008A000000}"/>
    <cellStyle name="Neutral 2" xfId="145" xr:uid="{00000000-0005-0000-0000-00008B000000}"/>
    <cellStyle name="Normal" xfId="0" builtinId="0"/>
    <cellStyle name="Normal - Style1" xfId="6" xr:uid="{00000000-0005-0000-0000-00008D000000}"/>
    <cellStyle name="Normal 10" xfId="146" xr:uid="{00000000-0005-0000-0000-00008E000000}"/>
    <cellStyle name="Normal 10 2" xfId="147" xr:uid="{00000000-0005-0000-0000-00008F000000}"/>
    <cellStyle name="Normal 10 2 2" xfId="148" xr:uid="{00000000-0005-0000-0000-000090000000}"/>
    <cellStyle name="Normal 10 3" xfId="149" xr:uid="{00000000-0005-0000-0000-000091000000}"/>
    <cellStyle name="Normal 10 3 2" xfId="150" xr:uid="{00000000-0005-0000-0000-000092000000}"/>
    <cellStyle name="Normal 10 3 3" xfId="151" xr:uid="{00000000-0005-0000-0000-000093000000}"/>
    <cellStyle name="Normal 104 2" xfId="152" xr:uid="{00000000-0005-0000-0000-000094000000}"/>
    <cellStyle name="Normal 11" xfId="153" xr:uid="{00000000-0005-0000-0000-000095000000}"/>
    <cellStyle name="Normal 11 2" xfId="154" xr:uid="{00000000-0005-0000-0000-000096000000}"/>
    <cellStyle name="Normal 12" xfId="2" xr:uid="{00000000-0005-0000-0000-000097000000}"/>
    <cellStyle name="Normal 13" xfId="155" xr:uid="{00000000-0005-0000-0000-000098000000}"/>
    <cellStyle name="Normal 13 2" xfId="156" xr:uid="{00000000-0005-0000-0000-000099000000}"/>
    <cellStyle name="Normal 14" xfId="157" xr:uid="{00000000-0005-0000-0000-00009A000000}"/>
    <cellStyle name="Normal 15" xfId="158" xr:uid="{00000000-0005-0000-0000-00009B000000}"/>
    <cellStyle name="Normal 16" xfId="159" xr:uid="{00000000-0005-0000-0000-00009C000000}"/>
    <cellStyle name="Normal 17" xfId="160" xr:uid="{00000000-0005-0000-0000-00009D000000}"/>
    <cellStyle name="Normal 18" xfId="161" xr:uid="{00000000-0005-0000-0000-00009E000000}"/>
    <cellStyle name="Normal 19" xfId="162" xr:uid="{00000000-0005-0000-0000-00009F000000}"/>
    <cellStyle name="Normal 2" xfId="163" xr:uid="{00000000-0005-0000-0000-0000A0000000}"/>
    <cellStyle name="Normal 2 10" xfId="164" xr:uid="{00000000-0005-0000-0000-0000A1000000}"/>
    <cellStyle name="Normal 2 10 2" xfId="165" xr:uid="{00000000-0005-0000-0000-0000A2000000}"/>
    <cellStyle name="Normal 2 10 3" xfId="166" xr:uid="{00000000-0005-0000-0000-0000A3000000}"/>
    <cellStyle name="Normal 2 10 4" xfId="167" xr:uid="{00000000-0005-0000-0000-0000A4000000}"/>
    <cellStyle name="Normal 2 10 5" xfId="168" xr:uid="{00000000-0005-0000-0000-0000A5000000}"/>
    <cellStyle name="Normal 2 10 6" xfId="169" xr:uid="{00000000-0005-0000-0000-0000A6000000}"/>
    <cellStyle name="Normal 2 10_Estimate Open at ch 12+100" xfId="170" xr:uid="{00000000-0005-0000-0000-0000A7000000}"/>
    <cellStyle name="Normal 2 11" xfId="171" xr:uid="{00000000-0005-0000-0000-0000A8000000}"/>
    <cellStyle name="Normal 2 12" xfId="172" xr:uid="{00000000-0005-0000-0000-0000A9000000}"/>
    <cellStyle name="Normal 2 13" xfId="173" xr:uid="{00000000-0005-0000-0000-0000AA000000}"/>
    <cellStyle name="Normal 2 14" xfId="174" xr:uid="{00000000-0005-0000-0000-0000AB000000}"/>
    <cellStyle name="Normal 2 15" xfId="175" xr:uid="{00000000-0005-0000-0000-0000AC000000}"/>
    <cellStyle name="Normal 2 16" xfId="176" xr:uid="{00000000-0005-0000-0000-0000AD000000}"/>
    <cellStyle name="Normal 2 17" xfId="177" xr:uid="{00000000-0005-0000-0000-0000AE000000}"/>
    <cellStyle name="Normal 2 18" xfId="178" xr:uid="{00000000-0005-0000-0000-0000AF000000}"/>
    <cellStyle name="Normal 2 19" xfId="179" xr:uid="{00000000-0005-0000-0000-0000B0000000}"/>
    <cellStyle name="Normal 2 2" xfId="180" xr:uid="{00000000-0005-0000-0000-0000B1000000}"/>
    <cellStyle name="Normal 2 2 10" xfId="181" xr:uid="{00000000-0005-0000-0000-0000B2000000}"/>
    <cellStyle name="Normal 2 2 11" xfId="3" xr:uid="{00000000-0005-0000-0000-0000B3000000}"/>
    <cellStyle name="Normal 2 2 11 2" xfId="182" xr:uid="{00000000-0005-0000-0000-0000B4000000}"/>
    <cellStyle name="Normal 2 2 11 3" xfId="183" xr:uid="{00000000-0005-0000-0000-0000B5000000}"/>
    <cellStyle name="Normal 2 2 2" xfId="184" xr:uid="{00000000-0005-0000-0000-0000B6000000}"/>
    <cellStyle name="Normal 2 2 2 10" xfId="185" xr:uid="{00000000-0005-0000-0000-0000B7000000}"/>
    <cellStyle name="Normal 2 2 3" xfId="186" xr:uid="{00000000-0005-0000-0000-0000B8000000}"/>
    <cellStyle name="Normal 2 2 3 2" xfId="187" xr:uid="{00000000-0005-0000-0000-0000B9000000}"/>
    <cellStyle name="Normal 2 2 3 3" xfId="188" xr:uid="{00000000-0005-0000-0000-0000BA000000}"/>
    <cellStyle name="Normal 2 2 4" xfId="189" xr:uid="{00000000-0005-0000-0000-0000BB000000}"/>
    <cellStyle name="Normal 2 2 4 2" xfId="190" xr:uid="{00000000-0005-0000-0000-0000BC000000}"/>
    <cellStyle name="Normal 2 2 4 2 2" xfId="191" xr:uid="{00000000-0005-0000-0000-0000BD000000}"/>
    <cellStyle name="Normal 2 2 5" xfId="192" xr:uid="{00000000-0005-0000-0000-0000BE000000}"/>
    <cellStyle name="Normal 2 2 6" xfId="193" xr:uid="{00000000-0005-0000-0000-0000BF000000}"/>
    <cellStyle name="Normal 2 2 7" xfId="194" xr:uid="{00000000-0005-0000-0000-0000C0000000}"/>
    <cellStyle name="Normal 2 2 8" xfId="195" xr:uid="{00000000-0005-0000-0000-0000C1000000}"/>
    <cellStyle name="Normal 2 2 9" xfId="196" xr:uid="{00000000-0005-0000-0000-0000C2000000}"/>
    <cellStyle name="Normal 2 2_1 Sub estimate Kitchen" xfId="197" xr:uid="{00000000-0005-0000-0000-0000C3000000}"/>
    <cellStyle name="Normal 2 20" xfId="198" xr:uid="{00000000-0005-0000-0000-0000C4000000}"/>
    <cellStyle name="Normal 2 21" xfId="199" xr:uid="{00000000-0005-0000-0000-0000C5000000}"/>
    <cellStyle name="Normal 2 22" xfId="200" xr:uid="{00000000-0005-0000-0000-0000C6000000}"/>
    <cellStyle name="Normal 2 23" xfId="201" xr:uid="{00000000-0005-0000-0000-0000C7000000}"/>
    <cellStyle name="Normal 2 24" xfId="202" xr:uid="{00000000-0005-0000-0000-0000C8000000}"/>
    <cellStyle name="Normal 2 25" xfId="203" xr:uid="{00000000-0005-0000-0000-0000C9000000}"/>
    <cellStyle name="Normal 2 25 2" xfId="4" xr:uid="{00000000-0005-0000-0000-0000CA000000}"/>
    <cellStyle name="Normal 2 3" xfId="204" xr:uid="{00000000-0005-0000-0000-0000CB000000}"/>
    <cellStyle name="Normal 2 3 2" xfId="205" xr:uid="{00000000-0005-0000-0000-0000CC000000}"/>
    <cellStyle name="Normal 2 3 3" xfId="206" xr:uid="{00000000-0005-0000-0000-0000CD000000}"/>
    <cellStyle name="Normal 2 3 4" xfId="207" xr:uid="{00000000-0005-0000-0000-0000CE000000}"/>
    <cellStyle name="Normal 2 3 5" xfId="208" xr:uid="{00000000-0005-0000-0000-0000CF000000}"/>
    <cellStyle name="Normal 2 3 6" xfId="209" xr:uid="{00000000-0005-0000-0000-0000D0000000}"/>
    <cellStyle name="Normal 2 3_Estimate Open at ch 12+100" xfId="210" xr:uid="{00000000-0005-0000-0000-0000D1000000}"/>
    <cellStyle name="Normal 2 4" xfId="211" xr:uid="{00000000-0005-0000-0000-0000D2000000}"/>
    <cellStyle name="Normal 2 4 2" xfId="212" xr:uid="{00000000-0005-0000-0000-0000D3000000}"/>
    <cellStyle name="Normal 2 4 3" xfId="213" xr:uid="{00000000-0005-0000-0000-0000D4000000}"/>
    <cellStyle name="Normal 2 4 4" xfId="214" xr:uid="{00000000-0005-0000-0000-0000D5000000}"/>
    <cellStyle name="Normal 2 4 5" xfId="215" xr:uid="{00000000-0005-0000-0000-0000D6000000}"/>
    <cellStyle name="Normal 2 4 6" xfId="216" xr:uid="{00000000-0005-0000-0000-0000D7000000}"/>
    <cellStyle name="Normal 2 4_Estimate Open at ch 12+100" xfId="217" xr:uid="{00000000-0005-0000-0000-0000D8000000}"/>
    <cellStyle name="Normal 2 5" xfId="218" xr:uid="{00000000-0005-0000-0000-0000D9000000}"/>
    <cellStyle name="Normal 2 5 2" xfId="219" xr:uid="{00000000-0005-0000-0000-0000DA000000}"/>
    <cellStyle name="Normal 2 5 3" xfId="220" xr:uid="{00000000-0005-0000-0000-0000DB000000}"/>
    <cellStyle name="Normal 2 5 4" xfId="221" xr:uid="{00000000-0005-0000-0000-0000DC000000}"/>
    <cellStyle name="Normal 2 5 5" xfId="222" xr:uid="{00000000-0005-0000-0000-0000DD000000}"/>
    <cellStyle name="Normal 2 5 6" xfId="223" xr:uid="{00000000-0005-0000-0000-0000DE000000}"/>
    <cellStyle name="Normal 2 5_Estimate Open at ch 12+100" xfId="224" xr:uid="{00000000-0005-0000-0000-0000DF000000}"/>
    <cellStyle name="Normal 2 6" xfId="225" xr:uid="{00000000-0005-0000-0000-0000E0000000}"/>
    <cellStyle name="Normal 2 7" xfId="226" xr:uid="{00000000-0005-0000-0000-0000E1000000}"/>
    <cellStyle name="Normal 2 8" xfId="227" xr:uid="{00000000-0005-0000-0000-0000E2000000}"/>
    <cellStyle name="Normal 2 9" xfId="228" xr:uid="{00000000-0005-0000-0000-0000E3000000}"/>
    <cellStyle name="Normal 2_01) Estimate Open Sonegaon Mr." xfId="229" xr:uid="{00000000-0005-0000-0000-0000E4000000}"/>
    <cellStyle name="Normal 20" xfId="230" xr:uid="{00000000-0005-0000-0000-0000E5000000}"/>
    <cellStyle name="Normal 21" xfId="231" xr:uid="{00000000-0005-0000-0000-0000E6000000}"/>
    <cellStyle name="Normal 22" xfId="232" xr:uid="{00000000-0005-0000-0000-0000E7000000}"/>
    <cellStyle name="Normal 23" xfId="233" xr:uid="{00000000-0005-0000-0000-0000E8000000}"/>
    <cellStyle name="Normal 24" xfId="234" xr:uid="{00000000-0005-0000-0000-0000E9000000}"/>
    <cellStyle name="Normal 25" xfId="235" xr:uid="{00000000-0005-0000-0000-0000EA000000}"/>
    <cellStyle name="Normal 26" xfId="236" xr:uid="{00000000-0005-0000-0000-0000EB000000}"/>
    <cellStyle name="Normal 27" xfId="237" xr:uid="{00000000-0005-0000-0000-0000EC000000}"/>
    <cellStyle name="Normal 28" xfId="238" xr:uid="{00000000-0005-0000-0000-0000ED000000}"/>
    <cellStyle name="Normal 29" xfId="239" xr:uid="{00000000-0005-0000-0000-0000EE000000}"/>
    <cellStyle name="Normal 3" xfId="240" xr:uid="{00000000-0005-0000-0000-0000EF000000}"/>
    <cellStyle name="Normal 3 10" xfId="241" xr:uid="{00000000-0005-0000-0000-0000F0000000}"/>
    <cellStyle name="Normal 3 11" xfId="242" xr:uid="{00000000-0005-0000-0000-0000F1000000}"/>
    <cellStyle name="Normal 3 12" xfId="243" xr:uid="{00000000-0005-0000-0000-0000F2000000}"/>
    <cellStyle name="Normal 3 13" xfId="244" xr:uid="{00000000-0005-0000-0000-0000F3000000}"/>
    <cellStyle name="Normal 3 2" xfId="245" xr:uid="{00000000-0005-0000-0000-0000F4000000}"/>
    <cellStyle name="Normal 3 2 2" xfId="246" xr:uid="{00000000-0005-0000-0000-0000F5000000}"/>
    <cellStyle name="Normal 3 2 2 2" xfId="247" xr:uid="{00000000-0005-0000-0000-0000F6000000}"/>
    <cellStyle name="Normal 3 2 3" xfId="248" xr:uid="{00000000-0005-0000-0000-0000F7000000}"/>
    <cellStyle name="Normal 3 2 4" xfId="249" xr:uid="{00000000-0005-0000-0000-0000F8000000}"/>
    <cellStyle name="Normal 3 2 5" xfId="250" xr:uid="{00000000-0005-0000-0000-0000F9000000}"/>
    <cellStyle name="Normal 3 2 6" xfId="251" xr:uid="{00000000-0005-0000-0000-0000FA000000}"/>
    <cellStyle name="Normal 3 2_1 Sub estimate Kitchen" xfId="252" xr:uid="{00000000-0005-0000-0000-0000FB000000}"/>
    <cellStyle name="Normal 3 3" xfId="253" xr:uid="{00000000-0005-0000-0000-0000FC000000}"/>
    <cellStyle name="Normal 3 3 2" xfId="254" xr:uid="{00000000-0005-0000-0000-0000FD000000}"/>
    <cellStyle name="Normal 3 4" xfId="255" xr:uid="{00000000-0005-0000-0000-0000FE000000}"/>
    <cellStyle name="Normal 3 5" xfId="256" xr:uid="{00000000-0005-0000-0000-0000FF000000}"/>
    <cellStyle name="Normal 3 6" xfId="257" xr:uid="{00000000-0005-0000-0000-000000010000}"/>
    <cellStyle name="Normal 3 7" xfId="258" xr:uid="{00000000-0005-0000-0000-000001010000}"/>
    <cellStyle name="Normal 3 8" xfId="259" xr:uid="{00000000-0005-0000-0000-000002010000}"/>
    <cellStyle name="Normal 3 9" xfId="260" xr:uid="{00000000-0005-0000-0000-000003010000}"/>
    <cellStyle name="Normal 3_01) Estimate Open Sonegaon Mr." xfId="261" xr:uid="{00000000-0005-0000-0000-000004010000}"/>
    <cellStyle name="Normal 30" xfId="262" xr:uid="{00000000-0005-0000-0000-000005010000}"/>
    <cellStyle name="Normal 31" xfId="263" xr:uid="{00000000-0005-0000-0000-000006010000}"/>
    <cellStyle name="Normal 32" xfId="264" xr:uid="{00000000-0005-0000-0000-000007010000}"/>
    <cellStyle name="Normal 33" xfId="265" xr:uid="{00000000-0005-0000-0000-000008010000}"/>
    <cellStyle name="Normal 34" xfId="266" xr:uid="{00000000-0005-0000-0000-000009010000}"/>
    <cellStyle name="Normal 35" xfId="267" xr:uid="{00000000-0005-0000-0000-00000A010000}"/>
    <cellStyle name="Normal 36" xfId="268" xr:uid="{00000000-0005-0000-0000-00000B010000}"/>
    <cellStyle name="Normal 37" xfId="269" xr:uid="{00000000-0005-0000-0000-00000C010000}"/>
    <cellStyle name="Normal 38" xfId="270" xr:uid="{00000000-0005-0000-0000-00000D010000}"/>
    <cellStyle name="Normal 38 2" xfId="271" xr:uid="{00000000-0005-0000-0000-00000E010000}"/>
    <cellStyle name="Normal 39" xfId="272" xr:uid="{00000000-0005-0000-0000-00000F010000}"/>
    <cellStyle name="Normal 39 2" xfId="273" xr:uid="{00000000-0005-0000-0000-000010010000}"/>
    <cellStyle name="Normal 4" xfId="274" xr:uid="{00000000-0005-0000-0000-000011010000}"/>
    <cellStyle name="Normal 4 10" xfId="275" xr:uid="{00000000-0005-0000-0000-000012010000}"/>
    <cellStyle name="Normal 4 11" xfId="276" xr:uid="{00000000-0005-0000-0000-000013010000}"/>
    <cellStyle name="Normal 4 2" xfId="277" xr:uid="{00000000-0005-0000-0000-000014010000}"/>
    <cellStyle name="Normal 4 3" xfId="278" xr:uid="{00000000-0005-0000-0000-000015010000}"/>
    <cellStyle name="Normal 4 3 2" xfId="279" xr:uid="{00000000-0005-0000-0000-000016010000}"/>
    <cellStyle name="Normal 4 3 3" xfId="280" xr:uid="{00000000-0005-0000-0000-000017010000}"/>
    <cellStyle name="Normal 4 3 4" xfId="281" xr:uid="{00000000-0005-0000-0000-000018010000}"/>
    <cellStyle name="Normal 4 4" xfId="282" xr:uid="{00000000-0005-0000-0000-000019010000}"/>
    <cellStyle name="Normal 4 5" xfId="283" xr:uid="{00000000-0005-0000-0000-00001A010000}"/>
    <cellStyle name="Normal 4 6" xfId="284" xr:uid="{00000000-0005-0000-0000-00001B010000}"/>
    <cellStyle name="Normal 4 7" xfId="285" xr:uid="{00000000-0005-0000-0000-00001C010000}"/>
    <cellStyle name="Normal 4 8" xfId="286" xr:uid="{00000000-0005-0000-0000-00001D010000}"/>
    <cellStyle name="Normal 4 9" xfId="287" xr:uid="{00000000-0005-0000-0000-00001E010000}"/>
    <cellStyle name="Normal 4_01) Estimate Open Sonegaon Mr." xfId="288" xr:uid="{00000000-0005-0000-0000-00001F010000}"/>
    <cellStyle name="Normal 40" xfId="289" xr:uid="{00000000-0005-0000-0000-000020010000}"/>
    <cellStyle name="Normal 41" xfId="290" xr:uid="{00000000-0005-0000-0000-000021010000}"/>
    <cellStyle name="Normal 41 2" xfId="291" xr:uid="{00000000-0005-0000-0000-000022010000}"/>
    <cellStyle name="Normal 42" xfId="292" xr:uid="{00000000-0005-0000-0000-000023010000}"/>
    <cellStyle name="Normal 43" xfId="5" xr:uid="{00000000-0005-0000-0000-000024010000}"/>
    <cellStyle name="Normal 44" xfId="293" xr:uid="{00000000-0005-0000-0000-000025010000}"/>
    <cellStyle name="Normal 5" xfId="294" xr:uid="{00000000-0005-0000-0000-000026010000}"/>
    <cellStyle name="Normal 5 2" xfId="295" xr:uid="{00000000-0005-0000-0000-000027010000}"/>
    <cellStyle name="Normal 5 2 2" xfId="296" xr:uid="{00000000-0005-0000-0000-000028010000}"/>
    <cellStyle name="Normal 5 2 3" xfId="297" xr:uid="{00000000-0005-0000-0000-000029010000}"/>
    <cellStyle name="Normal 5 2 4" xfId="298" xr:uid="{00000000-0005-0000-0000-00002A010000}"/>
    <cellStyle name="Normal 5 2 5" xfId="299" xr:uid="{00000000-0005-0000-0000-00002B010000}"/>
    <cellStyle name="Normal 5 2 6" xfId="300" xr:uid="{00000000-0005-0000-0000-00002C010000}"/>
    <cellStyle name="Normal 5 2 7" xfId="301" xr:uid="{00000000-0005-0000-0000-00002D010000}"/>
    <cellStyle name="Normal 5 2_Estimate Open at ch 12+100" xfId="302" xr:uid="{00000000-0005-0000-0000-00002E010000}"/>
    <cellStyle name="Normal 5 3" xfId="303" xr:uid="{00000000-0005-0000-0000-00002F010000}"/>
    <cellStyle name="Normal 5 4" xfId="304" xr:uid="{00000000-0005-0000-0000-000030010000}"/>
    <cellStyle name="Normal 5 5" xfId="305" xr:uid="{00000000-0005-0000-0000-000031010000}"/>
    <cellStyle name="Normal 5 6" xfId="306" xr:uid="{00000000-0005-0000-0000-000032010000}"/>
    <cellStyle name="Normal 5 7" xfId="307" xr:uid="{00000000-0005-0000-0000-000033010000}"/>
    <cellStyle name="Normal 5 8" xfId="308" xr:uid="{00000000-0005-0000-0000-000034010000}"/>
    <cellStyle name="Normal 5_01) Estimate Open Sonegaon Mr." xfId="309" xr:uid="{00000000-0005-0000-0000-000035010000}"/>
    <cellStyle name="Normal 6" xfId="310" xr:uid="{00000000-0005-0000-0000-000036010000}"/>
    <cellStyle name="Normal 6 10" xfId="311" xr:uid="{00000000-0005-0000-0000-000037010000}"/>
    <cellStyle name="Normal 6 2" xfId="312" xr:uid="{00000000-0005-0000-0000-000038010000}"/>
    <cellStyle name="Normal 6 2 2" xfId="313" xr:uid="{00000000-0005-0000-0000-000039010000}"/>
    <cellStyle name="Normal 6 2 3" xfId="314" xr:uid="{00000000-0005-0000-0000-00003A010000}"/>
    <cellStyle name="Normal 6 2 4" xfId="315" xr:uid="{00000000-0005-0000-0000-00003B010000}"/>
    <cellStyle name="Normal 6 3" xfId="316" xr:uid="{00000000-0005-0000-0000-00003C010000}"/>
    <cellStyle name="Normal 6 4" xfId="317" xr:uid="{00000000-0005-0000-0000-00003D010000}"/>
    <cellStyle name="Normal 6 5" xfId="318" xr:uid="{00000000-0005-0000-0000-00003E010000}"/>
    <cellStyle name="Normal 6 6" xfId="319" xr:uid="{00000000-0005-0000-0000-00003F010000}"/>
    <cellStyle name="Normal 6_Estimate Open at ch 12+100" xfId="320" xr:uid="{00000000-0005-0000-0000-000040010000}"/>
    <cellStyle name="Normal 7" xfId="321" xr:uid="{00000000-0005-0000-0000-000041010000}"/>
    <cellStyle name="Normal 7 2" xfId="322" xr:uid="{00000000-0005-0000-0000-000042010000}"/>
    <cellStyle name="Normal 7 3" xfId="323" xr:uid="{00000000-0005-0000-0000-000043010000}"/>
    <cellStyle name="Normal 7 4" xfId="324" xr:uid="{00000000-0005-0000-0000-000044010000}"/>
    <cellStyle name="Normal 8" xfId="325" xr:uid="{00000000-0005-0000-0000-000045010000}"/>
    <cellStyle name="Normal 8 2" xfId="326" xr:uid="{00000000-0005-0000-0000-000046010000}"/>
    <cellStyle name="Normal 84" xfId="327" xr:uid="{00000000-0005-0000-0000-000047010000}"/>
    <cellStyle name="Normal 9" xfId="328" xr:uid="{00000000-0005-0000-0000-000048010000}"/>
    <cellStyle name="Normal 9 2" xfId="329" xr:uid="{00000000-0005-0000-0000-000049010000}"/>
    <cellStyle name="Note 2" xfId="330" xr:uid="{00000000-0005-0000-0000-00004A010000}"/>
    <cellStyle name="Note 2 2" xfId="331" xr:uid="{00000000-0005-0000-0000-00004B010000}"/>
    <cellStyle name="Output 2" xfId="332" xr:uid="{00000000-0005-0000-0000-00004C010000}"/>
    <cellStyle name="Output 2 2" xfId="333" xr:uid="{00000000-0005-0000-0000-00004D010000}"/>
    <cellStyle name="Pattern" xfId="334" xr:uid="{00000000-0005-0000-0000-00004E010000}"/>
    <cellStyle name="Pattern 2" xfId="335" xr:uid="{00000000-0005-0000-0000-00004F010000}"/>
    <cellStyle name="Pattern 3" xfId="336" xr:uid="{00000000-0005-0000-0000-000050010000}"/>
    <cellStyle name="Pattern 4" xfId="337" xr:uid="{00000000-0005-0000-0000-000051010000}"/>
    <cellStyle name="Pattern 5" xfId="338" xr:uid="{00000000-0005-0000-0000-000052010000}"/>
    <cellStyle name="Pattern 6" xfId="339" xr:uid="{00000000-0005-0000-0000-000053010000}"/>
    <cellStyle name="Percent [2]" xfId="340" xr:uid="{00000000-0005-0000-0000-000054010000}"/>
    <cellStyle name="Percent 2" xfId="341" xr:uid="{00000000-0005-0000-0000-000055010000}"/>
    <cellStyle name="Percent 2 2" xfId="342" xr:uid="{00000000-0005-0000-0000-000056010000}"/>
    <cellStyle name="Percent 2 3" xfId="343" xr:uid="{00000000-0005-0000-0000-000057010000}"/>
    <cellStyle name="Percent 2 4" xfId="344" xr:uid="{00000000-0005-0000-0000-000058010000}"/>
    <cellStyle name="Percent 2 5" xfId="345" xr:uid="{00000000-0005-0000-0000-000059010000}"/>
    <cellStyle name="Percent 2 6" xfId="346" xr:uid="{00000000-0005-0000-0000-00005A010000}"/>
    <cellStyle name="Percent 2 7" xfId="347" xr:uid="{00000000-0005-0000-0000-00005B010000}"/>
    <cellStyle name="Percent 3" xfId="348" xr:uid="{00000000-0005-0000-0000-00005C010000}"/>
    <cellStyle name="Percent 3 2" xfId="349" xr:uid="{00000000-0005-0000-0000-00005D010000}"/>
    <cellStyle name="Percent 4" xfId="350" xr:uid="{00000000-0005-0000-0000-00005E010000}"/>
    <cellStyle name="Percent 5" xfId="351" xr:uid="{00000000-0005-0000-0000-00005F010000}"/>
    <cellStyle name="RevList" xfId="352" xr:uid="{00000000-0005-0000-0000-000060010000}"/>
    <cellStyle name="Rs." xfId="353" xr:uid="{00000000-0005-0000-0000-000061010000}"/>
    <cellStyle name="Subtotal" xfId="354" xr:uid="{00000000-0005-0000-0000-000062010000}"/>
    <cellStyle name="Title 2" xfId="355" xr:uid="{00000000-0005-0000-0000-000063010000}"/>
    <cellStyle name="Total 2" xfId="356" xr:uid="{00000000-0005-0000-0000-000064010000}"/>
    <cellStyle name="Total 2 2" xfId="357" xr:uid="{00000000-0005-0000-0000-000065010000}"/>
    <cellStyle name="Warning Text 2" xfId="358" xr:uid="{00000000-0005-0000-0000-00006601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9" Type="http://schemas.openxmlformats.org/officeDocument/2006/relationships/externalLink" Target="externalLinks/externalLink38.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42" Type="http://schemas.openxmlformats.org/officeDocument/2006/relationships/externalLink" Target="externalLinks/externalLink41.xml"/><Relationship Id="rId47" Type="http://schemas.openxmlformats.org/officeDocument/2006/relationships/sharedStrings" Target="sharedStrings.xml"/><Relationship Id="rId7" Type="http://schemas.openxmlformats.org/officeDocument/2006/relationships/externalLink" Target="externalLinks/externalLink6.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externalLink" Target="externalLinks/externalLink36.xml"/><Relationship Id="rId40" Type="http://schemas.openxmlformats.org/officeDocument/2006/relationships/externalLink" Target="externalLinks/externalLink39.xml"/><Relationship Id="rId45" Type="http://schemas.openxmlformats.org/officeDocument/2006/relationships/theme" Target="theme/theme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externalLink" Target="externalLinks/externalLink35.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4" Type="http://schemas.openxmlformats.org/officeDocument/2006/relationships/externalLink" Target="externalLinks/externalLink43.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 Id="rId43" Type="http://schemas.openxmlformats.org/officeDocument/2006/relationships/externalLink" Target="externalLinks/externalLink42.xml"/><Relationship Id="rId48" Type="http://schemas.openxmlformats.org/officeDocument/2006/relationships/calcChain" Target="calcChain.xml"/><Relationship Id="rId8" Type="http://schemas.openxmlformats.org/officeDocument/2006/relationships/externalLink" Target="externalLinks/externalLink7.xml"/><Relationship Id="rId3" Type="http://schemas.openxmlformats.org/officeDocument/2006/relationships/externalLink" Target="externalLinks/externalLink2.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externalLink" Target="externalLinks/externalLink37.xml"/><Relationship Id="rId46" Type="http://schemas.openxmlformats.org/officeDocument/2006/relationships/styles" Target="styles.xml"/><Relationship Id="rId20" Type="http://schemas.openxmlformats.org/officeDocument/2006/relationships/externalLink" Target="externalLinks/externalLink19.xml"/><Relationship Id="rId41" Type="http://schemas.openxmlformats.org/officeDocument/2006/relationships/externalLink" Target="externalLinks/externalLink40.xml"/></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2445</xdr:row>
      <xdr:rowOff>0</xdr:rowOff>
    </xdr:from>
    <xdr:to>
      <xdr:col>3</xdr:col>
      <xdr:colOff>866140</xdr:colOff>
      <xdr:row>2445</xdr:row>
      <xdr:rowOff>0</xdr:rowOff>
    </xdr:to>
    <xdr:sp macro="" textlink="">
      <xdr:nvSpPr>
        <xdr:cNvPr id="2" name="Shape 46">
          <a:extLst>
            <a:ext uri="{FF2B5EF4-FFF2-40B4-BE49-F238E27FC236}">
              <a16:creationId xmlns:a16="http://schemas.microsoft.com/office/drawing/2014/main" id="{00000000-0008-0000-1700-000002000000}"/>
            </a:ext>
          </a:extLst>
        </xdr:cNvPr>
        <xdr:cNvSpPr/>
      </xdr:nvSpPr>
      <xdr:spPr>
        <a:xfrm>
          <a:off x="1247775" y="4266714225"/>
          <a:ext cx="1370965" cy="0"/>
        </a:xfrm>
        <a:custGeom>
          <a:avLst/>
          <a:gdLst/>
          <a:ahLst/>
          <a:cxnLst/>
          <a:rect l="0" t="0" r="0" b="0"/>
          <a:pathLst>
            <a:path w="1443990">
              <a:moveTo>
                <a:pt x="0" y="0"/>
              </a:moveTo>
              <a:lnTo>
                <a:pt x="1443482" y="0"/>
              </a:lnTo>
            </a:path>
          </a:pathLst>
        </a:custGeom>
        <a:ln w="6095">
          <a:solidFill>
            <a:srgbClr val="000000"/>
          </a:solidFill>
        </a:ln>
      </xdr:spPr>
    </xdr:sp>
    <xdr:clientData/>
  </xdr:twoCellAnchor>
  <xdr:twoCellAnchor editAs="oneCell">
    <xdr:from>
      <xdr:col>5</xdr:col>
      <xdr:colOff>0</xdr:colOff>
      <xdr:row>2445</xdr:row>
      <xdr:rowOff>0</xdr:rowOff>
    </xdr:from>
    <xdr:to>
      <xdr:col>7</xdr:col>
      <xdr:colOff>435927</xdr:colOff>
      <xdr:row>2445</xdr:row>
      <xdr:rowOff>0</xdr:rowOff>
    </xdr:to>
    <xdr:sp macro="" textlink="">
      <xdr:nvSpPr>
        <xdr:cNvPr id="3" name="Shape 47">
          <a:extLst>
            <a:ext uri="{FF2B5EF4-FFF2-40B4-BE49-F238E27FC236}">
              <a16:creationId xmlns:a16="http://schemas.microsoft.com/office/drawing/2014/main" id="{00000000-0008-0000-1700-000003000000}"/>
            </a:ext>
          </a:extLst>
        </xdr:cNvPr>
        <xdr:cNvSpPr/>
      </xdr:nvSpPr>
      <xdr:spPr>
        <a:xfrm>
          <a:off x="6391275" y="4266714225"/>
          <a:ext cx="1788477" cy="0"/>
        </a:xfrm>
        <a:custGeom>
          <a:avLst/>
          <a:gdLst/>
          <a:ahLst/>
          <a:cxnLst/>
          <a:rect l="0" t="0" r="0" b="0"/>
          <a:pathLst>
            <a:path w="1901189">
              <a:moveTo>
                <a:pt x="0" y="0"/>
              </a:moveTo>
              <a:lnTo>
                <a:pt x="1900682" y="0"/>
              </a:lnTo>
            </a:path>
          </a:pathLst>
        </a:custGeom>
        <a:ln w="6095">
          <a:solidFill>
            <a:srgbClr val="000000"/>
          </a:solidFill>
        </a:ln>
      </xdr:spPr>
    </xdr:sp>
    <xdr:clientData/>
  </xdr:twoCellAnchor>
  <xdr:twoCellAnchor editAs="oneCell">
    <xdr:from>
      <xdr:col>3</xdr:col>
      <xdr:colOff>0</xdr:colOff>
      <xdr:row>2445</xdr:row>
      <xdr:rowOff>0</xdr:rowOff>
    </xdr:from>
    <xdr:to>
      <xdr:col>4</xdr:col>
      <xdr:colOff>253365</xdr:colOff>
      <xdr:row>2445</xdr:row>
      <xdr:rowOff>0</xdr:rowOff>
    </xdr:to>
    <xdr:sp macro="" textlink="">
      <xdr:nvSpPr>
        <xdr:cNvPr id="4" name="Shape 65">
          <a:extLst>
            <a:ext uri="{FF2B5EF4-FFF2-40B4-BE49-F238E27FC236}">
              <a16:creationId xmlns:a16="http://schemas.microsoft.com/office/drawing/2014/main" id="{00000000-0008-0000-1700-000004000000}"/>
            </a:ext>
          </a:extLst>
        </xdr:cNvPr>
        <xdr:cNvSpPr/>
      </xdr:nvSpPr>
      <xdr:spPr>
        <a:xfrm>
          <a:off x="1752600" y="4266714225"/>
          <a:ext cx="1272540" cy="0"/>
        </a:xfrm>
        <a:custGeom>
          <a:avLst/>
          <a:gdLst/>
          <a:ahLst/>
          <a:cxnLst/>
          <a:rect l="0" t="0" r="0" b="0"/>
          <a:pathLst>
            <a:path w="1329690">
              <a:moveTo>
                <a:pt x="0" y="0"/>
              </a:moveTo>
              <a:lnTo>
                <a:pt x="1329182" y="0"/>
              </a:lnTo>
            </a:path>
          </a:pathLst>
        </a:custGeom>
        <a:ln w="6095">
          <a:solidFill>
            <a:srgbClr val="000000"/>
          </a:solidFill>
        </a:ln>
      </xdr:spPr>
    </xdr:sp>
    <xdr:clientData/>
  </xdr:twoCellAnchor>
  <xdr:twoCellAnchor editAs="oneCell">
    <xdr:from>
      <xdr:col>5</xdr:col>
      <xdr:colOff>0</xdr:colOff>
      <xdr:row>2445</xdr:row>
      <xdr:rowOff>0</xdr:rowOff>
    </xdr:from>
    <xdr:to>
      <xdr:col>7</xdr:col>
      <xdr:colOff>383857</xdr:colOff>
      <xdr:row>2445</xdr:row>
      <xdr:rowOff>0</xdr:rowOff>
    </xdr:to>
    <xdr:sp macro="" textlink="">
      <xdr:nvSpPr>
        <xdr:cNvPr id="5" name="Shape 66">
          <a:extLst>
            <a:ext uri="{FF2B5EF4-FFF2-40B4-BE49-F238E27FC236}">
              <a16:creationId xmlns:a16="http://schemas.microsoft.com/office/drawing/2014/main" id="{00000000-0008-0000-1700-000005000000}"/>
            </a:ext>
          </a:extLst>
        </xdr:cNvPr>
        <xdr:cNvSpPr/>
      </xdr:nvSpPr>
      <xdr:spPr>
        <a:xfrm>
          <a:off x="6391275" y="4266714225"/>
          <a:ext cx="1736407" cy="0"/>
        </a:xfrm>
        <a:custGeom>
          <a:avLst/>
          <a:gdLst/>
          <a:ahLst/>
          <a:cxnLst/>
          <a:rect l="0" t="0" r="0" b="0"/>
          <a:pathLst>
            <a:path w="1842770">
              <a:moveTo>
                <a:pt x="0" y="0"/>
              </a:moveTo>
              <a:lnTo>
                <a:pt x="1842770" y="0"/>
              </a:lnTo>
            </a:path>
          </a:pathLst>
        </a:custGeom>
        <a:ln w="6095">
          <a:solidFill>
            <a:srgbClr val="000000"/>
          </a:solidFill>
        </a:ln>
      </xdr:spPr>
    </xdr:sp>
    <xdr:clientData/>
  </xdr:twoCellAnchor>
  <xdr:twoCellAnchor editAs="oneCell">
    <xdr:from>
      <xdr:col>5</xdr:col>
      <xdr:colOff>0</xdr:colOff>
      <xdr:row>2445</xdr:row>
      <xdr:rowOff>0</xdr:rowOff>
    </xdr:from>
    <xdr:to>
      <xdr:col>7</xdr:col>
      <xdr:colOff>383857</xdr:colOff>
      <xdr:row>2445</xdr:row>
      <xdr:rowOff>0</xdr:rowOff>
    </xdr:to>
    <xdr:sp macro="" textlink="">
      <xdr:nvSpPr>
        <xdr:cNvPr id="6" name="Shape 68">
          <a:extLst>
            <a:ext uri="{FF2B5EF4-FFF2-40B4-BE49-F238E27FC236}">
              <a16:creationId xmlns:a16="http://schemas.microsoft.com/office/drawing/2014/main" id="{00000000-0008-0000-1700-000006000000}"/>
            </a:ext>
          </a:extLst>
        </xdr:cNvPr>
        <xdr:cNvSpPr/>
      </xdr:nvSpPr>
      <xdr:spPr>
        <a:xfrm>
          <a:off x="6391275" y="4266714225"/>
          <a:ext cx="1736407" cy="0"/>
        </a:xfrm>
        <a:custGeom>
          <a:avLst/>
          <a:gdLst/>
          <a:ahLst/>
          <a:cxnLst/>
          <a:rect l="0" t="0" r="0" b="0"/>
          <a:pathLst>
            <a:path w="1842770">
              <a:moveTo>
                <a:pt x="0" y="0"/>
              </a:moveTo>
              <a:lnTo>
                <a:pt x="1842770" y="0"/>
              </a:lnTo>
            </a:path>
          </a:pathLst>
        </a:custGeom>
        <a:ln w="6096">
          <a:solidFill>
            <a:srgbClr val="000000"/>
          </a:solidFill>
        </a:ln>
      </xdr:spPr>
    </xdr:sp>
    <xdr:clientData/>
  </xdr:twoCellAnchor>
  <xdr:twoCellAnchor editAs="oneCell">
    <xdr:from>
      <xdr:col>5</xdr:col>
      <xdr:colOff>0</xdr:colOff>
      <xdr:row>2445</xdr:row>
      <xdr:rowOff>0</xdr:rowOff>
    </xdr:from>
    <xdr:to>
      <xdr:col>7</xdr:col>
      <xdr:colOff>383857</xdr:colOff>
      <xdr:row>2445</xdr:row>
      <xdr:rowOff>0</xdr:rowOff>
    </xdr:to>
    <xdr:sp macro="" textlink="">
      <xdr:nvSpPr>
        <xdr:cNvPr id="7" name="Shape 70">
          <a:extLst>
            <a:ext uri="{FF2B5EF4-FFF2-40B4-BE49-F238E27FC236}">
              <a16:creationId xmlns:a16="http://schemas.microsoft.com/office/drawing/2014/main" id="{00000000-0008-0000-1700-000007000000}"/>
            </a:ext>
          </a:extLst>
        </xdr:cNvPr>
        <xdr:cNvSpPr/>
      </xdr:nvSpPr>
      <xdr:spPr>
        <a:xfrm>
          <a:off x="6391275" y="4266714225"/>
          <a:ext cx="1736407" cy="0"/>
        </a:xfrm>
        <a:custGeom>
          <a:avLst/>
          <a:gdLst/>
          <a:ahLst/>
          <a:cxnLst/>
          <a:rect l="0" t="0" r="0" b="0"/>
          <a:pathLst>
            <a:path w="1842770">
              <a:moveTo>
                <a:pt x="0" y="0"/>
              </a:moveTo>
              <a:lnTo>
                <a:pt x="1842770" y="0"/>
              </a:lnTo>
            </a:path>
          </a:pathLst>
        </a:custGeom>
        <a:ln w="6096">
          <a:solidFill>
            <a:srgbClr val="000000"/>
          </a:solidFill>
        </a:ln>
      </xdr:spPr>
    </xdr:sp>
    <xdr:clientData/>
  </xdr:twoCellAnchor>
  <xdr:twoCellAnchor editAs="oneCell">
    <xdr:from>
      <xdr:col>5</xdr:col>
      <xdr:colOff>0</xdr:colOff>
      <xdr:row>2445</xdr:row>
      <xdr:rowOff>0</xdr:rowOff>
    </xdr:from>
    <xdr:to>
      <xdr:col>7</xdr:col>
      <xdr:colOff>383857</xdr:colOff>
      <xdr:row>2445</xdr:row>
      <xdr:rowOff>0</xdr:rowOff>
    </xdr:to>
    <xdr:sp macro="" textlink="">
      <xdr:nvSpPr>
        <xdr:cNvPr id="8" name="Shape 72">
          <a:extLst>
            <a:ext uri="{FF2B5EF4-FFF2-40B4-BE49-F238E27FC236}">
              <a16:creationId xmlns:a16="http://schemas.microsoft.com/office/drawing/2014/main" id="{00000000-0008-0000-1700-000008000000}"/>
            </a:ext>
          </a:extLst>
        </xdr:cNvPr>
        <xdr:cNvSpPr/>
      </xdr:nvSpPr>
      <xdr:spPr>
        <a:xfrm>
          <a:off x="6391275" y="4266714225"/>
          <a:ext cx="1736407" cy="0"/>
        </a:xfrm>
        <a:custGeom>
          <a:avLst/>
          <a:gdLst/>
          <a:ahLst/>
          <a:cxnLst/>
          <a:rect l="0" t="0" r="0" b="0"/>
          <a:pathLst>
            <a:path w="1842770">
              <a:moveTo>
                <a:pt x="0" y="0"/>
              </a:moveTo>
              <a:lnTo>
                <a:pt x="1842770" y="0"/>
              </a:lnTo>
            </a:path>
          </a:pathLst>
        </a:custGeom>
        <a:ln w="6095">
          <a:solidFill>
            <a:srgbClr val="000000"/>
          </a:solidFill>
        </a:ln>
      </xdr:spPr>
    </xdr:sp>
    <xdr:clientData/>
  </xdr:twoCellAnchor>
  <xdr:twoCellAnchor editAs="oneCell">
    <xdr:from>
      <xdr:col>5</xdr:col>
      <xdr:colOff>0</xdr:colOff>
      <xdr:row>2445</xdr:row>
      <xdr:rowOff>0</xdr:rowOff>
    </xdr:from>
    <xdr:to>
      <xdr:col>7</xdr:col>
      <xdr:colOff>383857</xdr:colOff>
      <xdr:row>2445</xdr:row>
      <xdr:rowOff>0</xdr:rowOff>
    </xdr:to>
    <xdr:sp macro="" textlink="">
      <xdr:nvSpPr>
        <xdr:cNvPr id="9" name="Shape 74">
          <a:extLst>
            <a:ext uri="{FF2B5EF4-FFF2-40B4-BE49-F238E27FC236}">
              <a16:creationId xmlns:a16="http://schemas.microsoft.com/office/drawing/2014/main" id="{00000000-0008-0000-1700-000009000000}"/>
            </a:ext>
          </a:extLst>
        </xdr:cNvPr>
        <xdr:cNvSpPr/>
      </xdr:nvSpPr>
      <xdr:spPr>
        <a:xfrm>
          <a:off x="6391275" y="4266714225"/>
          <a:ext cx="1736407" cy="0"/>
        </a:xfrm>
        <a:custGeom>
          <a:avLst/>
          <a:gdLst/>
          <a:ahLst/>
          <a:cxnLst/>
          <a:rect l="0" t="0" r="0" b="0"/>
          <a:pathLst>
            <a:path w="1842770">
              <a:moveTo>
                <a:pt x="0" y="0"/>
              </a:moveTo>
              <a:lnTo>
                <a:pt x="1842770" y="0"/>
              </a:lnTo>
            </a:path>
          </a:pathLst>
        </a:custGeom>
        <a:ln w="6095">
          <a:solidFill>
            <a:srgbClr val="000000"/>
          </a:solidFill>
        </a:ln>
      </xdr:spPr>
    </xdr:sp>
    <xdr:clientData/>
  </xdr:twoCellAnchor>
  <xdr:twoCellAnchor editAs="oneCell">
    <xdr:from>
      <xdr:col>3</xdr:col>
      <xdr:colOff>0</xdr:colOff>
      <xdr:row>2445</xdr:row>
      <xdr:rowOff>0</xdr:rowOff>
    </xdr:from>
    <xdr:to>
      <xdr:col>4</xdr:col>
      <xdr:colOff>253365</xdr:colOff>
      <xdr:row>2445</xdr:row>
      <xdr:rowOff>0</xdr:rowOff>
    </xdr:to>
    <xdr:sp macro="" textlink="">
      <xdr:nvSpPr>
        <xdr:cNvPr id="10" name="Shape 75">
          <a:extLst>
            <a:ext uri="{FF2B5EF4-FFF2-40B4-BE49-F238E27FC236}">
              <a16:creationId xmlns:a16="http://schemas.microsoft.com/office/drawing/2014/main" id="{00000000-0008-0000-1700-00000A000000}"/>
            </a:ext>
          </a:extLst>
        </xdr:cNvPr>
        <xdr:cNvSpPr/>
      </xdr:nvSpPr>
      <xdr:spPr>
        <a:xfrm>
          <a:off x="1752600" y="4266714225"/>
          <a:ext cx="1272540" cy="0"/>
        </a:xfrm>
        <a:custGeom>
          <a:avLst/>
          <a:gdLst/>
          <a:ahLst/>
          <a:cxnLst/>
          <a:rect l="0" t="0" r="0" b="0"/>
          <a:pathLst>
            <a:path w="1329690">
              <a:moveTo>
                <a:pt x="0" y="0"/>
              </a:moveTo>
              <a:lnTo>
                <a:pt x="1329182" y="0"/>
              </a:lnTo>
            </a:path>
          </a:pathLst>
        </a:custGeom>
        <a:ln w="6095">
          <a:solidFill>
            <a:srgbClr val="000000"/>
          </a:solidFill>
        </a:ln>
      </xdr:spPr>
    </xdr:sp>
    <xdr:clientData/>
  </xdr:twoCellAnchor>
  <xdr:twoCellAnchor editAs="oneCell">
    <xdr:from>
      <xdr:col>5</xdr:col>
      <xdr:colOff>0</xdr:colOff>
      <xdr:row>2445</xdr:row>
      <xdr:rowOff>0</xdr:rowOff>
    </xdr:from>
    <xdr:to>
      <xdr:col>7</xdr:col>
      <xdr:colOff>383857</xdr:colOff>
      <xdr:row>2445</xdr:row>
      <xdr:rowOff>0</xdr:rowOff>
    </xdr:to>
    <xdr:sp macro="" textlink="">
      <xdr:nvSpPr>
        <xdr:cNvPr id="11" name="Shape 76">
          <a:extLst>
            <a:ext uri="{FF2B5EF4-FFF2-40B4-BE49-F238E27FC236}">
              <a16:creationId xmlns:a16="http://schemas.microsoft.com/office/drawing/2014/main" id="{00000000-0008-0000-1700-00000B000000}"/>
            </a:ext>
          </a:extLst>
        </xdr:cNvPr>
        <xdr:cNvSpPr/>
      </xdr:nvSpPr>
      <xdr:spPr>
        <a:xfrm>
          <a:off x="6391275" y="4266714225"/>
          <a:ext cx="1736407" cy="0"/>
        </a:xfrm>
        <a:custGeom>
          <a:avLst/>
          <a:gdLst/>
          <a:ahLst/>
          <a:cxnLst/>
          <a:rect l="0" t="0" r="0" b="0"/>
          <a:pathLst>
            <a:path w="1842770">
              <a:moveTo>
                <a:pt x="0" y="0"/>
              </a:moveTo>
              <a:lnTo>
                <a:pt x="1842770" y="0"/>
              </a:lnTo>
            </a:path>
          </a:pathLst>
        </a:custGeom>
        <a:ln w="6095">
          <a:solidFill>
            <a:srgbClr val="000000"/>
          </a:solidFill>
        </a:ln>
      </xdr:spPr>
    </xdr:sp>
    <xdr:clientData/>
  </xdr:twoCellAnchor>
  <xdr:twoCellAnchor editAs="oneCell">
    <xdr:from>
      <xdr:col>5</xdr:col>
      <xdr:colOff>0</xdr:colOff>
      <xdr:row>2445</xdr:row>
      <xdr:rowOff>0</xdr:rowOff>
    </xdr:from>
    <xdr:to>
      <xdr:col>7</xdr:col>
      <xdr:colOff>383857</xdr:colOff>
      <xdr:row>2445</xdr:row>
      <xdr:rowOff>0</xdr:rowOff>
    </xdr:to>
    <xdr:sp macro="" textlink="">
      <xdr:nvSpPr>
        <xdr:cNvPr id="12" name="Shape 110">
          <a:extLst>
            <a:ext uri="{FF2B5EF4-FFF2-40B4-BE49-F238E27FC236}">
              <a16:creationId xmlns:a16="http://schemas.microsoft.com/office/drawing/2014/main" id="{00000000-0008-0000-1700-00000C000000}"/>
            </a:ext>
          </a:extLst>
        </xdr:cNvPr>
        <xdr:cNvSpPr/>
      </xdr:nvSpPr>
      <xdr:spPr>
        <a:xfrm>
          <a:off x="6391275" y="4266714225"/>
          <a:ext cx="1736407" cy="0"/>
        </a:xfrm>
        <a:custGeom>
          <a:avLst/>
          <a:gdLst/>
          <a:ahLst/>
          <a:cxnLst/>
          <a:rect l="0" t="0" r="0" b="0"/>
          <a:pathLst>
            <a:path w="1842770">
              <a:moveTo>
                <a:pt x="0" y="0"/>
              </a:moveTo>
              <a:lnTo>
                <a:pt x="1842770" y="0"/>
              </a:lnTo>
            </a:path>
          </a:pathLst>
        </a:custGeom>
        <a:ln w="6096">
          <a:solidFill>
            <a:srgbClr val="000000"/>
          </a:solidFill>
        </a:ln>
      </xdr:spPr>
    </xdr:sp>
    <xdr:clientData/>
  </xdr:twoCellAnchor>
  <xdr:twoCellAnchor editAs="oneCell">
    <xdr:from>
      <xdr:col>0</xdr:col>
      <xdr:colOff>0</xdr:colOff>
      <xdr:row>2445</xdr:row>
      <xdr:rowOff>0</xdr:rowOff>
    </xdr:from>
    <xdr:to>
      <xdr:col>0</xdr:col>
      <xdr:colOff>128270</xdr:colOff>
      <xdr:row>2445</xdr:row>
      <xdr:rowOff>0</xdr:rowOff>
    </xdr:to>
    <xdr:sp macro="" textlink="">
      <xdr:nvSpPr>
        <xdr:cNvPr id="13" name="Shape 115">
          <a:extLst>
            <a:ext uri="{FF2B5EF4-FFF2-40B4-BE49-F238E27FC236}">
              <a16:creationId xmlns:a16="http://schemas.microsoft.com/office/drawing/2014/main" id="{00000000-0008-0000-1700-00000D000000}"/>
            </a:ext>
          </a:extLst>
        </xdr:cNvPr>
        <xdr:cNvSpPr/>
      </xdr:nvSpPr>
      <xdr:spPr>
        <a:xfrm>
          <a:off x="0" y="4266714225"/>
          <a:ext cx="128270" cy="0"/>
        </a:xfrm>
        <a:custGeom>
          <a:avLst/>
          <a:gdLst/>
          <a:ahLst/>
          <a:cxnLst/>
          <a:rect l="0" t="0" r="0" b="0"/>
          <a:pathLst>
            <a:path w="128270">
              <a:moveTo>
                <a:pt x="0" y="0"/>
              </a:moveTo>
              <a:lnTo>
                <a:pt x="127671" y="0"/>
              </a:lnTo>
            </a:path>
          </a:pathLst>
        </a:custGeom>
        <a:ln w="12715">
          <a:solidFill>
            <a:srgbClr val="0F0C0C"/>
          </a:solidFill>
        </a:ln>
      </xdr:spPr>
    </xdr:sp>
    <xdr:clientData/>
  </xdr:twoCellAnchor>
  <xdr:twoCellAnchor editAs="oneCell">
    <xdr:from>
      <xdr:col>0</xdr:col>
      <xdr:colOff>0</xdr:colOff>
      <xdr:row>2445</xdr:row>
      <xdr:rowOff>0</xdr:rowOff>
    </xdr:from>
    <xdr:to>
      <xdr:col>0</xdr:col>
      <xdr:colOff>40005</xdr:colOff>
      <xdr:row>2445</xdr:row>
      <xdr:rowOff>0</xdr:rowOff>
    </xdr:to>
    <xdr:sp macro="" textlink="">
      <xdr:nvSpPr>
        <xdr:cNvPr id="14" name="Shape 118">
          <a:extLst>
            <a:ext uri="{FF2B5EF4-FFF2-40B4-BE49-F238E27FC236}">
              <a16:creationId xmlns:a16="http://schemas.microsoft.com/office/drawing/2014/main" id="{00000000-0008-0000-1700-00000E000000}"/>
            </a:ext>
          </a:extLst>
        </xdr:cNvPr>
        <xdr:cNvSpPr/>
      </xdr:nvSpPr>
      <xdr:spPr>
        <a:xfrm>
          <a:off x="0" y="4266714225"/>
          <a:ext cx="40005" cy="0"/>
        </a:xfrm>
        <a:custGeom>
          <a:avLst/>
          <a:gdLst/>
          <a:ahLst/>
          <a:cxnLst/>
          <a:rect l="0" t="0" r="0" b="0"/>
          <a:pathLst>
            <a:path w="40005">
              <a:moveTo>
                <a:pt x="0" y="0"/>
              </a:moveTo>
              <a:lnTo>
                <a:pt x="39690" y="0"/>
              </a:lnTo>
            </a:path>
          </a:pathLst>
        </a:custGeom>
        <a:ln w="12715">
          <a:solidFill>
            <a:srgbClr val="3D3434"/>
          </a:solidFill>
        </a:ln>
      </xdr:spPr>
    </xdr:sp>
    <xdr:clientData/>
  </xdr:twoCellAnchor>
  <xdr:twoCellAnchor editAs="oneCell">
    <xdr:from>
      <xdr:col>0</xdr:col>
      <xdr:colOff>0</xdr:colOff>
      <xdr:row>2445</xdr:row>
      <xdr:rowOff>0</xdr:rowOff>
    </xdr:from>
    <xdr:to>
      <xdr:col>0</xdr:col>
      <xdr:colOff>43180</xdr:colOff>
      <xdr:row>2445</xdr:row>
      <xdr:rowOff>0</xdr:rowOff>
    </xdr:to>
    <xdr:sp macro="" textlink="">
      <xdr:nvSpPr>
        <xdr:cNvPr id="15" name="Shape 119">
          <a:extLst>
            <a:ext uri="{FF2B5EF4-FFF2-40B4-BE49-F238E27FC236}">
              <a16:creationId xmlns:a16="http://schemas.microsoft.com/office/drawing/2014/main" id="{00000000-0008-0000-1700-00000F000000}"/>
            </a:ext>
          </a:extLst>
        </xdr:cNvPr>
        <xdr:cNvSpPr/>
      </xdr:nvSpPr>
      <xdr:spPr>
        <a:xfrm>
          <a:off x="0" y="4266714225"/>
          <a:ext cx="43180" cy="0"/>
        </a:xfrm>
        <a:custGeom>
          <a:avLst/>
          <a:gdLst/>
          <a:ahLst/>
          <a:cxnLst/>
          <a:rect l="0" t="0" r="0" b="0"/>
          <a:pathLst>
            <a:path w="43180">
              <a:moveTo>
                <a:pt x="0" y="0"/>
              </a:moveTo>
              <a:lnTo>
                <a:pt x="42743" y="0"/>
              </a:lnTo>
            </a:path>
          </a:pathLst>
        </a:custGeom>
        <a:ln w="12715">
          <a:solidFill>
            <a:srgbClr val="3D3434"/>
          </a:solidFill>
        </a:ln>
      </xdr:spPr>
    </xdr:sp>
    <xdr:clientData/>
  </xdr:twoCellAnchor>
  <xdr:twoCellAnchor editAs="oneCell">
    <xdr:from>
      <xdr:col>0</xdr:col>
      <xdr:colOff>0</xdr:colOff>
      <xdr:row>2445</xdr:row>
      <xdr:rowOff>0</xdr:rowOff>
    </xdr:from>
    <xdr:to>
      <xdr:col>0</xdr:col>
      <xdr:colOff>46355</xdr:colOff>
      <xdr:row>2445</xdr:row>
      <xdr:rowOff>0</xdr:rowOff>
    </xdr:to>
    <xdr:sp macro="" textlink="">
      <xdr:nvSpPr>
        <xdr:cNvPr id="16" name="Shape 120">
          <a:extLst>
            <a:ext uri="{FF2B5EF4-FFF2-40B4-BE49-F238E27FC236}">
              <a16:creationId xmlns:a16="http://schemas.microsoft.com/office/drawing/2014/main" id="{00000000-0008-0000-1700-000010000000}"/>
            </a:ext>
          </a:extLst>
        </xdr:cNvPr>
        <xdr:cNvSpPr/>
      </xdr:nvSpPr>
      <xdr:spPr>
        <a:xfrm>
          <a:off x="0" y="4266714225"/>
          <a:ext cx="46355" cy="0"/>
        </a:xfrm>
        <a:custGeom>
          <a:avLst/>
          <a:gdLst/>
          <a:ahLst/>
          <a:cxnLst/>
          <a:rect l="0" t="0" r="0" b="0"/>
          <a:pathLst>
            <a:path w="46355">
              <a:moveTo>
                <a:pt x="0" y="0"/>
              </a:moveTo>
              <a:lnTo>
                <a:pt x="45796" y="0"/>
              </a:lnTo>
            </a:path>
          </a:pathLst>
        </a:custGeom>
        <a:ln w="12715">
          <a:solidFill>
            <a:srgbClr val="3D3434"/>
          </a:solidFill>
        </a:ln>
      </xdr:spPr>
    </xdr:sp>
    <xdr:clientData/>
  </xdr:twoCellAnchor>
  <xdr:twoCellAnchor editAs="oneCell">
    <xdr:from>
      <xdr:col>0</xdr:col>
      <xdr:colOff>0</xdr:colOff>
      <xdr:row>2445</xdr:row>
      <xdr:rowOff>0</xdr:rowOff>
    </xdr:from>
    <xdr:to>
      <xdr:col>0</xdr:col>
      <xdr:colOff>70485</xdr:colOff>
      <xdr:row>2445</xdr:row>
      <xdr:rowOff>0</xdr:rowOff>
    </xdr:to>
    <xdr:sp macro="" textlink="">
      <xdr:nvSpPr>
        <xdr:cNvPr id="17" name="Shape 121">
          <a:extLst>
            <a:ext uri="{FF2B5EF4-FFF2-40B4-BE49-F238E27FC236}">
              <a16:creationId xmlns:a16="http://schemas.microsoft.com/office/drawing/2014/main" id="{00000000-0008-0000-1700-000011000000}"/>
            </a:ext>
          </a:extLst>
        </xdr:cNvPr>
        <xdr:cNvSpPr/>
      </xdr:nvSpPr>
      <xdr:spPr>
        <a:xfrm>
          <a:off x="0" y="4266714225"/>
          <a:ext cx="70485" cy="0"/>
        </a:xfrm>
        <a:custGeom>
          <a:avLst/>
          <a:gdLst/>
          <a:ahLst/>
          <a:cxnLst/>
          <a:rect l="0" t="0" r="0" b="0"/>
          <a:pathLst>
            <a:path w="70485">
              <a:moveTo>
                <a:pt x="0" y="0"/>
              </a:moveTo>
              <a:lnTo>
                <a:pt x="70221" y="0"/>
              </a:lnTo>
            </a:path>
          </a:pathLst>
        </a:custGeom>
        <a:ln w="12715">
          <a:solidFill>
            <a:srgbClr val="231C1C"/>
          </a:solidFill>
        </a:ln>
      </xdr:spPr>
    </xdr:sp>
    <xdr:clientData/>
  </xdr:twoCellAnchor>
  <xdr:twoCellAnchor editAs="oneCell">
    <xdr:from>
      <xdr:col>0</xdr:col>
      <xdr:colOff>0</xdr:colOff>
      <xdr:row>2445</xdr:row>
      <xdr:rowOff>0</xdr:rowOff>
    </xdr:from>
    <xdr:to>
      <xdr:col>0</xdr:col>
      <xdr:colOff>43180</xdr:colOff>
      <xdr:row>2445</xdr:row>
      <xdr:rowOff>0</xdr:rowOff>
    </xdr:to>
    <xdr:sp macro="" textlink="">
      <xdr:nvSpPr>
        <xdr:cNvPr id="18" name="Shape 124">
          <a:extLst>
            <a:ext uri="{FF2B5EF4-FFF2-40B4-BE49-F238E27FC236}">
              <a16:creationId xmlns:a16="http://schemas.microsoft.com/office/drawing/2014/main" id="{00000000-0008-0000-1700-000012000000}"/>
            </a:ext>
          </a:extLst>
        </xdr:cNvPr>
        <xdr:cNvSpPr/>
      </xdr:nvSpPr>
      <xdr:spPr>
        <a:xfrm>
          <a:off x="0" y="4266714225"/>
          <a:ext cx="43180" cy="0"/>
        </a:xfrm>
        <a:custGeom>
          <a:avLst/>
          <a:gdLst/>
          <a:ahLst/>
          <a:cxnLst/>
          <a:rect l="0" t="0" r="0" b="0"/>
          <a:pathLst>
            <a:path w="43180">
              <a:moveTo>
                <a:pt x="0" y="0"/>
              </a:moveTo>
              <a:lnTo>
                <a:pt x="42743" y="0"/>
              </a:lnTo>
            </a:path>
          </a:pathLst>
        </a:custGeom>
        <a:ln w="12715">
          <a:solidFill>
            <a:srgbClr val="231C1C"/>
          </a:solidFill>
        </a:ln>
      </xdr:spPr>
    </xdr:sp>
    <xdr:clientData/>
  </xdr:twoCellAnchor>
  <xdr:twoCellAnchor editAs="oneCell">
    <xdr:from>
      <xdr:col>0</xdr:col>
      <xdr:colOff>0</xdr:colOff>
      <xdr:row>2445</xdr:row>
      <xdr:rowOff>0</xdr:rowOff>
    </xdr:from>
    <xdr:to>
      <xdr:col>0</xdr:col>
      <xdr:colOff>40005</xdr:colOff>
      <xdr:row>2445</xdr:row>
      <xdr:rowOff>0</xdr:rowOff>
    </xdr:to>
    <xdr:sp macro="" textlink="">
      <xdr:nvSpPr>
        <xdr:cNvPr id="19" name="Shape 125">
          <a:extLst>
            <a:ext uri="{FF2B5EF4-FFF2-40B4-BE49-F238E27FC236}">
              <a16:creationId xmlns:a16="http://schemas.microsoft.com/office/drawing/2014/main" id="{00000000-0008-0000-1700-000013000000}"/>
            </a:ext>
          </a:extLst>
        </xdr:cNvPr>
        <xdr:cNvSpPr/>
      </xdr:nvSpPr>
      <xdr:spPr>
        <a:xfrm>
          <a:off x="0" y="4266714225"/>
          <a:ext cx="40005" cy="0"/>
        </a:xfrm>
        <a:custGeom>
          <a:avLst/>
          <a:gdLst/>
          <a:ahLst/>
          <a:cxnLst/>
          <a:rect l="0" t="0" r="0" b="0"/>
          <a:pathLst>
            <a:path w="40005">
              <a:moveTo>
                <a:pt x="0" y="0"/>
              </a:moveTo>
              <a:lnTo>
                <a:pt x="39690" y="0"/>
              </a:lnTo>
            </a:path>
          </a:pathLst>
        </a:custGeom>
        <a:ln w="12715">
          <a:solidFill>
            <a:srgbClr val="231C1C"/>
          </a:solidFill>
        </a:ln>
      </xdr:spPr>
    </xdr:sp>
    <xdr:clientData/>
  </xdr:twoCellAnchor>
  <xdr:twoCellAnchor editAs="oneCell">
    <xdr:from>
      <xdr:col>0</xdr:col>
      <xdr:colOff>4579</xdr:colOff>
      <xdr:row>2445</xdr:row>
      <xdr:rowOff>0</xdr:rowOff>
    </xdr:from>
    <xdr:to>
      <xdr:col>0</xdr:col>
      <xdr:colOff>4579</xdr:colOff>
      <xdr:row>2446</xdr:row>
      <xdr:rowOff>3809</xdr:rowOff>
    </xdr:to>
    <xdr:sp macro="" textlink="">
      <xdr:nvSpPr>
        <xdr:cNvPr id="20" name="Shape 133">
          <a:extLst>
            <a:ext uri="{FF2B5EF4-FFF2-40B4-BE49-F238E27FC236}">
              <a16:creationId xmlns:a16="http://schemas.microsoft.com/office/drawing/2014/main" id="{00000000-0008-0000-1700-000014000000}"/>
            </a:ext>
          </a:extLst>
        </xdr:cNvPr>
        <xdr:cNvSpPr/>
      </xdr:nvSpPr>
      <xdr:spPr>
        <a:xfrm>
          <a:off x="4579" y="4266714225"/>
          <a:ext cx="0" cy="765809"/>
        </a:xfrm>
        <a:custGeom>
          <a:avLst/>
          <a:gdLst/>
          <a:ahLst/>
          <a:cxnLst/>
          <a:rect l="0" t="0" r="0" b="0"/>
          <a:pathLst>
            <a:path h="461009">
              <a:moveTo>
                <a:pt x="0" y="460816"/>
              </a:moveTo>
              <a:lnTo>
                <a:pt x="0" y="0"/>
              </a:lnTo>
            </a:path>
          </a:pathLst>
        </a:custGeom>
        <a:ln w="9159">
          <a:solidFill>
            <a:srgbClr val="000000"/>
          </a:solidFill>
        </a:ln>
      </xdr:spPr>
    </xdr:sp>
    <xdr:clientData/>
  </xdr:twoCellAnchor>
  <xdr:twoCellAnchor editAs="oneCell">
    <xdr:from>
      <xdr:col>0</xdr:col>
      <xdr:colOff>0</xdr:colOff>
      <xdr:row>2445</xdr:row>
      <xdr:rowOff>0</xdr:rowOff>
    </xdr:from>
    <xdr:to>
      <xdr:col>0</xdr:col>
      <xdr:colOff>40005</xdr:colOff>
      <xdr:row>2445</xdr:row>
      <xdr:rowOff>0</xdr:rowOff>
    </xdr:to>
    <xdr:sp macro="" textlink="">
      <xdr:nvSpPr>
        <xdr:cNvPr id="21" name="Shape 144">
          <a:extLst>
            <a:ext uri="{FF2B5EF4-FFF2-40B4-BE49-F238E27FC236}">
              <a16:creationId xmlns:a16="http://schemas.microsoft.com/office/drawing/2014/main" id="{00000000-0008-0000-1700-000015000000}"/>
            </a:ext>
          </a:extLst>
        </xdr:cNvPr>
        <xdr:cNvSpPr/>
      </xdr:nvSpPr>
      <xdr:spPr>
        <a:xfrm>
          <a:off x="0" y="4266714225"/>
          <a:ext cx="40005" cy="0"/>
        </a:xfrm>
        <a:custGeom>
          <a:avLst/>
          <a:gdLst/>
          <a:ahLst/>
          <a:cxnLst/>
          <a:rect l="0" t="0" r="0" b="0"/>
          <a:pathLst>
            <a:path w="40005">
              <a:moveTo>
                <a:pt x="0" y="0"/>
              </a:moveTo>
              <a:lnTo>
                <a:pt x="39690" y="0"/>
              </a:lnTo>
            </a:path>
          </a:pathLst>
        </a:custGeom>
        <a:ln w="12715">
          <a:solidFill>
            <a:srgbClr val="0A0808"/>
          </a:solidFill>
        </a:ln>
      </xdr:spPr>
    </xdr:sp>
    <xdr:clientData/>
  </xdr:twoCellAnchor>
  <xdr:twoCellAnchor editAs="oneCell">
    <xdr:from>
      <xdr:col>0</xdr:col>
      <xdr:colOff>0</xdr:colOff>
      <xdr:row>2445</xdr:row>
      <xdr:rowOff>0</xdr:rowOff>
    </xdr:from>
    <xdr:to>
      <xdr:col>0</xdr:col>
      <xdr:colOff>27305</xdr:colOff>
      <xdr:row>2445</xdr:row>
      <xdr:rowOff>53974</xdr:rowOff>
    </xdr:to>
    <xdr:sp macro="" textlink="">
      <xdr:nvSpPr>
        <xdr:cNvPr id="22" name="Textbox 145">
          <a:extLst>
            <a:ext uri="{FF2B5EF4-FFF2-40B4-BE49-F238E27FC236}">
              <a16:creationId xmlns:a16="http://schemas.microsoft.com/office/drawing/2014/main" id="{00000000-0008-0000-1700-000016000000}"/>
            </a:ext>
          </a:extLst>
        </xdr:cNvPr>
        <xdr:cNvSpPr txBox="1"/>
      </xdr:nvSpPr>
      <xdr:spPr>
        <a:xfrm>
          <a:off x="0" y="4266714225"/>
          <a:ext cx="27305" cy="53974"/>
        </a:xfrm>
        <a:prstGeom prst="rect">
          <a:avLst/>
        </a:prstGeom>
      </xdr:spPr>
      <xdr:txBody>
        <a:bodyPr vertOverflow="clip" lIns="0" tIns="0" rIns="0" bIns="0" anchor="t"/>
        <a:lstStyle/>
        <a:p>
          <a:r>
            <a:rPr sz="450" b="0" spc="-5">
              <a:solidFill>
                <a:srgbClr val="0A0808"/>
              </a:solidFill>
              <a:latin typeface="Times New Roman"/>
              <a:cs typeface="Times New Roman"/>
            </a:rPr>
            <a:t>'</a:t>
          </a:r>
          <a:r>
            <a:rPr sz="450" b="0" spc="0">
              <a:solidFill>
                <a:srgbClr val="0A0808"/>
              </a:solidFill>
              <a:latin typeface="Times New Roman"/>
              <a:cs typeface="Times New Roman"/>
            </a:rPr>
            <a:t>\</a:t>
          </a:r>
        </a:p>
      </xdr:txBody>
    </xdr:sp>
    <xdr:clientData/>
  </xdr:twoCellAnchor>
  <xdr:twoCellAnchor editAs="oneCell">
    <xdr:from>
      <xdr:col>0</xdr:col>
      <xdr:colOff>0</xdr:colOff>
      <xdr:row>2445</xdr:row>
      <xdr:rowOff>0</xdr:rowOff>
    </xdr:from>
    <xdr:to>
      <xdr:col>0</xdr:col>
      <xdr:colOff>46355</xdr:colOff>
      <xdr:row>2445</xdr:row>
      <xdr:rowOff>0</xdr:rowOff>
    </xdr:to>
    <xdr:sp macro="" textlink="">
      <xdr:nvSpPr>
        <xdr:cNvPr id="23" name="Shape 150">
          <a:extLst>
            <a:ext uri="{FF2B5EF4-FFF2-40B4-BE49-F238E27FC236}">
              <a16:creationId xmlns:a16="http://schemas.microsoft.com/office/drawing/2014/main" id="{00000000-0008-0000-1700-000017000000}"/>
            </a:ext>
          </a:extLst>
        </xdr:cNvPr>
        <xdr:cNvSpPr/>
      </xdr:nvSpPr>
      <xdr:spPr>
        <a:xfrm>
          <a:off x="0" y="4266714225"/>
          <a:ext cx="46355" cy="0"/>
        </a:xfrm>
        <a:custGeom>
          <a:avLst/>
          <a:gdLst/>
          <a:ahLst/>
          <a:cxnLst/>
          <a:rect l="0" t="0" r="0" b="0"/>
          <a:pathLst>
            <a:path w="46355">
              <a:moveTo>
                <a:pt x="0" y="0"/>
              </a:moveTo>
              <a:lnTo>
                <a:pt x="45791" y="0"/>
              </a:lnTo>
            </a:path>
          </a:pathLst>
        </a:custGeom>
        <a:ln w="12714">
          <a:solidFill>
            <a:srgbClr val="000000"/>
          </a:solidFill>
        </a:ln>
      </xdr:spPr>
    </xdr:sp>
    <xdr:clientData/>
  </xdr:twoCellAnchor>
  <xdr:twoCellAnchor editAs="oneCell">
    <xdr:from>
      <xdr:col>0</xdr:col>
      <xdr:colOff>0</xdr:colOff>
      <xdr:row>2445</xdr:row>
      <xdr:rowOff>0</xdr:rowOff>
    </xdr:from>
    <xdr:to>
      <xdr:col>0</xdr:col>
      <xdr:colOff>48895</xdr:colOff>
      <xdr:row>2445</xdr:row>
      <xdr:rowOff>0</xdr:rowOff>
    </xdr:to>
    <xdr:sp macro="" textlink="">
      <xdr:nvSpPr>
        <xdr:cNvPr id="24" name="Shape 151">
          <a:extLst>
            <a:ext uri="{FF2B5EF4-FFF2-40B4-BE49-F238E27FC236}">
              <a16:creationId xmlns:a16="http://schemas.microsoft.com/office/drawing/2014/main" id="{00000000-0008-0000-1700-000018000000}"/>
            </a:ext>
          </a:extLst>
        </xdr:cNvPr>
        <xdr:cNvSpPr/>
      </xdr:nvSpPr>
      <xdr:spPr>
        <a:xfrm>
          <a:off x="0" y="4266714225"/>
          <a:ext cx="48895" cy="0"/>
        </a:xfrm>
        <a:custGeom>
          <a:avLst/>
          <a:gdLst/>
          <a:ahLst/>
          <a:cxnLst/>
          <a:rect l="0" t="0" r="0" b="0"/>
          <a:pathLst>
            <a:path w="48895">
              <a:moveTo>
                <a:pt x="0" y="0"/>
              </a:moveTo>
              <a:lnTo>
                <a:pt x="48844" y="0"/>
              </a:lnTo>
            </a:path>
          </a:pathLst>
        </a:custGeom>
        <a:ln w="12715">
          <a:solidFill>
            <a:srgbClr val="010101"/>
          </a:solidFill>
        </a:ln>
      </xdr:spPr>
    </xdr:sp>
    <xdr:clientData/>
  </xdr:twoCellAnchor>
  <xdr:twoCellAnchor editAs="oneCell">
    <xdr:from>
      <xdr:col>0</xdr:col>
      <xdr:colOff>0</xdr:colOff>
      <xdr:row>2445</xdr:row>
      <xdr:rowOff>0</xdr:rowOff>
    </xdr:from>
    <xdr:to>
      <xdr:col>0</xdr:col>
      <xdr:colOff>48895</xdr:colOff>
      <xdr:row>2445</xdr:row>
      <xdr:rowOff>0</xdr:rowOff>
    </xdr:to>
    <xdr:sp macro="" textlink="">
      <xdr:nvSpPr>
        <xdr:cNvPr id="25" name="Shape 152">
          <a:extLst>
            <a:ext uri="{FF2B5EF4-FFF2-40B4-BE49-F238E27FC236}">
              <a16:creationId xmlns:a16="http://schemas.microsoft.com/office/drawing/2014/main" id="{00000000-0008-0000-1700-000019000000}"/>
            </a:ext>
          </a:extLst>
        </xdr:cNvPr>
        <xdr:cNvSpPr/>
      </xdr:nvSpPr>
      <xdr:spPr>
        <a:xfrm>
          <a:off x="0" y="4266714225"/>
          <a:ext cx="48895" cy="0"/>
        </a:xfrm>
        <a:custGeom>
          <a:avLst/>
          <a:gdLst/>
          <a:ahLst/>
          <a:cxnLst/>
          <a:rect l="0" t="0" r="0" b="0"/>
          <a:pathLst>
            <a:path w="48895">
              <a:moveTo>
                <a:pt x="0" y="0"/>
              </a:moveTo>
              <a:lnTo>
                <a:pt x="48844" y="0"/>
              </a:lnTo>
            </a:path>
          </a:pathLst>
        </a:custGeom>
        <a:ln w="12715">
          <a:solidFill>
            <a:srgbClr val="010101"/>
          </a:solidFill>
        </a:ln>
      </xdr:spPr>
    </xdr:sp>
    <xdr:clientData/>
  </xdr:twoCellAnchor>
  <xdr:twoCellAnchor editAs="oneCell">
    <xdr:from>
      <xdr:col>0</xdr:col>
      <xdr:colOff>0</xdr:colOff>
      <xdr:row>2445</xdr:row>
      <xdr:rowOff>0</xdr:rowOff>
    </xdr:from>
    <xdr:to>
      <xdr:col>0</xdr:col>
      <xdr:colOff>48895</xdr:colOff>
      <xdr:row>2445</xdr:row>
      <xdr:rowOff>0</xdr:rowOff>
    </xdr:to>
    <xdr:sp macro="" textlink="">
      <xdr:nvSpPr>
        <xdr:cNvPr id="26" name="Shape 155">
          <a:extLst>
            <a:ext uri="{FF2B5EF4-FFF2-40B4-BE49-F238E27FC236}">
              <a16:creationId xmlns:a16="http://schemas.microsoft.com/office/drawing/2014/main" id="{00000000-0008-0000-1700-00001A000000}"/>
            </a:ext>
          </a:extLst>
        </xdr:cNvPr>
        <xdr:cNvSpPr/>
      </xdr:nvSpPr>
      <xdr:spPr>
        <a:xfrm>
          <a:off x="0" y="4266714225"/>
          <a:ext cx="48895" cy="0"/>
        </a:xfrm>
        <a:custGeom>
          <a:avLst/>
          <a:gdLst/>
          <a:ahLst/>
          <a:cxnLst/>
          <a:rect l="0" t="0" r="0" b="0"/>
          <a:pathLst>
            <a:path w="48895">
              <a:moveTo>
                <a:pt x="0" y="0"/>
              </a:moveTo>
              <a:lnTo>
                <a:pt x="48844" y="0"/>
              </a:lnTo>
            </a:path>
          </a:pathLst>
        </a:custGeom>
        <a:ln w="12714">
          <a:solidFill>
            <a:srgbClr val="030303"/>
          </a:solidFill>
        </a:ln>
      </xdr:spPr>
    </xdr:sp>
    <xdr:clientData/>
  </xdr:twoCellAnchor>
  <xdr:twoCellAnchor editAs="oneCell">
    <xdr:from>
      <xdr:col>0</xdr:col>
      <xdr:colOff>12212</xdr:colOff>
      <xdr:row>2445</xdr:row>
      <xdr:rowOff>0</xdr:rowOff>
    </xdr:from>
    <xdr:to>
      <xdr:col>0</xdr:col>
      <xdr:colOff>12212</xdr:colOff>
      <xdr:row>2445</xdr:row>
      <xdr:rowOff>189865</xdr:rowOff>
    </xdr:to>
    <xdr:sp macro="" textlink="">
      <xdr:nvSpPr>
        <xdr:cNvPr id="27" name="Shape 166">
          <a:extLst>
            <a:ext uri="{FF2B5EF4-FFF2-40B4-BE49-F238E27FC236}">
              <a16:creationId xmlns:a16="http://schemas.microsoft.com/office/drawing/2014/main" id="{00000000-0008-0000-1700-00001B000000}"/>
            </a:ext>
          </a:extLst>
        </xdr:cNvPr>
        <xdr:cNvSpPr/>
      </xdr:nvSpPr>
      <xdr:spPr>
        <a:xfrm>
          <a:off x="12212" y="4266714225"/>
          <a:ext cx="0" cy="189865"/>
        </a:xfrm>
        <a:custGeom>
          <a:avLst/>
          <a:gdLst/>
          <a:ahLst/>
          <a:cxnLst/>
          <a:rect l="0" t="0" r="0" b="0"/>
          <a:pathLst>
            <a:path h="231140">
              <a:moveTo>
                <a:pt x="0" y="0"/>
              </a:moveTo>
              <a:lnTo>
                <a:pt x="0" y="231089"/>
              </a:lnTo>
            </a:path>
          </a:pathLst>
        </a:custGeom>
        <a:ln w="24424">
          <a:solidFill>
            <a:srgbClr val="EBEBEB"/>
          </a:solidFill>
        </a:ln>
      </xdr:spPr>
    </xdr:sp>
    <xdr:clientData/>
  </xdr:twoCellAnchor>
  <xdr:twoCellAnchor editAs="oneCell">
    <xdr:from>
      <xdr:col>0</xdr:col>
      <xdr:colOff>4579</xdr:colOff>
      <xdr:row>2445</xdr:row>
      <xdr:rowOff>0</xdr:rowOff>
    </xdr:from>
    <xdr:to>
      <xdr:col>0</xdr:col>
      <xdr:colOff>4579</xdr:colOff>
      <xdr:row>2445</xdr:row>
      <xdr:rowOff>186442</xdr:rowOff>
    </xdr:to>
    <xdr:sp macro="" textlink="">
      <xdr:nvSpPr>
        <xdr:cNvPr id="28" name="Shape 167">
          <a:extLst>
            <a:ext uri="{FF2B5EF4-FFF2-40B4-BE49-F238E27FC236}">
              <a16:creationId xmlns:a16="http://schemas.microsoft.com/office/drawing/2014/main" id="{00000000-0008-0000-1700-00001C000000}"/>
            </a:ext>
          </a:extLst>
        </xdr:cNvPr>
        <xdr:cNvSpPr/>
      </xdr:nvSpPr>
      <xdr:spPr>
        <a:xfrm>
          <a:off x="4579" y="4266714225"/>
          <a:ext cx="0" cy="186442"/>
        </a:xfrm>
        <a:custGeom>
          <a:avLst/>
          <a:gdLst/>
          <a:ahLst/>
          <a:cxnLst/>
          <a:rect l="0" t="0" r="0" b="0"/>
          <a:pathLst>
            <a:path h="265430">
              <a:moveTo>
                <a:pt x="0" y="0"/>
              </a:moveTo>
              <a:lnTo>
                <a:pt x="0" y="265325"/>
              </a:lnTo>
            </a:path>
          </a:pathLst>
        </a:custGeom>
        <a:ln w="9159">
          <a:solidFill>
            <a:srgbClr val="EBEBEB"/>
          </a:solidFill>
        </a:ln>
      </xdr:spPr>
    </xdr:sp>
    <xdr:clientData/>
  </xdr:twoCellAnchor>
  <xdr:oneCellAnchor>
    <xdr:from>
      <xdr:col>4</xdr:col>
      <xdr:colOff>488867</xdr:colOff>
      <xdr:row>224</xdr:row>
      <xdr:rowOff>493462</xdr:rowOff>
    </xdr:from>
    <xdr:ext cx="97790" cy="0"/>
    <xdr:sp macro="" textlink="">
      <xdr:nvSpPr>
        <xdr:cNvPr id="29" name="Shape 18">
          <a:extLst>
            <a:ext uri="{FF2B5EF4-FFF2-40B4-BE49-F238E27FC236}">
              <a16:creationId xmlns:a16="http://schemas.microsoft.com/office/drawing/2014/main" id="{00000000-0008-0000-1700-00001D000000}"/>
            </a:ext>
          </a:extLst>
        </xdr:cNvPr>
        <xdr:cNvSpPr/>
      </xdr:nvSpPr>
      <xdr:spPr>
        <a:xfrm>
          <a:off x="3260642" y="289510537"/>
          <a:ext cx="97790" cy="0"/>
        </a:xfrm>
        <a:custGeom>
          <a:avLst/>
          <a:gdLst/>
          <a:ahLst/>
          <a:cxnLst/>
          <a:rect l="0" t="0" r="0" b="0"/>
          <a:pathLst>
            <a:path w="97790">
              <a:moveTo>
                <a:pt x="0" y="0"/>
              </a:moveTo>
              <a:lnTo>
                <a:pt x="97536" y="0"/>
              </a:lnTo>
            </a:path>
          </a:pathLst>
        </a:custGeom>
        <a:ln w="3901">
          <a:solidFill>
            <a:srgbClr val="000000"/>
          </a:solidFill>
        </a:ln>
      </xdr:spPr>
    </xdr:sp>
    <xdr:clientData/>
  </xdr:oneCellAnchor>
  <xdr:oneCellAnchor>
    <xdr:from>
      <xdr:col>4</xdr:col>
      <xdr:colOff>2149221</xdr:colOff>
      <xdr:row>347</xdr:row>
      <xdr:rowOff>368494</xdr:rowOff>
    </xdr:from>
    <xdr:ext cx="97790" cy="0"/>
    <xdr:sp macro="" textlink="">
      <xdr:nvSpPr>
        <xdr:cNvPr id="30" name="Shape 19">
          <a:extLst>
            <a:ext uri="{FF2B5EF4-FFF2-40B4-BE49-F238E27FC236}">
              <a16:creationId xmlns:a16="http://schemas.microsoft.com/office/drawing/2014/main" id="{00000000-0008-0000-1700-00001E000000}"/>
            </a:ext>
          </a:extLst>
        </xdr:cNvPr>
        <xdr:cNvSpPr/>
      </xdr:nvSpPr>
      <xdr:spPr>
        <a:xfrm>
          <a:off x="4920996" y="421402069"/>
          <a:ext cx="97790" cy="0"/>
        </a:xfrm>
        <a:custGeom>
          <a:avLst/>
          <a:gdLst/>
          <a:ahLst/>
          <a:cxnLst/>
          <a:rect l="0" t="0" r="0" b="0"/>
          <a:pathLst>
            <a:path w="97790">
              <a:moveTo>
                <a:pt x="0" y="0"/>
              </a:moveTo>
              <a:lnTo>
                <a:pt x="97536" y="0"/>
              </a:lnTo>
            </a:path>
          </a:pathLst>
        </a:custGeom>
        <a:ln w="3901">
          <a:solidFill>
            <a:srgbClr val="000000"/>
          </a:solidFill>
        </a:ln>
      </xdr:spPr>
    </xdr:sp>
    <xdr:clientData/>
  </xdr:oneCellAnchor>
  <xdr:oneCellAnchor>
    <xdr:from>
      <xdr:col>4</xdr:col>
      <xdr:colOff>2396362</xdr:colOff>
      <xdr:row>352</xdr:row>
      <xdr:rowOff>368112</xdr:rowOff>
    </xdr:from>
    <xdr:ext cx="97790" cy="0"/>
    <xdr:sp macro="" textlink="">
      <xdr:nvSpPr>
        <xdr:cNvPr id="31" name="Shape 20">
          <a:extLst>
            <a:ext uri="{FF2B5EF4-FFF2-40B4-BE49-F238E27FC236}">
              <a16:creationId xmlns:a16="http://schemas.microsoft.com/office/drawing/2014/main" id="{00000000-0008-0000-1700-00001F000000}"/>
            </a:ext>
          </a:extLst>
        </xdr:cNvPr>
        <xdr:cNvSpPr/>
      </xdr:nvSpPr>
      <xdr:spPr>
        <a:xfrm>
          <a:off x="5168137" y="428888337"/>
          <a:ext cx="97790" cy="0"/>
        </a:xfrm>
        <a:custGeom>
          <a:avLst/>
          <a:gdLst/>
          <a:ahLst/>
          <a:cxnLst/>
          <a:rect l="0" t="0" r="0" b="0"/>
          <a:pathLst>
            <a:path w="97790">
              <a:moveTo>
                <a:pt x="0" y="0"/>
              </a:moveTo>
              <a:lnTo>
                <a:pt x="97536" y="0"/>
              </a:lnTo>
            </a:path>
          </a:pathLst>
        </a:custGeom>
        <a:ln w="3901">
          <a:solidFill>
            <a:srgbClr val="000000"/>
          </a:solidFill>
        </a:ln>
      </xdr:spPr>
    </xdr:sp>
    <xdr:clientData/>
  </xdr:oneCellAnchor>
  <xdr:oneCellAnchor>
    <xdr:from>
      <xdr:col>4</xdr:col>
      <xdr:colOff>1540909</xdr:colOff>
      <xdr:row>357</xdr:row>
      <xdr:rowOff>243145</xdr:rowOff>
    </xdr:from>
    <xdr:ext cx="97790" cy="0"/>
    <xdr:sp macro="" textlink="">
      <xdr:nvSpPr>
        <xdr:cNvPr id="32" name="Shape 21">
          <a:extLst>
            <a:ext uri="{FF2B5EF4-FFF2-40B4-BE49-F238E27FC236}">
              <a16:creationId xmlns:a16="http://schemas.microsoft.com/office/drawing/2014/main" id="{00000000-0008-0000-1700-000020000000}"/>
            </a:ext>
          </a:extLst>
        </xdr:cNvPr>
        <xdr:cNvSpPr/>
      </xdr:nvSpPr>
      <xdr:spPr>
        <a:xfrm>
          <a:off x="4312684" y="436250020"/>
          <a:ext cx="97790" cy="0"/>
        </a:xfrm>
        <a:custGeom>
          <a:avLst/>
          <a:gdLst/>
          <a:ahLst/>
          <a:cxnLst/>
          <a:rect l="0" t="0" r="0" b="0"/>
          <a:pathLst>
            <a:path w="97790">
              <a:moveTo>
                <a:pt x="0" y="0"/>
              </a:moveTo>
              <a:lnTo>
                <a:pt x="97536" y="0"/>
              </a:lnTo>
            </a:path>
          </a:pathLst>
        </a:custGeom>
        <a:ln w="3901">
          <a:solidFill>
            <a:srgbClr val="000000"/>
          </a:solidFill>
        </a:ln>
      </xdr:spPr>
    </xdr:sp>
    <xdr:clientData/>
  </xdr:oneCellAnchor>
  <xdr:twoCellAnchor editAs="oneCell">
    <xdr:from>
      <xdr:col>0</xdr:col>
      <xdr:colOff>4579</xdr:colOff>
      <xdr:row>2447</xdr:row>
      <xdr:rowOff>0</xdr:rowOff>
    </xdr:from>
    <xdr:to>
      <xdr:col>0</xdr:col>
      <xdr:colOff>4579</xdr:colOff>
      <xdr:row>2448</xdr:row>
      <xdr:rowOff>3807</xdr:rowOff>
    </xdr:to>
    <xdr:sp macro="" textlink="">
      <xdr:nvSpPr>
        <xdr:cNvPr id="33" name="Shape 133">
          <a:extLst>
            <a:ext uri="{FF2B5EF4-FFF2-40B4-BE49-F238E27FC236}">
              <a16:creationId xmlns:a16="http://schemas.microsoft.com/office/drawing/2014/main" id="{00000000-0008-0000-1700-000021000000}"/>
            </a:ext>
          </a:extLst>
        </xdr:cNvPr>
        <xdr:cNvSpPr/>
      </xdr:nvSpPr>
      <xdr:spPr>
        <a:xfrm>
          <a:off x="4579" y="4268238225"/>
          <a:ext cx="0" cy="765809"/>
        </a:xfrm>
        <a:custGeom>
          <a:avLst/>
          <a:gdLst/>
          <a:ahLst/>
          <a:cxnLst/>
          <a:rect l="0" t="0" r="0" b="0"/>
          <a:pathLst>
            <a:path h="461009">
              <a:moveTo>
                <a:pt x="0" y="460816"/>
              </a:moveTo>
              <a:lnTo>
                <a:pt x="0" y="0"/>
              </a:lnTo>
            </a:path>
          </a:pathLst>
        </a:custGeom>
        <a:ln w="9159">
          <a:solidFill>
            <a:srgbClr val="000000"/>
          </a:solidFill>
        </a:ln>
      </xdr:spPr>
    </xdr:sp>
    <xdr:clientData/>
  </xdr:twoCellAnchor>
  <xdr:twoCellAnchor editAs="oneCell">
    <xdr:from>
      <xdr:col>0</xdr:col>
      <xdr:colOff>0</xdr:colOff>
      <xdr:row>2447</xdr:row>
      <xdr:rowOff>0</xdr:rowOff>
    </xdr:from>
    <xdr:to>
      <xdr:col>0</xdr:col>
      <xdr:colOff>27305</xdr:colOff>
      <xdr:row>2447</xdr:row>
      <xdr:rowOff>53974</xdr:rowOff>
    </xdr:to>
    <xdr:sp macro="" textlink="">
      <xdr:nvSpPr>
        <xdr:cNvPr id="34" name="Textbox 145">
          <a:extLst>
            <a:ext uri="{FF2B5EF4-FFF2-40B4-BE49-F238E27FC236}">
              <a16:creationId xmlns:a16="http://schemas.microsoft.com/office/drawing/2014/main" id="{00000000-0008-0000-1700-000022000000}"/>
            </a:ext>
          </a:extLst>
        </xdr:cNvPr>
        <xdr:cNvSpPr txBox="1"/>
      </xdr:nvSpPr>
      <xdr:spPr>
        <a:xfrm>
          <a:off x="0" y="4268238225"/>
          <a:ext cx="27305" cy="53974"/>
        </a:xfrm>
        <a:prstGeom prst="rect">
          <a:avLst/>
        </a:prstGeom>
      </xdr:spPr>
      <xdr:txBody>
        <a:bodyPr vertOverflow="clip" lIns="0" tIns="0" rIns="0" bIns="0" anchor="t"/>
        <a:lstStyle/>
        <a:p>
          <a:r>
            <a:rPr sz="450" b="0" spc="-5">
              <a:solidFill>
                <a:srgbClr val="0A0808"/>
              </a:solidFill>
              <a:latin typeface="Times New Roman"/>
              <a:cs typeface="Times New Roman"/>
            </a:rPr>
            <a:t>'</a:t>
          </a:r>
          <a:r>
            <a:rPr sz="450" b="0" spc="0">
              <a:solidFill>
                <a:srgbClr val="0A0808"/>
              </a:solidFill>
              <a:latin typeface="Times New Roman"/>
              <a:cs typeface="Times New Roman"/>
            </a:rPr>
            <a:t>\</a:t>
          </a:r>
        </a:p>
      </xdr:txBody>
    </xdr:sp>
    <xdr:clientData/>
  </xdr:twoCellAnchor>
  <xdr:twoCellAnchor editAs="oneCell">
    <xdr:from>
      <xdr:col>0</xdr:col>
      <xdr:colOff>12212</xdr:colOff>
      <xdr:row>2447</xdr:row>
      <xdr:rowOff>0</xdr:rowOff>
    </xdr:from>
    <xdr:to>
      <xdr:col>0</xdr:col>
      <xdr:colOff>12212</xdr:colOff>
      <xdr:row>2447</xdr:row>
      <xdr:rowOff>189865</xdr:rowOff>
    </xdr:to>
    <xdr:sp macro="" textlink="">
      <xdr:nvSpPr>
        <xdr:cNvPr id="35" name="Shape 166">
          <a:extLst>
            <a:ext uri="{FF2B5EF4-FFF2-40B4-BE49-F238E27FC236}">
              <a16:creationId xmlns:a16="http://schemas.microsoft.com/office/drawing/2014/main" id="{00000000-0008-0000-1700-000023000000}"/>
            </a:ext>
          </a:extLst>
        </xdr:cNvPr>
        <xdr:cNvSpPr/>
      </xdr:nvSpPr>
      <xdr:spPr>
        <a:xfrm>
          <a:off x="12212" y="4268238225"/>
          <a:ext cx="0" cy="189865"/>
        </a:xfrm>
        <a:custGeom>
          <a:avLst/>
          <a:gdLst/>
          <a:ahLst/>
          <a:cxnLst/>
          <a:rect l="0" t="0" r="0" b="0"/>
          <a:pathLst>
            <a:path h="231140">
              <a:moveTo>
                <a:pt x="0" y="0"/>
              </a:moveTo>
              <a:lnTo>
                <a:pt x="0" y="231089"/>
              </a:lnTo>
            </a:path>
          </a:pathLst>
        </a:custGeom>
        <a:ln w="24424">
          <a:solidFill>
            <a:srgbClr val="EBEBEB"/>
          </a:solidFill>
        </a:ln>
      </xdr:spPr>
    </xdr:sp>
    <xdr:clientData/>
  </xdr:twoCellAnchor>
  <xdr:twoCellAnchor editAs="oneCell">
    <xdr:from>
      <xdr:col>0</xdr:col>
      <xdr:colOff>4579</xdr:colOff>
      <xdr:row>2447</xdr:row>
      <xdr:rowOff>0</xdr:rowOff>
    </xdr:from>
    <xdr:to>
      <xdr:col>0</xdr:col>
      <xdr:colOff>4579</xdr:colOff>
      <xdr:row>2447</xdr:row>
      <xdr:rowOff>186442</xdr:rowOff>
    </xdr:to>
    <xdr:sp macro="" textlink="">
      <xdr:nvSpPr>
        <xdr:cNvPr id="36" name="Shape 167">
          <a:extLst>
            <a:ext uri="{FF2B5EF4-FFF2-40B4-BE49-F238E27FC236}">
              <a16:creationId xmlns:a16="http://schemas.microsoft.com/office/drawing/2014/main" id="{00000000-0008-0000-1700-000024000000}"/>
            </a:ext>
          </a:extLst>
        </xdr:cNvPr>
        <xdr:cNvSpPr/>
      </xdr:nvSpPr>
      <xdr:spPr>
        <a:xfrm>
          <a:off x="4579" y="4268238225"/>
          <a:ext cx="0" cy="186442"/>
        </a:xfrm>
        <a:custGeom>
          <a:avLst/>
          <a:gdLst/>
          <a:ahLst/>
          <a:cxnLst/>
          <a:rect l="0" t="0" r="0" b="0"/>
          <a:pathLst>
            <a:path h="265430">
              <a:moveTo>
                <a:pt x="0" y="0"/>
              </a:moveTo>
              <a:lnTo>
                <a:pt x="0" y="265325"/>
              </a:lnTo>
            </a:path>
          </a:pathLst>
        </a:custGeom>
        <a:ln w="9159">
          <a:solidFill>
            <a:srgbClr val="EBEBEB"/>
          </a:solidFill>
        </a:ln>
      </xdr:spPr>
    </xdr:sp>
    <xdr:clientData/>
  </xdr:twoCellAnchor>
  <xdr:twoCellAnchor editAs="oneCell">
    <xdr:from>
      <xdr:col>0</xdr:col>
      <xdr:colOff>4579</xdr:colOff>
      <xdr:row>2449</xdr:row>
      <xdr:rowOff>0</xdr:rowOff>
    </xdr:from>
    <xdr:to>
      <xdr:col>0</xdr:col>
      <xdr:colOff>4579</xdr:colOff>
      <xdr:row>2450</xdr:row>
      <xdr:rowOff>3811</xdr:rowOff>
    </xdr:to>
    <xdr:sp macro="" textlink="">
      <xdr:nvSpPr>
        <xdr:cNvPr id="37" name="Shape 133">
          <a:extLst>
            <a:ext uri="{FF2B5EF4-FFF2-40B4-BE49-F238E27FC236}">
              <a16:creationId xmlns:a16="http://schemas.microsoft.com/office/drawing/2014/main" id="{00000000-0008-0000-1700-000025000000}"/>
            </a:ext>
          </a:extLst>
        </xdr:cNvPr>
        <xdr:cNvSpPr/>
      </xdr:nvSpPr>
      <xdr:spPr>
        <a:xfrm>
          <a:off x="4579" y="4269762225"/>
          <a:ext cx="0" cy="765809"/>
        </a:xfrm>
        <a:custGeom>
          <a:avLst/>
          <a:gdLst/>
          <a:ahLst/>
          <a:cxnLst/>
          <a:rect l="0" t="0" r="0" b="0"/>
          <a:pathLst>
            <a:path h="461009">
              <a:moveTo>
                <a:pt x="0" y="460816"/>
              </a:moveTo>
              <a:lnTo>
                <a:pt x="0" y="0"/>
              </a:lnTo>
            </a:path>
          </a:pathLst>
        </a:custGeom>
        <a:ln w="9159">
          <a:solidFill>
            <a:srgbClr val="000000"/>
          </a:solidFill>
        </a:ln>
      </xdr:spPr>
    </xdr:sp>
    <xdr:clientData/>
  </xdr:twoCellAnchor>
  <xdr:twoCellAnchor editAs="oneCell">
    <xdr:from>
      <xdr:col>0</xdr:col>
      <xdr:colOff>0</xdr:colOff>
      <xdr:row>2449</xdr:row>
      <xdr:rowOff>0</xdr:rowOff>
    </xdr:from>
    <xdr:to>
      <xdr:col>0</xdr:col>
      <xdr:colOff>27305</xdr:colOff>
      <xdr:row>2449</xdr:row>
      <xdr:rowOff>53974</xdr:rowOff>
    </xdr:to>
    <xdr:sp macro="" textlink="">
      <xdr:nvSpPr>
        <xdr:cNvPr id="38" name="Textbox 145">
          <a:extLst>
            <a:ext uri="{FF2B5EF4-FFF2-40B4-BE49-F238E27FC236}">
              <a16:creationId xmlns:a16="http://schemas.microsoft.com/office/drawing/2014/main" id="{00000000-0008-0000-1700-000026000000}"/>
            </a:ext>
          </a:extLst>
        </xdr:cNvPr>
        <xdr:cNvSpPr txBox="1"/>
      </xdr:nvSpPr>
      <xdr:spPr>
        <a:xfrm>
          <a:off x="0" y="4269762225"/>
          <a:ext cx="27305" cy="53974"/>
        </a:xfrm>
        <a:prstGeom prst="rect">
          <a:avLst/>
        </a:prstGeom>
      </xdr:spPr>
      <xdr:txBody>
        <a:bodyPr vertOverflow="clip" lIns="0" tIns="0" rIns="0" bIns="0" anchor="t"/>
        <a:lstStyle/>
        <a:p>
          <a:r>
            <a:rPr sz="450" b="0" spc="-5">
              <a:solidFill>
                <a:srgbClr val="0A0808"/>
              </a:solidFill>
              <a:latin typeface="Times New Roman"/>
              <a:cs typeface="Times New Roman"/>
            </a:rPr>
            <a:t>'</a:t>
          </a:r>
          <a:r>
            <a:rPr sz="450" b="0" spc="0">
              <a:solidFill>
                <a:srgbClr val="0A0808"/>
              </a:solidFill>
              <a:latin typeface="Times New Roman"/>
              <a:cs typeface="Times New Roman"/>
            </a:rPr>
            <a:t>\</a:t>
          </a:r>
        </a:p>
      </xdr:txBody>
    </xdr:sp>
    <xdr:clientData/>
  </xdr:twoCellAnchor>
  <xdr:twoCellAnchor editAs="oneCell">
    <xdr:from>
      <xdr:col>0</xdr:col>
      <xdr:colOff>12212</xdr:colOff>
      <xdr:row>2449</xdr:row>
      <xdr:rowOff>0</xdr:rowOff>
    </xdr:from>
    <xdr:to>
      <xdr:col>0</xdr:col>
      <xdr:colOff>12212</xdr:colOff>
      <xdr:row>2449</xdr:row>
      <xdr:rowOff>189865</xdr:rowOff>
    </xdr:to>
    <xdr:sp macro="" textlink="">
      <xdr:nvSpPr>
        <xdr:cNvPr id="39" name="Shape 166">
          <a:extLst>
            <a:ext uri="{FF2B5EF4-FFF2-40B4-BE49-F238E27FC236}">
              <a16:creationId xmlns:a16="http://schemas.microsoft.com/office/drawing/2014/main" id="{00000000-0008-0000-1700-000027000000}"/>
            </a:ext>
          </a:extLst>
        </xdr:cNvPr>
        <xdr:cNvSpPr/>
      </xdr:nvSpPr>
      <xdr:spPr>
        <a:xfrm>
          <a:off x="12212" y="4269762225"/>
          <a:ext cx="0" cy="189865"/>
        </a:xfrm>
        <a:custGeom>
          <a:avLst/>
          <a:gdLst/>
          <a:ahLst/>
          <a:cxnLst/>
          <a:rect l="0" t="0" r="0" b="0"/>
          <a:pathLst>
            <a:path h="231140">
              <a:moveTo>
                <a:pt x="0" y="0"/>
              </a:moveTo>
              <a:lnTo>
                <a:pt x="0" y="231089"/>
              </a:lnTo>
            </a:path>
          </a:pathLst>
        </a:custGeom>
        <a:ln w="24424">
          <a:solidFill>
            <a:srgbClr val="EBEBEB"/>
          </a:solidFill>
        </a:ln>
      </xdr:spPr>
    </xdr:sp>
    <xdr:clientData/>
  </xdr:twoCellAnchor>
  <xdr:twoCellAnchor editAs="oneCell">
    <xdr:from>
      <xdr:col>0</xdr:col>
      <xdr:colOff>4579</xdr:colOff>
      <xdr:row>2449</xdr:row>
      <xdr:rowOff>0</xdr:rowOff>
    </xdr:from>
    <xdr:to>
      <xdr:col>0</xdr:col>
      <xdr:colOff>4579</xdr:colOff>
      <xdr:row>2449</xdr:row>
      <xdr:rowOff>186442</xdr:rowOff>
    </xdr:to>
    <xdr:sp macro="" textlink="">
      <xdr:nvSpPr>
        <xdr:cNvPr id="40" name="Shape 167">
          <a:extLst>
            <a:ext uri="{FF2B5EF4-FFF2-40B4-BE49-F238E27FC236}">
              <a16:creationId xmlns:a16="http://schemas.microsoft.com/office/drawing/2014/main" id="{00000000-0008-0000-1700-000028000000}"/>
            </a:ext>
          </a:extLst>
        </xdr:cNvPr>
        <xdr:cNvSpPr/>
      </xdr:nvSpPr>
      <xdr:spPr>
        <a:xfrm>
          <a:off x="4579" y="4269762225"/>
          <a:ext cx="0" cy="186442"/>
        </a:xfrm>
        <a:custGeom>
          <a:avLst/>
          <a:gdLst/>
          <a:ahLst/>
          <a:cxnLst/>
          <a:rect l="0" t="0" r="0" b="0"/>
          <a:pathLst>
            <a:path h="265430">
              <a:moveTo>
                <a:pt x="0" y="0"/>
              </a:moveTo>
              <a:lnTo>
                <a:pt x="0" y="265325"/>
              </a:lnTo>
            </a:path>
          </a:pathLst>
        </a:custGeom>
        <a:ln w="9159">
          <a:solidFill>
            <a:srgbClr val="EBEBEB"/>
          </a:solidFill>
        </a:ln>
      </xdr:spPr>
    </xdr:sp>
    <xdr:clientData/>
  </xdr:twoCellAnchor>
  <xdr:twoCellAnchor editAs="oneCell">
    <xdr:from>
      <xdr:col>0</xdr:col>
      <xdr:colOff>4579</xdr:colOff>
      <xdr:row>2451</xdr:row>
      <xdr:rowOff>0</xdr:rowOff>
    </xdr:from>
    <xdr:to>
      <xdr:col>0</xdr:col>
      <xdr:colOff>4579</xdr:colOff>
      <xdr:row>2452</xdr:row>
      <xdr:rowOff>3809</xdr:rowOff>
    </xdr:to>
    <xdr:sp macro="" textlink="">
      <xdr:nvSpPr>
        <xdr:cNvPr id="41" name="Shape 133">
          <a:extLst>
            <a:ext uri="{FF2B5EF4-FFF2-40B4-BE49-F238E27FC236}">
              <a16:creationId xmlns:a16="http://schemas.microsoft.com/office/drawing/2014/main" id="{00000000-0008-0000-1700-000029000000}"/>
            </a:ext>
          </a:extLst>
        </xdr:cNvPr>
        <xdr:cNvSpPr/>
      </xdr:nvSpPr>
      <xdr:spPr>
        <a:xfrm>
          <a:off x="4579" y="4270714725"/>
          <a:ext cx="0" cy="194309"/>
        </a:xfrm>
        <a:custGeom>
          <a:avLst/>
          <a:gdLst/>
          <a:ahLst/>
          <a:cxnLst/>
          <a:rect l="0" t="0" r="0" b="0"/>
          <a:pathLst>
            <a:path h="461009">
              <a:moveTo>
                <a:pt x="0" y="460816"/>
              </a:moveTo>
              <a:lnTo>
                <a:pt x="0" y="0"/>
              </a:lnTo>
            </a:path>
          </a:pathLst>
        </a:custGeom>
        <a:ln w="9159">
          <a:solidFill>
            <a:srgbClr val="000000"/>
          </a:solidFill>
        </a:ln>
      </xdr:spPr>
    </xdr:sp>
    <xdr:clientData/>
  </xdr:twoCellAnchor>
  <xdr:twoCellAnchor editAs="oneCell">
    <xdr:from>
      <xdr:col>0</xdr:col>
      <xdr:colOff>0</xdr:colOff>
      <xdr:row>2451</xdr:row>
      <xdr:rowOff>0</xdr:rowOff>
    </xdr:from>
    <xdr:to>
      <xdr:col>0</xdr:col>
      <xdr:colOff>27305</xdr:colOff>
      <xdr:row>2451</xdr:row>
      <xdr:rowOff>53974</xdr:rowOff>
    </xdr:to>
    <xdr:sp macro="" textlink="">
      <xdr:nvSpPr>
        <xdr:cNvPr id="42" name="Textbox 145">
          <a:extLst>
            <a:ext uri="{FF2B5EF4-FFF2-40B4-BE49-F238E27FC236}">
              <a16:creationId xmlns:a16="http://schemas.microsoft.com/office/drawing/2014/main" id="{00000000-0008-0000-1700-00002A000000}"/>
            </a:ext>
          </a:extLst>
        </xdr:cNvPr>
        <xdr:cNvSpPr txBox="1"/>
      </xdr:nvSpPr>
      <xdr:spPr>
        <a:xfrm>
          <a:off x="0" y="4270714725"/>
          <a:ext cx="27305" cy="53974"/>
        </a:xfrm>
        <a:prstGeom prst="rect">
          <a:avLst/>
        </a:prstGeom>
      </xdr:spPr>
      <xdr:txBody>
        <a:bodyPr vertOverflow="clip" lIns="0" tIns="0" rIns="0" bIns="0" anchor="t"/>
        <a:lstStyle/>
        <a:p>
          <a:r>
            <a:rPr sz="450" b="0" spc="-5">
              <a:solidFill>
                <a:srgbClr val="0A0808"/>
              </a:solidFill>
              <a:latin typeface="Times New Roman"/>
              <a:cs typeface="Times New Roman"/>
            </a:rPr>
            <a:t>'</a:t>
          </a:r>
          <a:r>
            <a:rPr sz="450" b="0" spc="0">
              <a:solidFill>
                <a:srgbClr val="0A0808"/>
              </a:solidFill>
              <a:latin typeface="Times New Roman"/>
              <a:cs typeface="Times New Roman"/>
            </a:rPr>
            <a:t>\</a:t>
          </a:r>
        </a:p>
      </xdr:txBody>
    </xdr:sp>
    <xdr:clientData/>
  </xdr:twoCellAnchor>
  <xdr:twoCellAnchor editAs="oneCell">
    <xdr:from>
      <xdr:col>0</xdr:col>
      <xdr:colOff>12212</xdr:colOff>
      <xdr:row>2451</xdr:row>
      <xdr:rowOff>0</xdr:rowOff>
    </xdr:from>
    <xdr:to>
      <xdr:col>0</xdr:col>
      <xdr:colOff>12212</xdr:colOff>
      <xdr:row>2451</xdr:row>
      <xdr:rowOff>183515</xdr:rowOff>
    </xdr:to>
    <xdr:sp macro="" textlink="">
      <xdr:nvSpPr>
        <xdr:cNvPr id="43" name="Shape 166">
          <a:extLst>
            <a:ext uri="{FF2B5EF4-FFF2-40B4-BE49-F238E27FC236}">
              <a16:creationId xmlns:a16="http://schemas.microsoft.com/office/drawing/2014/main" id="{00000000-0008-0000-1700-00002B000000}"/>
            </a:ext>
          </a:extLst>
        </xdr:cNvPr>
        <xdr:cNvSpPr/>
      </xdr:nvSpPr>
      <xdr:spPr>
        <a:xfrm>
          <a:off x="12212" y="4270714725"/>
          <a:ext cx="0" cy="189865"/>
        </a:xfrm>
        <a:custGeom>
          <a:avLst/>
          <a:gdLst/>
          <a:ahLst/>
          <a:cxnLst/>
          <a:rect l="0" t="0" r="0" b="0"/>
          <a:pathLst>
            <a:path h="231140">
              <a:moveTo>
                <a:pt x="0" y="0"/>
              </a:moveTo>
              <a:lnTo>
                <a:pt x="0" y="231089"/>
              </a:lnTo>
            </a:path>
          </a:pathLst>
        </a:custGeom>
        <a:ln w="24424">
          <a:solidFill>
            <a:srgbClr val="EBEBEB"/>
          </a:solidFill>
        </a:ln>
      </xdr:spPr>
    </xdr:sp>
    <xdr:clientData/>
  </xdr:twoCellAnchor>
  <xdr:twoCellAnchor editAs="oneCell">
    <xdr:from>
      <xdr:col>0</xdr:col>
      <xdr:colOff>4579</xdr:colOff>
      <xdr:row>2451</xdr:row>
      <xdr:rowOff>0</xdr:rowOff>
    </xdr:from>
    <xdr:to>
      <xdr:col>0</xdr:col>
      <xdr:colOff>4579</xdr:colOff>
      <xdr:row>2451</xdr:row>
      <xdr:rowOff>186442</xdr:rowOff>
    </xdr:to>
    <xdr:sp macro="" textlink="">
      <xdr:nvSpPr>
        <xdr:cNvPr id="44" name="Shape 167">
          <a:extLst>
            <a:ext uri="{FF2B5EF4-FFF2-40B4-BE49-F238E27FC236}">
              <a16:creationId xmlns:a16="http://schemas.microsoft.com/office/drawing/2014/main" id="{00000000-0008-0000-1700-00002C000000}"/>
            </a:ext>
          </a:extLst>
        </xdr:cNvPr>
        <xdr:cNvSpPr/>
      </xdr:nvSpPr>
      <xdr:spPr>
        <a:xfrm>
          <a:off x="4579" y="4270714725"/>
          <a:ext cx="0" cy="186442"/>
        </a:xfrm>
        <a:custGeom>
          <a:avLst/>
          <a:gdLst/>
          <a:ahLst/>
          <a:cxnLst/>
          <a:rect l="0" t="0" r="0" b="0"/>
          <a:pathLst>
            <a:path h="265430">
              <a:moveTo>
                <a:pt x="0" y="0"/>
              </a:moveTo>
              <a:lnTo>
                <a:pt x="0" y="265325"/>
              </a:lnTo>
            </a:path>
          </a:pathLst>
        </a:custGeom>
        <a:ln w="9159">
          <a:solidFill>
            <a:srgbClr val="EBEBEB"/>
          </a:solidFill>
        </a:ln>
      </xdr:spPr>
    </xdr:sp>
    <xdr:clientData/>
  </xdr:twoCellAnchor>
  <xdr:twoCellAnchor editAs="oneCell">
    <xdr:from>
      <xdr:col>0</xdr:col>
      <xdr:colOff>4579</xdr:colOff>
      <xdr:row>2453</xdr:row>
      <xdr:rowOff>0</xdr:rowOff>
    </xdr:from>
    <xdr:to>
      <xdr:col>0</xdr:col>
      <xdr:colOff>4579</xdr:colOff>
      <xdr:row>2453</xdr:row>
      <xdr:rowOff>461009</xdr:rowOff>
    </xdr:to>
    <xdr:sp macro="" textlink="">
      <xdr:nvSpPr>
        <xdr:cNvPr id="45" name="Shape 133">
          <a:extLst>
            <a:ext uri="{FF2B5EF4-FFF2-40B4-BE49-F238E27FC236}">
              <a16:creationId xmlns:a16="http://schemas.microsoft.com/office/drawing/2014/main" id="{00000000-0008-0000-1700-00002D000000}"/>
            </a:ext>
          </a:extLst>
        </xdr:cNvPr>
        <xdr:cNvSpPr/>
      </xdr:nvSpPr>
      <xdr:spPr>
        <a:xfrm>
          <a:off x="4579" y="4271095725"/>
          <a:ext cx="0" cy="461009"/>
        </a:xfrm>
        <a:custGeom>
          <a:avLst/>
          <a:gdLst/>
          <a:ahLst/>
          <a:cxnLst/>
          <a:rect l="0" t="0" r="0" b="0"/>
          <a:pathLst>
            <a:path h="461009">
              <a:moveTo>
                <a:pt x="0" y="460816"/>
              </a:moveTo>
              <a:lnTo>
                <a:pt x="0" y="0"/>
              </a:lnTo>
            </a:path>
          </a:pathLst>
        </a:custGeom>
        <a:ln w="9159">
          <a:solidFill>
            <a:srgbClr val="000000"/>
          </a:solidFill>
        </a:ln>
      </xdr:spPr>
    </xdr:sp>
    <xdr:clientData/>
  </xdr:twoCellAnchor>
  <xdr:twoCellAnchor editAs="oneCell">
    <xdr:from>
      <xdr:col>0</xdr:col>
      <xdr:colOff>0</xdr:colOff>
      <xdr:row>2453</xdr:row>
      <xdr:rowOff>0</xdr:rowOff>
    </xdr:from>
    <xdr:to>
      <xdr:col>0</xdr:col>
      <xdr:colOff>27305</xdr:colOff>
      <xdr:row>2453</xdr:row>
      <xdr:rowOff>53974</xdr:rowOff>
    </xdr:to>
    <xdr:sp macro="" textlink="">
      <xdr:nvSpPr>
        <xdr:cNvPr id="46" name="Textbox 145">
          <a:extLst>
            <a:ext uri="{FF2B5EF4-FFF2-40B4-BE49-F238E27FC236}">
              <a16:creationId xmlns:a16="http://schemas.microsoft.com/office/drawing/2014/main" id="{00000000-0008-0000-1700-00002E000000}"/>
            </a:ext>
          </a:extLst>
        </xdr:cNvPr>
        <xdr:cNvSpPr txBox="1"/>
      </xdr:nvSpPr>
      <xdr:spPr>
        <a:xfrm>
          <a:off x="0" y="4271095725"/>
          <a:ext cx="27305" cy="53974"/>
        </a:xfrm>
        <a:prstGeom prst="rect">
          <a:avLst/>
        </a:prstGeom>
      </xdr:spPr>
      <xdr:txBody>
        <a:bodyPr vertOverflow="clip" lIns="0" tIns="0" rIns="0" bIns="0" anchor="t"/>
        <a:lstStyle/>
        <a:p>
          <a:r>
            <a:rPr sz="450" b="0" spc="-5">
              <a:solidFill>
                <a:srgbClr val="0A0808"/>
              </a:solidFill>
              <a:latin typeface="Times New Roman"/>
              <a:cs typeface="Times New Roman"/>
            </a:rPr>
            <a:t>'</a:t>
          </a:r>
          <a:r>
            <a:rPr sz="450" b="0" spc="0">
              <a:solidFill>
                <a:srgbClr val="0A0808"/>
              </a:solidFill>
              <a:latin typeface="Times New Roman"/>
              <a:cs typeface="Times New Roman"/>
            </a:rPr>
            <a:t>\</a:t>
          </a:r>
        </a:p>
      </xdr:txBody>
    </xdr:sp>
    <xdr:clientData/>
  </xdr:twoCellAnchor>
  <xdr:twoCellAnchor editAs="oneCell">
    <xdr:from>
      <xdr:col>0</xdr:col>
      <xdr:colOff>12212</xdr:colOff>
      <xdr:row>2453</xdr:row>
      <xdr:rowOff>0</xdr:rowOff>
    </xdr:from>
    <xdr:to>
      <xdr:col>0</xdr:col>
      <xdr:colOff>12212</xdr:colOff>
      <xdr:row>2453</xdr:row>
      <xdr:rowOff>227965</xdr:rowOff>
    </xdr:to>
    <xdr:sp macro="" textlink="">
      <xdr:nvSpPr>
        <xdr:cNvPr id="47" name="Shape 166">
          <a:extLst>
            <a:ext uri="{FF2B5EF4-FFF2-40B4-BE49-F238E27FC236}">
              <a16:creationId xmlns:a16="http://schemas.microsoft.com/office/drawing/2014/main" id="{00000000-0008-0000-1700-00002F000000}"/>
            </a:ext>
          </a:extLst>
        </xdr:cNvPr>
        <xdr:cNvSpPr/>
      </xdr:nvSpPr>
      <xdr:spPr>
        <a:xfrm>
          <a:off x="12212" y="4271095725"/>
          <a:ext cx="0" cy="227965"/>
        </a:xfrm>
        <a:custGeom>
          <a:avLst/>
          <a:gdLst/>
          <a:ahLst/>
          <a:cxnLst/>
          <a:rect l="0" t="0" r="0" b="0"/>
          <a:pathLst>
            <a:path h="231140">
              <a:moveTo>
                <a:pt x="0" y="0"/>
              </a:moveTo>
              <a:lnTo>
                <a:pt x="0" y="231089"/>
              </a:lnTo>
            </a:path>
          </a:pathLst>
        </a:custGeom>
        <a:ln w="24424">
          <a:solidFill>
            <a:srgbClr val="EBEBEB"/>
          </a:solidFill>
        </a:ln>
      </xdr:spPr>
    </xdr:sp>
    <xdr:clientData/>
  </xdr:twoCellAnchor>
  <xdr:twoCellAnchor editAs="oneCell">
    <xdr:from>
      <xdr:col>0</xdr:col>
      <xdr:colOff>4579</xdr:colOff>
      <xdr:row>2453</xdr:row>
      <xdr:rowOff>0</xdr:rowOff>
    </xdr:from>
    <xdr:to>
      <xdr:col>0</xdr:col>
      <xdr:colOff>4579</xdr:colOff>
      <xdr:row>2453</xdr:row>
      <xdr:rowOff>472192</xdr:rowOff>
    </xdr:to>
    <xdr:sp macro="" textlink="">
      <xdr:nvSpPr>
        <xdr:cNvPr id="48" name="Shape 167">
          <a:extLst>
            <a:ext uri="{FF2B5EF4-FFF2-40B4-BE49-F238E27FC236}">
              <a16:creationId xmlns:a16="http://schemas.microsoft.com/office/drawing/2014/main" id="{00000000-0008-0000-1700-000030000000}"/>
            </a:ext>
          </a:extLst>
        </xdr:cNvPr>
        <xdr:cNvSpPr/>
      </xdr:nvSpPr>
      <xdr:spPr>
        <a:xfrm>
          <a:off x="4579" y="4271095725"/>
          <a:ext cx="0" cy="472192"/>
        </a:xfrm>
        <a:custGeom>
          <a:avLst/>
          <a:gdLst/>
          <a:ahLst/>
          <a:cxnLst/>
          <a:rect l="0" t="0" r="0" b="0"/>
          <a:pathLst>
            <a:path h="265430">
              <a:moveTo>
                <a:pt x="0" y="0"/>
              </a:moveTo>
              <a:lnTo>
                <a:pt x="0" y="265325"/>
              </a:lnTo>
            </a:path>
          </a:pathLst>
        </a:custGeom>
        <a:ln w="9159">
          <a:solidFill>
            <a:srgbClr val="EBEBEB"/>
          </a:solidFill>
        </a:ln>
      </xdr:spPr>
    </xdr:sp>
    <xdr:clientData/>
  </xdr:twoCellAnchor>
  <xdr:twoCellAnchor editAs="oneCell">
    <xdr:from>
      <xdr:col>0</xdr:col>
      <xdr:colOff>4579</xdr:colOff>
      <xdr:row>2455</xdr:row>
      <xdr:rowOff>0</xdr:rowOff>
    </xdr:from>
    <xdr:to>
      <xdr:col>0</xdr:col>
      <xdr:colOff>4579</xdr:colOff>
      <xdr:row>2455</xdr:row>
      <xdr:rowOff>461009</xdr:rowOff>
    </xdr:to>
    <xdr:sp macro="" textlink="">
      <xdr:nvSpPr>
        <xdr:cNvPr id="49" name="Shape 133">
          <a:extLst>
            <a:ext uri="{FF2B5EF4-FFF2-40B4-BE49-F238E27FC236}">
              <a16:creationId xmlns:a16="http://schemas.microsoft.com/office/drawing/2014/main" id="{00000000-0008-0000-1700-000031000000}"/>
            </a:ext>
          </a:extLst>
        </xdr:cNvPr>
        <xdr:cNvSpPr/>
      </xdr:nvSpPr>
      <xdr:spPr>
        <a:xfrm>
          <a:off x="4579" y="4273572225"/>
          <a:ext cx="0" cy="461009"/>
        </a:xfrm>
        <a:custGeom>
          <a:avLst/>
          <a:gdLst/>
          <a:ahLst/>
          <a:cxnLst/>
          <a:rect l="0" t="0" r="0" b="0"/>
          <a:pathLst>
            <a:path h="461009">
              <a:moveTo>
                <a:pt x="0" y="460816"/>
              </a:moveTo>
              <a:lnTo>
                <a:pt x="0" y="0"/>
              </a:lnTo>
            </a:path>
          </a:pathLst>
        </a:custGeom>
        <a:ln w="9159">
          <a:solidFill>
            <a:srgbClr val="000000"/>
          </a:solidFill>
        </a:ln>
      </xdr:spPr>
    </xdr:sp>
    <xdr:clientData/>
  </xdr:twoCellAnchor>
  <xdr:twoCellAnchor editAs="oneCell">
    <xdr:from>
      <xdr:col>0</xdr:col>
      <xdr:colOff>0</xdr:colOff>
      <xdr:row>2455</xdr:row>
      <xdr:rowOff>0</xdr:rowOff>
    </xdr:from>
    <xdr:to>
      <xdr:col>0</xdr:col>
      <xdr:colOff>27305</xdr:colOff>
      <xdr:row>2455</xdr:row>
      <xdr:rowOff>53974</xdr:rowOff>
    </xdr:to>
    <xdr:sp macro="" textlink="">
      <xdr:nvSpPr>
        <xdr:cNvPr id="50" name="Textbox 145">
          <a:extLst>
            <a:ext uri="{FF2B5EF4-FFF2-40B4-BE49-F238E27FC236}">
              <a16:creationId xmlns:a16="http://schemas.microsoft.com/office/drawing/2014/main" id="{00000000-0008-0000-1700-000032000000}"/>
            </a:ext>
          </a:extLst>
        </xdr:cNvPr>
        <xdr:cNvSpPr txBox="1"/>
      </xdr:nvSpPr>
      <xdr:spPr>
        <a:xfrm>
          <a:off x="0" y="4273572225"/>
          <a:ext cx="27305" cy="53974"/>
        </a:xfrm>
        <a:prstGeom prst="rect">
          <a:avLst/>
        </a:prstGeom>
      </xdr:spPr>
      <xdr:txBody>
        <a:bodyPr vertOverflow="clip" lIns="0" tIns="0" rIns="0" bIns="0" anchor="t"/>
        <a:lstStyle/>
        <a:p>
          <a:r>
            <a:rPr sz="450" b="0" spc="-5">
              <a:solidFill>
                <a:srgbClr val="0A0808"/>
              </a:solidFill>
              <a:latin typeface="Times New Roman"/>
              <a:cs typeface="Times New Roman"/>
            </a:rPr>
            <a:t>'</a:t>
          </a:r>
          <a:r>
            <a:rPr sz="450" b="0" spc="0">
              <a:solidFill>
                <a:srgbClr val="0A0808"/>
              </a:solidFill>
              <a:latin typeface="Times New Roman"/>
              <a:cs typeface="Times New Roman"/>
            </a:rPr>
            <a:t>\</a:t>
          </a:r>
        </a:p>
      </xdr:txBody>
    </xdr:sp>
    <xdr:clientData/>
  </xdr:twoCellAnchor>
  <xdr:twoCellAnchor editAs="oneCell">
    <xdr:from>
      <xdr:col>0</xdr:col>
      <xdr:colOff>12212</xdr:colOff>
      <xdr:row>2455</xdr:row>
      <xdr:rowOff>0</xdr:rowOff>
    </xdr:from>
    <xdr:to>
      <xdr:col>0</xdr:col>
      <xdr:colOff>12212</xdr:colOff>
      <xdr:row>2455</xdr:row>
      <xdr:rowOff>227965</xdr:rowOff>
    </xdr:to>
    <xdr:sp macro="" textlink="">
      <xdr:nvSpPr>
        <xdr:cNvPr id="51" name="Shape 166">
          <a:extLst>
            <a:ext uri="{FF2B5EF4-FFF2-40B4-BE49-F238E27FC236}">
              <a16:creationId xmlns:a16="http://schemas.microsoft.com/office/drawing/2014/main" id="{00000000-0008-0000-1700-000033000000}"/>
            </a:ext>
          </a:extLst>
        </xdr:cNvPr>
        <xdr:cNvSpPr/>
      </xdr:nvSpPr>
      <xdr:spPr>
        <a:xfrm>
          <a:off x="12212" y="4273572225"/>
          <a:ext cx="0" cy="227965"/>
        </a:xfrm>
        <a:custGeom>
          <a:avLst/>
          <a:gdLst/>
          <a:ahLst/>
          <a:cxnLst/>
          <a:rect l="0" t="0" r="0" b="0"/>
          <a:pathLst>
            <a:path h="231140">
              <a:moveTo>
                <a:pt x="0" y="0"/>
              </a:moveTo>
              <a:lnTo>
                <a:pt x="0" y="231089"/>
              </a:lnTo>
            </a:path>
          </a:pathLst>
        </a:custGeom>
        <a:ln w="24424">
          <a:solidFill>
            <a:srgbClr val="EBEBEB"/>
          </a:solidFill>
        </a:ln>
      </xdr:spPr>
    </xdr:sp>
    <xdr:clientData/>
  </xdr:twoCellAnchor>
  <xdr:twoCellAnchor editAs="oneCell">
    <xdr:from>
      <xdr:col>0</xdr:col>
      <xdr:colOff>4579</xdr:colOff>
      <xdr:row>2455</xdr:row>
      <xdr:rowOff>0</xdr:rowOff>
    </xdr:from>
    <xdr:to>
      <xdr:col>0</xdr:col>
      <xdr:colOff>4579</xdr:colOff>
      <xdr:row>2455</xdr:row>
      <xdr:rowOff>472192</xdr:rowOff>
    </xdr:to>
    <xdr:sp macro="" textlink="">
      <xdr:nvSpPr>
        <xdr:cNvPr id="52" name="Shape 167">
          <a:extLst>
            <a:ext uri="{FF2B5EF4-FFF2-40B4-BE49-F238E27FC236}">
              <a16:creationId xmlns:a16="http://schemas.microsoft.com/office/drawing/2014/main" id="{00000000-0008-0000-1700-000034000000}"/>
            </a:ext>
          </a:extLst>
        </xdr:cNvPr>
        <xdr:cNvSpPr/>
      </xdr:nvSpPr>
      <xdr:spPr>
        <a:xfrm>
          <a:off x="4579" y="4273572225"/>
          <a:ext cx="0" cy="472192"/>
        </a:xfrm>
        <a:custGeom>
          <a:avLst/>
          <a:gdLst/>
          <a:ahLst/>
          <a:cxnLst/>
          <a:rect l="0" t="0" r="0" b="0"/>
          <a:pathLst>
            <a:path h="265430">
              <a:moveTo>
                <a:pt x="0" y="0"/>
              </a:moveTo>
              <a:lnTo>
                <a:pt x="0" y="265325"/>
              </a:lnTo>
            </a:path>
          </a:pathLst>
        </a:custGeom>
        <a:ln w="9159">
          <a:solidFill>
            <a:srgbClr val="EBEBEB"/>
          </a:solidFill>
        </a:ln>
      </xdr:spPr>
    </xdr:sp>
    <xdr:clientData/>
  </xdr:twoCellAnchor>
  <xdr:twoCellAnchor editAs="oneCell">
    <xdr:from>
      <xdr:col>2</xdr:col>
      <xdr:colOff>0</xdr:colOff>
      <xdr:row>2334</xdr:row>
      <xdr:rowOff>0</xdr:rowOff>
    </xdr:from>
    <xdr:to>
      <xdr:col>4</xdr:col>
      <xdr:colOff>326390</xdr:colOff>
      <xdr:row>2334</xdr:row>
      <xdr:rowOff>0</xdr:rowOff>
    </xdr:to>
    <xdr:sp macro="" textlink="">
      <xdr:nvSpPr>
        <xdr:cNvPr id="53" name="Shape 46">
          <a:extLst>
            <a:ext uri="{FF2B5EF4-FFF2-40B4-BE49-F238E27FC236}">
              <a16:creationId xmlns:a16="http://schemas.microsoft.com/office/drawing/2014/main" id="{00000000-0008-0000-1700-000035000000}"/>
            </a:ext>
          </a:extLst>
        </xdr:cNvPr>
        <xdr:cNvSpPr/>
      </xdr:nvSpPr>
      <xdr:spPr>
        <a:xfrm>
          <a:off x="1247775" y="3898411050"/>
          <a:ext cx="1850390" cy="0"/>
        </a:xfrm>
        <a:custGeom>
          <a:avLst/>
          <a:gdLst/>
          <a:ahLst/>
          <a:cxnLst/>
          <a:rect l="0" t="0" r="0" b="0"/>
          <a:pathLst>
            <a:path w="1443990">
              <a:moveTo>
                <a:pt x="0" y="0"/>
              </a:moveTo>
              <a:lnTo>
                <a:pt x="1443482" y="0"/>
              </a:lnTo>
            </a:path>
          </a:pathLst>
        </a:custGeom>
        <a:ln w="6095">
          <a:solidFill>
            <a:srgbClr val="000000"/>
          </a:solidFill>
        </a:ln>
      </xdr:spPr>
    </xdr:sp>
    <xdr:clientData/>
  </xdr:twoCellAnchor>
  <xdr:twoCellAnchor editAs="oneCell">
    <xdr:from>
      <xdr:col>5</xdr:col>
      <xdr:colOff>0</xdr:colOff>
      <xdr:row>2334</xdr:row>
      <xdr:rowOff>0</xdr:rowOff>
    </xdr:from>
    <xdr:to>
      <xdr:col>7</xdr:col>
      <xdr:colOff>537527</xdr:colOff>
      <xdr:row>2334</xdr:row>
      <xdr:rowOff>0</xdr:rowOff>
    </xdr:to>
    <xdr:sp macro="" textlink="">
      <xdr:nvSpPr>
        <xdr:cNvPr id="54" name="Shape 47">
          <a:extLst>
            <a:ext uri="{FF2B5EF4-FFF2-40B4-BE49-F238E27FC236}">
              <a16:creationId xmlns:a16="http://schemas.microsoft.com/office/drawing/2014/main" id="{00000000-0008-0000-1700-000036000000}"/>
            </a:ext>
          </a:extLst>
        </xdr:cNvPr>
        <xdr:cNvSpPr/>
      </xdr:nvSpPr>
      <xdr:spPr>
        <a:xfrm>
          <a:off x="6391275" y="3898411050"/>
          <a:ext cx="1890077" cy="0"/>
        </a:xfrm>
        <a:custGeom>
          <a:avLst/>
          <a:gdLst/>
          <a:ahLst/>
          <a:cxnLst/>
          <a:rect l="0" t="0" r="0" b="0"/>
          <a:pathLst>
            <a:path w="1901189">
              <a:moveTo>
                <a:pt x="0" y="0"/>
              </a:moveTo>
              <a:lnTo>
                <a:pt x="1900682" y="0"/>
              </a:lnTo>
            </a:path>
          </a:pathLst>
        </a:custGeom>
        <a:ln w="6095">
          <a:solidFill>
            <a:srgbClr val="000000"/>
          </a:solidFill>
        </a:ln>
      </xdr:spPr>
    </xdr:sp>
    <xdr:clientData/>
  </xdr:twoCellAnchor>
  <xdr:twoCellAnchor editAs="oneCell">
    <xdr:from>
      <xdr:col>3</xdr:col>
      <xdr:colOff>0</xdr:colOff>
      <xdr:row>2334</xdr:row>
      <xdr:rowOff>0</xdr:rowOff>
    </xdr:from>
    <xdr:to>
      <xdr:col>4</xdr:col>
      <xdr:colOff>729615</xdr:colOff>
      <xdr:row>2334</xdr:row>
      <xdr:rowOff>0</xdr:rowOff>
    </xdr:to>
    <xdr:sp macro="" textlink="">
      <xdr:nvSpPr>
        <xdr:cNvPr id="55" name="Shape 65">
          <a:extLst>
            <a:ext uri="{FF2B5EF4-FFF2-40B4-BE49-F238E27FC236}">
              <a16:creationId xmlns:a16="http://schemas.microsoft.com/office/drawing/2014/main" id="{00000000-0008-0000-1700-000037000000}"/>
            </a:ext>
          </a:extLst>
        </xdr:cNvPr>
        <xdr:cNvSpPr/>
      </xdr:nvSpPr>
      <xdr:spPr>
        <a:xfrm>
          <a:off x="1752600" y="3898411050"/>
          <a:ext cx="1748790" cy="0"/>
        </a:xfrm>
        <a:custGeom>
          <a:avLst/>
          <a:gdLst/>
          <a:ahLst/>
          <a:cxnLst/>
          <a:rect l="0" t="0" r="0" b="0"/>
          <a:pathLst>
            <a:path w="1329690">
              <a:moveTo>
                <a:pt x="0" y="0"/>
              </a:moveTo>
              <a:lnTo>
                <a:pt x="1329182" y="0"/>
              </a:lnTo>
            </a:path>
          </a:pathLst>
        </a:custGeom>
        <a:ln w="6095">
          <a:solidFill>
            <a:srgbClr val="000000"/>
          </a:solidFill>
        </a:ln>
      </xdr:spPr>
    </xdr:sp>
    <xdr:clientData/>
  </xdr:twoCellAnchor>
  <xdr:twoCellAnchor editAs="oneCell">
    <xdr:from>
      <xdr:col>5</xdr:col>
      <xdr:colOff>0</xdr:colOff>
      <xdr:row>2334</xdr:row>
      <xdr:rowOff>0</xdr:rowOff>
    </xdr:from>
    <xdr:to>
      <xdr:col>7</xdr:col>
      <xdr:colOff>487045</xdr:colOff>
      <xdr:row>2334</xdr:row>
      <xdr:rowOff>0</xdr:rowOff>
    </xdr:to>
    <xdr:sp macro="" textlink="">
      <xdr:nvSpPr>
        <xdr:cNvPr id="56" name="Shape 66">
          <a:extLst>
            <a:ext uri="{FF2B5EF4-FFF2-40B4-BE49-F238E27FC236}">
              <a16:creationId xmlns:a16="http://schemas.microsoft.com/office/drawing/2014/main" id="{00000000-0008-0000-1700-000038000000}"/>
            </a:ext>
          </a:extLst>
        </xdr:cNvPr>
        <xdr:cNvSpPr/>
      </xdr:nvSpPr>
      <xdr:spPr>
        <a:xfrm>
          <a:off x="6391275" y="3898411050"/>
          <a:ext cx="1839595" cy="0"/>
        </a:xfrm>
        <a:custGeom>
          <a:avLst/>
          <a:gdLst/>
          <a:ahLst/>
          <a:cxnLst/>
          <a:rect l="0" t="0" r="0" b="0"/>
          <a:pathLst>
            <a:path w="1842770">
              <a:moveTo>
                <a:pt x="0" y="0"/>
              </a:moveTo>
              <a:lnTo>
                <a:pt x="1842770" y="0"/>
              </a:lnTo>
            </a:path>
          </a:pathLst>
        </a:custGeom>
        <a:ln w="6095">
          <a:solidFill>
            <a:srgbClr val="000000"/>
          </a:solidFill>
        </a:ln>
      </xdr:spPr>
    </xdr:sp>
    <xdr:clientData/>
  </xdr:twoCellAnchor>
  <xdr:twoCellAnchor editAs="oneCell">
    <xdr:from>
      <xdr:col>5</xdr:col>
      <xdr:colOff>0</xdr:colOff>
      <xdr:row>2334</xdr:row>
      <xdr:rowOff>0</xdr:rowOff>
    </xdr:from>
    <xdr:to>
      <xdr:col>7</xdr:col>
      <xdr:colOff>487045</xdr:colOff>
      <xdr:row>2334</xdr:row>
      <xdr:rowOff>0</xdr:rowOff>
    </xdr:to>
    <xdr:sp macro="" textlink="">
      <xdr:nvSpPr>
        <xdr:cNvPr id="57" name="Shape 68">
          <a:extLst>
            <a:ext uri="{FF2B5EF4-FFF2-40B4-BE49-F238E27FC236}">
              <a16:creationId xmlns:a16="http://schemas.microsoft.com/office/drawing/2014/main" id="{00000000-0008-0000-1700-000039000000}"/>
            </a:ext>
          </a:extLst>
        </xdr:cNvPr>
        <xdr:cNvSpPr/>
      </xdr:nvSpPr>
      <xdr:spPr>
        <a:xfrm>
          <a:off x="6391275" y="3898411050"/>
          <a:ext cx="1839595" cy="0"/>
        </a:xfrm>
        <a:custGeom>
          <a:avLst/>
          <a:gdLst/>
          <a:ahLst/>
          <a:cxnLst/>
          <a:rect l="0" t="0" r="0" b="0"/>
          <a:pathLst>
            <a:path w="1842770">
              <a:moveTo>
                <a:pt x="0" y="0"/>
              </a:moveTo>
              <a:lnTo>
                <a:pt x="1842770" y="0"/>
              </a:lnTo>
            </a:path>
          </a:pathLst>
        </a:custGeom>
        <a:ln w="6096">
          <a:solidFill>
            <a:srgbClr val="000000"/>
          </a:solidFill>
        </a:ln>
      </xdr:spPr>
    </xdr:sp>
    <xdr:clientData/>
  </xdr:twoCellAnchor>
  <xdr:twoCellAnchor editAs="oneCell">
    <xdr:from>
      <xdr:col>5</xdr:col>
      <xdr:colOff>0</xdr:colOff>
      <xdr:row>2334</xdr:row>
      <xdr:rowOff>0</xdr:rowOff>
    </xdr:from>
    <xdr:to>
      <xdr:col>7</xdr:col>
      <xdr:colOff>487045</xdr:colOff>
      <xdr:row>2334</xdr:row>
      <xdr:rowOff>0</xdr:rowOff>
    </xdr:to>
    <xdr:sp macro="" textlink="">
      <xdr:nvSpPr>
        <xdr:cNvPr id="58" name="Shape 70">
          <a:extLst>
            <a:ext uri="{FF2B5EF4-FFF2-40B4-BE49-F238E27FC236}">
              <a16:creationId xmlns:a16="http://schemas.microsoft.com/office/drawing/2014/main" id="{00000000-0008-0000-1700-00003A000000}"/>
            </a:ext>
          </a:extLst>
        </xdr:cNvPr>
        <xdr:cNvSpPr/>
      </xdr:nvSpPr>
      <xdr:spPr>
        <a:xfrm>
          <a:off x="6391275" y="3898411050"/>
          <a:ext cx="1839595" cy="0"/>
        </a:xfrm>
        <a:custGeom>
          <a:avLst/>
          <a:gdLst/>
          <a:ahLst/>
          <a:cxnLst/>
          <a:rect l="0" t="0" r="0" b="0"/>
          <a:pathLst>
            <a:path w="1842770">
              <a:moveTo>
                <a:pt x="0" y="0"/>
              </a:moveTo>
              <a:lnTo>
                <a:pt x="1842770" y="0"/>
              </a:lnTo>
            </a:path>
          </a:pathLst>
        </a:custGeom>
        <a:ln w="6096">
          <a:solidFill>
            <a:srgbClr val="000000"/>
          </a:solidFill>
        </a:ln>
      </xdr:spPr>
    </xdr:sp>
    <xdr:clientData/>
  </xdr:twoCellAnchor>
  <xdr:twoCellAnchor editAs="oneCell">
    <xdr:from>
      <xdr:col>5</xdr:col>
      <xdr:colOff>0</xdr:colOff>
      <xdr:row>2334</xdr:row>
      <xdr:rowOff>0</xdr:rowOff>
    </xdr:from>
    <xdr:to>
      <xdr:col>7</xdr:col>
      <xdr:colOff>487045</xdr:colOff>
      <xdr:row>2334</xdr:row>
      <xdr:rowOff>0</xdr:rowOff>
    </xdr:to>
    <xdr:sp macro="" textlink="">
      <xdr:nvSpPr>
        <xdr:cNvPr id="59" name="Shape 72">
          <a:extLst>
            <a:ext uri="{FF2B5EF4-FFF2-40B4-BE49-F238E27FC236}">
              <a16:creationId xmlns:a16="http://schemas.microsoft.com/office/drawing/2014/main" id="{00000000-0008-0000-1700-00003B000000}"/>
            </a:ext>
          </a:extLst>
        </xdr:cNvPr>
        <xdr:cNvSpPr/>
      </xdr:nvSpPr>
      <xdr:spPr>
        <a:xfrm>
          <a:off x="6391275" y="3898411050"/>
          <a:ext cx="1839595" cy="0"/>
        </a:xfrm>
        <a:custGeom>
          <a:avLst/>
          <a:gdLst/>
          <a:ahLst/>
          <a:cxnLst/>
          <a:rect l="0" t="0" r="0" b="0"/>
          <a:pathLst>
            <a:path w="1842770">
              <a:moveTo>
                <a:pt x="0" y="0"/>
              </a:moveTo>
              <a:lnTo>
                <a:pt x="1842770" y="0"/>
              </a:lnTo>
            </a:path>
          </a:pathLst>
        </a:custGeom>
        <a:ln w="6095">
          <a:solidFill>
            <a:srgbClr val="000000"/>
          </a:solidFill>
        </a:ln>
      </xdr:spPr>
    </xdr:sp>
    <xdr:clientData/>
  </xdr:twoCellAnchor>
  <xdr:twoCellAnchor editAs="oneCell">
    <xdr:from>
      <xdr:col>5</xdr:col>
      <xdr:colOff>0</xdr:colOff>
      <xdr:row>2334</xdr:row>
      <xdr:rowOff>0</xdr:rowOff>
    </xdr:from>
    <xdr:to>
      <xdr:col>7</xdr:col>
      <xdr:colOff>487045</xdr:colOff>
      <xdr:row>2334</xdr:row>
      <xdr:rowOff>0</xdr:rowOff>
    </xdr:to>
    <xdr:sp macro="" textlink="">
      <xdr:nvSpPr>
        <xdr:cNvPr id="60" name="Shape 74">
          <a:extLst>
            <a:ext uri="{FF2B5EF4-FFF2-40B4-BE49-F238E27FC236}">
              <a16:creationId xmlns:a16="http://schemas.microsoft.com/office/drawing/2014/main" id="{00000000-0008-0000-1700-00003C000000}"/>
            </a:ext>
          </a:extLst>
        </xdr:cNvPr>
        <xdr:cNvSpPr/>
      </xdr:nvSpPr>
      <xdr:spPr>
        <a:xfrm>
          <a:off x="6391275" y="3898411050"/>
          <a:ext cx="1839595" cy="0"/>
        </a:xfrm>
        <a:custGeom>
          <a:avLst/>
          <a:gdLst/>
          <a:ahLst/>
          <a:cxnLst/>
          <a:rect l="0" t="0" r="0" b="0"/>
          <a:pathLst>
            <a:path w="1842770">
              <a:moveTo>
                <a:pt x="0" y="0"/>
              </a:moveTo>
              <a:lnTo>
                <a:pt x="1842770" y="0"/>
              </a:lnTo>
            </a:path>
          </a:pathLst>
        </a:custGeom>
        <a:ln w="6095">
          <a:solidFill>
            <a:srgbClr val="000000"/>
          </a:solidFill>
        </a:ln>
      </xdr:spPr>
    </xdr:sp>
    <xdr:clientData/>
  </xdr:twoCellAnchor>
  <xdr:twoCellAnchor editAs="oneCell">
    <xdr:from>
      <xdr:col>3</xdr:col>
      <xdr:colOff>0</xdr:colOff>
      <xdr:row>2334</xdr:row>
      <xdr:rowOff>0</xdr:rowOff>
    </xdr:from>
    <xdr:to>
      <xdr:col>4</xdr:col>
      <xdr:colOff>729615</xdr:colOff>
      <xdr:row>2334</xdr:row>
      <xdr:rowOff>0</xdr:rowOff>
    </xdr:to>
    <xdr:sp macro="" textlink="">
      <xdr:nvSpPr>
        <xdr:cNvPr id="61" name="Shape 75">
          <a:extLst>
            <a:ext uri="{FF2B5EF4-FFF2-40B4-BE49-F238E27FC236}">
              <a16:creationId xmlns:a16="http://schemas.microsoft.com/office/drawing/2014/main" id="{00000000-0008-0000-1700-00003D000000}"/>
            </a:ext>
          </a:extLst>
        </xdr:cNvPr>
        <xdr:cNvSpPr/>
      </xdr:nvSpPr>
      <xdr:spPr>
        <a:xfrm>
          <a:off x="1752600" y="3898411050"/>
          <a:ext cx="1748790" cy="0"/>
        </a:xfrm>
        <a:custGeom>
          <a:avLst/>
          <a:gdLst/>
          <a:ahLst/>
          <a:cxnLst/>
          <a:rect l="0" t="0" r="0" b="0"/>
          <a:pathLst>
            <a:path w="1329690">
              <a:moveTo>
                <a:pt x="0" y="0"/>
              </a:moveTo>
              <a:lnTo>
                <a:pt x="1329182" y="0"/>
              </a:lnTo>
            </a:path>
          </a:pathLst>
        </a:custGeom>
        <a:ln w="6095">
          <a:solidFill>
            <a:srgbClr val="000000"/>
          </a:solidFill>
        </a:ln>
      </xdr:spPr>
    </xdr:sp>
    <xdr:clientData/>
  </xdr:twoCellAnchor>
  <xdr:twoCellAnchor editAs="oneCell">
    <xdr:from>
      <xdr:col>5</xdr:col>
      <xdr:colOff>0</xdr:colOff>
      <xdr:row>2334</xdr:row>
      <xdr:rowOff>0</xdr:rowOff>
    </xdr:from>
    <xdr:to>
      <xdr:col>7</xdr:col>
      <xdr:colOff>487045</xdr:colOff>
      <xdr:row>2334</xdr:row>
      <xdr:rowOff>0</xdr:rowOff>
    </xdr:to>
    <xdr:sp macro="" textlink="">
      <xdr:nvSpPr>
        <xdr:cNvPr id="62" name="Shape 76">
          <a:extLst>
            <a:ext uri="{FF2B5EF4-FFF2-40B4-BE49-F238E27FC236}">
              <a16:creationId xmlns:a16="http://schemas.microsoft.com/office/drawing/2014/main" id="{00000000-0008-0000-1700-00003E000000}"/>
            </a:ext>
          </a:extLst>
        </xdr:cNvPr>
        <xdr:cNvSpPr/>
      </xdr:nvSpPr>
      <xdr:spPr>
        <a:xfrm>
          <a:off x="6391275" y="3898411050"/>
          <a:ext cx="1839595" cy="0"/>
        </a:xfrm>
        <a:custGeom>
          <a:avLst/>
          <a:gdLst/>
          <a:ahLst/>
          <a:cxnLst/>
          <a:rect l="0" t="0" r="0" b="0"/>
          <a:pathLst>
            <a:path w="1842770">
              <a:moveTo>
                <a:pt x="0" y="0"/>
              </a:moveTo>
              <a:lnTo>
                <a:pt x="1842770" y="0"/>
              </a:lnTo>
            </a:path>
          </a:pathLst>
        </a:custGeom>
        <a:ln w="6095">
          <a:solidFill>
            <a:srgbClr val="000000"/>
          </a:solidFill>
        </a:ln>
      </xdr:spPr>
    </xdr:sp>
    <xdr:clientData/>
  </xdr:twoCellAnchor>
  <xdr:twoCellAnchor editAs="oneCell">
    <xdr:from>
      <xdr:col>5</xdr:col>
      <xdr:colOff>0</xdr:colOff>
      <xdr:row>2334</xdr:row>
      <xdr:rowOff>0</xdr:rowOff>
    </xdr:from>
    <xdr:to>
      <xdr:col>7</xdr:col>
      <xdr:colOff>487045</xdr:colOff>
      <xdr:row>2334</xdr:row>
      <xdr:rowOff>0</xdr:rowOff>
    </xdr:to>
    <xdr:sp macro="" textlink="">
      <xdr:nvSpPr>
        <xdr:cNvPr id="63" name="Shape 110">
          <a:extLst>
            <a:ext uri="{FF2B5EF4-FFF2-40B4-BE49-F238E27FC236}">
              <a16:creationId xmlns:a16="http://schemas.microsoft.com/office/drawing/2014/main" id="{00000000-0008-0000-1700-00003F000000}"/>
            </a:ext>
          </a:extLst>
        </xdr:cNvPr>
        <xdr:cNvSpPr/>
      </xdr:nvSpPr>
      <xdr:spPr>
        <a:xfrm>
          <a:off x="6391275" y="3898411050"/>
          <a:ext cx="1839595" cy="0"/>
        </a:xfrm>
        <a:custGeom>
          <a:avLst/>
          <a:gdLst/>
          <a:ahLst/>
          <a:cxnLst/>
          <a:rect l="0" t="0" r="0" b="0"/>
          <a:pathLst>
            <a:path w="1842770">
              <a:moveTo>
                <a:pt x="0" y="0"/>
              </a:moveTo>
              <a:lnTo>
                <a:pt x="1842770" y="0"/>
              </a:lnTo>
            </a:path>
          </a:pathLst>
        </a:custGeom>
        <a:ln w="6096">
          <a:solidFill>
            <a:srgbClr val="000000"/>
          </a:solidFill>
        </a:ln>
      </xdr:spPr>
    </xdr:sp>
    <xdr:clientData/>
  </xdr:twoCellAnchor>
  <xdr:twoCellAnchor editAs="oneCell">
    <xdr:from>
      <xdr:col>0</xdr:col>
      <xdr:colOff>0</xdr:colOff>
      <xdr:row>2334</xdr:row>
      <xdr:rowOff>0</xdr:rowOff>
    </xdr:from>
    <xdr:to>
      <xdr:col>4</xdr:col>
      <xdr:colOff>2675889</xdr:colOff>
      <xdr:row>2334</xdr:row>
      <xdr:rowOff>0</xdr:rowOff>
    </xdr:to>
    <xdr:sp macro="" textlink="">
      <xdr:nvSpPr>
        <xdr:cNvPr id="64" name="Shape 112">
          <a:extLst>
            <a:ext uri="{FF2B5EF4-FFF2-40B4-BE49-F238E27FC236}">
              <a16:creationId xmlns:a16="http://schemas.microsoft.com/office/drawing/2014/main" id="{00000000-0008-0000-1700-000040000000}"/>
            </a:ext>
          </a:extLst>
        </xdr:cNvPr>
        <xdr:cNvSpPr/>
      </xdr:nvSpPr>
      <xdr:spPr>
        <a:xfrm>
          <a:off x="0" y="3898411050"/>
          <a:ext cx="5447664" cy="0"/>
        </a:xfrm>
        <a:custGeom>
          <a:avLst/>
          <a:gdLst/>
          <a:ahLst/>
          <a:cxnLst/>
          <a:rect l="0" t="0" r="0" b="0"/>
          <a:pathLst>
            <a:path w="5190490">
              <a:moveTo>
                <a:pt x="0" y="0"/>
              </a:moveTo>
              <a:lnTo>
                <a:pt x="5190310" y="0"/>
              </a:lnTo>
            </a:path>
          </a:pathLst>
        </a:custGeom>
        <a:ln w="9155">
          <a:solidFill>
            <a:srgbClr val="000000"/>
          </a:solidFill>
        </a:ln>
      </xdr:spPr>
    </xdr:sp>
    <xdr:clientData/>
  </xdr:twoCellAnchor>
  <xdr:twoCellAnchor editAs="oneCell">
    <xdr:from>
      <xdr:col>0</xdr:col>
      <xdr:colOff>0</xdr:colOff>
      <xdr:row>2334</xdr:row>
      <xdr:rowOff>0</xdr:rowOff>
    </xdr:from>
    <xdr:to>
      <xdr:col>4</xdr:col>
      <xdr:colOff>2877185</xdr:colOff>
      <xdr:row>2334</xdr:row>
      <xdr:rowOff>0</xdr:rowOff>
    </xdr:to>
    <xdr:sp macro="" textlink="">
      <xdr:nvSpPr>
        <xdr:cNvPr id="65" name="Shape 113">
          <a:extLst>
            <a:ext uri="{FF2B5EF4-FFF2-40B4-BE49-F238E27FC236}">
              <a16:creationId xmlns:a16="http://schemas.microsoft.com/office/drawing/2014/main" id="{00000000-0008-0000-1700-000041000000}"/>
            </a:ext>
          </a:extLst>
        </xdr:cNvPr>
        <xdr:cNvSpPr/>
      </xdr:nvSpPr>
      <xdr:spPr>
        <a:xfrm>
          <a:off x="0" y="3898411050"/>
          <a:ext cx="5648960" cy="0"/>
        </a:xfrm>
        <a:custGeom>
          <a:avLst/>
          <a:gdLst/>
          <a:ahLst/>
          <a:cxnLst/>
          <a:rect l="0" t="0" r="0" b="0"/>
          <a:pathLst>
            <a:path w="5398135">
              <a:moveTo>
                <a:pt x="0" y="0"/>
              </a:moveTo>
              <a:lnTo>
                <a:pt x="5397922" y="0"/>
              </a:lnTo>
            </a:path>
          </a:pathLst>
        </a:custGeom>
        <a:ln w="9155">
          <a:solidFill>
            <a:srgbClr val="000000"/>
          </a:solidFill>
        </a:ln>
      </xdr:spPr>
    </xdr:sp>
    <xdr:clientData/>
  </xdr:twoCellAnchor>
  <xdr:twoCellAnchor editAs="oneCell">
    <xdr:from>
      <xdr:col>0</xdr:col>
      <xdr:colOff>0</xdr:colOff>
      <xdr:row>2334</xdr:row>
      <xdr:rowOff>0</xdr:rowOff>
    </xdr:from>
    <xdr:to>
      <xdr:col>0</xdr:col>
      <xdr:colOff>128270</xdr:colOff>
      <xdr:row>2334</xdr:row>
      <xdr:rowOff>0</xdr:rowOff>
    </xdr:to>
    <xdr:sp macro="" textlink="">
      <xdr:nvSpPr>
        <xdr:cNvPr id="66" name="Shape 115">
          <a:extLst>
            <a:ext uri="{FF2B5EF4-FFF2-40B4-BE49-F238E27FC236}">
              <a16:creationId xmlns:a16="http://schemas.microsoft.com/office/drawing/2014/main" id="{00000000-0008-0000-1700-000042000000}"/>
            </a:ext>
          </a:extLst>
        </xdr:cNvPr>
        <xdr:cNvSpPr/>
      </xdr:nvSpPr>
      <xdr:spPr>
        <a:xfrm>
          <a:off x="0" y="3898411050"/>
          <a:ext cx="128270" cy="0"/>
        </a:xfrm>
        <a:custGeom>
          <a:avLst/>
          <a:gdLst/>
          <a:ahLst/>
          <a:cxnLst/>
          <a:rect l="0" t="0" r="0" b="0"/>
          <a:pathLst>
            <a:path w="128270">
              <a:moveTo>
                <a:pt x="0" y="0"/>
              </a:moveTo>
              <a:lnTo>
                <a:pt x="127671" y="0"/>
              </a:lnTo>
            </a:path>
          </a:pathLst>
        </a:custGeom>
        <a:ln w="12715">
          <a:solidFill>
            <a:srgbClr val="0F0C0C"/>
          </a:solidFill>
        </a:ln>
      </xdr:spPr>
    </xdr:sp>
    <xdr:clientData/>
  </xdr:twoCellAnchor>
  <xdr:twoCellAnchor editAs="oneCell">
    <xdr:from>
      <xdr:col>0</xdr:col>
      <xdr:colOff>0</xdr:colOff>
      <xdr:row>2334</xdr:row>
      <xdr:rowOff>0</xdr:rowOff>
    </xdr:from>
    <xdr:to>
      <xdr:col>0</xdr:col>
      <xdr:colOff>40005</xdr:colOff>
      <xdr:row>2334</xdr:row>
      <xdr:rowOff>0</xdr:rowOff>
    </xdr:to>
    <xdr:sp macro="" textlink="">
      <xdr:nvSpPr>
        <xdr:cNvPr id="67" name="Shape 118">
          <a:extLst>
            <a:ext uri="{FF2B5EF4-FFF2-40B4-BE49-F238E27FC236}">
              <a16:creationId xmlns:a16="http://schemas.microsoft.com/office/drawing/2014/main" id="{00000000-0008-0000-1700-000043000000}"/>
            </a:ext>
          </a:extLst>
        </xdr:cNvPr>
        <xdr:cNvSpPr/>
      </xdr:nvSpPr>
      <xdr:spPr>
        <a:xfrm>
          <a:off x="0" y="3898411050"/>
          <a:ext cx="40005" cy="0"/>
        </a:xfrm>
        <a:custGeom>
          <a:avLst/>
          <a:gdLst/>
          <a:ahLst/>
          <a:cxnLst/>
          <a:rect l="0" t="0" r="0" b="0"/>
          <a:pathLst>
            <a:path w="40005">
              <a:moveTo>
                <a:pt x="0" y="0"/>
              </a:moveTo>
              <a:lnTo>
                <a:pt x="39690" y="0"/>
              </a:lnTo>
            </a:path>
          </a:pathLst>
        </a:custGeom>
        <a:ln w="12715">
          <a:solidFill>
            <a:srgbClr val="3D3434"/>
          </a:solidFill>
        </a:ln>
      </xdr:spPr>
    </xdr:sp>
    <xdr:clientData/>
  </xdr:twoCellAnchor>
  <xdr:twoCellAnchor editAs="oneCell">
    <xdr:from>
      <xdr:col>0</xdr:col>
      <xdr:colOff>0</xdr:colOff>
      <xdr:row>2334</xdr:row>
      <xdr:rowOff>0</xdr:rowOff>
    </xdr:from>
    <xdr:to>
      <xdr:col>0</xdr:col>
      <xdr:colOff>43180</xdr:colOff>
      <xdr:row>2334</xdr:row>
      <xdr:rowOff>0</xdr:rowOff>
    </xdr:to>
    <xdr:sp macro="" textlink="">
      <xdr:nvSpPr>
        <xdr:cNvPr id="68" name="Shape 119">
          <a:extLst>
            <a:ext uri="{FF2B5EF4-FFF2-40B4-BE49-F238E27FC236}">
              <a16:creationId xmlns:a16="http://schemas.microsoft.com/office/drawing/2014/main" id="{00000000-0008-0000-1700-000044000000}"/>
            </a:ext>
          </a:extLst>
        </xdr:cNvPr>
        <xdr:cNvSpPr/>
      </xdr:nvSpPr>
      <xdr:spPr>
        <a:xfrm>
          <a:off x="0" y="3898411050"/>
          <a:ext cx="43180" cy="0"/>
        </a:xfrm>
        <a:custGeom>
          <a:avLst/>
          <a:gdLst/>
          <a:ahLst/>
          <a:cxnLst/>
          <a:rect l="0" t="0" r="0" b="0"/>
          <a:pathLst>
            <a:path w="43180">
              <a:moveTo>
                <a:pt x="0" y="0"/>
              </a:moveTo>
              <a:lnTo>
                <a:pt x="42743" y="0"/>
              </a:lnTo>
            </a:path>
          </a:pathLst>
        </a:custGeom>
        <a:ln w="12715">
          <a:solidFill>
            <a:srgbClr val="3D3434"/>
          </a:solidFill>
        </a:ln>
      </xdr:spPr>
    </xdr:sp>
    <xdr:clientData/>
  </xdr:twoCellAnchor>
  <xdr:twoCellAnchor editAs="oneCell">
    <xdr:from>
      <xdr:col>0</xdr:col>
      <xdr:colOff>0</xdr:colOff>
      <xdr:row>2334</xdr:row>
      <xdr:rowOff>0</xdr:rowOff>
    </xdr:from>
    <xdr:to>
      <xdr:col>0</xdr:col>
      <xdr:colOff>46355</xdr:colOff>
      <xdr:row>2334</xdr:row>
      <xdr:rowOff>0</xdr:rowOff>
    </xdr:to>
    <xdr:sp macro="" textlink="">
      <xdr:nvSpPr>
        <xdr:cNvPr id="69" name="Shape 120">
          <a:extLst>
            <a:ext uri="{FF2B5EF4-FFF2-40B4-BE49-F238E27FC236}">
              <a16:creationId xmlns:a16="http://schemas.microsoft.com/office/drawing/2014/main" id="{00000000-0008-0000-1700-000045000000}"/>
            </a:ext>
          </a:extLst>
        </xdr:cNvPr>
        <xdr:cNvSpPr/>
      </xdr:nvSpPr>
      <xdr:spPr>
        <a:xfrm>
          <a:off x="0" y="3898411050"/>
          <a:ext cx="46355" cy="0"/>
        </a:xfrm>
        <a:custGeom>
          <a:avLst/>
          <a:gdLst/>
          <a:ahLst/>
          <a:cxnLst/>
          <a:rect l="0" t="0" r="0" b="0"/>
          <a:pathLst>
            <a:path w="46355">
              <a:moveTo>
                <a:pt x="0" y="0"/>
              </a:moveTo>
              <a:lnTo>
                <a:pt x="45796" y="0"/>
              </a:lnTo>
            </a:path>
          </a:pathLst>
        </a:custGeom>
        <a:ln w="12715">
          <a:solidFill>
            <a:srgbClr val="3D3434"/>
          </a:solidFill>
        </a:ln>
      </xdr:spPr>
    </xdr:sp>
    <xdr:clientData/>
  </xdr:twoCellAnchor>
  <xdr:twoCellAnchor editAs="oneCell">
    <xdr:from>
      <xdr:col>0</xdr:col>
      <xdr:colOff>0</xdr:colOff>
      <xdr:row>2334</xdr:row>
      <xdr:rowOff>0</xdr:rowOff>
    </xdr:from>
    <xdr:to>
      <xdr:col>0</xdr:col>
      <xdr:colOff>70485</xdr:colOff>
      <xdr:row>2334</xdr:row>
      <xdr:rowOff>0</xdr:rowOff>
    </xdr:to>
    <xdr:sp macro="" textlink="">
      <xdr:nvSpPr>
        <xdr:cNvPr id="70" name="Shape 121">
          <a:extLst>
            <a:ext uri="{FF2B5EF4-FFF2-40B4-BE49-F238E27FC236}">
              <a16:creationId xmlns:a16="http://schemas.microsoft.com/office/drawing/2014/main" id="{00000000-0008-0000-1700-000046000000}"/>
            </a:ext>
          </a:extLst>
        </xdr:cNvPr>
        <xdr:cNvSpPr/>
      </xdr:nvSpPr>
      <xdr:spPr>
        <a:xfrm>
          <a:off x="0" y="3898411050"/>
          <a:ext cx="70485" cy="0"/>
        </a:xfrm>
        <a:custGeom>
          <a:avLst/>
          <a:gdLst/>
          <a:ahLst/>
          <a:cxnLst/>
          <a:rect l="0" t="0" r="0" b="0"/>
          <a:pathLst>
            <a:path w="70485">
              <a:moveTo>
                <a:pt x="0" y="0"/>
              </a:moveTo>
              <a:lnTo>
                <a:pt x="70221" y="0"/>
              </a:lnTo>
            </a:path>
          </a:pathLst>
        </a:custGeom>
        <a:ln w="12715">
          <a:solidFill>
            <a:srgbClr val="231C1C"/>
          </a:solidFill>
        </a:ln>
      </xdr:spPr>
    </xdr:sp>
    <xdr:clientData/>
  </xdr:twoCellAnchor>
  <xdr:twoCellAnchor editAs="oneCell">
    <xdr:from>
      <xdr:col>0</xdr:col>
      <xdr:colOff>0</xdr:colOff>
      <xdr:row>2334</xdr:row>
      <xdr:rowOff>0</xdr:rowOff>
    </xdr:from>
    <xdr:to>
      <xdr:col>1</xdr:col>
      <xdr:colOff>121920</xdr:colOff>
      <xdr:row>2334</xdr:row>
      <xdr:rowOff>0</xdr:rowOff>
    </xdr:to>
    <xdr:sp macro="" textlink="">
      <xdr:nvSpPr>
        <xdr:cNvPr id="71" name="Shape 122">
          <a:extLst>
            <a:ext uri="{FF2B5EF4-FFF2-40B4-BE49-F238E27FC236}">
              <a16:creationId xmlns:a16="http://schemas.microsoft.com/office/drawing/2014/main" id="{00000000-0008-0000-1700-000047000000}"/>
            </a:ext>
          </a:extLst>
        </xdr:cNvPr>
        <xdr:cNvSpPr/>
      </xdr:nvSpPr>
      <xdr:spPr>
        <a:xfrm>
          <a:off x="0" y="3898411050"/>
          <a:ext cx="455295" cy="0"/>
        </a:xfrm>
        <a:custGeom>
          <a:avLst/>
          <a:gdLst/>
          <a:ahLst/>
          <a:cxnLst/>
          <a:rect l="0" t="0" r="0" b="0"/>
          <a:pathLst>
            <a:path w="452120">
              <a:moveTo>
                <a:pt x="0" y="0"/>
              </a:moveTo>
              <a:lnTo>
                <a:pt x="451862" y="0"/>
              </a:lnTo>
            </a:path>
          </a:pathLst>
        </a:custGeom>
        <a:ln w="12715">
          <a:solidFill>
            <a:srgbClr val="110C0C"/>
          </a:solidFill>
        </a:ln>
      </xdr:spPr>
    </xdr:sp>
    <xdr:clientData/>
  </xdr:twoCellAnchor>
  <xdr:twoCellAnchor editAs="oneCell">
    <xdr:from>
      <xdr:col>0</xdr:col>
      <xdr:colOff>0</xdr:colOff>
      <xdr:row>2334</xdr:row>
      <xdr:rowOff>0</xdr:rowOff>
    </xdr:from>
    <xdr:to>
      <xdr:col>1</xdr:col>
      <xdr:colOff>55245</xdr:colOff>
      <xdr:row>2334</xdr:row>
      <xdr:rowOff>0</xdr:rowOff>
    </xdr:to>
    <xdr:sp macro="" textlink="">
      <xdr:nvSpPr>
        <xdr:cNvPr id="72" name="Shape 123">
          <a:extLst>
            <a:ext uri="{FF2B5EF4-FFF2-40B4-BE49-F238E27FC236}">
              <a16:creationId xmlns:a16="http://schemas.microsoft.com/office/drawing/2014/main" id="{00000000-0008-0000-1700-000048000000}"/>
            </a:ext>
          </a:extLst>
        </xdr:cNvPr>
        <xdr:cNvSpPr/>
      </xdr:nvSpPr>
      <xdr:spPr>
        <a:xfrm>
          <a:off x="0" y="3898411050"/>
          <a:ext cx="388620" cy="0"/>
        </a:xfrm>
        <a:custGeom>
          <a:avLst/>
          <a:gdLst/>
          <a:ahLst/>
          <a:cxnLst/>
          <a:rect l="0" t="0" r="0" b="0"/>
          <a:pathLst>
            <a:path w="372745">
              <a:moveTo>
                <a:pt x="0" y="0"/>
              </a:moveTo>
              <a:lnTo>
                <a:pt x="372481" y="0"/>
              </a:lnTo>
            </a:path>
          </a:pathLst>
        </a:custGeom>
        <a:ln w="12715">
          <a:solidFill>
            <a:srgbClr val="110C0C"/>
          </a:solidFill>
        </a:ln>
      </xdr:spPr>
    </xdr:sp>
    <xdr:clientData/>
  </xdr:twoCellAnchor>
  <xdr:twoCellAnchor editAs="oneCell">
    <xdr:from>
      <xdr:col>0</xdr:col>
      <xdr:colOff>0</xdr:colOff>
      <xdr:row>2334</xdr:row>
      <xdr:rowOff>0</xdr:rowOff>
    </xdr:from>
    <xdr:to>
      <xdr:col>0</xdr:col>
      <xdr:colOff>43180</xdr:colOff>
      <xdr:row>2334</xdr:row>
      <xdr:rowOff>0</xdr:rowOff>
    </xdr:to>
    <xdr:sp macro="" textlink="">
      <xdr:nvSpPr>
        <xdr:cNvPr id="73" name="Shape 124">
          <a:extLst>
            <a:ext uri="{FF2B5EF4-FFF2-40B4-BE49-F238E27FC236}">
              <a16:creationId xmlns:a16="http://schemas.microsoft.com/office/drawing/2014/main" id="{00000000-0008-0000-1700-000049000000}"/>
            </a:ext>
          </a:extLst>
        </xdr:cNvPr>
        <xdr:cNvSpPr/>
      </xdr:nvSpPr>
      <xdr:spPr>
        <a:xfrm>
          <a:off x="0" y="3898411050"/>
          <a:ext cx="43180" cy="0"/>
        </a:xfrm>
        <a:custGeom>
          <a:avLst/>
          <a:gdLst/>
          <a:ahLst/>
          <a:cxnLst/>
          <a:rect l="0" t="0" r="0" b="0"/>
          <a:pathLst>
            <a:path w="43180">
              <a:moveTo>
                <a:pt x="0" y="0"/>
              </a:moveTo>
              <a:lnTo>
                <a:pt x="42743" y="0"/>
              </a:lnTo>
            </a:path>
          </a:pathLst>
        </a:custGeom>
        <a:ln w="12715">
          <a:solidFill>
            <a:srgbClr val="231C1C"/>
          </a:solidFill>
        </a:ln>
      </xdr:spPr>
    </xdr:sp>
    <xdr:clientData/>
  </xdr:twoCellAnchor>
  <xdr:twoCellAnchor editAs="oneCell">
    <xdr:from>
      <xdr:col>0</xdr:col>
      <xdr:colOff>0</xdr:colOff>
      <xdr:row>2334</xdr:row>
      <xdr:rowOff>0</xdr:rowOff>
    </xdr:from>
    <xdr:to>
      <xdr:col>0</xdr:col>
      <xdr:colOff>40005</xdr:colOff>
      <xdr:row>2334</xdr:row>
      <xdr:rowOff>0</xdr:rowOff>
    </xdr:to>
    <xdr:sp macro="" textlink="">
      <xdr:nvSpPr>
        <xdr:cNvPr id="74" name="Shape 125">
          <a:extLst>
            <a:ext uri="{FF2B5EF4-FFF2-40B4-BE49-F238E27FC236}">
              <a16:creationId xmlns:a16="http://schemas.microsoft.com/office/drawing/2014/main" id="{00000000-0008-0000-1700-00004A000000}"/>
            </a:ext>
          </a:extLst>
        </xdr:cNvPr>
        <xdr:cNvSpPr/>
      </xdr:nvSpPr>
      <xdr:spPr>
        <a:xfrm>
          <a:off x="0" y="3898411050"/>
          <a:ext cx="40005" cy="0"/>
        </a:xfrm>
        <a:custGeom>
          <a:avLst/>
          <a:gdLst/>
          <a:ahLst/>
          <a:cxnLst/>
          <a:rect l="0" t="0" r="0" b="0"/>
          <a:pathLst>
            <a:path w="40005">
              <a:moveTo>
                <a:pt x="0" y="0"/>
              </a:moveTo>
              <a:lnTo>
                <a:pt x="39690" y="0"/>
              </a:lnTo>
            </a:path>
          </a:pathLst>
        </a:custGeom>
        <a:ln w="12715">
          <a:solidFill>
            <a:srgbClr val="231C1C"/>
          </a:solidFill>
        </a:ln>
      </xdr:spPr>
    </xdr:sp>
    <xdr:clientData/>
  </xdr:twoCellAnchor>
  <xdr:twoCellAnchor editAs="oneCell">
    <xdr:from>
      <xdr:col>0</xdr:col>
      <xdr:colOff>0</xdr:colOff>
      <xdr:row>2334</xdr:row>
      <xdr:rowOff>0</xdr:rowOff>
    </xdr:from>
    <xdr:to>
      <xdr:col>1</xdr:col>
      <xdr:colOff>146684</xdr:colOff>
      <xdr:row>2334</xdr:row>
      <xdr:rowOff>0</xdr:rowOff>
    </xdr:to>
    <xdr:sp macro="" textlink="">
      <xdr:nvSpPr>
        <xdr:cNvPr id="75" name="Shape 126">
          <a:extLst>
            <a:ext uri="{FF2B5EF4-FFF2-40B4-BE49-F238E27FC236}">
              <a16:creationId xmlns:a16="http://schemas.microsoft.com/office/drawing/2014/main" id="{00000000-0008-0000-1700-00004B000000}"/>
            </a:ext>
          </a:extLst>
        </xdr:cNvPr>
        <xdr:cNvSpPr/>
      </xdr:nvSpPr>
      <xdr:spPr>
        <a:xfrm>
          <a:off x="0" y="3898411050"/>
          <a:ext cx="480059" cy="0"/>
        </a:xfrm>
        <a:custGeom>
          <a:avLst/>
          <a:gdLst/>
          <a:ahLst/>
          <a:cxnLst/>
          <a:rect l="0" t="0" r="0" b="0"/>
          <a:pathLst>
            <a:path w="476884">
              <a:moveTo>
                <a:pt x="0" y="0"/>
              </a:moveTo>
              <a:lnTo>
                <a:pt x="476287" y="0"/>
              </a:lnTo>
            </a:path>
          </a:pathLst>
        </a:custGeom>
        <a:ln w="12715">
          <a:solidFill>
            <a:srgbClr val="110C0C"/>
          </a:solidFill>
        </a:ln>
      </xdr:spPr>
    </xdr:sp>
    <xdr:clientData/>
  </xdr:twoCellAnchor>
  <xdr:twoCellAnchor editAs="oneCell">
    <xdr:from>
      <xdr:col>0</xdr:col>
      <xdr:colOff>0</xdr:colOff>
      <xdr:row>2334</xdr:row>
      <xdr:rowOff>0</xdr:rowOff>
    </xdr:from>
    <xdr:to>
      <xdr:col>1</xdr:col>
      <xdr:colOff>457834</xdr:colOff>
      <xdr:row>2334</xdr:row>
      <xdr:rowOff>0</xdr:rowOff>
    </xdr:to>
    <xdr:sp macro="" textlink="">
      <xdr:nvSpPr>
        <xdr:cNvPr id="76" name="Shape 127">
          <a:extLst>
            <a:ext uri="{FF2B5EF4-FFF2-40B4-BE49-F238E27FC236}">
              <a16:creationId xmlns:a16="http://schemas.microsoft.com/office/drawing/2014/main" id="{00000000-0008-0000-1700-00004C000000}"/>
            </a:ext>
          </a:extLst>
        </xdr:cNvPr>
        <xdr:cNvSpPr/>
      </xdr:nvSpPr>
      <xdr:spPr>
        <a:xfrm>
          <a:off x="0" y="3898411050"/>
          <a:ext cx="791209" cy="0"/>
        </a:xfrm>
        <a:custGeom>
          <a:avLst/>
          <a:gdLst/>
          <a:ahLst/>
          <a:cxnLst/>
          <a:rect l="0" t="0" r="0" b="0"/>
          <a:pathLst>
            <a:path w="788035">
              <a:moveTo>
                <a:pt x="0" y="0"/>
              </a:moveTo>
              <a:lnTo>
                <a:pt x="787705" y="0"/>
              </a:lnTo>
            </a:path>
          </a:pathLst>
        </a:custGeom>
        <a:ln w="12715">
          <a:solidFill>
            <a:srgbClr val="110C0C"/>
          </a:solidFill>
        </a:ln>
      </xdr:spPr>
    </xdr:sp>
    <xdr:clientData/>
  </xdr:twoCellAnchor>
  <xdr:twoCellAnchor editAs="oneCell">
    <xdr:from>
      <xdr:col>0</xdr:col>
      <xdr:colOff>4579</xdr:colOff>
      <xdr:row>2334</xdr:row>
      <xdr:rowOff>0</xdr:rowOff>
    </xdr:from>
    <xdr:to>
      <xdr:col>0</xdr:col>
      <xdr:colOff>4579</xdr:colOff>
      <xdr:row>2336</xdr:row>
      <xdr:rowOff>60964</xdr:rowOff>
    </xdr:to>
    <xdr:sp macro="" textlink="">
      <xdr:nvSpPr>
        <xdr:cNvPr id="77" name="Shape 133">
          <a:extLst>
            <a:ext uri="{FF2B5EF4-FFF2-40B4-BE49-F238E27FC236}">
              <a16:creationId xmlns:a16="http://schemas.microsoft.com/office/drawing/2014/main" id="{00000000-0008-0000-1700-00004D000000}"/>
            </a:ext>
          </a:extLst>
        </xdr:cNvPr>
        <xdr:cNvSpPr/>
      </xdr:nvSpPr>
      <xdr:spPr>
        <a:xfrm>
          <a:off x="4579" y="3898411050"/>
          <a:ext cx="0" cy="10462259"/>
        </a:xfrm>
        <a:custGeom>
          <a:avLst/>
          <a:gdLst/>
          <a:ahLst/>
          <a:cxnLst/>
          <a:rect l="0" t="0" r="0" b="0"/>
          <a:pathLst>
            <a:path h="461009">
              <a:moveTo>
                <a:pt x="0" y="460816"/>
              </a:moveTo>
              <a:lnTo>
                <a:pt x="0" y="0"/>
              </a:lnTo>
            </a:path>
          </a:pathLst>
        </a:custGeom>
        <a:ln w="9159">
          <a:solidFill>
            <a:srgbClr val="000000"/>
          </a:solidFill>
        </a:ln>
      </xdr:spPr>
    </xdr:sp>
    <xdr:clientData/>
  </xdr:twoCellAnchor>
  <xdr:twoCellAnchor editAs="oneCell">
    <xdr:from>
      <xdr:col>0</xdr:col>
      <xdr:colOff>0</xdr:colOff>
      <xdr:row>2334</xdr:row>
      <xdr:rowOff>0</xdr:rowOff>
    </xdr:from>
    <xdr:to>
      <xdr:col>0</xdr:col>
      <xdr:colOff>40005</xdr:colOff>
      <xdr:row>2334</xdr:row>
      <xdr:rowOff>0</xdr:rowOff>
    </xdr:to>
    <xdr:sp macro="" textlink="">
      <xdr:nvSpPr>
        <xdr:cNvPr id="78" name="Shape 144">
          <a:extLst>
            <a:ext uri="{FF2B5EF4-FFF2-40B4-BE49-F238E27FC236}">
              <a16:creationId xmlns:a16="http://schemas.microsoft.com/office/drawing/2014/main" id="{00000000-0008-0000-1700-00004E000000}"/>
            </a:ext>
          </a:extLst>
        </xdr:cNvPr>
        <xdr:cNvSpPr/>
      </xdr:nvSpPr>
      <xdr:spPr>
        <a:xfrm>
          <a:off x="0" y="3898411050"/>
          <a:ext cx="40005" cy="0"/>
        </a:xfrm>
        <a:custGeom>
          <a:avLst/>
          <a:gdLst/>
          <a:ahLst/>
          <a:cxnLst/>
          <a:rect l="0" t="0" r="0" b="0"/>
          <a:pathLst>
            <a:path w="40005">
              <a:moveTo>
                <a:pt x="0" y="0"/>
              </a:moveTo>
              <a:lnTo>
                <a:pt x="39690" y="0"/>
              </a:lnTo>
            </a:path>
          </a:pathLst>
        </a:custGeom>
        <a:ln w="12715">
          <a:solidFill>
            <a:srgbClr val="0A0808"/>
          </a:solidFill>
        </a:ln>
      </xdr:spPr>
    </xdr:sp>
    <xdr:clientData/>
  </xdr:twoCellAnchor>
  <xdr:twoCellAnchor editAs="oneCell">
    <xdr:from>
      <xdr:col>0</xdr:col>
      <xdr:colOff>0</xdr:colOff>
      <xdr:row>2334</xdr:row>
      <xdr:rowOff>0</xdr:rowOff>
    </xdr:from>
    <xdr:to>
      <xdr:col>0</xdr:col>
      <xdr:colOff>27305</xdr:colOff>
      <xdr:row>2334</xdr:row>
      <xdr:rowOff>53974</xdr:rowOff>
    </xdr:to>
    <xdr:sp macro="" textlink="">
      <xdr:nvSpPr>
        <xdr:cNvPr id="79" name="Textbox 145">
          <a:extLst>
            <a:ext uri="{FF2B5EF4-FFF2-40B4-BE49-F238E27FC236}">
              <a16:creationId xmlns:a16="http://schemas.microsoft.com/office/drawing/2014/main" id="{00000000-0008-0000-1700-00004F000000}"/>
            </a:ext>
          </a:extLst>
        </xdr:cNvPr>
        <xdr:cNvSpPr txBox="1"/>
      </xdr:nvSpPr>
      <xdr:spPr>
        <a:xfrm>
          <a:off x="0" y="3898411050"/>
          <a:ext cx="27305" cy="53974"/>
        </a:xfrm>
        <a:prstGeom prst="rect">
          <a:avLst/>
        </a:prstGeom>
      </xdr:spPr>
      <xdr:txBody>
        <a:bodyPr vertOverflow="clip" lIns="0" tIns="0" rIns="0" bIns="0" anchor="t"/>
        <a:lstStyle/>
        <a:p>
          <a:r>
            <a:rPr sz="450" b="0" spc="-5">
              <a:solidFill>
                <a:srgbClr val="0A0808"/>
              </a:solidFill>
              <a:latin typeface="Times New Roman"/>
              <a:cs typeface="Times New Roman"/>
            </a:rPr>
            <a:t>'</a:t>
          </a:r>
          <a:r>
            <a:rPr sz="450" b="0" spc="0">
              <a:solidFill>
                <a:srgbClr val="0A0808"/>
              </a:solidFill>
              <a:latin typeface="Times New Roman"/>
              <a:cs typeface="Times New Roman"/>
            </a:rPr>
            <a:t>\</a:t>
          </a:r>
        </a:p>
      </xdr:txBody>
    </xdr:sp>
    <xdr:clientData/>
  </xdr:twoCellAnchor>
  <xdr:twoCellAnchor editAs="oneCell">
    <xdr:from>
      <xdr:col>0</xdr:col>
      <xdr:colOff>0</xdr:colOff>
      <xdr:row>2334</xdr:row>
      <xdr:rowOff>0</xdr:rowOff>
    </xdr:from>
    <xdr:to>
      <xdr:col>0</xdr:col>
      <xdr:colOff>46355</xdr:colOff>
      <xdr:row>2334</xdr:row>
      <xdr:rowOff>0</xdr:rowOff>
    </xdr:to>
    <xdr:sp macro="" textlink="">
      <xdr:nvSpPr>
        <xdr:cNvPr id="80" name="Shape 150">
          <a:extLst>
            <a:ext uri="{FF2B5EF4-FFF2-40B4-BE49-F238E27FC236}">
              <a16:creationId xmlns:a16="http://schemas.microsoft.com/office/drawing/2014/main" id="{00000000-0008-0000-1700-000050000000}"/>
            </a:ext>
          </a:extLst>
        </xdr:cNvPr>
        <xdr:cNvSpPr/>
      </xdr:nvSpPr>
      <xdr:spPr>
        <a:xfrm>
          <a:off x="0" y="3898411050"/>
          <a:ext cx="46355" cy="0"/>
        </a:xfrm>
        <a:custGeom>
          <a:avLst/>
          <a:gdLst/>
          <a:ahLst/>
          <a:cxnLst/>
          <a:rect l="0" t="0" r="0" b="0"/>
          <a:pathLst>
            <a:path w="46355">
              <a:moveTo>
                <a:pt x="0" y="0"/>
              </a:moveTo>
              <a:lnTo>
                <a:pt x="45791" y="0"/>
              </a:lnTo>
            </a:path>
          </a:pathLst>
        </a:custGeom>
        <a:ln w="12714">
          <a:solidFill>
            <a:srgbClr val="000000"/>
          </a:solidFill>
        </a:ln>
      </xdr:spPr>
    </xdr:sp>
    <xdr:clientData/>
  </xdr:twoCellAnchor>
  <xdr:twoCellAnchor editAs="oneCell">
    <xdr:from>
      <xdr:col>0</xdr:col>
      <xdr:colOff>0</xdr:colOff>
      <xdr:row>2334</xdr:row>
      <xdr:rowOff>0</xdr:rowOff>
    </xdr:from>
    <xdr:to>
      <xdr:col>0</xdr:col>
      <xdr:colOff>48895</xdr:colOff>
      <xdr:row>2334</xdr:row>
      <xdr:rowOff>0</xdr:rowOff>
    </xdr:to>
    <xdr:sp macro="" textlink="">
      <xdr:nvSpPr>
        <xdr:cNvPr id="81" name="Shape 151">
          <a:extLst>
            <a:ext uri="{FF2B5EF4-FFF2-40B4-BE49-F238E27FC236}">
              <a16:creationId xmlns:a16="http://schemas.microsoft.com/office/drawing/2014/main" id="{00000000-0008-0000-1700-000051000000}"/>
            </a:ext>
          </a:extLst>
        </xdr:cNvPr>
        <xdr:cNvSpPr/>
      </xdr:nvSpPr>
      <xdr:spPr>
        <a:xfrm>
          <a:off x="0" y="3898411050"/>
          <a:ext cx="48895" cy="0"/>
        </a:xfrm>
        <a:custGeom>
          <a:avLst/>
          <a:gdLst/>
          <a:ahLst/>
          <a:cxnLst/>
          <a:rect l="0" t="0" r="0" b="0"/>
          <a:pathLst>
            <a:path w="48895">
              <a:moveTo>
                <a:pt x="0" y="0"/>
              </a:moveTo>
              <a:lnTo>
                <a:pt x="48844" y="0"/>
              </a:lnTo>
            </a:path>
          </a:pathLst>
        </a:custGeom>
        <a:ln w="12715">
          <a:solidFill>
            <a:srgbClr val="010101"/>
          </a:solidFill>
        </a:ln>
      </xdr:spPr>
    </xdr:sp>
    <xdr:clientData/>
  </xdr:twoCellAnchor>
  <xdr:twoCellAnchor editAs="oneCell">
    <xdr:from>
      <xdr:col>0</xdr:col>
      <xdr:colOff>0</xdr:colOff>
      <xdr:row>2334</xdr:row>
      <xdr:rowOff>0</xdr:rowOff>
    </xdr:from>
    <xdr:to>
      <xdr:col>0</xdr:col>
      <xdr:colOff>48895</xdr:colOff>
      <xdr:row>2334</xdr:row>
      <xdr:rowOff>0</xdr:rowOff>
    </xdr:to>
    <xdr:sp macro="" textlink="">
      <xdr:nvSpPr>
        <xdr:cNvPr id="82" name="Shape 152">
          <a:extLst>
            <a:ext uri="{FF2B5EF4-FFF2-40B4-BE49-F238E27FC236}">
              <a16:creationId xmlns:a16="http://schemas.microsoft.com/office/drawing/2014/main" id="{00000000-0008-0000-1700-000052000000}"/>
            </a:ext>
          </a:extLst>
        </xdr:cNvPr>
        <xdr:cNvSpPr/>
      </xdr:nvSpPr>
      <xdr:spPr>
        <a:xfrm>
          <a:off x="0" y="3898411050"/>
          <a:ext cx="48895" cy="0"/>
        </a:xfrm>
        <a:custGeom>
          <a:avLst/>
          <a:gdLst/>
          <a:ahLst/>
          <a:cxnLst/>
          <a:rect l="0" t="0" r="0" b="0"/>
          <a:pathLst>
            <a:path w="48895">
              <a:moveTo>
                <a:pt x="0" y="0"/>
              </a:moveTo>
              <a:lnTo>
                <a:pt x="48844" y="0"/>
              </a:lnTo>
            </a:path>
          </a:pathLst>
        </a:custGeom>
        <a:ln w="12715">
          <a:solidFill>
            <a:srgbClr val="010101"/>
          </a:solidFill>
        </a:ln>
      </xdr:spPr>
    </xdr:sp>
    <xdr:clientData/>
  </xdr:twoCellAnchor>
  <xdr:twoCellAnchor editAs="oneCell">
    <xdr:from>
      <xdr:col>0</xdr:col>
      <xdr:colOff>0</xdr:colOff>
      <xdr:row>2334</xdr:row>
      <xdr:rowOff>0</xdr:rowOff>
    </xdr:from>
    <xdr:to>
      <xdr:col>0</xdr:col>
      <xdr:colOff>48895</xdr:colOff>
      <xdr:row>2334</xdr:row>
      <xdr:rowOff>0</xdr:rowOff>
    </xdr:to>
    <xdr:sp macro="" textlink="">
      <xdr:nvSpPr>
        <xdr:cNvPr id="83" name="Shape 155">
          <a:extLst>
            <a:ext uri="{FF2B5EF4-FFF2-40B4-BE49-F238E27FC236}">
              <a16:creationId xmlns:a16="http://schemas.microsoft.com/office/drawing/2014/main" id="{00000000-0008-0000-1700-000053000000}"/>
            </a:ext>
          </a:extLst>
        </xdr:cNvPr>
        <xdr:cNvSpPr/>
      </xdr:nvSpPr>
      <xdr:spPr>
        <a:xfrm>
          <a:off x="0" y="3898411050"/>
          <a:ext cx="48895" cy="0"/>
        </a:xfrm>
        <a:custGeom>
          <a:avLst/>
          <a:gdLst/>
          <a:ahLst/>
          <a:cxnLst/>
          <a:rect l="0" t="0" r="0" b="0"/>
          <a:pathLst>
            <a:path w="48895">
              <a:moveTo>
                <a:pt x="0" y="0"/>
              </a:moveTo>
              <a:lnTo>
                <a:pt x="48844" y="0"/>
              </a:lnTo>
            </a:path>
          </a:pathLst>
        </a:custGeom>
        <a:ln w="12714">
          <a:solidFill>
            <a:srgbClr val="030303"/>
          </a:solidFill>
        </a:ln>
      </xdr:spPr>
    </xdr:sp>
    <xdr:clientData/>
  </xdr:twoCellAnchor>
  <xdr:twoCellAnchor editAs="oneCell">
    <xdr:from>
      <xdr:col>0</xdr:col>
      <xdr:colOff>12212</xdr:colOff>
      <xdr:row>2334</xdr:row>
      <xdr:rowOff>0</xdr:rowOff>
    </xdr:from>
    <xdr:to>
      <xdr:col>0</xdr:col>
      <xdr:colOff>12212</xdr:colOff>
      <xdr:row>2335</xdr:row>
      <xdr:rowOff>27945</xdr:rowOff>
    </xdr:to>
    <xdr:sp macro="" textlink="">
      <xdr:nvSpPr>
        <xdr:cNvPr id="84" name="Shape 166">
          <a:extLst>
            <a:ext uri="{FF2B5EF4-FFF2-40B4-BE49-F238E27FC236}">
              <a16:creationId xmlns:a16="http://schemas.microsoft.com/office/drawing/2014/main" id="{00000000-0008-0000-1700-000054000000}"/>
            </a:ext>
          </a:extLst>
        </xdr:cNvPr>
        <xdr:cNvSpPr/>
      </xdr:nvSpPr>
      <xdr:spPr>
        <a:xfrm>
          <a:off x="12212" y="3898411050"/>
          <a:ext cx="0" cy="5228590"/>
        </a:xfrm>
        <a:custGeom>
          <a:avLst/>
          <a:gdLst/>
          <a:ahLst/>
          <a:cxnLst/>
          <a:rect l="0" t="0" r="0" b="0"/>
          <a:pathLst>
            <a:path h="231140">
              <a:moveTo>
                <a:pt x="0" y="0"/>
              </a:moveTo>
              <a:lnTo>
                <a:pt x="0" y="231089"/>
              </a:lnTo>
            </a:path>
          </a:pathLst>
        </a:custGeom>
        <a:ln w="24424">
          <a:solidFill>
            <a:srgbClr val="EBEBEB"/>
          </a:solidFill>
        </a:ln>
      </xdr:spPr>
    </xdr:sp>
    <xdr:clientData/>
  </xdr:twoCellAnchor>
  <xdr:twoCellAnchor editAs="oneCell">
    <xdr:from>
      <xdr:col>0</xdr:col>
      <xdr:colOff>4579</xdr:colOff>
      <xdr:row>2334</xdr:row>
      <xdr:rowOff>0</xdr:rowOff>
    </xdr:from>
    <xdr:to>
      <xdr:col>0</xdr:col>
      <xdr:colOff>4579</xdr:colOff>
      <xdr:row>2336</xdr:row>
      <xdr:rowOff>72147</xdr:rowOff>
    </xdr:to>
    <xdr:sp macro="" textlink="">
      <xdr:nvSpPr>
        <xdr:cNvPr id="85" name="Shape 167">
          <a:extLst>
            <a:ext uri="{FF2B5EF4-FFF2-40B4-BE49-F238E27FC236}">
              <a16:creationId xmlns:a16="http://schemas.microsoft.com/office/drawing/2014/main" id="{00000000-0008-0000-1700-000055000000}"/>
            </a:ext>
          </a:extLst>
        </xdr:cNvPr>
        <xdr:cNvSpPr/>
      </xdr:nvSpPr>
      <xdr:spPr>
        <a:xfrm>
          <a:off x="4579" y="3898411050"/>
          <a:ext cx="0" cy="10473442"/>
        </a:xfrm>
        <a:custGeom>
          <a:avLst/>
          <a:gdLst/>
          <a:ahLst/>
          <a:cxnLst/>
          <a:rect l="0" t="0" r="0" b="0"/>
          <a:pathLst>
            <a:path h="265430">
              <a:moveTo>
                <a:pt x="0" y="0"/>
              </a:moveTo>
              <a:lnTo>
                <a:pt x="0" y="265325"/>
              </a:lnTo>
            </a:path>
          </a:pathLst>
        </a:custGeom>
        <a:ln w="9159">
          <a:solidFill>
            <a:srgbClr val="EBEBEB"/>
          </a:solidFill>
        </a:ln>
      </xdr:spPr>
    </xdr:sp>
    <xdr:clientData/>
  </xdr:twoCellAnchor>
  <xdr:twoCellAnchor editAs="oneCell">
    <xdr:from>
      <xdr:col>2</xdr:col>
      <xdr:colOff>0</xdr:colOff>
      <xdr:row>2341</xdr:row>
      <xdr:rowOff>0</xdr:rowOff>
    </xdr:from>
    <xdr:to>
      <xdr:col>4</xdr:col>
      <xdr:colOff>326390</xdr:colOff>
      <xdr:row>2341</xdr:row>
      <xdr:rowOff>0</xdr:rowOff>
    </xdr:to>
    <xdr:sp macro="" textlink="">
      <xdr:nvSpPr>
        <xdr:cNvPr id="86" name="Shape 46">
          <a:extLst>
            <a:ext uri="{FF2B5EF4-FFF2-40B4-BE49-F238E27FC236}">
              <a16:creationId xmlns:a16="http://schemas.microsoft.com/office/drawing/2014/main" id="{00000000-0008-0000-1700-000056000000}"/>
            </a:ext>
          </a:extLst>
        </xdr:cNvPr>
        <xdr:cNvSpPr/>
      </xdr:nvSpPr>
      <xdr:spPr>
        <a:xfrm>
          <a:off x="1247775" y="3933748800"/>
          <a:ext cx="1850390" cy="0"/>
        </a:xfrm>
        <a:custGeom>
          <a:avLst/>
          <a:gdLst/>
          <a:ahLst/>
          <a:cxnLst/>
          <a:rect l="0" t="0" r="0" b="0"/>
          <a:pathLst>
            <a:path w="1443990">
              <a:moveTo>
                <a:pt x="0" y="0"/>
              </a:moveTo>
              <a:lnTo>
                <a:pt x="1443482" y="0"/>
              </a:lnTo>
            </a:path>
          </a:pathLst>
        </a:custGeom>
        <a:ln w="6095">
          <a:solidFill>
            <a:srgbClr val="000000"/>
          </a:solidFill>
        </a:ln>
      </xdr:spPr>
    </xdr:sp>
    <xdr:clientData/>
  </xdr:twoCellAnchor>
  <xdr:twoCellAnchor editAs="oneCell">
    <xdr:from>
      <xdr:col>5</xdr:col>
      <xdr:colOff>0</xdr:colOff>
      <xdr:row>2341</xdr:row>
      <xdr:rowOff>0</xdr:rowOff>
    </xdr:from>
    <xdr:to>
      <xdr:col>7</xdr:col>
      <xdr:colOff>537527</xdr:colOff>
      <xdr:row>2341</xdr:row>
      <xdr:rowOff>0</xdr:rowOff>
    </xdr:to>
    <xdr:sp macro="" textlink="">
      <xdr:nvSpPr>
        <xdr:cNvPr id="87" name="Shape 47">
          <a:extLst>
            <a:ext uri="{FF2B5EF4-FFF2-40B4-BE49-F238E27FC236}">
              <a16:creationId xmlns:a16="http://schemas.microsoft.com/office/drawing/2014/main" id="{00000000-0008-0000-1700-000057000000}"/>
            </a:ext>
          </a:extLst>
        </xdr:cNvPr>
        <xdr:cNvSpPr/>
      </xdr:nvSpPr>
      <xdr:spPr>
        <a:xfrm>
          <a:off x="6391275" y="3933748800"/>
          <a:ext cx="1890077" cy="0"/>
        </a:xfrm>
        <a:custGeom>
          <a:avLst/>
          <a:gdLst/>
          <a:ahLst/>
          <a:cxnLst/>
          <a:rect l="0" t="0" r="0" b="0"/>
          <a:pathLst>
            <a:path w="1901189">
              <a:moveTo>
                <a:pt x="0" y="0"/>
              </a:moveTo>
              <a:lnTo>
                <a:pt x="1900682" y="0"/>
              </a:lnTo>
            </a:path>
          </a:pathLst>
        </a:custGeom>
        <a:ln w="6095">
          <a:solidFill>
            <a:srgbClr val="000000"/>
          </a:solidFill>
        </a:ln>
      </xdr:spPr>
    </xdr:sp>
    <xdr:clientData/>
  </xdr:twoCellAnchor>
  <xdr:twoCellAnchor editAs="oneCell">
    <xdr:from>
      <xdr:col>3</xdr:col>
      <xdr:colOff>0</xdr:colOff>
      <xdr:row>2341</xdr:row>
      <xdr:rowOff>0</xdr:rowOff>
    </xdr:from>
    <xdr:to>
      <xdr:col>4</xdr:col>
      <xdr:colOff>729615</xdr:colOff>
      <xdr:row>2341</xdr:row>
      <xdr:rowOff>0</xdr:rowOff>
    </xdr:to>
    <xdr:sp macro="" textlink="">
      <xdr:nvSpPr>
        <xdr:cNvPr id="88" name="Shape 65">
          <a:extLst>
            <a:ext uri="{FF2B5EF4-FFF2-40B4-BE49-F238E27FC236}">
              <a16:creationId xmlns:a16="http://schemas.microsoft.com/office/drawing/2014/main" id="{00000000-0008-0000-1700-000058000000}"/>
            </a:ext>
          </a:extLst>
        </xdr:cNvPr>
        <xdr:cNvSpPr/>
      </xdr:nvSpPr>
      <xdr:spPr>
        <a:xfrm>
          <a:off x="1752600" y="3933748800"/>
          <a:ext cx="1748790" cy="0"/>
        </a:xfrm>
        <a:custGeom>
          <a:avLst/>
          <a:gdLst/>
          <a:ahLst/>
          <a:cxnLst/>
          <a:rect l="0" t="0" r="0" b="0"/>
          <a:pathLst>
            <a:path w="1329690">
              <a:moveTo>
                <a:pt x="0" y="0"/>
              </a:moveTo>
              <a:lnTo>
                <a:pt x="1329182" y="0"/>
              </a:lnTo>
            </a:path>
          </a:pathLst>
        </a:custGeom>
        <a:ln w="6095">
          <a:solidFill>
            <a:srgbClr val="000000"/>
          </a:solidFill>
        </a:ln>
      </xdr:spPr>
    </xdr:sp>
    <xdr:clientData/>
  </xdr:twoCellAnchor>
  <xdr:twoCellAnchor editAs="oneCell">
    <xdr:from>
      <xdr:col>5</xdr:col>
      <xdr:colOff>0</xdr:colOff>
      <xdr:row>2341</xdr:row>
      <xdr:rowOff>0</xdr:rowOff>
    </xdr:from>
    <xdr:to>
      <xdr:col>7</xdr:col>
      <xdr:colOff>487045</xdr:colOff>
      <xdr:row>2341</xdr:row>
      <xdr:rowOff>0</xdr:rowOff>
    </xdr:to>
    <xdr:sp macro="" textlink="">
      <xdr:nvSpPr>
        <xdr:cNvPr id="89" name="Shape 66">
          <a:extLst>
            <a:ext uri="{FF2B5EF4-FFF2-40B4-BE49-F238E27FC236}">
              <a16:creationId xmlns:a16="http://schemas.microsoft.com/office/drawing/2014/main" id="{00000000-0008-0000-1700-000059000000}"/>
            </a:ext>
          </a:extLst>
        </xdr:cNvPr>
        <xdr:cNvSpPr/>
      </xdr:nvSpPr>
      <xdr:spPr>
        <a:xfrm>
          <a:off x="6391275" y="3933748800"/>
          <a:ext cx="1839595" cy="0"/>
        </a:xfrm>
        <a:custGeom>
          <a:avLst/>
          <a:gdLst/>
          <a:ahLst/>
          <a:cxnLst/>
          <a:rect l="0" t="0" r="0" b="0"/>
          <a:pathLst>
            <a:path w="1842770">
              <a:moveTo>
                <a:pt x="0" y="0"/>
              </a:moveTo>
              <a:lnTo>
                <a:pt x="1842770" y="0"/>
              </a:lnTo>
            </a:path>
          </a:pathLst>
        </a:custGeom>
        <a:ln w="6095">
          <a:solidFill>
            <a:srgbClr val="000000"/>
          </a:solidFill>
        </a:ln>
      </xdr:spPr>
    </xdr:sp>
    <xdr:clientData/>
  </xdr:twoCellAnchor>
  <xdr:twoCellAnchor editAs="oneCell">
    <xdr:from>
      <xdr:col>5</xdr:col>
      <xdr:colOff>0</xdr:colOff>
      <xdr:row>2341</xdr:row>
      <xdr:rowOff>0</xdr:rowOff>
    </xdr:from>
    <xdr:to>
      <xdr:col>7</xdr:col>
      <xdr:colOff>487045</xdr:colOff>
      <xdr:row>2341</xdr:row>
      <xdr:rowOff>0</xdr:rowOff>
    </xdr:to>
    <xdr:sp macro="" textlink="">
      <xdr:nvSpPr>
        <xdr:cNvPr id="90" name="Shape 68">
          <a:extLst>
            <a:ext uri="{FF2B5EF4-FFF2-40B4-BE49-F238E27FC236}">
              <a16:creationId xmlns:a16="http://schemas.microsoft.com/office/drawing/2014/main" id="{00000000-0008-0000-1700-00005A000000}"/>
            </a:ext>
          </a:extLst>
        </xdr:cNvPr>
        <xdr:cNvSpPr/>
      </xdr:nvSpPr>
      <xdr:spPr>
        <a:xfrm>
          <a:off x="6391275" y="3933748800"/>
          <a:ext cx="1839595" cy="0"/>
        </a:xfrm>
        <a:custGeom>
          <a:avLst/>
          <a:gdLst/>
          <a:ahLst/>
          <a:cxnLst/>
          <a:rect l="0" t="0" r="0" b="0"/>
          <a:pathLst>
            <a:path w="1842770">
              <a:moveTo>
                <a:pt x="0" y="0"/>
              </a:moveTo>
              <a:lnTo>
                <a:pt x="1842770" y="0"/>
              </a:lnTo>
            </a:path>
          </a:pathLst>
        </a:custGeom>
        <a:ln w="6096">
          <a:solidFill>
            <a:srgbClr val="000000"/>
          </a:solidFill>
        </a:ln>
      </xdr:spPr>
    </xdr:sp>
    <xdr:clientData/>
  </xdr:twoCellAnchor>
  <xdr:twoCellAnchor editAs="oneCell">
    <xdr:from>
      <xdr:col>5</xdr:col>
      <xdr:colOff>0</xdr:colOff>
      <xdr:row>2341</xdr:row>
      <xdr:rowOff>0</xdr:rowOff>
    </xdr:from>
    <xdr:to>
      <xdr:col>7</xdr:col>
      <xdr:colOff>487045</xdr:colOff>
      <xdr:row>2341</xdr:row>
      <xdr:rowOff>0</xdr:rowOff>
    </xdr:to>
    <xdr:sp macro="" textlink="">
      <xdr:nvSpPr>
        <xdr:cNvPr id="91" name="Shape 70">
          <a:extLst>
            <a:ext uri="{FF2B5EF4-FFF2-40B4-BE49-F238E27FC236}">
              <a16:creationId xmlns:a16="http://schemas.microsoft.com/office/drawing/2014/main" id="{00000000-0008-0000-1700-00005B000000}"/>
            </a:ext>
          </a:extLst>
        </xdr:cNvPr>
        <xdr:cNvSpPr/>
      </xdr:nvSpPr>
      <xdr:spPr>
        <a:xfrm>
          <a:off x="6391275" y="3933748800"/>
          <a:ext cx="1839595" cy="0"/>
        </a:xfrm>
        <a:custGeom>
          <a:avLst/>
          <a:gdLst/>
          <a:ahLst/>
          <a:cxnLst/>
          <a:rect l="0" t="0" r="0" b="0"/>
          <a:pathLst>
            <a:path w="1842770">
              <a:moveTo>
                <a:pt x="0" y="0"/>
              </a:moveTo>
              <a:lnTo>
                <a:pt x="1842770" y="0"/>
              </a:lnTo>
            </a:path>
          </a:pathLst>
        </a:custGeom>
        <a:ln w="6096">
          <a:solidFill>
            <a:srgbClr val="000000"/>
          </a:solidFill>
        </a:ln>
      </xdr:spPr>
    </xdr:sp>
    <xdr:clientData/>
  </xdr:twoCellAnchor>
  <xdr:twoCellAnchor editAs="oneCell">
    <xdr:from>
      <xdr:col>5</xdr:col>
      <xdr:colOff>0</xdr:colOff>
      <xdr:row>2341</xdr:row>
      <xdr:rowOff>0</xdr:rowOff>
    </xdr:from>
    <xdr:to>
      <xdr:col>7</xdr:col>
      <xdr:colOff>487045</xdr:colOff>
      <xdr:row>2341</xdr:row>
      <xdr:rowOff>0</xdr:rowOff>
    </xdr:to>
    <xdr:sp macro="" textlink="">
      <xdr:nvSpPr>
        <xdr:cNvPr id="92" name="Shape 72">
          <a:extLst>
            <a:ext uri="{FF2B5EF4-FFF2-40B4-BE49-F238E27FC236}">
              <a16:creationId xmlns:a16="http://schemas.microsoft.com/office/drawing/2014/main" id="{00000000-0008-0000-1700-00005C000000}"/>
            </a:ext>
          </a:extLst>
        </xdr:cNvPr>
        <xdr:cNvSpPr/>
      </xdr:nvSpPr>
      <xdr:spPr>
        <a:xfrm>
          <a:off x="6391275" y="3933748800"/>
          <a:ext cx="1839595" cy="0"/>
        </a:xfrm>
        <a:custGeom>
          <a:avLst/>
          <a:gdLst/>
          <a:ahLst/>
          <a:cxnLst/>
          <a:rect l="0" t="0" r="0" b="0"/>
          <a:pathLst>
            <a:path w="1842770">
              <a:moveTo>
                <a:pt x="0" y="0"/>
              </a:moveTo>
              <a:lnTo>
                <a:pt x="1842770" y="0"/>
              </a:lnTo>
            </a:path>
          </a:pathLst>
        </a:custGeom>
        <a:ln w="6095">
          <a:solidFill>
            <a:srgbClr val="000000"/>
          </a:solidFill>
        </a:ln>
      </xdr:spPr>
    </xdr:sp>
    <xdr:clientData/>
  </xdr:twoCellAnchor>
  <xdr:twoCellAnchor editAs="oneCell">
    <xdr:from>
      <xdr:col>5</xdr:col>
      <xdr:colOff>0</xdr:colOff>
      <xdr:row>2341</xdr:row>
      <xdr:rowOff>0</xdr:rowOff>
    </xdr:from>
    <xdr:to>
      <xdr:col>7</xdr:col>
      <xdr:colOff>487045</xdr:colOff>
      <xdr:row>2341</xdr:row>
      <xdr:rowOff>0</xdr:rowOff>
    </xdr:to>
    <xdr:sp macro="" textlink="">
      <xdr:nvSpPr>
        <xdr:cNvPr id="93" name="Shape 74">
          <a:extLst>
            <a:ext uri="{FF2B5EF4-FFF2-40B4-BE49-F238E27FC236}">
              <a16:creationId xmlns:a16="http://schemas.microsoft.com/office/drawing/2014/main" id="{00000000-0008-0000-1700-00005D000000}"/>
            </a:ext>
          </a:extLst>
        </xdr:cNvPr>
        <xdr:cNvSpPr/>
      </xdr:nvSpPr>
      <xdr:spPr>
        <a:xfrm>
          <a:off x="6391275" y="3933748800"/>
          <a:ext cx="1839595" cy="0"/>
        </a:xfrm>
        <a:custGeom>
          <a:avLst/>
          <a:gdLst/>
          <a:ahLst/>
          <a:cxnLst/>
          <a:rect l="0" t="0" r="0" b="0"/>
          <a:pathLst>
            <a:path w="1842770">
              <a:moveTo>
                <a:pt x="0" y="0"/>
              </a:moveTo>
              <a:lnTo>
                <a:pt x="1842770" y="0"/>
              </a:lnTo>
            </a:path>
          </a:pathLst>
        </a:custGeom>
        <a:ln w="6095">
          <a:solidFill>
            <a:srgbClr val="000000"/>
          </a:solidFill>
        </a:ln>
      </xdr:spPr>
    </xdr:sp>
    <xdr:clientData/>
  </xdr:twoCellAnchor>
  <xdr:twoCellAnchor editAs="oneCell">
    <xdr:from>
      <xdr:col>3</xdr:col>
      <xdr:colOff>0</xdr:colOff>
      <xdr:row>2341</xdr:row>
      <xdr:rowOff>0</xdr:rowOff>
    </xdr:from>
    <xdr:to>
      <xdr:col>4</xdr:col>
      <xdr:colOff>729615</xdr:colOff>
      <xdr:row>2341</xdr:row>
      <xdr:rowOff>0</xdr:rowOff>
    </xdr:to>
    <xdr:sp macro="" textlink="">
      <xdr:nvSpPr>
        <xdr:cNvPr id="94" name="Shape 75">
          <a:extLst>
            <a:ext uri="{FF2B5EF4-FFF2-40B4-BE49-F238E27FC236}">
              <a16:creationId xmlns:a16="http://schemas.microsoft.com/office/drawing/2014/main" id="{00000000-0008-0000-1700-00005E000000}"/>
            </a:ext>
          </a:extLst>
        </xdr:cNvPr>
        <xdr:cNvSpPr/>
      </xdr:nvSpPr>
      <xdr:spPr>
        <a:xfrm>
          <a:off x="1752600" y="3933748800"/>
          <a:ext cx="1748790" cy="0"/>
        </a:xfrm>
        <a:custGeom>
          <a:avLst/>
          <a:gdLst/>
          <a:ahLst/>
          <a:cxnLst/>
          <a:rect l="0" t="0" r="0" b="0"/>
          <a:pathLst>
            <a:path w="1329690">
              <a:moveTo>
                <a:pt x="0" y="0"/>
              </a:moveTo>
              <a:lnTo>
                <a:pt x="1329182" y="0"/>
              </a:lnTo>
            </a:path>
          </a:pathLst>
        </a:custGeom>
        <a:ln w="6095">
          <a:solidFill>
            <a:srgbClr val="000000"/>
          </a:solidFill>
        </a:ln>
      </xdr:spPr>
    </xdr:sp>
    <xdr:clientData/>
  </xdr:twoCellAnchor>
  <xdr:twoCellAnchor editAs="oneCell">
    <xdr:from>
      <xdr:col>5</xdr:col>
      <xdr:colOff>0</xdr:colOff>
      <xdr:row>2341</xdr:row>
      <xdr:rowOff>0</xdr:rowOff>
    </xdr:from>
    <xdr:to>
      <xdr:col>7</xdr:col>
      <xdr:colOff>487045</xdr:colOff>
      <xdr:row>2341</xdr:row>
      <xdr:rowOff>0</xdr:rowOff>
    </xdr:to>
    <xdr:sp macro="" textlink="">
      <xdr:nvSpPr>
        <xdr:cNvPr id="95" name="Shape 76">
          <a:extLst>
            <a:ext uri="{FF2B5EF4-FFF2-40B4-BE49-F238E27FC236}">
              <a16:creationId xmlns:a16="http://schemas.microsoft.com/office/drawing/2014/main" id="{00000000-0008-0000-1700-00005F000000}"/>
            </a:ext>
          </a:extLst>
        </xdr:cNvPr>
        <xdr:cNvSpPr/>
      </xdr:nvSpPr>
      <xdr:spPr>
        <a:xfrm>
          <a:off x="6391275" y="3933748800"/>
          <a:ext cx="1839595" cy="0"/>
        </a:xfrm>
        <a:custGeom>
          <a:avLst/>
          <a:gdLst/>
          <a:ahLst/>
          <a:cxnLst/>
          <a:rect l="0" t="0" r="0" b="0"/>
          <a:pathLst>
            <a:path w="1842770">
              <a:moveTo>
                <a:pt x="0" y="0"/>
              </a:moveTo>
              <a:lnTo>
                <a:pt x="1842770" y="0"/>
              </a:lnTo>
            </a:path>
          </a:pathLst>
        </a:custGeom>
        <a:ln w="6095">
          <a:solidFill>
            <a:srgbClr val="000000"/>
          </a:solidFill>
        </a:ln>
      </xdr:spPr>
    </xdr:sp>
    <xdr:clientData/>
  </xdr:twoCellAnchor>
  <xdr:twoCellAnchor editAs="oneCell">
    <xdr:from>
      <xdr:col>5</xdr:col>
      <xdr:colOff>0</xdr:colOff>
      <xdr:row>2341</xdr:row>
      <xdr:rowOff>0</xdr:rowOff>
    </xdr:from>
    <xdr:to>
      <xdr:col>7</xdr:col>
      <xdr:colOff>487045</xdr:colOff>
      <xdr:row>2341</xdr:row>
      <xdr:rowOff>0</xdr:rowOff>
    </xdr:to>
    <xdr:sp macro="" textlink="">
      <xdr:nvSpPr>
        <xdr:cNvPr id="96" name="Shape 110">
          <a:extLst>
            <a:ext uri="{FF2B5EF4-FFF2-40B4-BE49-F238E27FC236}">
              <a16:creationId xmlns:a16="http://schemas.microsoft.com/office/drawing/2014/main" id="{00000000-0008-0000-1700-000060000000}"/>
            </a:ext>
          </a:extLst>
        </xdr:cNvPr>
        <xdr:cNvSpPr/>
      </xdr:nvSpPr>
      <xdr:spPr>
        <a:xfrm>
          <a:off x="6391275" y="3933748800"/>
          <a:ext cx="1839595" cy="0"/>
        </a:xfrm>
        <a:custGeom>
          <a:avLst/>
          <a:gdLst/>
          <a:ahLst/>
          <a:cxnLst/>
          <a:rect l="0" t="0" r="0" b="0"/>
          <a:pathLst>
            <a:path w="1842770">
              <a:moveTo>
                <a:pt x="0" y="0"/>
              </a:moveTo>
              <a:lnTo>
                <a:pt x="1842770" y="0"/>
              </a:lnTo>
            </a:path>
          </a:pathLst>
        </a:custGeom>
        <a:ln w="6096">
          <a:solidFill>
            <a:srgbClr val="000000"/>
          </a:solidFill>
        </a:ln>
      </xdr:spPr>
    </xdr:sp>
    <xdr:clientData/>
  </xdr:twoCellAnchor>
  <xdr:twoCellAnchor editAs="oneCell">
    <xdr:from>
      <xdr:col>0</xdr:col>
      <xdr:colOff>0</xdr:colOff>
      <xdr:row>2341</xdr:row>
      <xdr:rowOff>0</xdr:rowOff>
    </xdr:from>
    <xdr:to>
      <xdr:col>4</xdr:col>
      <xdr:colOff>2675889</xdr:colOff>
      <xdr:row>2341</xdr:row>
      <xdr:rowOff>0</xdr:rowOff>
    </xdr:to>
    <xdr:sp macro="" textlink="">
      <xdr:nvSpPr>
        <xdr:cNvPr id="97" name="Shape 112">
          <a:extLst>
            <a:ext uri="{FF2B5EF4-FFF2-40B4-BE49-F238E27FC236}">
              <a16:creationId xmlns:a16="http://schemas.microsoft.com/office/drawing/2014/main" id="{00000000-0008-0000-1700-000061000000}"/>
            </a:ext>
          </a:extLst>
        </xdr:cNvPr>
        <xdr:cNvSpPr/>
      </xdr:nvSpPr>
      <xdr:spPr>
        <a:xfrm>
          <a:off x="0" y="3933748800"/>
          <a:ext cx="5447664" cy="0"/>
        </a:xfrm>
        <a:custGeom>
          <a:avLst/>
          <a:gdLst/>
          <a:ahLst/>
          <a:cxnLst/>
          <a:rect l="0" t="0" r="0" b="0"/>
          <a:pathLst>
            <a:path w="5190490">
              <a:moveTo>
                <a:pt x="0" y="0"/>
              </a:moveTo>
              <a:lnTo>
                <a:pt x="5190310" y="0"/>
              </a:lnTo>
            </a:path>
          </a:pathLst>
        </a:custGeom>
        <a:ln w="9155">
          <a:solidFill>
            <a:srgbClr val="000000"/>
          </a:solidFill>
        </a:ln>
      </xdr:spPr>
    </xdr:sp>
    <xdr:clientData/>
  </xdr:twoCellAnchor>
  <xdr:twoCellAnchor editAs="oneCell">
    <xdr:from>
      <xdr:col>0</xdr:col>
      <xdr:colOff>0</xdr:colOff>
      <xdr:row>2341</xdr:row>
      <xdr:rowOff>0</xdr:rowOff>
    </xdr:from>
    <xdr:to>
      <xdr:col>4</xdr:col>
      <xdr:colOff>2877185</xdr:colOff>
      <xdr:row>2341</xdr:row>
      <xdr:rowOff>0</xdr:rowOff>
    </xdr:to>
    <xdr:sp macro="" textlink="">
      <xdr:nvSpPr>
        <xdr:cNvPr id="98" name="Shape 113">
          <a:extLst>
            <a:ext uri="{FF2B5EF4-FFF2-40B4-BE49-F238E27FC236}">
              <a16:creationId xmlns:a16="http://schemas.microsoft.com/office/drawing/2014/main" id="{00000000-0008-0000-1700-000062000000}"/>
            </a:ext>
          </a:extLst>
        </xdr:cNvPr>
        <xdr:cNvSpPr/>
      </xdr:nvSpPr>
      <xdr:spPr>
        <a:xfrm>
          <a:off x="0" y="3933748800"/>
          <a:ext cx="5648960" cy="0"/>
        </a:xfrm>
        <a:custGeom>
          <a:avLst/>
          <a:gdLst/>
          <a:ahLst/>
          <a:cxnLst/>
          <a:rect l="0" t="0" r="0" b="0"/>
          <a:pathLst>
            <a:path w="5398135">
              <a:moveTo>
                <a:pt x="0" y="0"/>
              </a:moveTo>
              <a:lnTo>
                <a:pt x="5397922" y="0"/>
              </a:lnTo>
            </a:path>
          </a:pathLst>
        </a:custGeom>
        <a:ln w="9155">
          <a:solidFill>
            <a:srgbClr val="000000"/>
          </a:solidFill>
        </a:ln>
      </xdr:spPr>
    </xdr:sp>
    <xdr:clientData/>
  </xdr:twoCellAnchor>
  <xdr:twoCellAnchor editAs="oneCell">
    <xdr:from>
      <xdr:col>0</xdr:col>
      <xdr:colOff>0</xdr:colOff>
      <xdr:row>2341</xdr:row>
      <xdr:rowOff>0</xdr:rowOff>
    </xdr:from>
    <xdr:to>
      <xdr:col>0</xdr:col>
      <xdr:colOff>128270</xdr:colOff>
      <xdr:row>2341</xdr:row>
      <xdr:rowOff>0</xdr:rowOff>
    </xdr:to>
    <xdr:sp macro="" textlink="">
      <xdr:nvSpPr>
        <xdr:cNvPr id="99" name="Shape 115">
          <a:extLst>
            <a:ext uri="{FF2B5EF4-FFF2-40B4-BE49-F238E27FC236}">
              <a16:creationId xmlns:a16="http://schemas.microsoft.com/office/drawing/2014/main" id="{00000000-0008-0000-1700-000063000000}"/>
            </a:ext>
          </a:extLst>
        </xdr:cNvPr>
        <xdr:cNvSpPr/>
      </xdr:nvSpPr>
      <xdr:spPr>
        <a:xfrm>
          <a:off x="0" y="3933748800"/>
          <a:ext cx="128270" cy="0"/>
        </a:xfrm>
        <a:custGeom>
          <a:avLst/>
          <a:gdLst/>
          <a:ahLst/>
          <a:cxnLst/>
          <a:rect l="0" t="0" r="0" b="0"/>
          <a:pathLst>
            <a:path w="128270">
              <a:moveTo>
                <a:pt x="0" y="0"/>
              </a:moveTo>
              <a:lnTo>
                <a:pt x="127671" y="0"/>
              </a:lnTo>
            </a:path>
          </a:pathLst>
        </a:custGeom>
        <a:ln w="12715">
          <a:solidFill>
            <a:srgbClr val="0F0C0C"/>
          </a:solidFill>
        </a:ln>
      </xdr:spPr>
    </xdr:sp>
    <xdr:clientData/>
  </xdr:twoCellAnchor>
  <xdr:twoCellAnchor editAs="oneCell">
    <xdr:from>
      <xdr:col>0</xdr:col>
      <xdr:colOff>0</xdr:colOff>
      <xdr:row>2341</xdr:row>
      <xdr:rowOff>0</xdr:rowOff>
    </xdr:from>
    <xdr:to>
      <xdr:col>0</xdr:col>
      <xdr:colOff>40005</xdr:colOff>
      <xdr:row>2341</xdr:row>
      <xdr:rowOff>0</xdr:rowOff>
    </xdr:to>
    <xdr:sp macro="" textlink="">
      <xdr:nvSpPr>
        <xdr:cNvPr id="100" name="Shape 118">
          <a:extLst>
            <a:ext uri="{FF2B5EF4-FFF2-40B4-BE49-F238E27FC236}">
              <a16:creationId xmlns:a16="http://schemas.microsoft.com/office/drawing/2014/main" id="{00000000-0008-0000-1700-000064000000}"/>
            </a:ext>
          </a:extLst>
        </xdr:cNvPr>
        <xdr:cNvSpPr/>
      </xdr:nvSpPr>
      <xdr:spPr>
        <a:xfrm>
          <a:off x="0" y="3933748800"/>
          <a:ext cx="40005" cy="0"/>
        </a:xfrm>
        <a:custGeom>
          <a:avLst/>
          <a:gdLst/>
          <a:ahLst/>
          <a:cxnLst/>
          <a:rect l="0" t="0" r="0" b="0"/>
          <a:pathLst>
            <a:path w="40005">
              <a:moveTo>
                <a:pt x="0" y="0"/>
              </a:moveTo>
              <a:lnTo>
                <a:pt x="39690" y="0"/>
              </a:lnTo>
            </a:path>
          </a:pathLst>
        </a:custGeom>
        <a:ln w="12715">
          <a:solidFill>
            <a:srgbClr val="3D3434"/>
          </a:solidFill>
        </a:ln>
      </xdr:spPr>
    </xdr:sp>
    <xdr:clientData/>
  </xdr:twoCellAnchor>
  <xdr:twoCellAnchor editAs="oneCell">
    <xdr:from>
      <xdr:col>0</xdr:col>
      <xdr:colOff>0</xdr:colOff>
      <xdr:row>2341</xdr:row>
      <xdr:rowOff>0</xdr:rowOff>
    </xdr:from>
    <xdr:to>
      <xdr:col>0</xdr:col>
      <xdr:colOff>43180</xdr:colOff>
      <xdr:row>2341</xdr:row>
      <xdr:rowOff>0</xdr:rowOff>
    </xdr:to>
    <xdr:sp macro="" textlink="">
      <xdr:nvSpPr>
        <xdr:cNvPr id="101" name="Shape 119">
          <a:extLst>
            <a:ext uri="{FF2B5EF4-FFF2-40B4-BE49-F238E27FC236}">
              <a16:creationId xmlns:a16="http://schemas.microsoft.com/office/drawing/2014/main" id="{00000000-0008-0000-1700-000065000000}"/>
            </a:ext>
          </a:extLst>
        </xdr:cNvPr>
        <xdr:cNvSpPr/>
      </xdr:nvSpPr>
      <xdr:spPr>
        <a:xfrm>
          <a:off x="0" y="3933748800"/>
          <a:ext cx="43180" cy="0"/>
        </a:xfrm>
        <a:custGeom>
          <a:avLst/>
          <a:gdLst/>
          <a:ahLst/>
          <a:cxnLst/>
          <a:rect l="0" t="0" r="0" b="0"/>
          <a:pathLst>
            <a:path w="43180">
              <a:moveTo>
                <a:pt x="0" y="0"/>
              </a:moveTo>
              <a:lnTo>
                <a:pt x="42743" y="0"/>
              </a:lnTo>
            </a:path>
          </a:pathLst>
        </a:custGeom>
        <a:ln w="12715">
          <a:solidFill>
            <a:srgbClr val="3D3434"/>
          </a:solidFill>
        </a:ln>
      </xdr:spPr>
    </xdr:sp>
    <xdr:clientData/>
  </xdr:twoCellAnchor>
  <xdr:twoCellAnchor editAs="oneCell">
    <xdr:from>
      <xdr:col>0</xdr:col>
      <xdr:colOff>0</xdr:colOff>
      <xdr:row>2341</xdr:row>
      <xdr:rowOff>0</xdr:rowOff>
    </xdr:from>
    <xdr:to>
      <xdr:col>0</xdr:col>
      <xdr:colOff>46355</xdr:colOff>
      <xdr:row>2341</xdr:row>
      <xdr:rowOff>0</xdr:rowOff>
    </xdr:to>
    <xdr:sp macro="" textlink="">
      <xdr:nvSpPr>
        <xdr:cNvPr id="102" name="Shape 120">
          <a:extLst>
            <a:ext uri="{FF2B5EF4-FFF2-40B4-BE49-F238E27FC236}">
              <a16:creationId xmlns:a16="http://schemas.microsoft.com/office/drawing/2014/main" id="{00000000-0008-0000-1700-000066000000}"/>
            </a:ext>
          </a:extLst>
        </xdr:cNvPr>
        <xdr:cNvSpPr/>
      </xdr:nvSpPr>
      <xdr:spPr>
        <a:xfrm>
          <a:off x="0" y="3933748800"/>
          <a:ext cx="46355" cy="0"/>
        </a:xfrm>
        <a:custGeom>
          <a:avLst/>
          <a:gdLst/>
          <a:ahLst/>
          <a:cxnLst/>
          <a:rect l="0" t="0" r="0" b="0"/>
          <a:pathLst>
            <a:path w="46355">
              <a:moveTo>
                <a:pt x="0" y="0"/>
              </a:moveTo>
              <a:lnTo>
                <a:pt x="45796" y="0"/>
              </a:lnTo>
            </a:path>
          </a:pathLst>
        </a:custGeom>
        <a:ln w="12715">
          <a:solidFill>
            <a:srgbClr val="3D3434"/>
          </a:solidFill>
        </a:ln>
      </xdr:spPr>
    </xdr:sp>
    <xdr:clientData/>
  </xdr:twoCellAnchor>
  <xdr:twoCellAnchor editAs="oneCell">
    <xdr:from>
      <xdr:col>0</xdr:col>
      <xdr:colOff>0</xdr:colOff>
      <xdr:row>2341</xdr:row>
      <xdr:rowOff>0</xdr:rowOff>
    </xdr:from>
    <xdr:to>
      <xdr:col>0</xdr:col>
      <xdr:colOff>70485</xdr:colOff>
      <xdr:row>2341</xdr:row>
      <xdr:rowOff>0</xdr:rowOff>
    </xdr:to>
    <xdr:sp macro="" textlink="">
      <xdr:nvSpPr>
        <xdr:cNvPr id="103" name="Shape 121">
          <a:extLst>
            <a:ext uri="{FF2B5EF4-FFF2-40B4-BE49-F238E27FC236}">
              <a16:creationId xmlns:a16="http://schemas.microsoft.com/office/drawing/2014/main" id="{00000000-0008-0000-1700-000067000000}"/>
            </a:ext>
          </a:extLst>
        </xdr:cNvPr>
        <xdr:cNvSpPr/>
      </xdr:nvSpPr>
      <xdr:spPr>
        <a:xfrm>
          <a:off x="0" y="3933748800"/>
          <a:ext cx="70485" cy="0"/>
        </a:xfrm>
        <a:custGeom>
          <a:avLst/>
          <a:gdLst/>
          <a:ahLst/>
          <a:cxnLst/>
          <a:rect l="0" t="0" r="0" b="0"/>
          <a:pathLst>
            <a:path w="70485">
              <a:moveTo>
                <a:pt x="0" y="0"/>
              </a:moveTo>
              <a:lnTo>
                <a:pt x="70221" y="0"/>
              </a:lnTo>
            </a:path>
          </a:pathLst>
        </a:custGeom>
        <a:ln w="12715">
          <a:solidFill>
            <a:srgbClr val="231C1C"/>
          </a:solidFill>
        </a:ln>
      </xdr:spPr>
    </xdr:sp>
    <xdr:clientData/>
  </xdr:twoCellAnchor>
  <xdr:twoCellAnchor editAs="oneCell">
    <xdr:from>
      <xdr:col>0</xdr:col>
      <xdr:colOff>0</xdr:colOff>
      <xdr:row>2341</xdr:row>
      <xdr:rowOff>0</xdr:rowOff>
    </xdr:from>
    <xdr:to>
      <xdr:col>1</xdr:col>
      <xdr:colOff>121920</xdr:colOff>
      <xdr:row>2341</xdr:row>
      <xdr:rowOff>0</xdr:rowOff>
    </xdr:to>
    <xdr:sp macro="" textlink="">
      <xdr:nvSpPr>
        <xdr:cNvPr id="104" name="Shape 122">
          <a:extLst>
            <a:ext uri="{FF2B5EF4-FFF2-40B4-BE49-F238E27FC236}">
              <a16:creationId xmlns:a16="http://schemas.microsoft.com/office/drawing/2014/main" id="{00000000-0008-0000-1700-000068000000}"/>
            </a:ext>
          </a:extLst>
        </xdr:cNvPr>
        <xdr:cNvSpPr/>
      </xdr:nvSpPr>
      <xdr:spPr>
        <a:xfrm>
          <a:off x="0" y="3933748800"/>
          <a:ext cx="455295" cy="0"/>
        </a:xfrm>
        <a:custGeom>
          <a:avLst/>
          <a:gdLst/>
          <a:ahLst/>
          <a:cxnLst/>
          <a:rect l="0" t="0" r="0" b="0"/>
          <a:pathLst>
            <a:path w="452120">
              <a:moveTo>
                <a:pt x="0" y="0"/>
              </a:moveTo>
              <a:lnTo>
                <a:pt x="451862" y="0"/>
              </a:lnTo>
            </a:path>
          </a:pathLst>
        </a:custGeom>
        <a:ln w="12715">
          <a:solidFill>
            <a:srgbClr val="110C0C"/>
          </a:solidFill>
        </a:ln>
      </xdr:spPr>
    </xdr:sp>
    <xdr:clientData/>
  </xdr:twoCellAnchor>
  <xdr:twoCellAnchor editAs="oneCell">
    <xdr:from>
      <xdr:col>0</xdr:col>
      <xdr:colOff>0</xdr:colOff>
      <xdr:row>2341</xdr:row>
      <xdr:rowOff>0</xdr:rowOff>
    </xdr:from>
    <xdr:to>
      <xdr:col>1</xdr:col>
      <xdr:colOff>55245</xdr:colOff>
      <xdr:row>2341</xdr:row>
      <xdr:rowOff>0</xdr:rowOff>
    </xdr:to>
    <xdr:sp macro="" textlink="">
      <xdr:nvSpPr>
        <xdr:cNvPr id="105" name="Shape 123">
          <a:extLst>
            <a:ext uri="{FF2B5EF4-FFF2-40B4-BE49-F238E27FC236}">
              <a16:creationId xmlns:a16="http://schemas.microsoft.com/office/drawing/2014/main" id="{00000000-0008-0000-1700-000069000000}"/>
            </a:ext>
          </a:extLst>
        </xdr:cNvPr>
        <xdr:cNvSpPr/>
      </xdr:nvSpPr>
      <xdr:spPr>
        <a:xfrm>
          <a:off x="0" y="3933748800"/>
          <a:ext cx="388620" cy="0"/>
        </a:xfrm>
        <a:custGeom>
          <a:avLst/>
          <a:gdLst/>
          <a:ahLst/>
          <a:cxnLst/>
          <a:rect l="0" t="0" r="0" b="0"/>
          <a:pathLst>
            <a:path w="372745">
              <a:moveTo>
                <a:pt x="0" y="0"/>
              </a:moveTo>
              <a:lnTo>
                <a:pt x="372481" y="0"/>
              </a:lnTo>
            </a:path>
          </a:pathLst>
        </a:custGeom>
        <a:ln w="12715">
          <a:solidFill>
            <a:srgbClr val="110C0C"/>
          </a:solidFill>
        </a:ln>
      </xdr:spPr>
    </xdr:sp>
    <xdr:clientData/>
  </xdr:twoCellAnchor>
  <xdr:twoCellAnchor editAs="oneCell">
    <xdr:from>
      <xdr:col>0</xdr:col>
      <xdr:colOff>0</xdr:colOff>
      <xdr:row>2341</xdr:row>
      <xdr:rowOff>0</xdr:rowOff>
    </xdr:from>
    <xdr:to>
      <xdr:col>0</xdr:col>
      <xdr:colOff>43180</xdr:colOff>
      <xdr:row>2341</xdr:row>
      <xdr:rowOff>0</xdr:rowOff>
    </xdr:to>
    <xdr:sp macro="" textlink="">
      <xdr:nvSpPr>
        <xdr:cNvPr id="106" name="Shape 124">
          <a:extLst>
            <a:ext uri="{FF2B5EF4-FFF2-40B4-BE49-F238E27FC236}">
              <a16:creationId xmlns:a16="http://schemas.microsoft.com/office/drawing/2014/main" id="{00000000-0008-0000-1700-00006A000000}"/>
            </a:ext>
          </a:extLst>
        </xdr:cNvPr>
        <xdr:cNvSpPr/>
      </xdr:nvSpPr>
      <xdr:spPr>
        <a:xfrm>
          <a:off x="0" y="3933748800"/>
          <a:ext cx="43180" cy="0"/>
        </a:xfrm>
        <a:custGeom>
          <a:avLst/>
          <a:gdLst/>
          <a:ahLst/>
          <a:cxnLst/>
          <a:rect l="0" t="0" r="0" b="0"/>
          <a:pathLst>
            <a:path w="43180">
              <a:moveTo>
                <a:pt x="0" y="0"/>
              </a:moveTo>
              <a:lnTo>
                <a:pt x="42743" y="0"/>
              </a:lnTo>
            </a:path>
          </a:pathLst>
        </a:custGeom>
        <a:ln w="12715">
          <a:solidFill>
            <a:srgbClr val="231C1C"/>
          </a:solidFill>
        </a:ln>
      </xdr:spPr>
    </xdr:sp>
    <xdr:clientData/>
  </xdr:twoCellAnchor>
  <xdr:twoCellAnchor editAs="oneCell">
    <xdr:from>
      <xdr:col>0</xdr:col>
      <xdr:colOff>0</xdr:colOff>
      <xdr:row>2341</xdr:row>
      <xdr:rowOff>0</xdr:rowOff>
    </xdr:from>
    <xdr:to>
      <xdr:col>0</xdr:col>
      <xdr:colOff>40005</xdr:colOff>
      <xdr:row>2341</xdr:row>
      <xdr:rowOff>0</xdr:rowOff>
    </xdr:to>
    <xdr:sp macro="" textlink="">
      <xdr:nvSpPr>
        <xdr:cNvPr id="107" name="Shape 125">
          <a:extLst>
            <a:ext uri="{FF2B5EF4-FFF2-40B4-BE49-F238E27FC236}">
              <a16:creationId xmlns:a16="http://schemas.microsoft.com/office/drawing/2014/main" id="{00000000-0008-0000-1700-00006B000000}"/>
            </a:ext>
          </a:extLst>
        </xdr:cNvPr>
        <xdr:cNvSpPr/>
      </xdr:nvSpPr>
      <xdr:spPr>
        <a:xfrm>
          <a:off x="0" y="3933748800"/>
          <a:ext cx="40005" cy="0"/>
        </a:xfrm>
        <a:custGeom>
          <a:avLst/>
          <a:gdLst/>
          <a:ahLst/>
          <a:cxnLst/>
          <a:rect l="0" t="0" r="0" b="0"/>
          <a:pathLst>
            <a:path w="40005">
              <a:moveTo>
                <a:pt x="0" y="0"/>
              </a:moveTo>
              <a:lnTo>
                <a:pt x="39690" y="0"/>
              </a:lnTo>
            </a:path>
          </a:pathLst>
        </a:custGeom>
        <a:ln w="12715">
          <a:solidFill>
            <a:srgbClr val="231C1C"/>
          </a:solidFill>
        </a:ln>
      </xdr:spPr>
    </xdr:sp>
    <xdr:clientData/>
  </xdr:twoCellAnchor>
  <xdr:twoCellAnchor editAs="oneCell">
    <xdr:from>
      <xdr:col>0</xdr:col>
      <xdr:colOff>0</xdr:colOff>
      <xdr:row>2341</xdr:row>
      <xdr:rowOff>0</xdr:rowOff>
    </xdr:from>
    <xdr:to>
      <xdr:col>1</xdr:col>
      <xdr:colOff>146684</xdr:colOff>
      <xdr:row>2341</xdr:row>
      <xdr:rowOff>0</xdr:rowOff>
    </xdr:to>
    <xdr:sp macro="" textlink="">
      <xdr:nvSpPr>
        <xdr:cNvPr id="108" name="Shape 126">
          <a:extLst>
            <a:ext uri="{FF2B5EF4-FFF2-40B4-BE49-F238E27FC236}">
              <a16:creationId xmlns:a16="http://schemas.microsoft.com/office/drawing/2014/main" id="{00000000-0008-0000-1700-00006C000000}"/>
            </a:ext>
          </a:extLst>
        </xdr:cNvPr>
        <xdr:cNvSpPr/>
      </xdr:nvSpPr>
      <xdr:spPr>
        <a:xfrm>
          <a:off x="0" y="3933748800"/>
          <a:ext cx="480059" cy="0"/>
        </a:xfrm>
        <a:custGeom>
          <a:avLst/>
          <a:gdLst/>
          <a:ahLst/>
          <a:cxnLst/>
          <a:rect l="0" t="0" r="0" b="0"/>
          <a:pathLst>
            <a:path w="476884">
              <a:moveTo>
                <a:pt x="0" y="0"/>
              </a:moveTo>
              <a:lnTo>
                <a:pt x="476287" y="0"/>
              </a:lnTo>
            </a:path>
          </a:pathLst>
        </a:custGeom>
        <a:ln w="12715">
          <a:solidFill>
            <a:srgbClr val="110C0C"/>
          </a:solidFill>
        </a:ln>
      </xdr:spPr>
    </xdr:sp>
    <xdr:clientData/>
  </xdr:twoCellAnchor>
  <xdr:twoCellAnchor editAs="oneCell">
    <xdr:from>
      <xdr:col>0</xdr:col>
      <xdr:colOff>0</xdr:colOff>
      <xdr:row>2341</xdr:row>
      <xdr:rowOff>0</xdr:rowOff>
    </xdr:from>
    <xdr:to>
      <xdr:col>1</xdr:col>
      <xdr:colOff>457834</xdr:colOff>
      <xdr:row>2341</xdr:row>
      <xdr:rowOff>0</xdr:rowOff>
    </xdr:to>
    <xdr:sp macro="" textlink="">
      <xdr:nvSpPr>
        <xdr:cNvPr id="109" name="Shape 127">
          <a:extLst>
            <a:ext uri="{FF2B5EF4-FFF2-40B4-BE49-F238E27FC236}">
              <a16:creationId xmlns:a16="http://schemas.microsoft.com/office/drawing/2014/main" id="{00000000-0008-0000-1700-00006D000000}"/>
            </a:ext>
          </a:extLst>
        </xdr:cNvPr>
        <xdr:cNvSpPr/>
      </xdr:nvSpPr>
      <xdr:spPr>
        <a:xfrm>
          <a:off x="0" y="3933748800"/>
          <a:ext cx="791209" cy="0"/>
        </a:xfrm>
        <a:custGeom>
          <a:avLst/>
          <a:gdLst/>
          <a:ahLst/>
          <a:cxnLst/>
          <a:rect l="0" t="0" r="0" b="0"/>
          <a:pathLst>
            <a:path w="788035">
              <a:moveTo>
                <a:pt x="0" y="0"/>
              </a:moveTo>
              <a:lnTo>
                <a:pt x="787705" y="0"/>
              </a:lnTo>
            </a:path>
          </a:pathLst>
        </a:custGeom>
        <a:ln w="12715">
          <a:solidFill>
            <a:srgbClr val="110C0C"/>
          </a:solidFill>
        </a:ln>
      </xdr:spPr>
    </xdr:sp>
    <xdr:clientData/>
  </xdr:twoCellAnchor>
  <xdr:twoCellAnchor editAs="oneCell">
    <xdr:from>
      <xdr:col>0</xdr:col>
      <xdr:colOff>4579</xdr:colOff>
      <xdr:row>2341</xdr:row>
      <xdr:rowOff>0</xdr:rowOff>
    </xdr:from>
    <xdr:to>
      <xdr:col>0</xdr:col>
      <xdr:colOff>4579</xdr:colOff>
      <xdr:row>2342</xdr:row>
      <xdr:rowOff>3807</xdr:rowOff>
    </xdr:to>
    <xdr:sp macro="" textlink="">
      <xdr:nvSpPr>
        <xdr:cNvPr id="110" name="Shape 133">
          <a:extLst>
            <a:ext uri="{FF2B5EF4-FFF2-40B4-BE49-F238E27FC236}">
              <a16:creationId xmlns:a16="http://schemas.microsoft.com/office/drawing/2014/main" id="{00000000-0008-0000-1700-00006E000000}"/>
            </a:ext>
          </a:extLst>
        </xdr:cNvPr>
        <xdr:cNvSpPr/>
      </xdr:nvSpPr>
      <xdr:spPr>
        <a:xfrm>
          <a:off x="4579" y="3933748800"/>
          <a:ext cx="0" cy="5204459"/>
        </a:xfrm>
        <a:custGeom>
          <a:avLst/>
          <a:gdLst/>
          <a:ahLst/>
          <a:cxnLst/>
          <a:rect l="0" t="0" r="0" b="0"/>
          <a:pathLst>
            <a:path h="461009">
              <a:moveTo>
                <a:pt x="0" y="460816"/>
              </a:moveTo>
              <a:lnTo>
                <a:pt x="0" y="0"/>
              </a:lnTo>
            </a:path>
          </a:pathLst>
        </a:custGeom>
        <a:ln w="9159">
          <a:solidFill>
            <a:srgbClr val="000000"/>
          </a:solidFill>
        </a:ln>
      </xdr:spPr>
    </xdr:sp>
    <xdr:clientData/>
  </xdr:twoCellAnchor>
  <xdr:twoCellAnchor editAs="oneCell">
    <xdr:from>
      <xdr:col>0</xdr:col>
      <xdr:colOff>0</xdr:colOff>
      <xdr:row>2341</xdr:row>
      <xdr:rowOff>0</xdr:rowOff>
    </xdr:from>
    <xdr:to>
      <xdr:col>0</xdr:col>
      <xdr:colOff>40005</xdr:colOff>
      <xdr:row>2341</xdr:row>
      <xdr:rowOff>0</xdr:rowOff>
    </xdr:to>
    <xdr:sp macro="" textlink="">
      <xdr:nvSpPr>
        <xdr:cNvPr id="111" name="Shape 144">
          <a:extLst>
            <a:ext uri="{FF2B5EF4-FFF2-40B4-BE49-F238E27FC236}">
              <a16:creationId xmlns:a16="http://schemas.microsoft.com/office/drawing/2014/main" id="{00000000-0008-0000-1700-00006F000000}"/>
            </a:ext>
          </a:extLst>
        </xdr:cNvPr>
        <xdr:cNvSpPr/>
      </xdr:nvSpPr>
      <xdr:spPr>
        <a:xfrm>
          <a:off x="0" y="3933748800"/>
          <a:ext cx="40005" cy="0"/>
        </a:xfrm>
        <a:custGeom>
          <a:avLst/>
          <a:gdLst/>
          <a:ahLst/>
          <a:cxnLst/>
          <a:rect l="0" t="0" r="0" b="0"/>
          <a:pathLst>
            <a:path w="40005">
              <a:moveTo>
                <a:pt x="0" y="0"/>
              </a:moveTo>
              <a:lnTo>
                <a:pt x="39690" y="0"/>
              </a:lnTo>
            </a:path>
          </a:pathLst>
        </a:custGeom>
        <a:ln w="12715">
          <a:solidFill>
            <a:srgbClr val="0A0808"/>
          </a:solidFill>
        </a:ln>
      </xdr:spPr>
    </xdr:sp>
    <xdr:clientData/>
  </xdr:twoCellAnchor>
  <xdr:twoCellAnchor editAs="oneCell">
    <xdr:from>
      <xdr:col>0</xdr:col>
      <xdr:colOff>0</xdr:colOff>
      <xdr:row>2341</xdr:row>
      <xdr:rowOff>0</xdr:rowOff>
    </xdr:from>
    <xdr:to>
      <xdr:col>0</xdr:col>
      <xdr:colOff>27305</xdr:colOff>
      <xdr:row>2341</xdr:row>
      <xdr:rowOff>53974</xdr:rowOff>
    </xdr:to>
    <xdr:sp macro="" textlink="">
      <xdr:nvSpPr>
        <xdr:cNvPr id="112" name="Textbox 145">
          <a:extLst>
            <a:ext uri="{FF2B5EF4-FFF2-40B4-BE49-F238E27FC236}">
              <a16:creationId xmlns:a16="http://schemas.microsoft.com/office/drawing/2014/main" id="{00000000-0008-0000-1700-000070000000}"/>
            </a:ext>
          </a:extLst>
        </xdr:cNvPr>
        <xdr:cNvSpPr txBox="1"/>
      </xdr:nvSpPr>
      <xdr:spPr>
        <a:xfrm>
          <a:off x="0" y="3933748800"/>
          <a:ext cx="27305" cy="53974"/>
        </a:xfrm>
        <a:prstGeom prst="rect">
          <a:avLst/>
        </a:prstGeom>
      </xdr:spPr>
      <xdr:txBody>
        <a:bodyPr vertOverflow="clip" lIns="0" tIns="0" rIns="0" bIns="0" anchor="t"/>
        <a:lstStyle/>
        <a:p>
          <a:r>
            <a:rPr sz="450" b="0" spc="-5">
              <a:solidFill>
                <a:srgbClr val="0A0808"/>
              </a:solidFill>
              <a:latin typeface="Times New Roman"/>
              <a:cs typeface="Times New Roman"/>
            </a:rPr>
            <a:t>'</a:t>
          </a:r>
          <a:r>
            <a:rPr sz="450" b="0" spc="0">
              <a:solidFill>
                <a:srgbClr val="0A0808"/>
              </a:solidFill>
              <a:latin typeface="Times New Roman"/>
              <a:cs typeface="Times New Roman"/>
            </a:rPr>
            <a:t>\</a:t>
          </a:r>
        </a:p>
      </xdr:txBody>
    </xdr:sp>
    <xdr:clientData/>
  </xdr:twoCellAnchor>
  <xdr:twoCellAnchor editAs="oneCell">
    <xdr:from>
      <xdr:col>0</xdr:col>
      <xdr:colOff>0</xdr:colOff>
      <xdr:row>2341</xdr:row>
      <xdr:rowOff>0</xdr:rowOff>
    </xdr:from>
    <xdr:to>
      <xdr:col>0</xdr:col>
      <xdr:colOff>46355</xdr:colOff>
      <xdr:row>2341</xdr:row>
      <xdr:rowOff>0</xdr:rowOff>
    </xdr:to>
    <xdr:sp macro="" textlink="">
      <xdr:nvSpPr>
        <xdr:cNvPr id="113" name="Shape 150">
          <a:extLst>
            <a:ext uri="{FF2B5EF4-FFF2-40B4-BE49-F238E27FC236}">
              <a16:creationId xmlns:a16="http://schemas.microsoft.com/office/drawing/2014/main" id="{00000000-0008-0000-1700-000071000000}"/>
            </a:ext>
          </a:extLst>
        </xdr:cNvPr>
        <xdr:cNvSpPr/>
      </xdr:nvSpPr>
      <xdr:spPr>
        <a:xfrm>
          <a:off x="0" y="3933748800"/>
          <a:ext cx="46355" cy="0"/>
        </a:xfrm>
        <a:custGeom>
          <a:avLst/>
          <a:gdLst/>
          <a:ahLst/>
          <a:cxnLst/>
          <a:rect l="0" t="0" r="0" b="0"/>
          <a:pathLst>
            <a:path w="46355">
              <a:moveTo>
                <a:pt x="0" y="0"/>
              </a:moveTo>
              <a:lnTo>
                <a:pt x="45791" y="0"/>
              </a:lnTo>
            </a:path>
          </a:pathLst>
        </a:custGeom>
        <a:ln w="12714">
          <a:solidFill>
            <a:srgbClr val="000000"/>
          </a:solidFill>
        </a:ln>
      </xdr:spPr>
    </xdr:sp>
    <xdr:clientData/>
  </xdr:twoCellAnchor>
  <xdr:twoCellAnchor editAs="oneCell">
    <xdr:from>
      <xdr:col>0</xdr:col>
      <xdr:colOff>0</xdr:colOff>
      <xdr:row>2341</xdr:row>
      <xdr:rowOff>0</xdr:rowOff>
    </xdr:from>
    <xdr:to>
      <xdr:col>0</xdr:col>
      <xdr:colOff>48895</xdr:colOff>
      <xdr:row>2341</xdr:row>
      <xdr:rowOff>0</xdr:rowOff>
    </xdr:to>
    <xdr:sp macro="" textlink="">
      <xdr:nvSpPr>
        <xdr:cNvPr id="114" name="Shape 151">
          <a:extLst>
            <a:ext uri="{FF2B5EF4-FFF2-40B4-BE49-F238E27FC236}">
              <a16:creationId xmlns:a16="http://schemas.microsoft.com/office/drawing/2014/main" id="{00000000-0008-0000-1700-000072000000}"/>
            </a:ext>
          </a:extLst>
        </xdr:cNvPr>
        <xdr:cNvSpPr/>
      </xdr:nvSpPr>
      <xdr:spPr>
        <a:xfrm>
          <a:off x="0" y="3933748800"/>
          <a:ext cx="48895" cy="0"/>
        </a:xfrm>
        <a:custGeom>
          <a:avLst/>
          <a:gdLst/>
          <a:ahLst/>
          <a:cxnLst/>
          <a:rect l="0" t="0" r="0" b="0"/>
          <a:pathLst>
            <a:path w="48895">
              <a:moveTo>
                <a:pt x="0" y="0"/>
              </a:moveTo>
              <a:lnTo>
                <a:pt x="48844" y="0"/>
              </a:lnTo>
            </a:path>
          </a:pathLst>
        </a:custGeom>
        <a:ln w="12715">
          <a:solidFill>
            <a:srgbClr val="010101"/>
          </a:solidFill>
        </a:ln>
      </xdr:spPr>
    </xdr:sp>
    <xdr:clientData/>
  </xdr:twoCellAnchor>
  <xdr:twoCellAnchor editAs="oneCell">
    <xdr:from>
      <xdr:col>0</xdr:col>
      <xdr:colOff>0</xdr:colOff>
      <xdr:row>2341</xdr:row>
      <xdr:rowOff>0</xdr:rowOff>
    </xdr:from>
    <xdr:to>
      <xdr:col>0</xdr:col>
      <xdr:colOff>48895</xdr:colOff>
      <xdr:row>2341</xdr:row>
      <xdr:rowOff>0</xdr:rowOff>
    </xdr:to>
    <xdr:sp macro="" textlink="">
      <xdr:nvSpPr>
        <xdr:cNvPr id="115" name="Shape 152">
          <a:extLst>
            <a:ext uri="{FF2B5EF4-FFF2-40B4-BE49-F238E27FC236}">
              <a16:creationId xmlns:a16="http://schemas.microsoft.com/office/drawing/2014/main" id="{00000000-0008-0000-1700-000073000000}"/>
            </a:ext>
          </a:extLst>
        </xdr:cNvPr>
        <xdr:cNvSpPr/>
      </xdr:nvSpPr>
      <xdr:spPr>
        <a:xfrm>
          <a:off x="0" y="3933748800"/>
          <a:ext cx="48895" cy="0"/>
        </a:xfrm>
        <a:custGeom>
          <a:avLst/>
          <a:gdLst/>
          <a:ahLst/>
          <a:cxnLst/>
          <a:rect l="0" t="0" r="0" b="0"/>
          <a:pathLst>
            <a:path w="48895">
              <a:moveTo>
                <a:pt x="0" y="0"/>
              </a:moveTo>
              <a:lnTo>
                <a:pt x="48844" y="0"/>
              </a:lnTo>
            </a:path>
          </a:pathLst>
        </a:custGeom>
        <a:ln w="12715">
          <a:solidFill>
            <a:srgbClr val="010101"/>
          </a:solidFill>
        </a:ln>
      </xdr:spPr>
    </xdr:sp>
    <xdr:clientData/>
  </xdr:twoCellAnchor>
  <xdr:twoCellAnchor editAs="oneCell">
    <xdr:from>
      <xdr:col>0</xdr:col>
      <xdr:colOff>0</xdr:colOff>
      <xdr:row>2341</xdr:row>
      <xdr:rowOff>0</xdr:rowOff>
    </xdr:from>
    <xdr:to>
      <xdr:col>0</xdr:col>
      <xdr:colOff>48895</xdr:colOff>
      <xdr:row>2341</xdr:row>
      <xdr:rowOff>0</xdr:rowOff>
    </xdr:to>
    <xdr:sp macro="" textlink="">
      <xdr:nvSpPr>
        <xdr:cNvPr id="116" name="Shape 155">
          <a:extLst>
            <a:ext uri="{FF2B5EF4-FFF2-40B4-BE49-F238E27FC236}">
              <a16:creationId xmlns:a16="http://schemas.microsoft.com/office/drawing/2014/main" id="{00000000-0008-0000-1700-000074000000}"/>
            </a:ext>
          </a:extLst>
        </xdr:cNvPr>
        <xdr:cNvSpPr/>
      </xdr:nvSpPr>
      <xdr:spPr>
        <a:xfrm>
          <a:off x="0" y="3933748800"/>
          <a:ext cx="48895" cy="0"/>
        </a:xfrm>
        <a:custGeom>
          <a:avLst/>
          <a:gdLst/>
          <a:ahLst/>
          <a:cxnLst/>
          <a:rect l="0" t="0" r="0" b="0"/>
          <a:pathLst>
            <a:path w="48895">
              <a:moveTo>
                <a:pt x="0" y="0"/>
              </a:moveTo>
              <a:lnTo>
                <a:pt x="48844" y="0"/>
              </a:lnTo>
            </a:path>
          </a:pathLst>
        </a:custGeom>
        <a:ln w="12714">
          <a:solidFill>
            <a:srgbClr val="030303"/>
          </a:solidFill>
        </a:ln>
      </xdr:spPr>
    </xdr:sp>
    <xdr:clientData/>
  </xdr:twoCellAnchor>
  <xdr:twoCellAnchor editAs="oneCell">
    <xdr:from>
      <xdr:col>0</xdr:col>
      <xdr:colOff>12212</xdr:colOff>
      <xdr:row>2341</xdr:row>
      <xdr:rowOff>0</xdr:rowOff>
    </xdr:from>
    <xdr:to>
      <xdr:col>0</xdr:col>
      <xdr:colOff>12212</xdr:colOff>
      <xdr:row>2341</xdr:row>
      <xdr:rowOff>189865</xdr:rowOff>
    </xdr:to>
    <xdr:sp macro="" textlink="">
      <xdr:nvSpPr>
        <xdr:cNvPr id="117" name="Shape 166">
          <a:extLst>
            <a:ext uri="{FF2B5EF4-FFF2-40B4-BE49-F238E27FC236}">
              <a16:creationId xmlns:a16="http://schemas.microsoft.com/office/drawing/2014/main" id="{00000000-0008-0000-1700-000075000000}"/>
            </a:ext>
          </a:extLst>
        </xdr:cNvPr>
        <xdr:cNvSpPr/>
      </xdr:nvSpPr>
      <xdr:spPr>
        <a:xfrm>
          <a:off x="12212" y="3933748800"/>
          <a:ext cx="0" cy="189865"/>
        </a:xfrm>
        <a:custGeom>
          <a:avLst/>
          <a:gdLst/>
          <a:ahLst/>
          <a:cxnLst/>
          <a:rect l="0" t="0" r="0" b="0"/>
          <a:pathLst>
            <a:path h="231140">
              <a:moveTo>
                <a:pt x="0" y="0"/>
              </a:moveTo>
              <a:lnTo>
                <a:pt x="0" y="231089"/>
              </a:lnTo>
            </a:path>
          </a:pathLst>
        </a:custGeom>
        <a:ln w="24424">
          <a:solidFill>
            <a:srgbClr val="EBEBEB"/>
          </a:solidFill>
        </a:ln>
      </xdr:spPr>
    </xdr:sp>
    <xdr:clientData/>
  </xdr:twoCellAnchor>
  <xdr:twoCellAnchor editAs="oneCell">
    <xdr:from>
      <xdr:col>0</xdr:col>
      <xdr:colOff>4579</xdr:colOff>
      <xdr:row>2341</xdr:row>
      <xdr:rowOff>0</xdr:rowOff>
    </xdr:from>
    <xdr:to>
      <xdr:col>0</xdr:col>
      <xdr:colOff>4579</xdr:colOff>
      <xdr:row>2341</xdr:row>
      <xdr:rowOff>186442</xdr:rowOff>
    </xdr:to>
    <xdr:sp macro="" textlink="">
      <xdr:nvSpPr>
        <xdr:cNvPr id="118" name="Shape 167">
          <a:extLst>
            <a:ext uri="{FF2B5EF4-FFF2-40B4-BE49-F238E27FC236}">
              <a16:creationId xmlns:a16="http://schemas.microsoft.com/office/drawing/2014/main" id="{00000000-0008-0000-1700-000076000000}"/>
            </a:ext>
          </a:extLst>
        </xdr:cNvPr>
        <xdr:cNvSpPr/>
      </xdr:nvSpPr>
      <xdr:spPr>
        <a:xfrm>
          <a:off x="4579" y="3933748800"/>
          <a:ext cx="0" cy="186442"/>
        </a:xfrm>
        <a:custGeom>
          <a:avLst/>
          <a:gdLst/>
          <a:ahLst/>
          <a:cxnLst/>
          <a:rect l="0" t="0" r="0" b="0"/>
          <a:pathLst>
            <a:path h="265430">
              <a:moveTo>
                <a:pt x="0" y="0"/>
              </a:moveTo>
              <a:lnTo>
                <a:pt x="0" y="265325"/>
              </a:lnTo>
            </a:path>
          </a:pathLst>
        </a:custGeom>
        <a:ln w="9159">
          <a:solidFill>
            <a:srgbClr val="EBEBEB"/>
          </a:solidFill>
        </a:ln>
      </xdr:spPr>
    </xdr:sp>
    <xdr:clientData/>
  </xdr:twoCellAnchor>
  <xdr:twoCellAnchor editAs="oneCell">
    <xdr:from>
      <xdr:col>2</xdr:col>
      <xdr:colOff>0</xdr:colOff>
      <xdr:row>2296</xdr:row>
      <xdr:rowOff>0</xdr:rowOff>
    </xdr:from>
    <xdr:to>
      <xdr:col>4</xdr:col>
      <xdr:colOff>326390</xdr:colOff>
      <xdr:row>2296</xdr:row>
      <xdr:rowOff>0</xdr:rowOff>
    </xdr:to>
    <xdr:sp macro="" textlink="">
      <xdr:nvSpPr>
        <xdr:cNvPr id="119" name="Shape 46">
          <a:extLst>
            <a:ext uri="{FF2B5EF4-FFF2-40B4-BE49-F238E27FC236}">
              <a16:creationId xmlns:a16="http://schemas.microsoft.com/office/drawing/2014/main" id="{00000000-0008-0000-1700-000077000000}"/>
            </a:ext>
          </a:extLst>
        </xdr:cNvPr>
        <xdr:cNvSpPr/>
      </xdr:nvSpPr>
      <xdr:spPr>
        <a:xfrm>
          <a:off x="1247775" y="3735895500"/>
          <a:ext cx="1850390" cy="0"/>
        </a:xfrm>
        <a:custGeom>
          <a:avLst/>
          <a:gdLst/>
          <a:ahLst/>
          <a:cxnLst/>
          <a:rect l="0" t="0" r="0" b="0"/>
          <a:pathLst>
            <a:path w="1443990">
              <a:moveTo>
                <a:pt x="0" y="0"/>
              </a:moveTo>
              <a:lnTo>
                <a:pt x="1443482" y="0"/>
              </a:lnTo>
            </a:path>
          </a:pathLst>
        </a:custGeom>
        <a:ln w="6095">
          <a:solidFill>
            <a:srgbClr val="000000"/>
          </a:solidFill>
        </a:ln>
      </xdr:spPr>
    </xdr:sp>
    <xdr:clientData/>
  </xdr:twoCellAnchor>
  <xdr:twoCellAnchor editAs="oneCell">
    <xdr:from>
      <xdr:col>5</xdr:col>
      <xdr:colOff>0</xdr:colOff>
      <xdr:row>2296</xdr:row>
      <xdr:rowOff>0</xdr:rowOff>
    </xdr:from>
    <xdr:to>
      <xdr:col>7</xdr:col>
      <xdr:colOff>748664</xdr:colOff>
      <xdr:row>2296</xdr:row>
      <xdr:rowOff>0</xdr:rowOff>
    </xdr:to>
    <xdr:sp macro="" textlink="">
      <xdr:nvSpPr>
        <xdr:cNvPr id="120" name="Shape 47">
          <a:extLst>
            <a:ext uri="{FF2B5EF4-FFF2-40B4-BE49-F238E27FC236}">
              <a16:creationId xmlns:a16="http://schemas.microsoft.com/office/drawing/2014/main" id="{00000000-0008-0000-1700-000078000000}"/>
            </a:ext>
          </a:extLst>
        </xdr:cNvPr>
        <xdr:cNvSpPr/>
      </xdr:nvSpPr>
      <xdr:spPr>
        <a:xfrm>
          <a:off x="6391275" y="3735895500"/>
          <a:ext cx="2101214" cy="0"/>
        </a:xfrm>
        <a:custGeom>
          <a:avLst/>
          <a:gdLst/>
          <a:ahLst/>
          <a:cxnLst/>
          <a:rect l="0" t="0" r="0" b="0"/>
          <a:pathLst>
            <a:path w="1901189">
              <a:moveTo>
                <a:pt x="0" y="0"/>
              </a:moveTo>
              <a:lnTo>
                <a:pt x="1900682" y="0"/>
              </a:lnTo>
            </a:path>
          </a:pathLst>
        </a:custGeom>
        <a:ln w="6095">
          <a:solidFill>
            <a:srgbClr val="000000"/>
          </a:solidFill>
        </a:ln>
      </xdr:spPr>
    </xdr:sp>
    <xdr:clientData/>
  </xdr:twoCellAnchor>
  <xdr:twoCellAnchor editAs="oneCell">
    <xdr:from>
      <xdr:col>3</xdr:col>
      <xdr:colOff>0</xdr:colOff>
      <xdr:row>2296</xdr:row>
      <xdr:rowOff>0</xdr:rowOff>
    </xdr:from>
    <xdr:to>
      <xdr:col>4</xdr:col>
      <xdr:colOff>729615</xdr:colOff>
      <xdr:row>2296</xdr:row>
      <xdr:rowOff>0</xdr:rowOff>
    </xdr:to>
    <xdr:sp macro="" textlink="">
      <xdr:nvSpPr>
        <xdr:cNvPr id="121" name="Shape 65">
          <a:extLst>
            <a:ext uri="{FF2B5EF4-FFF2-40B4-BE49-F238E27FC236}">
              <a16:creationId xmlns:a16="http://schemas.microsoft.com/office/drawing/2014/main" id="{00000000-0008-0000-1700-000079000000}"/>
            </a:ext>
          </a:extLst>
        </xdr:cNvPr>
        <xdr:cNvSpPr/>
      </xdr:nvSpPr>
      <xdr:spPr>
        <a:xfrm>
          <a:off x="1752600" y="3735895500"/>
          <a:ext cx="1748790" cy="0"/>
        </a:xfrm>
        <a:custGeom>
          <a:avLst/>
          <a:gdLst/>
          <a:ahLst/>
          <a:cxnLst/>
          <a:rect l="0" t="0" r="0" b="0"/>
          <a:pathLst>
            <a:path w="1329690">
              <a:moveTo>
                <a:pt x="0" y="0"/>
              </a:moveTo>
              <a:lnTo>
                <a:pt x="1329182" y="0"/>
              </a:lnTo>
            </a:path>
          </a:pathLst>
        </a:custGeom>
        <a:ln w="6095">
          <a:solidFill>
            <a:srgbClr val="000000"/>
          </a:solidFill>
        </a:ln>
      </xdr:spPr>
    </xdr:sp>
    <xdr:clientData/>
  </xdr:twoCellAnchor>
  <xdr:twoCellAnchor editAs="oneCell">
    <xdr:from>
      <xdr:col>5</xdr:col>
      <xdr:colOff>0</xdr:colOff>
      <xdr:row>2296</xdr:row>
      <xdr:rowOff>0</xdr:rowOff>
    </xdr:from>
    <xdr:to>
      <xdr:col>7</xdr:col>
      <xdr:colOff>487044</xdr:colOff>
      <xdr:row>2296</xdr:row>
      <xdr:rowOff>0</xdr:rowOff>
    </xdr:to>
    <xdr:sp macro="" textlink="">
      <xdr:nvSpPr>
        <xdr:cNvPr id="122" name="Shape 66">
          <a:extLst>
            <a:ext uri="{FF2B5EF4-FFF2-40B4-BE49-F238E27FC236}">
              <a16:creationId xmlns:a16="http://schemas.microsoft.com/office/drawing/2014/main" id="{00000000-0008-0000-1700-00007A000000}"/>
            </a:ext>
          </a:extLst>
        </xdr:cNvPr>
        <xdr:cNvSpPr/>
      </xdr:nvSpPr>
      <xdr:spPr>
        <a:xfrm>
          <a:off x="6391275" y="3735895500"/>
          <a:ext cx="1839594" cy="0"/>
        </a:xfrm>
        <a:custGeom>
          <a:avLst/>
          <a:gdLst/>
          <a:ahLst/>
          <a:cxnLst/>
          <a:rect l="0" t="0" r="0" b="0"/>
          <a:pathLst>
            <a:path w="1842770">
              <a:moveTo>
                <a:pt x="0" y="0"/>
              </a:moveTo>
              <a:lnTo>
                <a:pt x="1842770" y="0"/>
              </a:lnTo>
            </a:path>
          </a:pathLst>
        </a:custGeom>
        <a:ln w="6095">
          <a:solidFill>
            <a:srgbClr val="000000"/>
          </a:solidFill>
        </a:ln>
      </xdr:spPr>
    </xdr:sp>
    <xdr:clientData/>
  </xdr:twoCellAnchor>
  <xdr:twoCellAnchor editAs="oneCell">
    <xdr:from>
      <xdr:col>5</xdr:col>
      <xdr:colOff>0</xdr:colOff>
      <xdr:row>2296</xdr:row>
      <xdr:rowOff>0</xdr:rowOff>
    </xdr:from>
    <xdr:to>
      <xdr:col>7</xdr:col>
      <xdr:colOff>487044</xdr:colOff>
      <xdr:row>2296</xdr:row>
      <xdr:rowOff>0</xdr:rowOff>
    </xdr:to>
    <xdr:sp macro="" textlink="">
      <xdr:nvSpPr>
        <xdr:cNvPr id="123" name="Shape 68">
          <a:extLst>
            <a:ext uri="{FF2B5EF4-FFF2-40B4-BE49-F238E27FC236}">
              <a16:creationId xmlns:a16="http://schemas.microsoft.com/office/drawing/2014/main" id="{00000000-0008-0000-1700-00007B000000}"/>
            </a:ext>
          </a:extLst>
        </xdr:cNvPr>
        <xdr:cNvSpPr/>
      </xdr:nvSpPr>
      <xdr:spPr>
        <a:xfrm>
          <a:off x="6391275" y="3735895500"/>
          <a:ext cx="1839594" cy="0"/>
        </a:xfrm>
        <a:custGeom>
          <a:avLst/>
          <a:gdLst/>
          <a:ahLst/>
          <a:cxnLst/>
          <a:rect l="0" t="0" r="0" b="0"/>
          <a:pathLst>
            <a:path w="1842770">
              <a:moveTo>
                <a:pt x="0" y="0"/>
              </a:moveTo>
              <a:lnTo>
                <a:pt x="1842770" y="0"/>
              </a:lnTo>
            </a:path>
          </a:pathLst>
        </a:custGeom>
        <a:ln w="6096">
          <a:solidFill>
            <a:srgbClr val="000000"/>
          </a:solidFill>
        </a:ln>
      </xdr:spPr>
    </xdr:sp>
    <xdr:clientData/>
  </xdr:twoCellAnchor>
  <xdr:twoCellAnchor editAs="oneCell">
    <xdr:from>
      <xdr:col>5</xdr:col>
      <xdr:colOff>0</xdr:colOff>
      <xdr:row>2296</xdr:row>
      <xdr:rowOff>0</xdr:rowOff>
    </xdr:from>
    <xdr:to>
      <xdr:col>7</xdr:col>
      <xdr:colOff>487044</xdr:colOff>
      <xdr:row>2296</xdr:row>
      <xdr:rowOff>0</xdr:rowOff>
    </xdr:to>
    <xdr:sp macro="" textlink="">
      <xdr:nvSpPr>
        <xdr:cNvPr id="124" name="Shape 70">
          <a:extLst>
            <a:ext uri="{FF2B5EF4-FFF2-40B4-BE49-F238E27FC236}">
              <a16:creationId xmlns:a16="http://schemas.microsoft.com/office/drawing/2014/main" id="{00000000-0008-0000-1700-00007C000000}"/>
            </a:ext>
          </a:extLst>
        </xdr:cNvPr>
        <xdr:cNvSpPr/>
      </xdr:nvSpPr>
      <xdr:spPr>
        <a:xfrm>
          <a:off x="6391275" y="3735895500"/>
          <a:ext cx="1839594" cy="0"/>
        </a:xfrm>
        <a:custGeom>
          <a:avLst/>
          <a:gdLst/>
          <a:ahLst/>
          <a:cxnLst/>
          <a:rect l="0" t="0" r="0" b="0"/>
          <a:pathLst>
            <a:path w="1842770">
              <a:moveTo>
                <a:pt x="0" y="0"/>
              </a:moveTo>
              <a:lnTo>
                <a:pt x="1842770" y="0"/>
              </a:lnTo>
            </a:path>
          </a:pathLst>
        </a:custGeom>
        <a:ln w="6096">
          <a:solidFill>
            <a:srgbClr val="000000"/>
          </a:solidFill>
        </a:ln>
      </xdr:spPr>
    </xdr:sp>
    <xdr:clientData/>
  </xdr:twoCellAnchor>
  <xdr:twoCellAnchor editAs="oneCell">
    <xdr:from>
      <xdr:col>5</xdr:col>
      <xdr:colOff>0</xdr:colOff>
      <xdr:row>2296</xdr:row>
      <xdr:rowOff>0</xdr:rowOff>
    </xdr:from>
    <xdr:to>
      <xdr:col>7</xdr:col>
      <xdr:colOff>487044</xdr:colOff>
      <xdr:row>2296</xdr:row>
      <xdr:rowOff>0</xdr:rowOff>
    </xdr:to>
    <xdr:sp macro="" textlink="">
      <xdr:nvSpPr>
        <xdr:cNvPr id="125" name="Shape 72">
          <a:extLst>
            <a:ext uri="{FF2B5EF4-FFF2-40B4-BE49-F238E27FC236}">
              <a16:creationId xmlns:a16="http://schemas.microsoft.com/office/drawing/2014/main" id="{00000000-0008-0000-1700-00007D000000}"/>
            </a:ext>
          </a:extLst>
        </xdr:cNvPr>
        <xdr:cNvSpPr/>
      </xdr:nvSpPr>
      <xdr:spPr>
        <a:xfrm>
          <a:off x="6391275" y="3735895500"/>
          <a:ext cx="1839594" cy="0"/>
        </a:xfrm>
        <a:custGeom>
          <a:avLst/>
          <a:gdLst/>
          <a:ahLst/>
          <a:cxnLst/>
          <a:rect l="0" t="0" r="0" b="0"/>
          <a:pathLst>
            <a:path w="1842770">
              <a:moveTo>
                <a:pt x="0" y="0"/>
              </a:moveTo>
              <a:lnTo>
                <a:pt x="1842770" y="0"/>
              </a:lnTo>
            </a:path>
          </a:pathLst>
        </a:custGeom>
        <a:ln w="6095">
          <a:solidFill>
            <a:srgbClr val="000000"/>
          </a:solidFill>
        </a:ln>
      </xdr:spPr>
    </xdr:sp>
    <xdr:clientData/>
  </xdr:twoCellAnchor>
  <xdr:twoCellAnchor editAs="oneCell">
    <xdr:from>
      <xdr:col>5</xdr:col>
      <xdr:colOff>0</xdr:colOff>
      <xdr:row>2296</xdr:row>
      <xdr:rowOff>0</xdr:rowOff>
    </xdr:from>
    <xdr:to>
      <xdr:col>7</xdr:col>
      <xdr:colOff>487044</xdr:colOff>
      <xdr:row>2296</xdr:row>
      <xdr:rowOff>0</xdr:rowOff>
    </xdr:to>
    <xdr:sp macro="" textlink="">
      <xdr:nvSpPr>
        <xdr:cNvPr id="126" name="Shape 74">
          <a:extLst>
            <a:ext uri="{FF2B5EF4-FFF2-40B4-BE49-F238E27FC236}">
              <a16:creationId xmlns:a16="http://schemas.microsoft.com/office/drawing/2014/main" id="{00000000-0008-0000-1700-00007E000000}"/>
            </a:ext>
          </a:extLst>
        </xdr:cNvPr>
        <xdr:cNvSpPr/>
      </xdr:nvSpPr>
      <xdr:spPr>
        <a:xfrm>
          <a:off x="6391275" y="3735895500"/>
          <a:ext cx="1839594" cy="0"/>
        </a:xfrm>
        <a:custGeom>
          <a:avLst/>
          <a:gdLst/>
          <a:ahLst/>
          <a:cxnLst/>
          <a:rect l="0" t="0" r="0" b="0"/>
          <a:pathLst>
            <a:path w="1842770">
              <a:moveTo>
                <a:pt x="0" y="0"/>
              </a:moveTo>
              <a:lnTo>
                <a:pt x="1842770" y="0"/>
              </a:lnTo>
            </a:path>
          </a:pathLst>
        </a:custGeom>
        <a:ln w="6095">
          <a:solidFill>
            <a:srgbClr val="000000"/>
          </a:solidFill>
        </a:ln>
      </xdr:spPr>
    </xdr:sp>
    <xdr:clientData/>
  </xdr:twoCellAnchor>
  <xdr:twoCellAnchor editAs="oneCell">
    <xdr:from>
      <xdr:col>3</xdr:col>
      <xdr:colOff>0</xdr:colOff>
      <xdr:row>2296</xdr:row>
      <xdr:rowOff>0</xdr:rowOff>
    </xdr:from>
    <xdr:to>
      <xdr:col>4</xdr:col>
      <xdr:colOff>729615</xdr:colOff>
      <xdr:row>2296</xdr:row>
      <xdr:rowOff>0</xdr:rowOff>
    </xdr:to>
    <xdr:sp macro="" textlink="">
      <xdr:nvSpPr>
        <xdr:cNvPr id="127" name="Shape 75">
          <a:extLst>
            <a:ext uri="{FF2B5EF4-FFF2-40B4-BE49-F238E27FC236}">
              <a16:creationId xmlns:a16="http://schemas.microsoft.com/office/drawing/2014/main" id="{00000000-0008-0000-1700-00007F000000}"/>
            </a:ext>
          </a:extLst>
        </xdr:cNvPr>
        <xdr:cNvSpPr/>
      </xdr:nvSpPr>
      <xdr:spPr>
        <a:xfrm>
          <a:off x="1752600" y="3735895500"/>
          <a:ext cx="1748790" cy="0"/>
        </a:xfrm>
        <a:custGeom>
          <a:avLst/>
          <a:gdLst/>
          <a:ahLst/>
          <a:cxnLst/>
          <a:rect l="0" t="0" r="0" b="0"/>
          <a:pathLst>
            <a:path w="1329690">
              <a:moveTo>
                <a:pt x="0" y="0"/>
              </a:moveTo>
              <a:lnTo>
                <a:pt x="1329182" y="0"/>
              </a:lnTo>
            </a:path>
          </a:pathLst>
        </a:custGeom>
        <a:ln w="6095">
          <a:solidFill>
            <a:srgbClr val="000000"/>
          </a:solidFill>
        </a:ln>
      </xdr:spPr>
    </xdr:sp>
    <xdr:clientData/>
  </xdr:twoCellAnchor>
  <xdr:twoCellAnchor editAs="oneCell">
    <xdr:from>
      <xdr:col>5</xdr:col>
      <xdr:colOff>0</xdr:colOff>
      <xdr:row>2296</xdr:row>
      <xdr:rowOff>0</xdr:rowOff>
    </xdr:from>
    <xdr:to>
      <xdr:col>7</xdr:col>
      <xdr:colOff>487044</xdr:colOff>
      <xdr:row>2296</xdr:row>
      <xdr:rowOff>0</xdr:rowOff>
    </xdr:to>
    <xdr:sp macro="" textlink="">
      <xdr:nvSpPr>
        <xdr:cNvPr id="128" name="Shape 76">
          <a:extLst>
            <a:ext uri="{FF2B5EF4-FFF2-40B4-BE49-F238E27FC236}">
              <a16:creationId xmlns:a16="http://schemas.microsoft.com/office/drawing/2014/main" id="{00000000-0008-0000-1700-000080000000}"/>
            </a:ext>
          </a:extLst>
        </xdr:cNvPr>
        <xdr:cNvSpPr/>
      </xdr:nvSpPr>
      <xdr:spPr>
        <a:xfrm>
          <a:off x="6391275" y="3735895500"/>
          <a:ext cx="1839594" cy="0"/>
        </a:xfrm>
        <a:custGeom>
          <a:avLst/>
          <a:gdLst/>
          <a:ahLst/>
          <a:cxnLst/>
          <a:rect l="0" t="0" r="0" b="0"/>
          <a:pathLst>
            <a:path w="1842770">
              <a:moveTo>
                <a:pt x="0" y="0"/>
              </a:moveTo>
              <a:lnTo>
                <a:pt x="1842770" y="0"/>
              </a:lnTo>
            </a:path>
          </a:pathLst>
        </a:custGeom>
        <a:ln w="6095">
          <a:solidFill>
            <a:srgbClr val="000000"/>
          </a:solidFill>
        </a:ln>
      </xdr:spPr>
    </xdr:sp>
    <xdr:clientData/>
  </xdr:twoCellAnchor>
  <xdr:twoCellAnchor editAs="oneCell">
    <xdr:from>
      <xdr:col>5</xdr:col>
      <xdr:colOff>0</xdr:colOff>
      <xdr:row>2296</xdr:row>
      <xdr:rowOff>0</xdr:rowOff>
    </xdr:from>
    <xdr:to>
      <xdr:col>7</xdr:col>
      <xdr:colOff>487044</xdr:colOff>
      <xdr:row>2296</xdr:row>
      <xdr:rowOff>0</xdr:rowOff>
    </xdr:to>
    <xdr:sp macro="" textlink="">
      <xdr:nvSpPr>
        <xdr:cNvPr id="129" name="Shape 110">
          <a:extLst>
            <a:ext uri="{FF2B5EF4-FFF2-40B4-BE49-F238E27FC236}">
              <a16:creationId xmlns:a16="http://schemas.microsoft.com/office/drawing/2014/main" id="{00000000-0008-0000-1700-000081000000}"/>
            </a:ext>
          </a:extLst>
        </xdr:cNvPr>
        <xdr:cNvSpPr/>
      </xdr:nvSpPr>
      <xdr:spPr>
        <a:xfrm>
          <a:off x="6391275" y="3735895500"/>
          <a:ext cx="1839594" cy="0"/>
        </a:xfrm>
        <a:custGeom>
          <a:avLst/>
          <a:gdLst/>
          <a:ahLst/>
          <a:cxnLst/>
          <a:rect l="0" t="0" r="0" b="0"/>
          <a:pathLst>
            <a:path w="1842770">
              <a:moveTo>
                <a:pt x="0" y="0"/>
              </a:moveTo>
              <a:lnTo>
                <a:pt x="1842770" y="0"/>
              </a:lnTo>
            </a:path>
          </a:pathLst>
        </a:custGeom>
        <a:ln w="6096">
          <a:solidFill>
            <a:srgbClr val="000000"/>
          </a:solidFill>
        </a:ln>
      </xdr:spPr>
    </xdr:sp>
    <xdr:clientData/>
  </xdr:twoCellAnchor>
  <xdr:twoCellAnchor editAs="oneCell">
    <xdr:from>
      <xdr:col>0</xdr:col>
      <xdr:colOff>0</xdr:colOff>
      <xdr:row>2296</xdr:row>
      <xdr:rowOff>0</xdr:rowOff>
    </xdr:from>
    <xdr:to>
      <xdr:col>4</xdr:col>
      <xdr:colOff>2540951</xdr:colOff>
      <xdr:row>2296</xdr:row>
      <xdr:rowOff>0</xdr:rowOff>
    </xdr:to>
    <xdr:sp macro="" textlink="">
      <xdr:nvSpPr>
        <xdr:cNvPr id="130" name="Shape 112">
          <a:extLst>
            <a:ext uri="{FF2B5EF4-FFF2-40B4-BE49-F238E27FC236}">
              <a16:creationId xmlns:a16="http://schemas.microsoft.com/office/drawing/2014/main" id="{00000000-0008-0000-1700-000082000000}"/>
            </a:ext>
          </a:extLst>
        </xdr:cNvPr>
        <xdr:cNvSpPr/>
      </xdr:nvSpPr>
      <xdr:spPr>
        <a:xfrm>
          <a:off x="0" y="3735895500"/>
          <a:ext cx="5312726" cy="0"/>
        </a:xfrm>
        <a:custGeom>
          <a:avLst/>
          <a:gdLst/>
          <a:ahLst/>
          <a:cxnLst/>
          <a:rect l="0" t="0" r="0" b="0"/>
          <a:pathLst>
            <a:path w="5190490">
              <a:moveTo>
                <a:pt x="0" y="0"/>
              </a:moveTo>
              <a:lnTo>
                <a:pt x="5190310" y="0"/>
              </a:lnTo>
            </a:path>
          </a:pathLst>
        </a:custGeom>
        <a:ln w="9155">
          <a:solidFill>
            <a:srgbClr val="000000"/>
          </a:solidFill>
        </a:ln>
      </xdr:spPr>
    </xdr:sp>
    <xdr:clientData/>
  </xdr:twoCellAnchor>
  <xdr:twoCellAnchor editAs="oneCell">
    <xdr:from>
      <xdr:col>0</xdr:col>
      <xdr:colOff>0</xdr:colOff>
      <xdr:row>2296</xdr:row>
      <xdr:rowOff>0</xdr:rowOff>
    </xdr:from>
    <xdr:to>
      <xdr:col>4</xdr:col>
      <xdr:colOff>2742247</xdr:colOff>
      <xdr:row>2296</xdr:row>
      <xdr:rowOff>0</xdr:rowOff>
    </xdr:to>
    <xdr:sp macro="" textlink="">
      <xdr:nvSpPr>
        <xdr:cNvPr id="131" name="Shape 113">
          <a:extLst>
            <a:ext uri="{FF2B5EF4-FFF2-40B4-BE49-F238E27FC236}">
              <a16:creationId xmlns:a16="http://schemas.microsoft.com/office/drawing/2014/main" id="{00000000-0008-0000-1700-000083000000}"/>
            </a:ext>
          </a:extLst>
        </xdr:cNvPr>
        <xdr:cNvSpPr/>
      </xdr:nvSpPr>
      <xdr:spPr>
        <a:xfrm>
          <a:off x="0" y="3735895500"/>
          <a:ext cx="5514022" cy="0"/>
        </a:xfrm>
        <a:custGeom>
          <a:avLst/>
          <a:gdLst/>
          <a:ahLst/>
          <a:cxnLst/>
          <a:rect l="0" t="0" r="0" b="0"/>
          <a:pathLst>
            <a:path w="5398135">
              <a:moveTo>
                <a:pt x="0" y="0"/>
              </a:moveTo>
              <a:lnTo>
                <a:pt x="5397922" y="0"/>
              </a:lnTo>
            </a:path>
          </a:pathLst>
        </a:custGeom>
        <a:ln w="9155">
          <a:solidFill>
            <a:srgbClr val="000000"/>
          </a:solidFill>
        </a:ln>
      </xdr:spPr>
    </xdr:sp>
    <xdr:clientData/>
  </xdr:twoCellAnchor>
  <xdr:twoCellAnchor editAs="oneCell">
    <xdr:from>
      <xdr:col>0</xdr:col>
      <xdr:colOff>0</xdr:colOff>
      <xdr:row>2296</xdr:row>
      <xdr:rowOff>0</xdr:rowOff>
    </xdr:from>
    <xdr:to>
      <xdr:col>0</xdr:col>
      <xdr:colOff>128270</xdr:colOff>
      <xdr:row>2296</xdr:row>
      <xdr:rowOff>0</xdr:rowOff>
    </xdr:to>
    <xdr:sp macro="" textlink="">
      <xdr:nvSpPr>
        <xdr:cNvPr id="132" name="Shape 115">
          <a:extLst>
            <a:ext uri="{FF2B5EF4-FFF2-40B4-BE49-F238E27FC236}">
              <a16:creationId xmlns:a16="http://schemas.microsoft.com/office/drawing/2014/main" id="{00000000-0008-0000-1700-000084000000}"/>
            </a:ext>
          </a:extLst>
        </xdr:cNvPr>
        <xdr:cNvSpPr/>
      </xdr:nvSpPr>
      <xdr:spPr>
        <a:xfrm>
          <a:off x="0" y="3735895500"/>
          <a:ext cx="128270" cy="0"/>
        </a:xfrm>
        <a:custGeom>
          <a:avLst/>
          <a:gdLst/>
          <a:ahLst/>
          <a:cxnLst/>
          <a:rect l="0" t="0" r="0" b="0"/>
          <a:pathLst>
            <a:path w="128270">
              <a:moveTo>
                <a:pt x="0" y="0"/>
              </a:moveTo>
              <a:lnTo>
                <a:pt x="127671" y="0"/>
              </a:lnTo>
            </a:path>
          </a:pathLst>
        </a:custGeom>
        <a:ln w="12715">
          <a:solidFill>
            <a:srgbClr val="0F0C0C"/>
          </a:solidFill>
        </a:ln>
      </xdr:spPr>
    </xdr:sp>
    <xdr:clientData/>
  </xdr:twoCellAnchor>
  <xdr:twoCellAnchor editAs="oneCell">
    <xdr:from>
      <xdr:col>0</xdr:col>
      <xdr:colOff>0</xdr:colOff>
      <xdr:row>2296</xdr:row>
      <xdr:rowOff>0</xdr:rowOff>
    </xdr:from>
    <xdr:to>
      <xdr:col>0</xdr:col>
      <xdr:colOff>40005</xdr:colOff>
      <xdr:row>2296</xdr:row>
      <xdr:rowOff>0</xdr:rowOff>
    </xdr:to>
    <xdr:sp macro="" textlink="">
      <xdr:nvSpPr>
        <xdr:cNvPr id="133" name="Shape 118">
          <a:extLst>
            <a:ext uri="{FF2B5EF4-FFF2-40B4-BE49-F238E27FC236}">
              <a16:creationId xmlns:a16="http://schemas.microsoft.com/office/drawing/2014/main" id="{00000000-0008-0000-1700-000085000000}"/>
            </a:ext>
          </a:extLst>
        </xdr:cNvPr>
        <xdr:cNvSpPr/>
      </xdr:nvSpPr>
      <xdr:spPr>
        <a:xfrm>
          <a:off x="0" y="3735895500"/>
          <a:ext cx="40005" cy="0"/>
        </a:xfrm>
        <a:custGeom>
          <a:avLst/>
          <a:gdLst/>
          <a:ahLst/>
          <a:cxnLst/>
          <a:rect l="0" t="0" r="0" b="0"/>
          <a:pathLst>
            <a:path w="40005">
              <a:moveTo>
                <a:pt x="0" y="0"/>
              </a:moveTo>
              <a:lnTo>
                <a:pt x="39690" y="0"/>
              </a:lnTo>
            </a:path>
          </a:pathLst>
        </a:custGeom>
        <a:ln w="12715">
          <a:solidFill>
            <a:srgbClr val="3D3434"/>
          </a:solidFill>
        </a:ln>
      </xdr:spPr>
    </xdr:sp>
    <xdr:clientData/>
  </xdr:twoCellAnchor>
  <xdr:twoCellAnchor editAs="oneCell">
    <xdr:from>
      <xdr:col>0</xdr:col>
      <xdr:colOff>0</xdr:colOff>
      <xdr:row>2296</xdr:row>
      <xdr:rowOff>0</xdr:rowOff>
    </xdr:from>
    <xdr:to>
      <xdr:col>0</xdr:col>
      <xdr:colOff>43180</xdr:colOff>
      <xdr:row>2296</xdr:row>
      <xdr:rowOff>0</xdr:rowOff>
    </xdr:to>
    <xdr:sp macro="" textlink="">
      <xdr:nvSpPr>
        <xdr:cNvPr id="134" name="Shape 119">
          <a:extLst>
            <a:ext uri="{FF2B5EF4-FFF2-40B4-BE49-F238E27FC236}">
              <a16:creationId xmlns:a16="http://schemas.microsoft.com/office/drawing/2014/main" id="{00000000-0008-0000-1700-000086000000}"/>
            </a:ext>
          </a:extLst>
        </xdr:cNvPr>
        <xdr:cNvSpPr/>
      </xdr:nvSpPr>
      <xdr:spPr>
        <a:xfrm>
          <a:off x="0" y="3735895500"/>
          <a:ext cx="43180" cy="0"/>
        </a:xfrm>
        <a:custGeom>
          <a:avLst/>
          <a:gdLst/>
          <a:ahLst/>
          <a:cxnLst/>
          <a:rect l="0" t="0" r="0" b="0"/>
          <a:pathLst>
            <a:path w="43180">
              <a:moveTo>
                <a:pt x="0" y="0"/>
              </a:moveTo>
              <a:lnTo>
                <a:pt x="42743" y="0"/>
              </a:lnTo>
            </a:path>
          </a:pathLst>
        </a:custGeom>
        <a:ln w="12715">
          <a:solidFill>
            <a:srgbClr val="3D3434"/>
          </a:solidFill>
        </a:ln>
      </xdr:spPr>
    </xdr:sp>
    <xdr:clientData/>
  </xdr:twoCellAnchor>
  <xdr:twoCellAnchor editAs="oneCell">
    <xdr:from>
      <xdr:col>0</xdr:col>
      <xdr:colOff>0</xdr:colOff>
      <xdr:row>2296</xdr:row>
      <xdr:rowOff>0</xdr:rowOff>
    </xdr:from>
    <xdr:to>
      <xdr:col>0</xdr:col>
      <xdr:colOff>46355</xdr:colOff>
      <xdr:row>2296</xdr:row>
      <xdr:rowOff>0</xdr:rowOff>
    </xdr:to>
    <xdr:sp macro="" textlink="">
      <xdr:nvSpPr>
        <xdr:cNvPr id="135" name="Shape 120">
          <a:extLst>
            <a:ext uri="{FF2B5EF4-FFF2-40B4-BE49-F238E27FC236}">
              <a16:creationId xmlns:a16="http://schemas.microsoft.com/office/drawing/2014/main" id="{00000000-0008-0000-1700-000087000000}"/>
            </a:ext>
          </a:extLst>
        </xdr:cNvPr>
        <xdr:cNvSpPr/>
      </xdr:nvSpPr>
      <xdr:spPr>
        <a:xfrm>
          <a:off x="0" y="3735895500"/>
          <a:ext cx="46355" cy="0"/>
        </a:xfrm>
        <a:custGeom>
          <a:avLst/>
          <a:gdLst/>
          <a:ahLst/>
          <a:cxnLst/>
          <a:rect l="0" t="0" r="0" b="0"/>
          <a:pathLst>
            <a:path w="46355">
              <a:moveTo>
                <a:pt x="0" y="0"/>
              </a:moveTo>
              <a:lnTo>
                <a:pt x="45796" y="0"/>
              </a:lnTo>
            </a:path>
          </a:pathLst>
        </a:custGeom>
        <a:ln w="12715">
          <a:solidFill>
            <a:srgbClr val="3D3434"/>
          </a:solidFill>
        </a:ln>
      </xdr:spPr>
    </xdr:sp>
    <xdr:clientData/>
  </xdr:twoCellAnchor>
  <xdr:twoCellAnchor editAs="oneCell">
    <xdr:from>
      <xdr:col>0</xdr:col>
      <xdr:colOff>0</xdr:colOff>
      <xdr:row>2296</xdr:row>
      <xdr:rowOff>0</xdr:rowOff>
    </xdr:from>
    <xdr:to>
      <xdr:col>0</xdr:col>
      <xdr:colOff>70485</xdr:colOff>
      <xdr:row>2296</xdr:row>
      <xdr:rowOff>0</xdr:rowOff>
    </xdr:to>
    <xdr:sp macro="" textlink="">
      <xdr:nvSpPr>
        <xdr:cNvPr id="136" name="Shape 121">
          <a:extLst>
            <a:ext uri="{FF2B5EF4-FFF2-40B4-BE49-F238E27FC236}">
              <a16:creationId xmlns:a16="http://schemas.microsoft.com/office/drawing/2014/main" id="{00000000-0008-0000-1700-000088000000}"/>
            </a:ext>
          </a:extLst>
        </xdr:cNvPr>
        <xdr:cNvSpPr/>
      </xdr:nvSpPr>
      <xdr:spPr>
        <a:xfrm>
          <a:off x="0" y="3735895500"/>
          <a:ext cx="70485" cy="0"/>
        </a:xfrm>
        <a:custGeom>
          <a:avLst/>
          <a:gdLst/>
          <a:ahLst/>
          <a:cxnLst/>
          <a:rect l="0" t="0" r="0" b="0"/>
          <a:pathLst>
            <a:path w="70485">
              <a:moveTo>
                <a:pt x="0" y="0"/>
              </a:moveTo>
              <a:lnTo>
                <a:pt x="70221" y="0"/>
              </a:lnTo>
            </a:path>
          </a:pathLst>
        </a:custGeom>
        <a:ln w="12715">
          <a:solidFill>
            <a:srgbClr val="231C1C"/>
          </a:solidFill>
        </a:ln>
      </xdr:spPr>
    </xdr:sp>
    <xdr:clientData/>
  </xdr:twoCellAnchor>
  <xdr:twoCellAnchor editAs="oneCell">
    <xdr:from>
      <xdr:col>0</xdr:col>
      <xdr:colOff>0</xdr:colOff>
      <xdr:row>2296</xdr:row>
      <xdr:rowOff>0</xdr:rowOff>
    </xdr:from>
    <xdr:to>
      <xdr:col>1</xdr:col>
      <xdr:colOff>121920</xdr:colOff>
      <xdr:row>2296</xdr:row>
      <xdr:rowOff>0</xdr:rowOff>
    </xdr:to>
    <xdr:sp macro="" textlink="">
      <xdr:nvSpPr>
        <xdr:cNvPr id="137" name="Shape 122">
          <a:extLst>
            <a:ext uri="{FF2B5EF4-FFF2-40B4-BE49-F238E27FC236}">
              <a16:creationId xmlns:a16="http://schemas.microsoft.com/office/drawing/2014/main" id="{00000000-0008-0000-1700-000089000000}"/>
            </a:ext>
          </a:extLst>
        </xdr:cNvPr>
        <xdr:cNvSpPr/>
      </xdr:nvSpPr>
      <xdr:spPr>
        <a:xfrm>
          <a:off x="0" y="3735895500"/>
          <a:ext cx="455295" cy="0"/>
        </a:xfrm>
        <a:custGeom>
          <a:avLst/>
          <a:gdLst/>
          <a:ahLst/>
          <a:cxnLst/>
          <a:rect l="0" t="0" r="0" b="0"/>
          <a:pathLst>
            <a:path w="452120">
              <a:moveTo>
                <a:pt x="0" y="0"/>
              </a:moveTo>
              <a:lnTo>
                <a:pt x="451862" y="0"/>
              </a:lnTo>
            </a:path>
          </a:pathLst>
        </a:custGeom>
        <a:ln w="12715">
          <a:solidFill>
            <a:srgbClr val="110C0C"/>
          </a:solidFill>
        </a:ln>
      </xdr:spPr>
    </xdr:sp>
    <xdr:clientData/>
  </xdr:twoCellAnchor>
  <xdr:twoCellAnchor editAs="oneCell">
    <xdr:from>
      <xdr:col>0</xdr:col>
      <xdr:colOff>0</xdr:colOff>
      <xdr:row>2296</xdr:row>
      <xdr:rowOff>0</xdr:rowOff>
    </xdr:from>
    <xdr:to>
      <xdr:col>1</xdr:col>
      <xdr:colOff>55245</xdr:colOff>
      <xdr:row>2296</xdr:row>
      <xdr:rowOff>0</xdr:rowOff>
    </xdr:to>
    <xdr:sp macro="" textlink="">
      <xdr:nvSpPr>
        <xdr:cNvPr id="138" name="Shape 123">
          <a:extLst>
            <a:ext uri="{FF2B5EF4-FFF2-40B4-BE49-F238E27FC236}">
              <a16:creationId xmlns:a16="http://schemas.microsoft.com/office/drawing/2014/main" id="{00000000-0008-0000-1700-00008A000000}"/>
            </a:ext>
          </a:extLst>
        </xdr:cNvPr>
        <xdr:cNvSpPr/>
      </xdr:nvSpPr>
      <xdr:spPr>
        <a:xfrm>
          <a:off x="0" y="3735895500"/>
          <a:ext cx="388620" cy="0"/>
        </a:xfrm>
        <a:custGeom>
          <a:avLst/>
          <a:gdLst/>
          <a:ahLst/>
          <a:cxnLst/>
          <a:rect l="0" t="0" r="0" b="0"/>
          <a:pathLst>
            <a:path w="372745">
              <a:moveTo>
                <a:pt x="0" y="0"/>
              </a:moveTo>
              <a:lnTo>
                <a:pt x="372481" y="0"/>
              </a:lnTo>
            </a:path>
          </a:pathLst>
        </a:custGeom>
        <a:ln w="12715">
          <a:solidFill>
            <a:srgbClr val="110C0C"/>
          </a:solidFill>
        </a:ln>
      </xdr:spPr>
    </xdr:sp>
    <xdr:clientData/>
  </xdr:twoCellAnchor>
  <xdr:twoCellAnchor editAs="oneCell">
    <xdr:from>
      <xdr:col>0</xdr:col>
      <xdr:colOff>0</xdr:colOff>
      <xdr:row>2296</xdr:row>
      <xdr:rowOff>0</xdr:rowOff>
    </xdr:from>
    <xdr:to>
      <xdr:col>0</xdr:col>
      <xdr:colOff>43180</xdr:colOff>
      <xdr:row>2296</xdr:row>
      <xdr:rowOff>0</xdr:rowOff>
    </xdr:to>
    <xdr:sp macro="" textlink="">
      <xdr:nvSpPr>
        <xdr:cNvPr id="139" name="Shape 124">
          <a:extLst>
            <a:ext uri="{FF2B5EF4-FFF2-40B4-BE49-F238E27FC236}">
              <a16:creationId xmlns:a16="http://schemas.microsoft.com/office/drawing/2014/main" id="{00000000-0008-0000-1700-00008B000000}"/>
            </a:ext>
          </a:extLst>
        </xdr:cNvPr>
        <xdr:cNvSpPr/>
      </xdr:nvSpPr>
      <xdr:spPr>
        <a:xfrm>
          <a:off x="0" y="3735895500"/>
          <a:ext cx="43180" cy="0"/>
        </a:xfrm>
        <a:custGeom>
          <a:avLst/>
          <a:gdLst/>
          <a:ahLst/>
          <a:cxnLst/>
          <a:rect l="0" t="0" r="0" b="0"/>
          <a:pathLst>
            <a:path w="43180">
              <a:moveTo>
                <a:pt x="0" y="0"/>
              </a:moveTo>
              <a:lnTo>
                <a:pt x="42743" y="0"/>
              </a:lnTo>
            </a:path>
          </a:pathLst>
        </a:custGeom>
        <a:ln w="12715">
          <a:solidFill>
            <a:srgbClr val="231C1C"/>
          </a:solidFill>
        </a:ln>
      </xdr:spPr>
    </xdr:sp>
    <xdr:clientData/>
  </xdr:twoCellAnchor>
  <xdr:twoCellAnchor editAs="oneCell">
    <xdr:from>
      <xdr:col>0</xdr:col>
      <xdr:colOff>0</xdr:colOff>
      <xdr:row>2296</xdr:row>
      <xdr:rowOff>0</xdr:rowOff>
    </xdr:from>
    <xdr:to>
      <xdr:col>0</xdr:col>
      <xdr:colOff>40005</xdr:colOff>
      <xdr:row>2296</xdr:row>
      <xdr:rowOff>0</xdr:rowOff>
    </xdr:to>
    <xdr:sp macro="" textlink="">
      <xdr:nvSpPr>
        <xdr:cNvPr id="140" name="Shape 125">
          <a:extLst>
            <a:ext uri="{FF2B5EF4-FFF2-40B4-BE49-F238E27FC236}">
              <a16:creationId xmlns:a16="http://schemas.microsoft.com/office/drawing/2014/main" id="{00000000-0008-0000-1700-00008C000000}"/>
            </a:ext>
          </a:extLst>
        </xdr:cNvPr>
        <xdr:cNvSpPr/>
      </xdr:nvSpPr>
      <xdr:spPr>
        <a:xfrm>
          <a:off x="0" y="3735895500"/>
          <a:ext cx="40005" cy="0"/>
        </a:xfrm>
        <a:custGeom>
          <a:avLst/>
          <a:gdLst/>
          <a:ahLst/>
          <a:cxnLst/>
          <a:rect l="0" t="0" r="0" b="0"/>
          <a:pathLst>
            <a:path w="40005">
              <a:moveTo>
                <a:pt x="0" y="0"/>
              </a:moveTo>
              <a:lnTo>
                <a:pt x="39690" y="0"/>
              </a:lnTo>
            </a:path>
          </a:pathLst>
        </a:custGeom>
        <a:ln w="12715">
          <a:solidFill>
            <a:srgbClr val="231C1C"/>
          </a:solidFill>
        </a:ln>
      </xdr:spPr>
    </xdr:sp>
    <xdr:clientData/>
  </xdr:twoCellAnchor>
  <xdr:twoCellAnchor editAs="oneCell">
    <xdr:from>
      <xdr:col>0</xdr:col>
      <xdr:colOff>0</xdr:colOff>
      <xdr:row>2296</xdr:row>
      <xdr:rowOff>0</xdr:rowOff>
    </xdr:from>
    <xdr:to>
      <xdr:col>1</xdr:col>
      <xdr:colOff>146684</xdr:colOff>
      <xdr:row>2296</xdr:row>
      <xdr:rowOff>0</xdr:rowOff>
    </xdr:to>
    <xdr:sp macro="" textlink="">
      <xdr:nvSpPr>
        <xdr:cNvPr id="141" name="Shape 126">
          <a:extLst>
            <a:ext uri="{FF2B5EF4-FFF2-40B4-BE49-F238E27FC236}">
              <a16:creationId xmlns:a16="http://schemas.microsoft.com/office/drawing/2014/main" id="{00000000-0008-0000-1700-00008D000000}"/>
            </a:ext>
          </a:extLst>
        </xdr:cNvPr>
        <xdr:cNvSpPr/>
      </xdr:nvSpPr>
      <xdr:spPr>
        <a:xfrm>
          <a:off x="0" y="3735895500"/>
          <a:ext cx="480059" cy="0"/>
        </a:xfrm>
        <a:custGeom>
          <a:avLst/>
          <a:gdLst/>
          <a:ahLst/>
          <a:cxnLst/>
          <a:rect l="0" t="0" r="0" b="0"/>
          <a:pathLst>
            <a:path w="476884">
              <a:moveTo>
                <a:pt x="0" y="0"/>
              </a:moveTo>
              <a:lnTo>
                <a:pt x="476287" y="0"/>
              </a:lnTo>
            </a:path>
          </a:pathLst>
        </a:custGeom>
        <a:ln w="12715">
          <a:solidFill>
            <a:srgbClr val="110C0C"/>
          </a:solidFill>
        </a:ln>
      </xdr:spPr>
    </xdr:sp>
    <xdr:clientData/>
  </xdr:twoCellAnchor>
  <xdr:twoCellAnchor editAs="oneCell">
    <xdr:from>
      <xdr:col>0</xdr:col>
      <xdr:colOff>0</xdr:colOff>
      <xdr:row>2296</xdr:row>
      <xdr:rowOff>0</xdr:rowOff>
    </xdr:from>
    <xdr:to>
      <xdr:col>1</xdr:col>
      <xdr:colOff>457834</xdr:colOff>
      <xdr:row>2296</xdr:row>
      <xdr:rowOff>0</xdr:rowOff>
    </xdr:to>
    <xdr:sp macro="" textlink="">
      <xdr:nvSpPr>
        <xdr:cNvPr id="142" name="Shape 127">
          <a:extLst>
            <a:ext uri="{FF2B5EF4-FFF2-40B4-BE49-F238E27FC236}">
              <a16:creationId xmlns:a16="http://schemas.microsoft.com/office/drawing/2014/main" id="{00000000-0008-0000-1700-00008E000000}"/>
            </a:ext>
          </a:extLst>
        </xdr:cNvPr>
        <xdr:cNvSpPr/>
      </xdr:nvSpPr>
      <xdr:spPr>
        <a:xfrm>
          <a:off x="0" y="3735895500"/>
          <a:ext cx="791209" cy="0"/>
        </a:xfrm>
        <a:custGeom>
          <a:avLst/>
          <a:gdLst/>
          <a:ahLst/>
          <a:cxnLst/>
          <a:rect l="0" t="0" r="0" b="0"/>
          <a:pathLst>
            <a:path w="788035">
              <a:moveTo>
                <a:pt x="0" y="0"/>
              </a:moveTo>
              <a:lnTo>
                <a:pt x="787705" y="0"/>
              </a:lnTo>
            </a:path>
          </a:pathLst>
        </a:custGeom>
        <a:ln w="12715">
          <a:solidFill>
            <a:srgbClr val="110C0C"/>
          </a:solidFill>
        </a:ln>
      </xdr:spPr>
    </xdr:sp>
    <xdr:clientData/>
  </xdr:twoCellAnchor>
  <xdr:twoCellAnchor editAs="oneCell">
    <xdr:from>
      <xdr:col>0</xdr:col>
      <xdr:colOff>4579</xdr:colOff>
      <xdr:row>2296</xdr:row>
      <xdr:rowOff>0</xdr:rowOff>
    </xdr:from>
    <xdr:to>
      <xdr:col>0</xdr:col>
      <xdr:colOff>4579</xdr:colOff>
      <xdr:row>2298</xdr:row>
      <xdr:rowOff>80011</xdr:rowOff>
    </xdr:to>
    <xdr:sp macro="" textlink="">
      <xdr:nvSpPr>
        <xdr:cNvPr id="143" name="Shape 133">
          <a:extLst>
            <a:ext uri="{FF2B5EF4-FFF2-40B4-BE49-F238E27FC236}">
              <a16:creationId xmlns:a16="http://schemas.microsoft.com/office/drawing/2014/main" id="{00000000-0008-0000-1700-00008F000000}"/>
            </a:ext>
          </a:extLst>
        </xdr:cNvPr>
        <xdr:cNvSpPr/>
      </xdr:nvSpPr>
      <xdr:spPr>
        <a:xfrm>
          <a:off x="4579" y="3735895500"/>
          <a:ext cx="0" cy="6938009"/>
        </a:xfrm>
        <a:custGeom>
          <a:avLst/>
          <a:gdLst/>
          <a:ahLst/>
          <a:cxnLst/>
          <a:rect l="0" t="0" r="0" b="0"/>
          <a:pathLst>
            <a:path h="461009">
              <a:moveTo>
                <a:pt x="0" y="460816"/>
              </a:moveTo>
              <a:lnTo>
                <a:pt x="0" y="0"/>
              </a:lnTo>
            </a:path>
          </a:pathLst>
        </a:custGeom>
        <a:ln w="9159">
          <a:solidFill>
            <a:srgbClr val="000000"/>
          </a:solidFill>
        </a:ln>
      </xdr:spPr>
    </xdr:sp>
    <xdr:clientData/>
  </xdr:twoCellAnchor>
  <xdr:twoCellAnchor editAs="oneCell">
    <xdr:from>
      <xdr:col>0</xdr:col>
      <xdr:colOff>0</xdr:colOff>
      <xdr:row>2296</xdr:row>
      <xdr:rowOff>0</xdr:rowOff>
    </xdr:from>
    <xdr:to>
      <xdr:col>0</xdr:col>
      <xdr:colOff>40005</xdr:colOff>
      <xdr:row>2296</xdr:row>
      <xdr:rowOff>0</xdr:rowOff>
    </xdr:to>
    <xdr:sp macro="" textlink="">
      <xdr:nvSpPr>
        <xdr:cNvPr id="144" name="Shape 144">
          <a:extLst>
            <a:ext uri="{FF2B5EF4-FFF2-40B4-BE49-F238E27FC236}">
              <a16:creationId xmlns:a16="http://schemas.microsoft.com/office/drawing/2014/main" id="{00000000-0008-0000-1700-000090000000}"/>
            </a:ext>
          </a:extLst>
        </xdr:cNvPr>
        <xdr:cNvSpPr/>
      </xdr:nvSpPr>
      <xdr:spPr>
        <a:xfrm>
          <a:off x="0" y="3735895500"/>
          <a:ext cx="40005" cy="0"/>
        </a:xfrm>
        <a:custGeom>
          <a:avLst/>
          <a:gdLst/>
          <a:ahLst/>
          <a:cxnLst/>
          <a:rect l="0" t="0" r="0" b="0"/>
          <a:pathLst>
            <a:path w="40005">
              <a:moveTo>
                <a:pt x="0" y="0"/>
              </a:moveTo>
              <a:lnTo>
                <a:pt x="39690" y="0"/>
              </a:lnTo>
            </a:path>
          </a:pathLst>
        </a:custGeom>
        <a:ln w="12715">
          <a:solidFill>
            <a:srgbClr val="0A0808"/>
          </a:solidFill>
        </a:ln>
      </xdr:spPr>
    </xdr:sp>
    <xdr:clientData/>
  </xdr:twoCellAnchor>
  <xdr:twoCellAnchor editAs="oneCell">
    <xdr:from>
      <xdr:col>0</xdr:col>
      <xdr:colOff>0</xdr:colOff>
      <xdr:row>2296</xdr:row>
      <xdr:rowOff>0</xdr:rowOff>
    </xdr:from>
    <xdr:to>
      <xdr:col>0</xdr:col>
      <xdr:colOff>27305</xdr:colOff>
      <xdr:row>2296</xdr:row>
      <xdr:rowOff>53974</xdr:rowOff>
    </xdr:to>
    <xdr:sp macro="" textlink="">
      <xdr:nvSpPr>
        <xdr:cNvPr id="145" name="Textbox 145">
          <a:extLst>
            <a:ext uri="{FF2B5EF4-FFF2-40B4-BE49-F238E27FC236}">
              <a16:creationId xmlns:a16="http://schemas.microsoft.com/office/drawing/2014/main" id="{00000000-0008-0000-1700-000091000000}"/>
            </a:ext>
          </a:extLst>
        </xdr:cNvPr>
        <xdr:cNvSpPr txBox="1"/>
      </xdr:nvSpPr>
      <xdr:spPr>
        <a:xfrm>
          <a:off x="0" y="3735895500"/>
          <a:ext cx="27305" cy="53974"/>
        </a:xfrm>
        <a:prstGeom prst="rect">
          <a:avLst/>
        </a:prstGeom>
      </xdr:spPr>
      <xdr:txBody>
        <a:bodyPr vertOverflow="clip" lIns="0" tIns="0" rIns="0" bIns="0" anchor="t"/>
        <a:lstStyle/>
        <a:p>
          <a:r>
            <a:rPr sz="450" b="0" spc="-5">
              <a:solidFill>
                <a:srgbClr val="0A0808"/>
              </a:solidFill>
              <a:latin typeface="Times New Roman"/>
              <a:cs typeface="Times New Roman"/>
            </a:rPr>
            <a:t>'</a:t>
          </a:r>
          <a:r>
            <a:rPr sz="450" b="0" spc="0">
              <a:solidFill>
                <a:srgbClr val="0A0808"/>
              </a:solidFill>
              <a:latin typeface="Times New Roman"/>
              <a:cs typeface="Times New Roman"/>
            </a:rPr>
            <a:t>\</a:t>
          </a:r>
        </a:p>
      </xdr:txBody>
    </xdr:sp>
    <xdr:clientData/>
  </xdr:twoCellAnchor>
  <xdr:twoCellAnchor editAs="oneCell">
    <xdr:from>
      <xdr:col>0</xdr:col>
      <xdr:colOff>0</xdr:colOff>
      <xdr:row>2296</xdr:row>
      <xdr:rowOff>0</xdr:rowOff>
    </xdr:from>
    <xdr:to>
      <xdr:col>0</xdr:col>
      <xdr:colOff>46355</xdr:colOff>
      <xdr:row>2296</xdr:row>
      <xdr:rowOff>0</xdr:rowOff>
    </xdr:to>
    <xdr:sp macro="" textlink="">
      <xdr:nvSpPr>
        <xdr:cNvPr id="146" name="Shape 150">
          <a:extLst>
            <a:ext uri="{FF2B5EF4-FFF2-40B4-BE49-F238E27FC236}">
              <a16:creationId xmlns:a16="http://schemas.microsoft.com/office/drawing/2014/main" id="{00000000-0008-0000-1700-000092000000}"/>
            </a:ext>
          </a:extLst>
        </xdr:cNvPr>
        <xdr:cNvSpPr/>
      </xdr:nvSpPr>
      <xdr:spPr>
        <a:xfrm>
          <a:off x="0" y="3735895500"/>
          <a:ext cx="46355" cy="0"/>
        </a:xfrm>
        <a:custGeom>
          <a:avLst/>
          <a:gdLst/>
          <a:ahLst/>
          <a:cxnLst/>
          <a:rect l="0" t="0" r="0" b="0"/>
          <a:pathLst>
            <a:path w="46355">
              <a:moveTo>
                <a:pt x="0" y="0"/>
              </a:moveTo>
              <a:lnTo>
                <a:pt x="45791" y="0"/>
              </a:lnTo>
            </a:path>
          </a:pathLst>
        </a:custGeom>
        <a:ln w="12714">
          <a:solidFill>
            <a:srgbClr val="000000"/>
          </a:solidFill>
        </a:ln>
      </xdr:spPr>
    </xdr:sp>
    <xdr:clientData/>
  </xdr:twoCellAnchor>
  <xdr:twoCellAnchor editAs="oneCell">
    <xdr:from>
      <xdr:col>0</xdr:col>
      <xdr:colOff>0</xdr:colOff>
      <xdr:row>2296</xdr:row>
      <xdr:rowOff>0</xdr:rowOff>
    </xdr:from>
    <xdr:to>
      <xdr:col>0</xdr:col>
      <xdr:colOff>48895</xdr:colOff>
      <xdr:row>2296</xdr:row>
      <xdr:rowOff>0</xdr:rowOff>
    </xdr:to>
    <xdr:sp macro="" textlink="">
      <xdr:nvSpPr>
        <xdr:cNvPr id="147" name="Shape 151">
          <a:extLst>
            <a:ext uri="{FF2B5EF4-FFF2-40B4-BE49-F238E27FC236}">
              <a16:creationId xmlns:a16="http://schemas.microsoft.com/office/drawing/2014/main" id="{00000000-0008-0000-1700-000093000000}"/>
            </a:ext>
          </a:extLst>
        </xdr:cNvPr>
        <xdr:cNvSpPr/>
      </xdr:nvSpPr>
      <xdr:spPr>
        <a:xfrm>
          <a:off x="0" y="3735895500"/>
          <a:ext cx="48895" cy="0"/>
        </a:xfrm>
        <a:custGeom>
          <a:avLst/>
          <a:gdLst/>
          <a:ahLst/>
          <a:cxnLst/>
          <a:rect l="0" t="0" r="0" b="0"/>
          <a:pathLst>
            <a:path w="48895">
              <a:moveTo>
                <a:pt x="0" y="0"/>
              </a:moveTo>
              <a:lnTo>
                <a:pt x="48844" y="0"/>
              </a:lnTo>
            </a:path>
          </a:pathLst>
        </a:custGeom>
        <a:ln w="12715">
          <a:solidFill>
            <a:srgbClr val="010101"/>
          </a:solidFill>
        </a:ln>
      </xdr:spPr>
    </xdr:sp>
    <xdr:clientData/>
  </xdr:twoCellAnchor>
  <xdr:twoCellAnchor editAs="oneCell">
    <xdr:from>
      <xdr:col>0</xdr:col>
      <xdr:colOff>0</xdr:colOff>
      <xdr:row>2296</xdr:row>
      <xdr:rowOff>0</xdr:rowOff>
    </xdr:from>
    <xdr:to>
      <xdr:col>0</xdr:col>
      <xdr:colOff>48895</xdr:colOff>
      <xdr:row>2296</xdr:row>
      <xdr:rowOff>0</xdr:rowOff>
    </xdr:to>
    <xdr:sp macro="" textlink="">
      <xdr:nvSpPr>
        <xdr:cNvPr id="148" name="Shape 152">
          <a:extLst>
            <a:ext uri="{FF2B5EF4-FFF2-40B4-BE49-F238E27FC236}">
              <a16:creationId xmlns:a16="http://schemas.microsoft.com/office/drawing/2014/main" id="{00000000-0008-0000-1700-000094000000}"/>
            </a:ext>
          </a:extLst>
        </xdr:cNvPr>
        <xdr:cNvSpPr/>
      </xdr:nvSpPr>
      <xdr:spPr>
        <a:xfrm>
          <a:off x="0" y="3735895500"/>
          <a:ext cx="48895" cy="0"/>
        </a:xfrm>
        <a:custGeom>
          <a:avLst/>
          <a:gdLst/>
          <a:ahLst/>
          <a:cxnLst/>
          <a:rect l="0" t="0" r="0" b="0"/>
          <a:pathLst>
            <a:path w="48895">
              <a:moveTo>
                <a:pt x="0" y="0"/>
              </a:moveTo>
              <a:lnTo>
                <a:pt x="48844" y="0"/>
              </a:lnTo>
            </a:path>
          </a:pathLst>
        </a:custGeom>
        <a:ln w="12715">
          <a:solidFill>
            <a:srgbClr val="010101"/>
          </a:solidFill>
        </a:ln>
      </xdr:spPr>
    </xdr:sp>
    <xdr:clientData/>
  </xdr:twoCellAnchor>
  <xdr:twoCellAnchor editAs="oneCell">
    <xdr:from>
      <xdr:col>0</xdr:col>
      <xdr:colOff>0</xdr:colOff>
      <xdr:row>2296</xdr:row>
      <xdr:rowOff>0</xdr:rowOff>
    </xdr:from>
    <xdr:to>
      <xdr:col>0</xdr:col>
      <xdr:colOff>48895</xdr:colOff>
      <xdr:row>2296</xdr:row>
      <xdr:rowOff>0</xdr:rowOff>
    </xdr:to>
    <xdr:sp macro="" textlink="">
      <xdr:nvSpPr>
        <xdr:cNvPr id="149" name="Shape 155">
          <a:extLst>
            <a:ext uri="{FF2B5EF4-FFF2-40B4-BE49-F238E27FC236}">
              <a16:creationId xmlns:a16="http://schemas.microsoft.com/office/drawing/2014/main" id="{00000000-0008-0000-1700-000095000000}"/>
            </a:ext>
          </a:extLst>
        </xdr:cNvPr>
        <xdr:cNvSpPr/>
      </xdr:nvSpPr>
      <xdr:spPr>
        <a:xfrm>
          <a:off x="0" y="3735895500"/>
          <a:ext cx="48895" cy="0"/>
        </a:xfrm>
        <a:custGeom>
          <a:avLst/>
          <a:gdLst/>
          <a:ahLst/>
          <a:cxnLst/>
          <a:rect l="0" t="0" r="0" b="0"/>
          <a:pathLst>
            <a:path w="48895">
              <a:moveTo>
                <a:pt x="0" y="0"/>
              </a:moveTo>
              <a:lnTo>
                <a:pt x="48844" y="0"/>
              </a:lnTo>
            </a:path>
          </a:pathLst>
        </a:custGeom>
        <a:ln w="12714">
          <a:solidFill>
            <a:srgbClr val="030303"/>
          </a:solidFill>
        </a:ln>
      </xdr:spPr>
    </xdr:sp>
    <xdr:clientData/>
  </xdr:twoCellAnchor>
  <xdr:twoCellAnchor editAs="oneCell">
    <xdr:from>
      <xdr:col>0</xdr:col>
      <xdr:colOff>12212</xdr:colOff>
      <xdr:row>2296</xdr:row>
      <xdr:rowOff>0</xdr:rowOff>
    </xdr:from>
    <xdr:to>
      <xdr:col>0</xdr:col>
      <xdr:colOff>12212</xdr:colOff>
      <xdr:row>2297</xdr:row>
      <xdr:rowOff>37465</xdr:rowOff>
    </xdr:to>
    <xdr:sp macro="" textlink="">
      <xdr:nvSpPr>
        <xdr:cNvPr id="150" name="Shape 166">
          <a:extLst>
            <a:ext uri="{FF2B5EF4-FFF2-40B4-BE49-F238E27FC236}">
              <a16:creationId xmlns:a16="http://schemas.microsoft.com/office/drawing/2014/main" id="{00000000-0008-0000-1700-000096000000}"/>
            </a:ext>
          </a:extLst>
        </xdr:cNvPr>
        <xdr:cNvSpPr/>
      </xdr:nvSpPr>
      <xdr:spPr>
        <a:xfrm>
          <a:off x="12212" y="3735895500"/>
          <a:ext cx="0" cy="3466465"/>
        </a:xfrm>
        <a:custGeom>
          <a:avLst/>
          <a:gdLst/>
          <a:ahLst/>
          <a:cxnLst/>
          <a:rect l="0" t="0" r="0" b="0"/>
          <a:pathLst>
            <a:path h="231140">
              <a:moveTo>
                <a:pt x="0" y="0"/>
              </a:moveTo>
              <a:lnTo>
                <a:pt x="0" y="231089"/>
              </a:lnTo>
            </a:path>
          </a:pathLst>
        </a:custGeom>
        <a:ln w="24424">
          <a:solidFill>
            <a:srgbClr val="EBEBEB"/>
          </a:solidFill>
        </a:ln>
      </xdr:spPr>
    </xdr:sp>
    <xdr:clientData/>
  </xdr:twoCellAnchor>
  <xdr:twoCellAnchor editAs="oneCell">
    <xdr:from>
      <xdr:col>0</xdr:col>
      <xdr:colOff>4579</xdr:colOff>
      <xdr:row>2296</xdr:row>
      <xdr:rowOff>0</xdr:rowOff>
    </xdr:from>
    <xdr:to>
      <xdr:col>0</xdr:col>
      <xdr:colOff>4579</xdr:colOff>
      <xdr:row>2298</xdr:row>
      <xdr:rowOff>91194</xdr:rowOff>
    </xdr:to>
    <xdr:sp macro="" textlink="">
      <xdr:nvSpPr>
        <xdr:cNvPr id="151" name="Shape 167">
          <a:extLst>
            <a:ext uri="{FF2B5EF4-FFF2-40B4-BE49-F238E27FC236}">
              <a16:creationId xmlns:a16="http://schemas.microsoft.com/office/drawing/2014/main" id="{00000000-0008-0000-1700-000097000000}"/>
            </a:ext>
          </a:extLst>
        </xdr:cNvPr>
        <xdr:cNvSpPr/>
      </xdr:nvSpPr>
      <xdr:spPr>
        <a:xfrm>
          <a:off x="4579" y="3735895500"/>
          <a:ext cx="0" cy="6949192"/>
        </a:xfrm>
        <a:custGeom>
          <a:avLst/>
          <a:gdLst/>
          <a:ahLst/>
          <a:cxnLst/>
          <a:rect l="0" t="0" r="0" b="0"/>
          <a:pathLst>
            <a:path h="265430">
              <a:moveTo>
                <a:pt x="0" y="0"/>
              </a:moveTo>
              <a:lnTo>
                <a:pt x="0" y="265325"/>
              </a:lnTo>
            </a:path>
          </a:pathLst>
        </a:custGeom>
        <a:ln w="9159">
          <a:solidFill>
            <a:srgbClr val="EBEBEB"/>
          </a:solidFill>
        </a:ln>
      </xdr:spPr>
    </xdr:sp>
    <xdr:clientData/>
  </xdr:twoCellAnchor>
  <xdr:twoCellAnchor editAs="oneCell">
    <xdr:from>
      <xdr:col>2</xdr:col>
      <xdr:colOff>0</xdr:colOff>
      <xdr:row>2445</xdr:row>
      <xdr:rowOff>0</xdr:rowOff>
    </xdr:from>
    <xdr:to>
      <xdr:col>3</xdr:col>
      <xdr:colOff>542290</xdr:colOff>
      <xdr:row>2445</xdr:row>
      <xdr:rowOff>0</xdr:rowOff>
    </xdr:to>
    <xdr:sp macro="" textlink="">
      <xdr:nvSpPr>
        <xdr:cNvPr id="152" name="Shape 46">
          <a:extLst>
            <a:ext uri="{FF2B5EF4-FFF2-40B4-BE49-F238E27FC236}">
              <a16:creationId xmlns:a16="http://schemas.microsoft.com/office/drawing/2014/main" id="{00000000-0008-0000-1700-000098000000}"/>
            </a:ext>
          </a:extLst>
        </xdr:cNvPr>
        <xdr:cNvSpPr/>
      </xdr:nvSpPr>
      <xdr:spPr>
        <a:xfrm>
          <a:off x="1247775" y="4266714225"/>
          <a:ext cx="1047115" cy="0"/>
        </a:xfrm>
        <a:custGeom>
          <a:avLst/>
          <a:gdLst/>
          <a:ahLst/>
          <a:cxnLst/>
          <a:rect l="0" t="0" r="0" b="0"/>
          <a:pathLst>
            <a:path w="1443990">
              <a:moveTo>
                <a:pt x="0" y="0"/>
              </a:moveTo>
              <a:lnTo>
                <a:pt x="1443482" y="0"/>
              </a:lnTo>
            </a:path>
          </a:pathLst>
        </a:custGeom>
        <a:ln w="6095">
          <a:solidFill>
            <a:srgbClr val="000000"/>
          </a:solidFill>
        </a:ln>
      </xdr:spPr>
    </xdr:sp>
    <xdr:clientData/>
  </xdr:twoCellAnchor>
  <xdr:twoCellAnchor editAs="oneCell">
    <xdr:from>
      <xdr:col>5</xdr:col>
      <xdr:colOff>0</xdr:colOff>
      <xdr:row>2445</xdr:row>
      <xdr:rowOff>0</xdr:rowOff>
    </xdr:from>
    <xdr:to>
      <xdr:col>7</xdr:col>
      <xdr:colOff>332740</xdr:colOff>
      <xdr:row>2445</xdr:row>
      <xdr:rowOff>0</xdr:rowOff>
    </xdr:to>
    <xdr:sp macro="" textlink="">
      <xdr:nvSpPr>
        <xdr:cNvPr id="153" name="Shape 47">
          <a:extLst>
            <a:ext uri="{FF2B5EF4-FFF2-40B4-BE49-F238E27FC236}">
              <a16:creationId xmlns:a16="http://schemas.microsoft.com/office/drawing/2014/main" id="{00000000-0008-0000-1700-000099000000}"/>
            </a:ext>
          </a:extLst>
        </xdr:cNvPr>
        <xdr:cNvSpPr/>
      </xdr:nvSpPr>
      <xdr:spPr>
        <a:xfrm>
          <a:off x="6391275" y="4266714225"/>
          <a:ext cx="1685290" cy="0"/>
        </a:xfrm>
        <a:custGeom>
          <a:avLst/>
          <a:gdLst/>
          <a:ahLst/>
          <a:cxnLst/>
          <a:rect l="0" t="0" r="0" b="0"/>
          <a:pathLst>
            <a:path w="1901189">
              <a:moveTo>
                <a:pt x="0" y="0"/>
              </a:moveTo>
              <a:lnTo>
                <a:pt x="1900682" y="0"/>
              </a:lnTo>
            </a:path>
          </a:pathLst>
        </a:custGeom>
        <a:ln w="6095">
          <a:solidFill>
            <a:srgbClr val="000000"/>
          </a:solidFill>
        </a:ln>
      </xdr:spPr>
    </xdr:sp>
    <xdr:clientData/>
  </xdr:twoCellAnchor>
  <xdr:twoCellAnchor editAs="oneCell">
    <xdr:from>
      <xdr:col>3</xdr:col>
      <xdr:colOff>0</xdr:colOff>
      <xdr:row>2445</xdr:row>
      <xdr:rowOff>0</xdr:rowOff>
    </xdr:from>
    <xdr:to>
      <xdr:col>3</xdr:col>
      <xdr:colOff>793115</xdr:colOff>
      <xdr:row>2445</xdr:row>
      <xdr:rowOff>0</xdr:rowOff>
    </xdr:to>
    <xdr:sp macro="" textlink="">
      <xdr:nvSpPr>
        <xdr:cNvPr id="154" name="Shape 65">
          <a:extLst>
            <a:ext uri="{FF2B5EF4-FFF2-40B4-BE49-F238E27FC236}">
              <a16:creationId xmlns:a16="http://schemas.microsoft.com/office/drawing/2014/main" id="{00000000-0008-0000-1700-00009A000000}"/>
            </a:ext>
          </a:extLst>
        </xdr:cNvPr>
        <xdr:cNvSpPr/>
      </xdr:nvSpPr>
      <xdr:spPr>
        <a:xfrm>
          <a:off x="1752600" y="4266714225"/>
          <a:ext cx="793115" cy="0"/>
        </a:xfrm>
        <a:custGeom>
          <a:avLst/>
          <a:gdLst/>
          <a:ahLst/>
          <a:cxnLst/>
          <a:rect l="0" t="0" r="0" b="0"/>
          <a:pathLst>
            <a:path w="1329690">
              <a:moveTo>
                <a:pt x="0" y="0"/>
              </a:moveTo>
              <a:lnTo>
                <a:pt x="1329182" y="0"/>
              </a:lnTo>
            </a:path>
          </a:pathLst>
        </a:custGeom>
        <a:ln w="6095">
          <a:solidFill>
            <a:srgbClr val="000000"/>
          </a:solidFill>
        </a:ln>
      </xdr:spPr>
    </xdr:sp>
    <xdr:clientData/>
  </xdr:twoCellAnchor>
  <xdr:twoCellAnchor editAs="oneCell">
    <xdr:from>
      <xdr:col>5</xdr:col>
      <xdr:colOff>0</xdr:colOff>
      <xdr:row>2445</xdr:row>
      <xdr:rowOff>0</xdr:rowOff>
    </xdr:from>
    <xdr:to>
      <xdr:col>7</xdr:col>
      <xdr:colOff>280670</xdr:colOff>
      <xdr:row>2445</xdr:row>
      <xdr:rowOff>0</xdr:rowOff>
    </xdr:to>
    <xdr:sp macro="" textlink="">
      <xdr:nvSpPr>
        <xdr:cNvPr id="155" name="Shape 66">
          <a:extLst>
            <a:ext uri="{FF2B5EF4-FFF2-40B4-BE49-F238E27FC236}">
              <a16:creationId xmlns:a16="http://schemas.microsoft.com/office/drawing/2014/main" id="{00000000-0008-0000-1700-00009B000000}"/>
            </a:ext>
          </a:extLst>
        </xdr:cNvPr>
        <xdr:cNvSpPr/>
      </xdr:nvSpPr>
      <xdr:spPr>
        <a:xfrm>
          <a:off x="6391275" y="4266714225"/>
          <a:ext cx="1633220" cy="0"/>
        </a:xfrm>
        <a:custGeom>
          <a:avLst/>
          <a:gdLst/>
          <a:ahLst/>
          <a:cxnLst/>
          <a:rect l="0" t="0" r="0" b="0"/>
          <a:pathLst>
            <a:path w="1842770">
              <a:moveTo>
                <a:pt x="0" y="0"/>
              </a:moveTo>
              <a:lnTo>
                <a:pt x="1842770" y="0"/>
              </a:lnTo>
            </a:path>
          </a:pathLst>
        </a:custGeom>
        <a:ln w="6095">
          <a:solidFill>
            <a:srgbClr val="000000"/>
          </a:solidFill>
        </a:ln>
      </xdr:spPr>
    </xdr:sp>
    <xdr:clientData/>
  </xdr:twoCellAnchor>
  <xdr:twoCellAnchor editAs="oneCell">
    <xdr:from>
      <xdr:col>5</xdr:col>
      <xdr:colOff>0</xdr:colOff>
      <xdr:row>2445</xdr:row>
      <xdr:rowOff>0</xdr:rowOff>
    </xdr:from>
    <xdr:to>
      <xdr:col>7</xdr:col>
      <xdr:colOff>280670</xdr:colOff>
      <xdr:row>2445</xdr:row>
      <xdr:rowOff>0</xdr:rowOff>
    </xdr:to>
    <xdr:sp macro="" textlink="">
      <xdr:nvSpPr>
        <xdr:cNvPr id="156" name="Shape 68">
          <a:extLst>
            <a:ext uri="{FF2B5EF4-FFF2-40B4-BE49-F238E27FC236}">
              <a16:creationId xmlns:a16="http://schemas.microsoft.com/office/drawing/2014/main" id="{00000000-0008-0000-1700-00009C000000}"/>
            </a:ext>
          </a:extLst>
        </xdr:cNvPr>
        <xdr:cNvSpPr/>
      </xdr:nvSpPr>
      <xdr:spPr>
        <a:xfrm>
          <a:off x="6391275" y="4266714225"/>
          <a:ext cx="1633220" cy="0"/>
        </a:xfrm>
        <a:custGeom>
          <a:avLst/>
          <a:gdLst/>
          <a:ahLst/>
          <a:cxnLst/>
          <a:rect l="0" t="0" r="0" b="0"/>
          <a:pathLst>
            <a:path w="1842770">
              <a:moveTo>
                <a:pt x="0" y="0"/>
              </a:moveTo>
              <a:lnTo>
                <a:pt x="1842770" y="0"/>
              </a:lnTo>
            </a:path>
          </a:pathLst>
        </a:custGeom>
        <a:ln w="6096">
          <a:solidFill>
            <a:srgbClr val="000000"/>
          </a:solidFill>
        </a:ln>
      </xdr:spPr>
    </xdr:sp>
    <xdr:clientData/>
  </xdr:twoCellAnchor>
  <xdr:twoCellAnchor editAs="oneCell">
    <xdr:from>
      <xdr:col>5</xdr:col>
      <xdr:colOff>0</xdr:colOff>
      <xdr:row>2445</xdr:row>
      <xdr:rowOff>0</xdr:rowOff>
    </xdr:from>
    <xdr:to>
      <xdr:col>7</xdr:col>
      <xdr:colOff>280670</xdr:colOff>
      <xdr:row>2445</xdr:row>
      <xdr:rowOff>0</xdr:rowOff>
    </xdr:to>
    <xdr:sp macro="" textlink="">
      <xdr:nvSpPr>
        <xdr:cNvPr id="157" name="Shape 70">
          <a:extLst>
            <a:ext uri="{FF2B5EF4-FFF2-40B4-BE49-F238E27FC236}">
              <a16:creationId xmlns:a16="http://schemas.microsoft.com/office/drawing/2014/main" id="{00000000-0008-0000-1700-00009D000000}"/>
            </a:ext>
          </a:extLst>
        </xdr:cNvPr>
        <xdr:cNvSpPr/>
      </xdr:nvSpPr>
      <xdr:spPr>
        <a:xfrm>
          <a:off x="6391275" y="4266714225"/>
          <a:ext cx="1633220" cy="0"/>
        </a:xfrm>
        <a:custGeom>
          <a:avLst/>
          <a:gdLst/>
          <a:ahLst/>
          <a:cxnLst/>
          <a:rect l="0" t="0" r="0" b="0"/>
          <a:pathLst>
            <a:path w="1842770">
              <a:moveTo>
                <a:pt x="0" y="0"/>
              </a:moveTo>
              <a:lnTo>
                <a:pt x="1842770" y="0"/>
              </a:lnTo>
            </a:path>
          </a:pathLst>
        </a:custGeom>
        <a:ln w="6096">
          <a:solidFill>
            <a:srgbClr val="000000"/>
          </a:solidFill>
        </a:ln>
      </xdr:spPr>
    </xdr:sp>
    <xdr:clientData/>
  </xdr:twoCellAnchor>
  <xdr:twoCellAnchor editAs="oneCell">
    <xdr:from>
      <xdr:col>5</xdr:col>
      <xdr:colOff>0</xdr:colOff>
      <xdr:row>2445</xdr:row>
      <xdr:rowOff>0</xdr:rowOff>
    </xdr:from>
    <xdr:to>
      <xdr:col>7</xdr:col>
      <xdr:colOff>280670</xdr:colOff>
      <xdr:row>2445</xdr:row>
      <xdr:rowOff>0</xdr:rowOff>
    </xdr:to>
    <xdr:sp macro="" textlink="">
      <xdr:nvSpPr>
        <xdr:cNvPr id="158" name="Shape 72">
          <a:extLst>
            <a:ext uri="{FF2B5EF4-FFF2-40B4-BE49-F238E27FC236}">
              <a16:creationId xmlns:a16="http://schemas.microsoft.com/office/drawing/2014/main" id="{00000000-0008-0000-1700-00009E000000}"/>
            </a:ext>
          </a:extLst>
        </xdr:cNvPr>
        <xdr:cNvSpPr/>
      </xdr:nvSpPr>
      <xdr:spPr>
        <a:xfrm>
          <a:off x="6391275" y="4266714225"/>
          <a:ext cx="1633220" cy="0"/>
        </a:xfrm>
        <a:custGeom>
          <a:avLst/>
          <a:gdLst/>
          <a:ahLst/>
          <a:cxnLst/>
          <a:rect l="0" t="0" r="0" b="0"/>
          <a:pathLst>
            <a:path w="1842770">
              <a:moveTo>
                <a:pt x="0" y="0"/>
              </a:moveTo>
              <a:lnTo>
                <a:pt x="1842770" y="0"/>
              </a:lnTo>
            </a:path>
          </a:pathLst>
        </a:custGeom>
        <a:ln w="6095">
          <a:solidFill>
            <a:srgbClr val="000000"/>
          </a:solidFill>
        </a:ln>
      </xdr:spPr>
    </xdr:sp>
    <xdr:clientData/>
  </xdr:twoCellAnchor>
  <xdr:twoCellAnchor editAs="oneCell">
    <xdr:from>
      <xdr:col>5</xdr:col>
      <xdr:colOff>0</xdr:colOff>
      <xdr:row>2445</xdr:row>
      <xdr:rowOff>0</xdr:rowOff>
    </xdr:from>
    <xdr:to>
      <xdr:col>7</xdr:col>
      <xdr:colOff>280670</xdr:colOff>
      <xdr:row>2445</xdr:row>
      <xdr:rowOff>0</xdr:rowOff>
    </xdr:to>
    <xdr:sp macro="" textlink="">
      <xdr:nvSpPr>
        <xdr:cNvPr id="159" name="Shape 74">
          <a:extLst>
            <a:ext uri="{FF2B5EF4-FFF2-40B4-BE49-F238E27FC236}">
              <a16:creationId xmlns:a16="http://schemas.microsoft.com/office/drawing/2014/main" id="{00000000-0008-0000-1700-00009F000000}"/>
            </a:ext>
          </a:extLst>
        </xdr:cNvPr>
        <xdr:cNvSpPr/>
      </xdr:nvSpPr>
      <xdr:spPr>
        <a:xfrm>
          <a:off x="6391275" y="4266714225"/>
          <a:ext cx="1633220" cy="0"/>
        </a:xfrm>
        <a:custGeom>
          <a:avLst/>
          <a:gdLst/>
          <a:ahLst/>
          <a:cxnLst/>
          <a:rect l="0" t="0" r="0" b="0"/>
          <a:pathLst>
            <a:path w="1842770">
              <a:moveTo>
                <a:pt x="0" y="0"/>
              </a:moveTo>
              <a:lnTo>
                <a:pt x="1842770" y="0"/>
              </a:lnTo>
            </a:path>
          </a:pathLst>
        </a:custGeom>
        <a:ln w="6095">
          <a:solidFill>
            <a:srgbClr val="000000"/>
          </a:solidFill>
        </a:ln>
      </xdr:spPr>
    </xdr:sp>
    <xdr:clientData/>
  </xdr:twoCellAnchor>
  <xdr:twoCellAnchor editAs="oneCell">
    <xdr:from>
      <xdr:col>3</xdr:col>
      <xdr:colOff>0</xdr:colOff>
      <xdr:row>2445</xdr:row>
      <xdr:rowOff>0</xdr:rowOff>
    </xdr:from>
    <xdr:to>
      <xdr:col>3</xdr:col>
      <xdr:colOff>793115</xdr:colOff>
      <xdr:row>2445</xdr:row>
      <xdr:rowOff>0</xdr:rowOff>
    </xdr:to>
    <xdr:sp macro="" textlink="">
      <xdr:nvSpPr>
        <xdr:cNvPr id="160" name="Shape 75">
          <a:extLst>
            <a:ext uri="{FF2B5EF4-FFF2-40B4-BE49-F238E27FC236}">
              <a16:creationId xmlns:a16="http://schemas.microsoft.com/office/drawing/2014/main" id="{00000000-0008-0000-1700-0000A0000000}"/>
            </a:ext>
          </a:extLst>
        </xdr:cNvPr>
        <xdr:cNvSpPr/>
      </xdr:nvSpPr>
      <xdr:spPr>
        <a:xfrm>
          <a:off x="1752600" y="4266714225"/>
          <a:ext cx="793115" cy="0"/>
        </a:xfrm>
        <a:custGeom>
          <a:avLst/>
          <a:gdLst/>
          <a:ahLst/>
          <a:cxnLst/>
          <a:rect l="0" t="0" r="0" b="0"/>
          <a:pathLst>
            <a:path w="1329690">
              <a:moveTo>
                <a:pt x="0" y="0"/>
              </a:moveTo>
              <a:lnTo>
                <a:pt x="1329182" y="0"/>
              </a:lnTo>
            </a:path>
          </a:pathLst>
        </a:custGeom>
        <a:ln w="6095">
          <a:solidFill>
            <a:srgbClr val="000000"/>
          </a:solidFill>
        </a:ln>
      </xdr:spPr>
    </xdr:sp>
    <xdr:clientData/>
  </xdr:twoCellAnchor>
  <xdr:twoCellAnchor editAs="oneCell">
    <xdr:from>
      <xdr:col>5</xdr:col>
      <xdr:colOff>0</xdr:colOff>
      <xdr:row>2445</xdr:row>
      <xdr:rowOff>0</xdr:rowOff>
    </xdr:from>
    <xdr:to>
      <xdr:col>7</xdr:col>
      <xdr:colOff>280670</xdr:colOff>
      <xdr:row>2445</xdr:row>
      <xdr:rowOff>0</xdr:rowOff>
    </xdr:to>
    <xdr:sp macro="" textlink="">
      <xdr:nvSpPr>
        <xdr:cNvPr id="161" name="Shape 76">
          <a:extLst>
            <a:ext uri="{FF2B5EF4-FFF2-40B4-BE49-F238E27FC236}">
              <a16:creationId xmlns:a16="http://schemas.microsoft.com/office/drawing/2014/main" id="{00000000-0008-0000-1700-0000A1000000}"/>
            </a:ext>
          </a:extLst>
        </xdr:cNvPr>
        <xdr:cNvSpPr/>
      </xdr:nvSpPr>
      <xdr:spPr>
        <a:xfrm>
          <a:off x="6391275" y="4266714225"/>
          <a:ext cx="1633220" cy="0"/>
        </a:xfrm>
        <a:custGeom>
          <a:avLst/>
          <a:gdLst/>
          <a:ahLst/>
          <a:cxnLst/>
          <a:rect l="0" t="0" r="0" b="0"/>
          <a:pathLst>
            <a:path w="1842770">
              <a:moveTo>
                <a:pt x="0" y="0"/>
              </a:moveTo>
              <a:lnTo>
                <a:pt x="1842770" y="0"/>
              </a:lnTo>
            </a:path>
          </a:pathLst>
        </a:custGeom>
        <a:ln w="6095">
          <a:solidFill>
            <a:srgbClr val="000000"/>
          </a:solidFill>
        </a:ln>
      </xdr:spPr>
    </xdr:sp>
    <xdr:clientData/>
  </xdr:twoCellAnchor>
  <xdr:twoCellAnchor editAs="oneCell">
    <xdr:from>
      <xdr:col>5</xdr:col>
      <xdr:colOff>0</xdr:colOff>
      <xdr:row>2445</xdr:row>
      <xdr:rowOff>0</xdr:rowOff>
    </xdr:from>
    <xdr:to>
      <xdr:col>7</xdr:col>
      <xdr:colOff>280670</xdr:colOff>
      <xdr:row>2445</xdr:row>
      <xdr:rowOff>0</xdr:rowOff>
    </xdr:to>
    <xdr:sp macro="" textlink="">
      <xdr:nvSpPr>
        <xdr:cNvPr id="162" name="Shape 110">
          <a:extLst>
            <a:ext uri="{FF2B5EF4-FFF2-40B4-BE49-F238E27FC236}">
              <a16:creationId xmlns:a16="http://schemas.microsoft.com/office/drawing/2014/main" id="{00000000-0008-0000-1700-0000A2000000}"/>
            </a:ext>
          </a:extLst>
        </xdr:cNvPr>
        <xdr:cNvSpPr/>
      </xdr:nvSpPr>
      <xdr:spPr>
        <a:xfrm>
          <a:off x="6391275" y="4266714225"/>
          <a:ext cx="1633220" cy="0"/>
        </a:xfrm>
        <a:custGeom>
          <a:avLst/>
          <a:gdLst/>
          <a:ahLst/>
          <a:cxnLst/>
          <a:rect l="0" t="0" r="0" b="0"/>
          <a:pathLst>
            <a:path w="1842770">
              <a:moveTo>
                <a:pt x="0" y="0"/>
              </a:moveTo>
              <a:lnTo>
                <a:pt x="1842770" y="0"/>
              </a:lnTo>
            </a:path>
          </a:pathLst>
        </a:custGeom>
        <a:ln w="6096">
          <a:solidFill>
            <a:srgbClr val="000000"/>
          </a:solidFill>
        </a:ln>
      </xdr:spPr>
    </xdr:sp>
    <xdr:clientData/>
  </xdr:twoCellAnchor>
  <xdr:twoCellAnchor editAs="oneCell">
    <xdr:from>
      <xdr:col>0</xdr:col>
      <xdr:colOff>0</xdr:colOff>
      <xdr:row>2445</xdr:row>
      <xdr:rowOff>0</xdr:rowOff>
    </xdr:from>
    <xdr:to>
      <xdr:col>0</xdr:col>
      <xdr:colOff>128270</xdr:colOff>
      <xdr:row>2445</xdr:row>
      <xdr:rowOff>0</xdr:rowOff>
    </xdr:to>
    <xdr:sp macro="" textlink="">
      <xdr:nvSpPr>
        <xdr:cNvPr id="163" name="Shape 115">
          <a:extLst>
            <a:ext uri="{FF2B5EF4-FFF2-40B4-BE49-F238E27FC236}">
              <a16:creationId xmlns:a16="http://schemas.microsoft.com/office/drawing/2014/main" id="{00000000-0008-0000-1700-0000A3000000}"/>
            </a:ext>
          </a:extLst>
        </xdr:cNvPr>
        <xdr:cNvSpPr/>
      </xdr:nvSpPr>
      <xdr:spPr>
        <a:xfrm>
          <a:off x="0" y="4266714225"/>
          <a:ext cx="128270" cy="0"/>
        </a:xfrm>
        <a:custGeom>
          <a:avLst/>
          <a:gdLst/>
          <a:ahLst/>
          <a:cxnLst/>
          <a:rect l="0" t="0" r="0" b="0"/>
          <a:pathLst>
            <a:path w="128270">
              <a:moveTo>
                <a:pt x="0" y="0"/>
              </a:moveTo>
              <a:lnTo>
                <a:pt x="127671" y="0"/>
              </a:lnTo>
            </a:path>
          </a:pathLst>
        </a:custGeom>
        <a:ln w="12715">
          <a:solidFill>
            <a:srgbClr val="0F0C0C"/>
          </a:solidFill>
        </a:ln>
      </xdr:spPr>
    </xdr:sp>
    <xdr:clientData/>
  </xdr:twoCellAnchor>
  <xdr:twoCellAnchor editAs="oneCell">
    <xdr:from>
      <xdr:col>0</xdr:col>
      <xdr:colOff>0</xdr:colOff>
      <xdr:row>2445</xdr:row>
      <xdr:rowOff>0</xdr:rowOff>
    </xdr:from>
    <xdr:to>
      <xdr:col>0</xdr:col>
      <xdr:colOff>40005</xdr:colOff>
      <xdr:row>2445</xdr:row>
      <xdr:rowOff>0</xdr:rowOff>
    </xdr:to>
    <xdr:sp macro="" textlink="">
      <xdr:nvSpPr>
        <xdr:cNvPr id="164" name="Shape 118">
          <a:extLst>
            <a:ext uri="{FF2B5EF4-FFF2-40B4-BE49-F238E27FC236}">
              <a16:creationId xmlns:a16="http://schemas.microsoft.com/office/drawing/2014/main" id="{00000000-0008-0000-1700-0000A4000000}"/>
            </a:ext>
          </a:extLst>
        </xdr:cNvPr>
        <xdr:cNvSpPr/>
      </xdr:nvSpPr>
      <xdr:spPr>
        <a:xfrm>
          <a:off x="0" y="4266714225"/>
          <a:ext cx="40005" cy="0"/>
        </a:xfrm>
        <a:custGeom>
          <a:avLst/>
          <a:gdLst/>
          <a:ahLst/>
          <a:cxnLst/>
          <a:rect l="0" t="0" r="0" b="0"/>
          <a:pathLst>
            <a:path w="40005">
              <a:moveTo>
                <a:pt x="0" y="0"/>
              </a:moveTo>
              <a:lnTo>
                <a:pt x="39690" y="0"/>
              </a:lnTo>
            </a:path>
          </a:pathLst>
        </a:custGeom>
        <a:ln w="12715">
          <a:solidFill>
            <a:srgbClr val="3D3434"/>
          </a:solidFill>
        </a:ln>
      </xdr:spPr>
    </xdr:sp>
    <xdr:clientData/>
  </xdr:twoCellAnchor>
  <xdr:twoCellAnchor editAs="oneCell">
    <xdr:from>
      <xdr:col>0</xdr:col>
      <xdr:colOff>0</xdr:colOff>
      <xdr:row>2445</xdr:row>
      <xdr:rowOff>0</xdr:rowOff>
    </xdr:from>
    <xdr:to>
      <xdr:col>0</xdr:col>
      <xdr:colOff>43180</xdr:colOff>
      <xdr:row>2445</xdr:row>
      <xdr:rowOff>0</xdr:rowOff>
    </xdr:to>
    <xdr:sp macro="" textlink="">
      <xdr:nvSpPr>
        <xdr:cNvPr id="165" name="Shape 119">
          <a:extLst>
            <a:ext uri="{FF2B5EF4-FFF2-40B4-BE49-F238E27FC236}">
              <a16:creationId xmlns:a16="http://schemas.microsoft.com/office/drawing/2014/main" id="{00000000-0008-0000-1700-0000A5000000}"/>
            </a:ext>
          </a:extLst>
        </xdr:cNvPr>
        <xdr:cNvSpPr/>
      </xdr:nvSpPr>
      <xdr:spPr>
        <a:xfrm>
          <a:off x="0" y="4266714225"/>
          <a:ext cx="43180" cy="0"/>
        </a:xfrm>
        <a:custGeom>
          <a:avLst/>
          <a:gdLst/>
          <a:ahLst/>
          <a:cxnLst/>
          <a:rect l="0" t="0" r="0" b="0"/>
          <a:pathLst>
            <a:path w="43180">
              <a:moveTo>
                <a:pt x="0" y="0"/>
              </a:moveTo>
              <a:lnTo>
                <a:pt x="42743" y="0"/>
              </a:lnTo>
            </a:path>
          </a:pathLst>
        </a:custGeom>
        <a:ln w="12715">
          <a:solidFill>
            <a:srgbClr val="3D3434"/>
          </a:solidFill>
        </a:ln>
      </xdr:spPr>
    </xdr:sp>
    <xdr:clientData/>
  </xdr:twoCellAnchor>
  <xdr:twoCellAnchor editAs="oneCell">
    <xdr:from>
      <xdr:col>0</xdr:col>
      <xdr:colOff>0</xdr:colOff>
      <xdr:row>2445</xdr:row>
      <xdr:rowOff>0</xdr:rowOff>
    </xdr:from>
    <xdr:to>
      <xdr:col>0</xdr:col>
      <xdr:colOff>46355</xdr:colOff>
      <xdr:row>2445</xdr:row>
      <xdr:rowOff>0</xdr:rowOff>
    </xdr:to>
    <xdr:sp macro="" textlink="">
      <xdr:nvSpPr>
        <xdr:cNvPr id="166" name="Shape 120">
          <a:extLst>
            <a:ext uri="{FF2B5EF4-FFF2-40B4-BE49-F238E27FC236}">
              <a16:creationId xmlns:a16="http://schemas.microsoft.com/office/drawing/2014/main" id="{00000000-0008-0000-1700-0000A6000000}"/>
            </a:ext>
          </a:extLst>
        </xdr:cNvPr>
        <xdr:cNvSpPr/>
      </xdr:nvSpPr>
      <xdr:spPr>
        <a:xfrm>
          <a:off x="0" y="4266714225"/>
          <a:ext cx="46355" cy="0"/>
        </a:xfrm>
        <a:custGeom>
          <a:avLst/>
          <a:gdLst/>
          <a:ahLst/>
          <a:cxnLst/>
          <a:rect l="0" t="0" r="0" b="0"/>
          <a:pathLst>
            <a:path w="46355">
              <a:moveTo>
                <a:pt x="0" y="0"/>
              </a:moveTo>
              <a:lnTo>
                <a:pt x="45796" y="0"/>
              </a:lnTo>
            </a:path>
          </a:pathLst>
        </a:custGeom>
        <a:ln w="12715">
          <a:solidFill>
            <a:srgbClr val="3D3434"/>
          </a:solidFill>
        </a:ln>
      </xdr:spPr>
    </xdr:sp>
    <xdr:clientData/>
  </xdr:twoCellAnchor>
  <xdr:twoCellAnchor editAs="oneCell">
    <xdr:from>
      <xdr:col>0</xdr:col>
      <xdr:colOff>0</xdr:colOff>
      <xdr:row>2445</xdr:row>
      <xdr:rowOff>0</xdr:rowOff>
    </xdr:from>
    <xdr:to>
      <xdr:col>0</xdr:col>
      <xdr:colOff>70485</xdr:colOff>
      <xdr:row>2445</xdr:row>
      <xdr:rowOff>0</xdr:rowOff>
    </xdr:to>
    <xdr:sp macro="" textlink="">
      <xdr:nvSpPr>
        <xdr:cNvPr id="167" name="Shape 121">
          <a:extLst>
            <a:ext uri="{FF2B5EF4-FFF2-40B4-BE49-F238E27FC236}">
              <a16:creationId xmlns:a16="http://schemas.microsoft.com/office/drawing/2014/main" id="{00000000-0008-0000-1700-0000A7000000}"/>
            </a:ext>
          </a:extLst>
        </xdr:cNvPr>
        <xdr:cNvSpPr/>
      </xdr:nvSpPr>
      <xdr:spPr>
        <a:xfrm>
          <a:off x="0" y="4266714225"/>
          <a:ext cx="70485" cy="0"/>
        </a:xfrm>
        <a:custGeom>
          <a:avLst/>
          <a:gdLst/>
          <a:ahLst/>
          <a:cxnLst/>
          <a:rect l="0" t="0" r="0" b="0"/>
          <a:pathLst>
            <a:path w="70485">
              <a:moveTo>
                <a:pt x="0" y="0"/>
              </a:moveTo>
              <a:lnTo>
                <a:pt x="70221" y="0"/>
              </a:lnTo>
            </a:path>
          </a:pathLst>
        </a:custGeom>
        <a:ln w="12715">
          <a:solidFill>
            <a:srgbClr val="231C1C"/>
          </a:solidFill>
        </a:ln>
      </xdr:spPr>
    </xdr:sp>
    <xdr:clientData/>
  </xdr:twoCellAnchor>
  <xdr:twoCellAnchor editAs="oneCell">
    <xdr:from>
      <xdr:col>0</xdr:col>
      <xdr:colOff>0</xdr:colOff>
      <xdr:row>2445</xdr:row>
      <xdr:rowOff>0</xdr:rowOff>
    </xdr:from>
    <xdr:to>
      <xdr:col>0</xdr:col>
      <xdr:colOff>43180</xdr:colOff>
      <xdr:row>2445</xdr:row>
      <xdr:rowOff>0</xdr:rowOff>
    </xdr:to>
    <xdr:sp macro="" textlink="">
      <xdr:nvSpPr>
        <xdr:cNvPr id="168" name="Shape 124">
          <a:extLst>
            <a:ext uri="{FF2B5EF4-FFF2-40B4-BE49-F238E27FC236}">
              <a16:creationId xmlns:a16="http://schemas.microsoft.com/office/drawing/2014/main" id="{00000000-0008-0000-1700-0000A8000000}"/>
            </a:ext>
          </a:extLst>
        </xdr:cNvPr>
        <xdr:cNvSpPr/>
      </xdr:nvSpPr>
      <xdr:spPr>
        <a:xfrm>
          <a:off x="0" y="4266714225"/>
          <a:ext cx="43180" cy="0"/>
        </a:xfrm>
        <a:custGeom>
          <a:avLst/>
          <a:gdLst/>
          <a:ahLst/>
          <a:cxnLst/>
          <a:rect l="0" t="0" r="0" b="0"/>
          <a:pathLst>
            <a:path w="43180">
              <a:moveTo>
                <a:pt x="0" y="0"/>
              </a:moveTo>
              <a:lnTo>
                <a:pt x="42743" y="0"/>
              </a:lnTo>
            </a:path>
          </a:pathLst>
        </a:custGeom>
        <a:ln w="12715">
          <a:solidFill>
            <a:srgbClr val="231C1C"/>
          </a:solidFill>
        </a:ln>
      </xdr:spPr>
    </xdr:sp>
    <xdr:clientData/>
  </xdr:twoCellAnchor>
  <xdr:twoCellAnchor editAs="oneCell">
    <xdr:from>
      <xdr:col>0</xdr:col>
      <xdr:colOff>0</xdr:colOff>
      <xdr:row>2445</xdr:row>
      <xdr:rowOff>0</xdr:rowOff>
    </xdr:from>
    <xdr:to>
      <xdr:col>0</xdr:col>
      <xdr:colOff>40005</xdr:colOff>
      <xdr:row>2445</xdr:row>
      <xdr:rowOff>0</xdr:rowOff>
    </xdr:to>
    <xdr:sp macro="" textlink="">
      <xdr:nvSpPr>
        <xdr:cNvPr id="169" name="Shape 125">
          <a:extLst>
            <a:ext uri="{FF2B5EF4-FFF2-40B4-BE49-F238E27FC236}">
              <a16:creationId xmlns:a16="http://schemas.microsoft.com/office/drawing/2014/main" id="{00000000-0008-0000-1700-0000A9000000}"/>
            </a:ext>
          </a:extLst>
        </xdr:cNvPr>
        <xdr:cNvSpPr/>
      </xdr:nvSpPr>
      <xdr:spPr>
        <a:xfrm>
          <a:off x="0" y="4266714225"/>
          <a:ext cx="40005" cy="0"/>
        </a:xfrm>
        <a:custGeom>
          <a:avLst/>
          <a:gdLst/>
          <a:ahLst/>
          <a:cxnLst/>
          <a:rect l="0" t="0" r="0" b="0"/>
          <a:pathLst>
            <a:path w="40005">
              <a:moveTo>
                <a:pt x="0" y="0"/>
              </a:moveTo>
              <a:lnTo>
                <a:pt x="39690" y="0"/>
              </a:lnTo>
            </a:path>
          </a:pathLst>
        </a:custGeom>
        <a:ln w="12715">
          <a:solidFill>
            <a:srgbClr val="231C1C"/>
          </a:solidFill>
        </a:ln>
      </xdr:spPr>
    </xdr:sp>
    <xdr:clientData/>
  </xdr:twoCellAnchor>
  <xdr:twoCellAnchor editAs="oneCell">
    <xdr:from>
      <xdr:col>0</xdr:col>
      <xdr:colOff>4579</xdr:colOff>
      <xdr:row>2445</xdr:row>
      <xdr:rowOff>0</xdr:rowOff>
    </xdr:from>
    <xdr:to>
      <xdr:col>0</xdr:col>
      <xdr:colOff>4579</xdr:colOff>
      <xdr:row>2446</xdr:row>
      <xdr:rowOff>3809</xdr:rowOff>
    </xdr:to>
    <xdr:sp macro="" textlink="">
      <xdr:nvSpPr>
        <xdr:cNvPr id="170" name="Shape 133">
          <a:extLst>
            <a:ext uri="{FF2B5EF4-FFF2-40B4-BE49-F238E27FC236}">
              <a16:creationId xmlns:a16="http://schemas.microsoft.com/office/drawing/2014/main" id="{00000000-0008-0000-1700-0000AA000000}"/>
            </a:ext>
          </a:extLst>
        </xdr:cNvPr>
        <xdr:cNvSpPr/>
      </xdr:nvSpPr>
      <xdr:spPr>
        <a:xfrm>
          <a:off x="4579" y="4266714225"/>
          <a:ext cx="0" cy="765809"/>
        </a:xfrm>
        <a:custGeom>
          <a:avLst/>
          <a:gdLst/>
          <a:ahLst/>
          <a:cxnLst/>
          <a:rect l="0" t="0" r="0" b="0"/>
          <a:pathLst>
            <a:path h="461009">
              <a:moveTo>
                <a:pt x="0" y="460816"/>
              </a:moveTo>
              <a:lnTo>
                <a:pt x="0" y="0"/>
              </a:lnTo>
            </a:path>
          </a:pathLst>
        </a:custGeom>
        <a:ln w="9159">
          <a:solidFill>
            <a:srgbClr val="000000"/>
          </a:solidFill>
        </a:ln>
      </xdr:spPr>
    </xdr:sp>
    <xdr:clientData/>
  </xdr:twoCellAnchor>
  <xdr:twoCellAnchor editAs="oneCell">
    <xdr:from>
      <xdr:col>0</xdr:col>
      <xdr:colOff>0</xdr:colOff>
      <xdr:row>2445</xdr:row>
      <xdr:rowOff>0</xdr:rowOff>
    </xdr:from>
    <xdr:to>
      <xdr:col>0</xdr:col>
      <xdr:colOff>40005</xdr:colOff>
      <xdr:row>2445</xdr:row>
      <xdr:rowOff>0</xdr:rowOff>
    </xdr:to>
    <xdr:sp macro="" textlink="">
      <xdr:nvSpPr>
        <xdr:cNvPr id="171" name="Shape 144">
          <a:extLst>
            <a:ext uri="{FF2B5EF4-FFF2-40B4-BE49-F238E27FC236}">
              <a16:creationId xmlns:a16="http://schemas.microsoft.com/office/drawing/2014/main" id="{00000000-0008-0000-1700-0000AB000000}"/>
            </a:ext>
          </a:extLst>
        </xdr:cNvPr>
        <xdr:cNvSpPr/>
      </xdr:nvSpPr>
      <xdr:spPr>
        <a:xfrm>
          <a:off x="0" y="4266714225"/>
          <a:ext cx="40005" cy="0"/>
        </a:xfrm>
        <a:custGeom>
          <a:avLst/>
          <a:gdLst/>
          <a:ahLst/>
          <a:cxnLst/>
          <a:rect l="0" t="0" r="0" b="0"/>
          <a:pathLst>
            <a:path w="40005">
              <a:moveTo>
                <a:pt x="0" y="0"/>
              </a:moveTo>
              <a:lnTo>
                <a:pt x="39690" y="0"/>
              </a:lnTo>
            </a:path>
          </a:pathLst>
        </a:custGeom>
        <a:ln w="12715">
          <a:solidFill>
            <a:srgbClr val="0A0808"/>
          </a:solidFill>
        </a:ln>
      </xdr:spPr>
    </xdr:sp>
    <xdr:clientData/>
  </xdr:twoCellAnchor>
  <xdr:twoCellAnchor editAs="oneCell">
    <xdr:from>
      <xdr:col>0</xdr:col>
      <xdr:colOff>0</xdr:colOff>
      <xdr:row>2445</xdr:row>
      <xdr:rowOff>0</xdr:rowOff>
    </xdr:from>
    <xdr:to>
      <xdr:col>0</xdr:col>
      <xdr:colOff>27305</xdr:colOff>
      <xdr:row>2445</xdr:row>
      <xdr:rowOff>53974</xdr:rowOff>
    </xdr:to>
    <xdr:sp macro="" textlink="">
      <xdr:nvSpPr>
        <xdr:cNvPr id="172" name="Textbox 145">
          <a:extLst>
            <a:ext uri="{FF2B5EF4-FFF2-40B4-BE49-F238E27FC236}">
              <a16:creationId xmlns:a16="http://schemas.microsoft.com/office/drawing/2014/main" id="{00000000-0008-0000-1700-0000AC000000}"/>
            </a:ext>
          </a:extLst>
        </xdr:cNvPr>
        <xdr:cNvSpPr txBox="1"/>
      </xdr:nvSpPr>
      <xdr:spPr>
        <a:xfrm>
          <a:off x="0" y="4266714225"/>
          <a:ext cx="27305" cy="53974"/>
        </a:xfrm>
        <a:prstGeom prst="rect">
          <a:avLst/>
        </a:prstGeom>
      </xdr:spPr>
      <xdr:txBody>
        <a:bodyPr vertOverflow="clip" lIns="0" tIns="0" rIns="0" bIns="0" anchor="t"/>
        <a:lstStyle/>
        <a:p>
          <a:r>
            <a:rPr sz="450" b="0" spc="-5">
              <a:solidFill>
                <a:srgbClr val="0A0808"/>
              </a:solidFill>
              <a:latin typeface="Times New Roman"/>
              <a:cs typeface="Times New Roman"/>
            </a:rPr>
            <a:t>'</a:t>
          </a:r>
          <a:r>
            <a:rPr sz="450" b="0" spc="0">
              <a:solidFill>
                <a:srgbClr val="0A0808"/>
              </a:solidFill>
              <a:latin typeface="Times New Roman"/>
              <a:cs typeface="Times New Roman"/>
            </a:rPr>
            <a:t>\</a:t>
          </a:r>
        </a:p>
      </xdr:txBody>
    </xdr:sp>
    <xdr:clientData/>
  </xdr:twoCellAnchor>
  <xdr:twoCellAnchor editAs="oneCell">
    <xdr:from>
      <xdr:col>0</xdr:col>
      <xdr:colOff>0</xdr:colOff>
      <xdr:row>2445</xdr:row>
      <xdr:rowOff>0</xdr:rowOff>
    </xdr:from>
    <xdr:to>
      <xdr:col>0</xdr:col>
      <xdr:colOff>46355</xdr:colOff>
      <xdr:row>2445</xdr:row>
      <xdr:rowOff>0</xdr:rowOff>
    </xdr:to>
    <xdr:sp macro="" textlink="">
      <xdr:nvSpPr>
        <xdr:cNvPr id="173" name="Shape 150">
          <a:extLst>
            <a:ext uri="{FF2B5EF4-FFF2-40B4-BE49-F238E27FC236}">
              <a16:creationId xmlns:a16="http://schemas.microsoft.com/office/drawing/2014/main" id="{00000000-0008-0000-1700-0000AD000000}"/>
            </a:ext>
          </a:extLst>
        </xdr:cNvPr>
        <xdr:cNvSpPr/>
      </xdr:nvSpPr>
      <xdr:spPr>
        <a:xfrm>
          <a:off x="0" y="4266714225"/>
          <a:ext cx="46355" cy="0"/>
        </a:xfrm>
        <a:custGeom>
          <a:avLst/>
          <a:gdLst/>
          <a:ahLst/>
          <a:cxnLst/>
          <a:rect l="0" t="0" r="0" b="0"/>
          <a:pathLst>
            <a:path w="46355">
              <a:moveTo>
                <a:pt x="0" y="0"/>
              </a:moveTo>
              <a:lnTo>
                <a:pt x="45791" y="0"/>
              </a:lnTo>
            </a:path>
          </a:pathLst>
        </a:custGeom>
        <a:ln w="12714">
          <a:solidFill>
            <a:srgbClr val="000000"/>
          </a:solidFill>
        </a:ln>
      </xdr:spPr>
    </xdr:sp>
    <xdr:clientData/>
  </xdr:twoCellAnchor>
  <xdr:twoCellAnchor editAs="oneCell">
    <xdr:from>
      <xdr:col>0</xdr:col>
      <xdr:colOff>0</xdr:colOff>
      <xdr:row>2445</xdr:row>
      <xdr:rowOff>0</xdr:rowOff>
    </xdr:from>
    <xdr:to>
      <xdr:col>0</xdr:col>
      <xdr:colOff>48895</xdr:colOff>
      <xdr:row>2445</xdr:row>
      <xdr:rowOff>0</xdr:rowOff>
    </xdr:to>
    <xdr:sp macro="" textlink="">
      <xdr:nvSpPr>
        <xdr:cNvPr id="174" name="Shape 151">
          <a:extLst>
            <a:ext uri="{FF2B5EF4-FFF2-40B4-BE49-F238E27FC236}">
              <a16:creationId xmlns:a16="http://schemas.microsoft.com/office/drawing/2014/main" id="{00000000-0008-0000-1700-0000AE000000}"/>
            </a:ext>
          </a:extLst>
        </xdr:cNvPr>
        <xdr:cNvSpPr/>
      </xdr:nvSpPr>
      <xdr:spPr>
        <a:xfrm>
          <a:off x="0" y="4266714225"/>
          <a:ext cx="48895" cy="0"/>
        </a:xfrm>
        <a:custGeom>
          <a:avLst/>
          <a:gdLst/>
          <a:ahLst/>
          <a:cxnLst/>
          <a:rect l="0" t="0" r="0" b="0"/>
          <a:pathLst>
            <a:path w="48895">
              <a:moveTo>
                <a:pt x="0" y="0"/>
              </a:moveTo>
              <a:lnTo>
                <a:pt x="48844" y="0"/>
              </a:lnTo>
            </a:path>
          </a:pathLst>
        </a:custGeom>
        <a:ln w="12715">
          <a:solidFill>
            <a:srgbClr val="010101"/>
          </a:solidFill>
        </a:ln>
      </xdr:spPr>
    </xdr:sp>
    <xdr:clientData/>
  </xdr:twoCellAnchor>
  <xdr:twoCellAnchor editAs="oneCell">
    <xdr:from>
      <xdr:col>0</xdr:col>
      <xdr:colOff>0</xdr:colOff>
      <xdr:row>2445</xdr:row>
      <xdr:rowOff>0</xdr:rowOff>
    </xdr:from>
    <xdr:to>
      <xdr:col>0</xdr:col>
      <xdr:colOff>48895</xdr:colOff>
      <xdr:row>2445</xdr:row>
      <xdr:rowOff>0</xdr:rowOff>
    </xdr:to>
    <xdr:sp macro="" textlink="">
      <xdr:nvSpPr>
        <xdr:cNvPr id="175" name="Shape 152">
          <a:extLst>
            <a:ext uri="{FF2B5EF4-FFF2-40B4-BE49-F238E27FC236}">
              <a16:creationId xmlns:a16="http://schemas.microsoft.com/office/drawing/2014/main" id="{00000000-0008-0000-1700-0000AF000000}"/>
            </a:ext>
          </a:extLst>
        </xdr:cNvPr>
        <xdr:cNvSpPr/>
      </xdr:nvSpPr>
      <xdr:spPr>
        <a:xfrm>
          <a:off x="0" y="4266714225"/>
          <a:ext cx="48895" cy="0"/>
        </a:xfrm>
        <a:custGeom>
          <a:avLst/>
          <a:gdLst/>
          <a:ahLst/>
          <a:cxnLst/>
          <a:rect l="0" t="0" r="0" b="0"/>
          <a:pathLst>
            <a:path w="48895">
              <a:moveTo>
                <a:pt x="0" y="0"/>
              </a:moveTo>
              <a:lnTo>
                <a:pt x="48844" y="0"/>
              </a:lnTo>
            </a:path>
          </a:pathLst>
        </a:custGeom>
        <a:ln w="12715">
          <a:solidFill>
            <a:srgbClr val="010101"/>
          </a:solidFill>
        </a:ln>
      </xdr:spPr>
    </xdr:sp>
    <xdr:clientData/>
  </xdr:twoCellAnchor>
  <xdr:twoCellAnchor editAs="oneCell">
    <xdr:from>
      <xdr:col>0</xdr:col>
      <xdr:colOff>0</xdr:colOff>
      <xdr:row>2445</xdr:row>
      <xdr:rowOff>0</xdr:rowOff>
    </xdr:from>
    <xdr:to>
      <xdr:col>0</xdr:col>
      <xdr:colOff>48895</xdr:colOff>
      <xdr:row>2445</xdr:row>
      <xdr:rowOff>0</xdr:rowOff>
    </xdr:to>
    <xdr:sp macro="" textlink="">
      <xdr:nvSpPr>
        <xdr:cNvPr id="176" name="Shape 155">
          <a:extLst>
            <a:ext uri="{FF2B5EF4-FFF2-40B4-BE49-F238E27FC236}">
              <a16:creationId xmlns:a16="http://schemas.microsoft.com/office/drawing/2014/main" id="{00000000-0008-0000-1700-0000B0000000}"/>
            </a:ext>
          </a:extLst>
        </xdr:cNvPr>
        <xdr:cNvSpPr/>
      </xdr:nvSpPr>
      <xdr:spPr>
        <a:xfrm>
          <a:off x="0" y="4266714225"/>
          <a:ext cx="48895" cy="0"/>
        </a:xfrm>
        <a:custGeom>
          <a:avLst/>
          <a:gdLst/>
          <a:ahLst/>
          <a:cxnLst/>
          <a:rect l="0" t="0" r="0" b="0"/>
          <a:pathLst>
            <a:path w="48895">
              <a:moveTo>
                <a:pt x="0" y="0"/>
              </a:moveTo>
              <a:lnTo>
                <a:pt x="48844" y="0"/>
              </a:lnTo>
            </a:path>
          </a:pathLst>
        </a:custGeom>
        <a:ln w="12714">
          <a:solidFill>
            <a:srgbClr val="030303"/>
          </a:solidFill>
        </a:ln>
      </xdr:spPr>
    </xdr:sp>
    <xdr:clientData/>
  </xdr:twoCellAnchor>
  <xdr:twoCellAnchor editAs="oneCell">
    <xdr:from>
      <xdr:col>0</xdr:col>
      <xdr:colOff>12212</xdr:colOff>
      <xdr:row>2445</xdr:row>
      <xdr:rowOff>0</xdr:rowOff>
    </xdr:from>
    <xdr:to>
      <xdr:col>0</xdr:col>
      <xdr:colOff>12212</xdr:colOff>
      <xdr:row>2445</xdr:row>
      <xdr:rowOff>189865</xdr:rowOff>
    </xdr:to>
    <xdr:sp macro="" textlink="">
      <xdr:nvSpPr>
        <xdr:cNvPr id="177" name="Shape 166">
          <a:extLst>
            <a:ext uri="{FF2B5EF4-FFF2-40B4-BE49-F238E27FC236}">
              <a16:creationId xmlns:a16="http://schemas.microsoft.com/office/drawing/2014/main" id="{00000000-0008-0000-1700-0000B1000000}"/>
            </a:ext>
          </a:extLst>
        </xdr:cNvPr>
        <xdr:cNvSpPr/>
      </xdr:nvSpPr>
      <xdr:spPr>
        <a:xfrm>
          <a:off x="12212" y="4266714225"/>
          <a:ext cx="0" cy="189865"/>
        </a:xfrm>
        <a:custGeom>
          <a:avLst/>
          <a:gdLst/>
          <a:ahLst/>
          <a:cxnLst/>
          <a:rect l="0" t="0" r="0" b="0"/>
          <a:pathLst>
            <a:path h="231140">
              <a:moveTo>
                <a:pt x="0" y="0"/>
              </a:moveTo>
              <a:lnTo>
                <a:pt x="0" y="231089"/>
              </a:lnTo>
            </a:path>
          </a:pathLst>
        </a:custGeom>
        <a:ln w="24424">
          <a:solidFill>
            <a:srgbClr val="EBEBEB"/>
          </a:solidFill>
        </a:ln>
      </xdr:spPr>
    </xdr:sp>
    <xdr:clientData/>
  </xdr:twoCellAnchor>
  <xdr:twoCellAnchor editAs="oneCell">
    <xdr:from>
      <xdr:col>0</xdr:col>
      <xdr:colOff>4579</xdr:colOff>
      <xdr:row>2445</xdr:row>
      <xdr:rowOff>0</xdr:rowOff>
    </xdr:from>
    <xdr:to>
      <xdr:col>0</xdr:col>
      <xdr:colOff>4579</xdr:colOff>
      <xdr:row>2445</xdr:row>
      <xdr:rowOff>186442</xdr:rowOff>
    </xdr:to>
    <xdr:sp macro="" textlink="">
      <xdr:nvSpPr>
        <xdr:cNvPr id="178" name="Shape 167">
          <a:extLst>
            <a:ext uri="{FF2B5EF4-FFF2-40B4-BE49-F238E27FC236}">
              <a16:creationId xmlns:a16="http://schemas.microsoft.com/office/drawing/2014/main" id="{00000000-0008-0000-1700-0000B2000000}"/>
            </a:ext>
          </a:extLst>
        </xdr:cNvPr>
        <xdr:cNvSpPr/>
      </xdr:nvSpPr>
      <xdr:spPr>
        <a:xfrm>
          <a:off x="4579" y="4266714225"/>
          <a:ext cx="0" cy="186442"/>
        </a:xfrm>
        <a:custGeom>
          <a:avLst/>
          <a:gdLst/>
          <a:ahLst/>
          <a:cxnLst/>
          <a:rect l="0" t="0" r="0" b="0"/>
          <a:pathLst>
            <a:path h="265430">
              <a:moveTo>
                <a:pt x="0" y="0"/>
              </a:moveTo>
              <a:lnTo>
                <a:pt x="0" y="265325"/>
              </a:lnTo>
            </a:path>
          </a:pathLst>
        </a:custGeom>
        <a:ln w="9159">
          <a:solidFill>
            <a:srgbClr val="EBEBEB"/>
          </a:solidFill>
        </a:ln>
      </xdr:spPr>
    </xdr:sp>
    <xdr:clientData/>
  </xdr:twoCellAnchor>
  <xdr:oneCellAnchor>
    <xdr:from>
      <xdr:col>4</xdr:col>
      <xdr:colOff>488867</xdr:colOff>
      <xdr:row>224</xdr:row>
      <xdr:rowOff>493462</xdr:rowOff>
    </xdr:from>
    <xdr:ext cx="97790" cy="0"/>
    <xdr:sp macro="" textlink="">
      <xdr:nvSpPr>
        <xdr:cNvPr id="179" name="Shape 18">
          <a:extLst>
            <a:ext uri="{FF2B5EF4-FFF2-40B4-BE49-F238E27FC236}">
              <a16:creationId xmlns:a16="http://schemas.microsoft.com/office/drawing/2014/main" id="{00000000-0008-0000-1700-0000B3000000}"/>
            </a:ext>
          </a:extLst>
        </xdr:cNvPr>
        <xdr:cNvSpPr/>
      </xdr:nvSpPr>
      <xdr:spPr>
        <a:xfrm>
          <a:off x="3260642" y="289510537"/>
          <a:ext cx="97790" cy="0"/>
        </a:xfrm>
        <a:custGeom>
          <a:avLst/>
          <a:gdLst/>
          <a:ahLst/>
          <a:cxnLst/>
          <a:rect l="0" t="0" r="0" b="0"/>
          <a:pathLst>
            <a:path w="97790">
              <a:moveTo>
                <a:pt x="0" y="0"/>
              </a:moveTo>
              <a:lnTo>
                <a:pt x="97536" y="0"/>
              </a:lnTo>
            </a:path>
          </a:pathLst>
        </a:custGeom>
        <a:ln w="3901">
          <a:solidFill>
            <a:srgbClr val="000000"/>
          </a:solidFill>
        </a:ln>
      </xdr:spPr>
    </xdr:sp>
    <xdr:clientData/>
  </xdr:oneCellAnchor>
  <xdr:oneCellAnchor>
    <xdr:from>
      <xdr:col>4</xdr:col>
      <xdr:colOff>2149221</xdr:colOff>
      <xdr:row>347</xdr:row>
      <xdr:rowOff>368494</xdr:rowOff>
    </xdr:from>
    <xdr:ext cx="97790" cy="0"/>
    <xdr:sp macro="" textlink="">
      <xdr:nvSpPr>
        <xdr:cNvPr id="180" name="Shape 19">
          <a:extLst>
            <a:ext uri="{FF2B5EF4-FFF2-40B4-BE49-F238E27FC236}">
              <a16:creationId xmlns:a16="http://schemas.microsoft.com/office/drawing/2014/main" id="{00000000-0008-0000-1700-0000B4000000}"/>
            </a:ext>
          </a:extLst>
        </xdr:cNvPr>
        <xdr:cNvSpPr/>
      </xdr:nvSpPr>
      <xdr:spPr>
        <a:xfrm>
          <a:off x="4920996" y="421402069"/>
          <a:ext cx="97790" cy="0"/>
        </a:xfrm>
        <a:custGeom>
          <a:avLst/>
          <a:gdLst/>
          <a:ahLst/>
          <a:cxnLst/>
          <a:rect l="0" t="0" r="0" b="0"/>
          <a:pathLst>
            <a:path w="97790">
              <a:moveTo>
                <a:pt x="0" y="0"/>
              </a:moveTo>
              <a:lnTo>
                <a:pt x="97536" y="0"/>
              </a:lnTo>
            </a:path>
          </a:pathLst>
        </a:custGeom>
        <a:ln w="3901">
          <a:solidFill>
            <a:srgbClr val="000000"/>
          </a:solidFill>
        </a:ln>
      </xdr:spPr>
    </xdr:sp>
    <xdr:clientData/>
  </xdr:oneCellAnchor>
  <xdr:oneCellAnchor>
    <xdr:from>
      <xdr:col>4</xdr:col>
      <xdr:colOff>2396362</xdr:colOff>
      <xdr:row>352</xdr:row>
      <xdr:rowOff>368112</xdr:rowOff>
    </xdr:from>
    <xdr:ext cx="97790" cy="0"/>
    <xdr:sp macro="" textlink="">
      <xdr:nvSpPr>
        <xdr:cNvPr id="181" name="Shape 20">
          <a:extLst>
            <a:ext uri="{FF2B5EF4-FFF2-40B4-BE49-F238E27FC236}">
              <a16:creationId xmlns:a16="http://schemas.microsoft.com/office/drawing/2014/main" id="{00000000-0008-0000-1700-0000B5000000}"/>
            </a:ext>
          </a:extLst>
        </xdr:cNvPr>
        <xdr:cNvSpPr/>
      </xdr:nvSpPr>
      <xdr:spPr>
        <a:xfrm>
          <a:off x="5168137" y="428888337"/>
          <a:ext cx="97790" cy="0"/>
        </a:xfrm>
        <a:custGeom>
          <a:avLst/>
          <a:gdLst/>
          <a:ahLst/>
          <a:cxnLst/>
          <a:rect l="0" t="0" r="0" b="0"/>
          <a:pathLst>
            <a:path w="97790">
              <a:moveTo>
                <a:pt x="0" y="0"/>
              </a:moveTo>
              <a:lnTo>
                <a:pt x="97536" y="0"/>
              </a:lnTo>
            </a:path>
          </a:pathLst>
        </a:custGeom>
        <a:ln w="3901">
          <a:solidFill>
            <a:srgbClr val="000000"/>
          </a:solidFill>
        </a:ln>
      </xdr:spPr>
    </xdr:sp>
    <xdr:clientData/>
  </xdr:oneCellAnchor>
  <xdr:oneCellAnchor>
    <xdr:from>
      <xdr:col>4</xdr:col>
      <xdr:colOff>1540909</xdr:colOff>
      <xdr:row>357</xdr:row>
      <xdr:rowOff>243145</xdr:rowOff>
    </xdr:from>
    <xdr:ext cx="97790" cy="0"/>
    <xdr:sp macro="" textlink="">
      <xdr:nvSpPr>
        <xdr:cNvPr id="182" name="Shape 21">
          <a:extLst>
            <a:ext uri="{FF2B5EF4-FFF2-40B4-BE49-F238E27FC236}">
              <a16:creationId xmlns:a16="http://schemas.microsoft.com/office/drawing/2014/main" id="{00000000-0008-0000-1700-0000B6000000}"/>
            </a:ext>
          </a:extLst>
        </xdr:cNvPr>
        <xdr:cNvSpPr/>
      </xdr:nvSpPr>
      <xdr:spPr>
        <a:xfrm>
          <a:off x="4312684" y="436250020"/>
          <a:ext cx="97790" cy="0"/>
        </a:xfrm>
        <a:custGeom>
          <a:avLst/>
          <a:gdLst/>
          <a:ahLst/>
          <a:cxnLst/>
          <a:rect l="0" t="0" r="0" b="0"/>
          <a:pathLst>
            <a:path w="97790">
              <a:moveTo>
                <a:pt x="0" y="0"/>
              </a:moveTo>
              <a:lnTo>
                <a:pt x="97536" y="0"/>
              </a:lnTo>
            </a:path>
          </a:pathLst>
        </a:custGeom>
        <a:ln w="3901">
          <a:solidFill>
            <a:srgbClr val="000000"/>
          </a:solidFill>
        </a:ln>
      </xdr:spPr>
    </xdr:sp>
    <xdr:clientData/>
  </xdr:oneCellAnchor>
  <xdr:twoCellAnchor editAs="oneCell">
    <xdr:from>
      <xdr:col>0</xdr:col>
      <xdr:colOff>4579</xdr:colOff>
      <xdr:row>2447</xdr:row>
      <xdr:rowOff>0</xdr:rowOff>
    </xdr:from>
    <xdr:to>
      <xdr:col>0</xdr:col>
      <xdr:colOff>4579</xdr:colOff>
      <xdr:row>2448</xdr:row>
      <xdr:rowOff>3807</xdr:rowOff>
    </xdr:to>
    <xdr:sp macro="" textlink="">
      <xdr:nvSpPr>
        <xdr:cNvPr id="183" name="Shape 133">
          <a:extLst>
            <a:ext uri="{FF2B5EF4-FFF2-40B4-BE49-F238E27FC236}">
              <a16:creationId xmlns:a16="http://schemas.microsoft.com/office/drawing/2014/main" id="{00000000-0008-0000-1700-0000B7000000}"/>
            </a:ext>
          </a:extLst>
        </xdr:cNvPr>
        <xdr:cNvSpPr/>
      </xdr:nvSpPr>
      <xdr:spPr>
        <a:xfrm>
          <a:off x="4579" y="4268238225"/>
          <a:ext cx="0" cy="765809"/>
        </a:xfrm>
        <a:custGeom>
          <a:avLst/>
          <a:gdLst/>
          <a:ahLst/>
          <a:cxnLst/>
          <a:rect l="0" t="0" r="0" b="0"/>
          <a:pathLst>
            <a:path h="461009">
              <a:moveTo>
                <a:pt x="0" y="460816"/>
              </a:moveTo>
              <a:lnTo>
                <a:pt x="0" y="0"/>
              </a:lnTo>
            </a:path>
          </a:pathLst>
        </a:custGeom>
        <a:ln w="9159">
          <a:solidFill>
            <a:srgbClr val="000000"/>
          </a:solidFill>
        </a:ln>
      </xdr:spPr>
    </xdr:sp>
    <xdr:clientData/>
  </xdr:twoCellAnchor>
  <xdr:twoCellAnchor editAs="oneCell">
    <xdr:from>
      <xdr:col>0</xdr:col>
      <xdr:colOff>0</xdr:colOff>
      <xdr:row>2447</xdr:row>
      <xdr:rowOff>0</xdr:rowOff>
    </xdr:from>
    <xdr:to>
      <xdr:col>0</xdr:col>
      <xdr:colOff>27305</xdr:colOff>
      <xdr:row>2447</xdr:row>
      <xdr:rowOff>53974</xdr:rowOff>
    </xdr:to>
    <xdr:sp macro="" textlink="">
      <xdr:nvSpPr>
        <xdr:cNvPr id="184" name="Textbox 145">
          <a:extLst>
            <a:ext uri="{FF2B5EF4-FFF2-40B4-BE49-F238E27FC236}">
              <a16:creationId xmlns:a16="http://schemas.microsoft.com/office/drawing/2014/main" id="{00000000-0008-0000-1700-0000B8000000}"/>
            </a:ext>
          </a:extLst>
        </xdr:cNvPr>
        <xdr:cNvSpPr txBox="1"/>
      </xdr:nvSpPr>
      <xdr:spPr>
        <a:xfrm>
          <a:off x="0" y="4268238225"/>
          <a:ext cx="27305" cy="53974"/>
        </a:xfrm>
        <a:prstGeom prst="rect">
          <a:avLst/>
        </a:prstGeom>
      </xdr:spPr>
      <xdr:txBody>
        <a:bodyPr vertOverflow="clip" lIns="0" tIns="0" rIns="0" bIns="0" anchor="t"/>
        <a:lstStyle/>
        <a:p>
          <a:r>
            <a:rPr sz="450" b="0" spc="-5">
              <a:solidFill>
                <a:srgbClr val="0A0808"/>
              </a:solidFill>
              <a:latin typeface="Times New Roman"/>
              <a:cs typeface="Times New Roman"/>
            </a:rPr>
            <a:t>'</a:t>
          </a:r>
          <a:r>
            <a:rPr sz="450" b="0" spc="0">
              <a:solidFill>
                <a:srgbClr val="0A0808"/>
              </a:solidFill>
              <a:latin typeface="Times New Roman"/>
              <a:cs typeface="Times New Roman"/>
            </a:rPr>
            <a:t>\</a:t>
          </a:r>
        </a:p>
      </xdr:txBody>
    </xdr:sp>
    <xdr:clientData/>
  </xdr:twoCellAnchor>
  <xdr:twoCellAnchor editAs="oneCell">
    <xdr:from>
      <xdr:col>0</xdr:col>
      <xdr:colOff>12212</xdr:colOff>
      <xdr:row>2447</xdr:row>
      <xdr:rowOff>0</xdr:rowOff>
    </xdr:from>
    <xdr:to>
      <xdr:col>0</xdr:col>
      <xdr:colOff>12212</xdr:colOff>
      <xdr:row>2447</xdr:row>
      <xdr:rowOff>189865</xdr:rowOff>
    </xdr:to>
    <xdr:sp macro="" textlink="">
      <xdr:nvSpPr>
        <xdr:cNvPr id="185" name="Shape 166">
          <a:extLst>
            <a:ext uri="{FF2B5EF4-FFF2-40B4-BE49-F238E27FC236}">
              <a16:creationId xmlns:a16="http://schemas.microsoft.com/office/drawing/2014/main" id="{00000000-0008-0000-1700-0000B9000000}"/>
            </a:ext>
          </a:extLst>
        </xdr:cNvPr>
        <xdr:cNvSpPr/>
      </xdr:nvSpPr>
      <xdr:spPr>
        <a:xfrm>
          <a:off x="12212" y="4268238225"/>
          <a:ext cx="0" cy="189865"/>
        </a:xfrm>
        <a:custGeom>
          <a:avLst/>
          <a:gdLst/>
          <a:ahLst/>
          <a:cxnLst/>
          <a:rect l="0" t="0" r="0" b="0"/>
          <a:pathLst>
            <a:path h="231140">
              <a:moveTo>
                <a:pt x="0" y="0"/>
              </a:moveTo>
              <a:lnTo>
                <a:pt x="0" y="231089"/>
              </a:lnTo>
            </a:path>
          </a:pathLst>
        </a:custGeom>
        <a:ln w="24424">
          <a:solidFill>
            <a:srgbClr val="EBEBEB"/>
          </a:solidFill>
        </a:ln>
      </xdr:spPr>
    </xdr:sp>
    <xdr:clientData/>
  </xdr:twoCellAnchor>
  <xdr:twoCellAnchor editAs="oneCell">
    <xdr:from>
      <xdr:col>0</xdr:col>
      <xdr:colOff>4579</xdr:colOff>
      <xdr:row>2447</xdr:row>
      <xdr:rowOff>0</xdr:rowOff>
    </xdr:from>
    <xdr:to>
      <xdr:col>0</xdr:col>
      <xdr:colOff>4579</xdr:colOff>
      <xdr:row>2447</xdr:row>
      <xdr:rowOff>186442</xdr:rowOff>
    </xdr:to>
    <xdr:sp macro="" textlink="">
      <xdr:nvSpPr>
        <xdr:cNvPr id="186" name="Shape 167">
          <a:extLst>
            <a:ext uri="{FF2B5EF4-FFF2-40B4-BE49-F238E27FC236}">
              <a16:creationId xmlns:a16="http://schemas.microsoft.com/office/drawing/2014/main" id="{00000000-0008-0000-1700-0000BA000000}"/>
            </a:ext>
          </a:extLst>
        </xdr:cNvPr>
        <xdr:cNvSpPr/>
      </xdr:nvSpPr>
      <xdr:spPr>
        <a:xfrm>
          <a:off x="4579" y="4268238225"/>
          <a:ext cx="0" cy="186442"/>
        </a:xfrm>
        <a:custGeom>
          <a:avLst/>
          <a:gdLst/>
          <a:ahLst/>
          <a:cxnLst/>
          <a:rect l="0" t="0" r="0" b="0"/>
          <a:pathLst>
            <a:path h="265430">
              <a:moveTo>
                <a:pt x="0" y="0"/>
              </a:moveTo>
              <a:lnTo>
                <a:pt x="0" y="265325"/>
              </a:lnTo>
            </a:path>
          </a:pathLst>
        </a:custGeom>
        <a:ln w="9159">
          <a:solidFill>
            <a:srgbClr val="EBEBEB"/>
          </a:solidFill>
        </a:ln>
      </xdr:spPr>
    </xdr:sp>
    <xdr:clientData/>
  </xdr:twoCellAnchor>
  <xdr:twoCellAnchor editAs="oneCell">
    <xdr:from>
      <xdr:col>0</xdr:col>
      <xdr:colOff>4579</xdr:colOff>
      <xdr:row>2449</xdr:row>
      <xdr:rowOff>0</xdr:rowOff>
    </xdr:from>
    <xdr:to>
      <xdr:col>0</xdr:col>
      <xdr:colOff>4579</xdr:colOff>
      <xdr:row>2450</xdr:row>
      <xdr:rowOff>3811</xdr:rowOff>
    </xdr:to>
    <xdr:sp macro="" textlink="">
      <xdr:nvSpPr>
        <xdr:cNvPr id="187" name="Shape 133">
          <a:extLst>
            <a:ext uri="{FF2B5EF4-FFF2-40B4-BE49-F238E27FC236}">
              <a16:creationId xmlns:a16="http://schemas.microsoft.com/office/drawing/2014/main" id="{00000000-0008-0000-1700-0000BB000000}"/>
            </a:ext>
          </a:extLst>
        </xdr:cNvPr>
        <xdr:cNvSpPr/>
      </xdr:nvSpPr>
      <xdr:spPr>
        <a:xfrm>
          <a:off x="4579" y="4269762225"/>
          <a:ext cx="0" cy="765809"/>
        </a:xfrm>
        <a:custGeom>
          <a:avLst/>
          <a:gdLst/>
          <a:ahLst/>
          <a:cxnLst/>
          <a:rect l="0" t="0" r="0" b="0"/>
          <a:pathLst>
            <a:path h="461009">
              <a:moveTo>
                <a:pt x="0" y="460816"/>
              </a:moveTo>
              <a:lnTo>
                <a:pt x="0" y="0"/>
              </a:lnTo>
            </a:path>
          </a:pathLst>
        </a:custGeom>
        <a:ln w="9159">
          <a:solidFill>
            <a:srgbClr val="000000"/>
          </a:solidFill>
        </a:ln>
      </xdr:spPr>
    </xdr:sp>
    <xdr:clientData/>
  </xdr:twoCellAnchor>
  <xdr:twoCellAnchor editAs="oneCell">
    <xdr:from>
      <xdr:col>0</xdr:col>
      <xdr:colOff>0</xdr:colOff>
      <xdr:row>2449</xdr:row>
      <xdr:rowOff>0</xdr:rowOff>
    </xdr:from>
    <xdr:to>
      <xdr:col>0</xdr:col>
      <xdr:colOff>27305</xdr:colOff>
      <xdr:row>2449</xdr:row>
      <xdr:rowOff>53974</xdr:rowOff>
    </xdr:to>
    <xdr:sp macro="" textlink="">
      <xdr:nvSpPr>
        <xdr:cNvPr id="188" name="Textbox 145">
          <a:extLst>
            <a:ext uri="{FF2B5EF4-FFF2-40B4-BE49-F238E27FC236}">
              <a16:creationId xmlns:a16="http://schemas.microsoft.com/office/drawing/2014/main" id="{00000000-0008-0000-1700-0000BC000000}"/>
            </a:ext>
          </a:extLst>
        </xdr:cNvPr>
        <xdr:cNvSpPr txBox="1"/>
      </xdr:nvSpPr>
      <xdr:spPr>
        <a:xfrm>
          <a:off x="0" y="4269762225"/>
          <a:ext cx="27305" cy="53974"/>
        </a:xfrm>
        <a:prstGeom prst="rect">
          <a:avLst/>
        </a:prstGeom>
      </xdr:spPr>
      <xdr:txBody>
        <a:bodyPr vertOverflow="clip" lIns="0" tIns="0" rIns="0" bIns="0" anchor="t"/>
        <a:lstStyle/>
        <a:p>
          <a:r>
            <a:rPr sz="450" b="0" spc="-5">
              <a:solidFill>
                <a:srgbClr val="0A0808"/>
              </a:solidFill>
              <a:latin typeface="Times New Roman"/>
              <a:cs typeface="Times New Roman"/>
            </a:rPr>
            <a:t>'</a:t>
          </a:r>
          <a:r>
            <a:rPr sz="450" b="0" spc="0">
              <a:solidFill>
                <a:srgbClr val="0A0808"/>
              </a:solidFill>
              <a:latin typeface="Times New Roman"/>
              <a:cs typeface="Times New Roman"/>
            </a:rPr>
            <a:t>\</a:t>
          </a:r>
        </a:p>
      </xdr:txBody>
    </xdr:sp>
    <xdr:clientData/>
  </xdr:twoCellAnchor>
  <xdr:twoCellAnchor editAs="oneCell">
    <xdr:from>
      <xdr:col>0</xdr:col>
      <xdr:colOff>12212</xdr:colOff>
      <xdr:row>2449</xdr:row>
      <xdr:rowOff>0</xdr:rowOff>
    </xdr:from>
    <xdr:to>
      <xdr:col>0</xdr:col>
      <xdr:colOff>12212</xdr:colOff>
      <xdr:row>2449</xdr:row>
      <xdr:rowOff>189865</xdr:rowOff>
    </xdr:to>
    <xdr:sp macro="" textlink="">
      <xdr:nvSpPr>
        <xdr:cNvPr id="189" name="Shape 166">
          <a:extLst>
            <a:ext uri="{FF2B5EF4-FFF2-40B4-BE49-F238E27FC236}">
              <a16:creationId xmlns:a16="http://schemas.microsoft.com/office/drawing/2014/main" id="{00000000-0008-0000-1700-0000BD000000}"/>
            </a:ext>
          </a:extLst>
        </xdr:cNvPr>
        <xdr:cNvSpPr/>
      </xdr:nvSpPr>
      <xdr:spPr>
        <a:xfrm>
          <a:off x="12212" y="4269762225"/>
          <a:ext cx="0" cy="189865"/>
        </a:xfrm>
        <a:custGeom>
          <a:avLst/>
          <a:gdLst/>
          <a:ahLst/>
          <a:cxnLst/>
          <a:rect l="0" t="0" r="0" b="0"/>
          <a:pathLst>
            <a:path h="231140">
              <a:moveTo>
                <a:pt x="0" y="0"/>
              </a:moveTo>
              <a:lnTo>
                <a:pt x="0" y="231089"/>
              </a:lnTo>
            </a:path>
          </a:pathLst>
        </a:custGeom>
        <a:ln w="24424">
          <a:solidFill>
            <a:srgbClr val="EBEBEB"/>
          </a:solidFill>
        </a:ln>
      </xdr:spPr>
    </xdr:sp>
    <xdr:clientData/>
  </xdr:twoCellAnchor>
  <xdr:twoCellAnchor editAs="oneCell">
    <xdr:from>
      <xdr:col>0</xdr:col>
      <xdr:colOff>4579</xdr:colOff>
      <xdr:row>2449</xdr:row>
      <xdr:rowOff>0</xdr:rowOff>
    </xdr:from>
    <xdr:to>
      <xdr:col>0</xdr:col>
      <xdr:colOff>4579</xdr:colOff>
      <xdr:row>2449</xdr:row>
      <xdr:rowOff>186442</xdr:rowOff>
    </xdr:to>
    <xdr:sp macro="" textlink="">
      <xdr:nvSpPr>
        <xdr:cNvPr id="190" name="Shape 167">
          <a:extLst>
            <a:ext uri="{FF2B5EF4-FFF2-40B4-BE49-F238E27FC236}">
              <a16:creationId xmlns:a16="http://schemas.microsoft.com/office/drawing/2014/main" id="{00000000-0008-0000-1700-0000BE000000}"/>
            </a:ext>
          </a:extLst>
        </xdr:cNvPr>
        <xdr:cNvSpPr/>
      </xdr:nvSpPr>
      <xdr:spPr>
        <a:xfrm>
          <a:off x="4579" y="4269762225"/>
          <a:ext cx="0" cy="186442"/>
        </a:xfrm>
        <a:custGeom>
          <a:avLst/>
          <a:gdLst/>
          <a:ahLst/>
          <a:cxnLst/>
          <a:rect l="0" t="0" r="0" b="0"/>
          <a:pathLst>
            <a:path h="265430">
              <a:moveTo>
                <a:pt x="0" y="0"/>
              </a:moveTo>
              <a:lnTo>
                <a:pt x="0" y="265325"/>
              </a:lnTo>
            </a:path>
          </a:pathLst>
        </a:custGeom>
        <a:ln w="9159">
          <a:solidFill>
            <a:srgbClr val="EBEBEB"/>
          </a:solidFill>
        </a:ln>
      </xdr:spPr>
    </xdr:sp>
    <xdr:clientData/>
  </xdr:twoCellAnchor>
  <xdr:twoCellAnchor editAs="oneCell">
    <xdr:from>
      <xdr:col>0</xdr:col>
      <xdr:colOff>4579</xdr:colOff>
      <xdr:row>2451</xdr:row>
      <xdr:rowOff>0</xdr:rowOff>
    </xdr:from>
    <xdr:to>
      <xdr:col>0</xdr:col>
      <xdr:colOff>4579</xdr:colOff>
      <xdr:row>2452</xdr:row>
      <xdr:rowOff>3809</xdr:rowOff>
    </xdr:to>
    <xdr:sp macro="" textlink="">
      <xdr:nvSpPr>
        <xdr:cNvPr id="191" name="Shape 133">
          <a:extLst>
            <a:ext uri="{FF2B5EF4-FFF2-40B4-BE49-F238E27FC236}">
              <a16:creationId xmlns:a16="http://schemas.microsoft.com/office/drawing/2014/main" id="{00000000-0008-0000-1700-0000BF000000}"/>
            </a:ext>
          </a:extLst>
        </xdr:cNvPr>
        <xdr:cNvSpPr/>
      </xdr:nvSpPr>
      <xdr:spPr>
        <a:xfrm>
          <a:off x="4579" y="4270714725"/>
          <a:ext cx="0" cy="194309"/>
        </a:xfrm>
        <a:custGeom>
          <a:avLst/>
          <a:gdLst/>
          <a:ahLst/>
          <a:cxnLst/>
          <a:rect l="0" t="0" r="0" b="0"/>
          <a:pathLst>
            <a:path h="461009">
              <a:moveTo>
                <a:pt x="0" y="460816"/>
              </a:moveTo>
              <a:lnTo>
                <a:pt x="0" y="0"/>
              </a:lnTo>
            </a:path>
          </a:pathLst>
        </a:custGeom>
        <a:ln w="9159">
          <a:solidFill>
            <a:srgbClr val="000000"/>
          </a:solidFill>
        </a:ln>
      </xdr:spPr>
    </xdr:sp>
    <xdr:clientData/>
  </xdr:twoCellAnchor>
  <xdr:twoCellAnchor editAs="oneCell">
    <xdr:from>
      <xdr:col>0</xdr:col>
      <xdr:colOff>0</xdr:colOff>
      <xdr:row>2451</xdr:row>
      <xdr:rowOff>0</xdr:rowOff>
    </xdr:from>
    <xdr:to>
      <xdr:col>0</xdr:col>
      <xdr:colOff>27305</xdr:colOff>
      <xdr:row>2451</xdr:row>
      <xdr:rowOff>53974</xdr:rowOff>
    </xdr:to>
    <xdr:sp macro="" textlink="">
      <xdr:nvSpPr>
        <xdr:cNvPr id="192" name="Textbox 145">
          <a:extLst>
            <a:ext uri="{FF2B5EF4-FFF2-40B4-BE49-F238E27FC236}">
              <a16:creationId xmlns:a16="http://schemas.microsoft.com/office/drawing/2014/main" id="{00000000-0008-0000-1700-0000C0000000}"/>
            </a:ext>
          </a:extLst>
        </xdr:cNvPr>
        <xdr:cNvSpPr txBox="1"/>
      </xdr:nvSpPr>
      <xdr:spPr>
        <a:xfrm>
          <a:off x="0" y="4270714725"/>
          <a:ext cx="27305" cy="53974"/>
        </a:xfrm>
        <a:prstGeom prst="rect">
          <a:avLst/>
        </a:prstGeom>
      </xdr:spPr>
      <xdr:txBody>
        <a:bodyPr vertOverflow="clip" lIns="0" tIns="0" rIns="0" bIns="0" anchor="t"/>
        <a:lstStyle/>
        <a:p>
          <a:r>
            <a:rPr sz="450" b="0" spc="-5">
              <a:solidFill>
                <a:srgbClr val="0A0808"/>
              </a:solidFill>
              <a:latin typeface="Times New Roman"/>
              <a:cs typeface="Times New Roman"/>
            </a:rPr>
            <a:t>'</a:t>
          </a:r>
          <a:r>
            <a:rPr sz="450" b="0" spc="0">
              <a:solidFill>
                <a:srgbClr val="0A0808"/>
              </a:solidFill>
              <a:latin typeface="Times New Roman"/>
              <a:cs typeface="Times New Roman"/>
            </a:rPr>
            <a:t>\</a:t>
          </a:r>
        </a:p>
      </xdr:txBody>
    </xdr:sp>
    <xdr:clientData/>
  </xdr:twoCellAnchor>
  <xdr:twoCellAnchor editAs="oneCell">
    <xdr:from>
      <xdr:col>0</xdr:col>
      <xdr:colOff>12212</xdr:colOff>
      <xdr:row>2451</xdr:row>
      <xdr:rowOff>0</xdr:rowOff>
    </xdr:from>
    <xdr:to>
      <xdr:col>0</xdr:col>
      <xdr:colOff>12212</xdr:colOff>
      <xdr:row>2451</xdr:row>
      <xdr:rowOff>183515</xdr:rowOff>
    </xdr:to>
    <xdr:sp macro="" textlink="">
      <xdr:nvSpPr>
        <xdr:cNvPr id="193" name="Shape 166">
          <a:extLst>
            <a:ext uri="{FF2B5EF4-FFF2-40B4-BE49-F238E27FC236}">
              <a16:creationId xmlns:a16="http://schemas.microsoft.com/office/drawing/2014/main" id="{00000000-0008-0000-1700-0000C1000000}"/>
            </a:ext>
          </a:extLst>
        </xdr:cNvPr>
        <xdr:cNvSpPr/>
      </xdr:nvSpPr>
      <xdr:spPr>
        <a:xfrm>
          <a:off x="12212" y="4270714725"/>
          <a:ext cx="0" cy="189865"/>
        </a:xfrm>
        <a:custGeom>
          <a:avLst/>
          <a:gdLst/>
          <a:ahLst/>
          <a:cxnLst/>
          <a:rect l="0" t="0" r="0" b="0"/>
          <a:pathLst>
            <a:path h="231140">
              <a:moveTo>
                <a:pt x="0" y="0"/>
              </a:moveTo>
              <a:lnTo>
                <a:pt x="0" y="231089"/>
              </a:lnTo>
            </a:path>
          </a:pathLst>
        </a:custGeom>
        <a:ln w="24424">
          <a:solidFill>
            <a:srgbClr val="EBEBEB"/>
          </a:solidFill>
        </a:ln>
      </xdr:spPr>
    </xdr:sp>
    <xdr:clientData/>
  </xdr:twoCellAnchor>
  <xdr:twoCellAnchor editAs="oneCell">
    <xdr:from>
      <xdr:col>0</xdr:col>
      <xdr:colOff>4579</xdr:colOff>
      <xdr:row>2451</xdr:row>
      <xdr:rowOff>0</xdr:rowOff>
    </xdr:from>
    <xdr:to>
      <xdr:col>0</xdr:col>
      <xdr:colOff>4579</xdr:colOff>
      <xdr:row>2451</xdr:row>
      <xdr:rowOff>186442</xdr:rowOff>
    </xdr:to>
    <xdr:sp macro="" textlink="">
      <xdr:nvSpPr>
        <xdr:cNvPr id="194" name="Shape 167">
          <a:extLst>
            <a:ext uri="{FF2B5EF4-FFF2-40B4-BE49-F238E27FC236}">
              <a16:creationId xmlns:a16="http://schemas.microsoft.com/office/drawing/2014/main" id="{00000000-0008-0000-1700-0000C2000000}"/>
            </a:ext>
          </a:extLst>
        </xdr:cNvPr>
        <xdr:cNvSpPr/>
      </xdr:nvSpPr>
      <xdr:spPr>
        <a:xfrm>
          <a:off x="4579" y="4270714725"/>
          <a:ext cx="0" cy="186442"/>
        </a:xfrm>
        <a:custGeom>
          <a:avLst/>
          <a:gdLst/>
          <a:ahLst/>
          <a:cxnLst/>
          <a:rect l="0" t="0" r="0" b="0"/>
          <a:pathLst>
            <a:path h="265430">
              <a:moveTo>
                <a:pt x="0" y="0"/>
              </a:moveTo>
              <a:lnTo>
                <a:pt x="0" y="265325"/>
              </a:lnTo>
            </a:path>
          </a:pathLst>
        </a:custGeom>
        <a:ln w="9159">
          <a:solidFill>
            <a:srgbClr val="EBEBEB"/>
          </a:solidFill>
        </a:ln>
      </xdr:spPr>
    </xdr:sp>
    <xdr:clientData/>
  </xdr:twoCellAnchor>
  <xdr:twoCellAnchor editAs="oneCell">
    <xdr:from>
      <xdr:col>0</xdr:col>
      <xdr:colOff>4579</xdr:colOff>
      <xdr:row>2453</xdr:row>
      <xdr:rowOff>0</xdr:rowOff>
    </xdr:from>
    <xdr:to>
      <xdr:col>0</xdr:col>
      <xdr:colOff>4579</xdr:colOff>
      <xdr:row>2453</xdr:row>
      <xdr:rowOff>194309</xdr:rowOff>
    </xdr:to>
    <xdr:sp macro="" textlink="">
      <xdr:nvSpPr>
        <xdr:cNvPr id="195" name="Shape 133">
          <a:extLst>
            <a:ext uri="{FF2B5EF4-FFF2-40B4-BE49-F238E27FC236}">
              <a16:creationId xmlns:a16="http://schemas.microsoft.com/office/drawing/2014/main" id="{00000000-0008-0000-1700-0000C3000000}"/>
            </a:ext>
          </a:extLst>
        </xdr:cNvPr>
        <xdr:cNvSpPr/>
      </xdr:nvSpPr>
      <xdr:spPr>
        <a:xfrm>
          <a:off x="4579" y="4271095725"/>
          <a:ext cx="0" cy="194309"/>
        </a:xfrm>
        <a:custGeom>
          <a:avLst/>
          <a:gdLst/>
          <a:ahLst/>
          <a:cxnLst/>
          <a:rect l="0" t="0" r="0" b="0"/>
          <a:pathLst>
            <a:path h="461009">
              <a:moveTo>
                <a:pt x="0" y="460816"/>
              </a:moveTo>
              <a:lnTo>
                <a:pt x="0" y="0"/>
              </a:lnTo>
            </a:path>
          </a:pathLst>
        </a:custGeom>
        <a:ln w="9159">
          <a:solidFill>
            <a:srgbClr val="000000"/>
          </a:solidFill>
        </a:ln>
      </xdr:spPr>
    </xdr:sp>
    <xdr:clientData/>
  </xdr:twoCellAnchor>
  <xdr:twoCellAnchor editAs="oneCell">
    <xdr:from>
      <xdr:col>0</xdr:col>
      <xdr:colOff>0</xdr:colOff>
      <xdr:row>2453</xdr:row>
      <xdr:rowOff>0</xdr:rowOff>
    </xdr:from>
    <xdr:to>
      <xdr:col>0</xdr:col>
      <xdr:colOff>27305</xdr:colOff>
      <xdr:row>2453</xdr:row>
      <xdr:rowOff>53974</xdr:rowOff>
    </xdr:to>
    <xdr:sp macro="" textlink="">
      <xdr:nvSpPr>
        <xdr:cNvPr id="196" name="Textbox 145">
          <a:extLst>
            <a:ext uri="{FF2B5EF4-FFF2-40B4-BE49-F238E27FC236}">
              <a16:creationId xmlns:a16="http://schemas.microsoft.com/office/drawing/2014/main" id="{00000000-0008-0000-1700-0000C4000000}"/>
            </a:ext>
          </a:extLst>
        </xdr:cNvPr>
        <xdr:cNvSpPr txBox="1"/>
      </xdr:nvSpPr>
      <xdr:spPr>
        <a:xfrm>
          <a:off x="0" y="4271095725"/>
          <a:ext cx="27305" cy="53974"/>
        </a:xfrm>
        <a:prstGeom prst="rect">
          <a:avLst/>
        </a:prstGeom>
      </xdr:spPr>
      <xdr:txBody>
        <a:bodyPr vertOverflow="clip" lIns="0" tIns="0" rIns="0" bIns="0" anchor="t"/>
        <a:lstStyle/>
        <a:p>
          <a:r>
            <a:rPr sz="450" b="0" spc="-5">
              <a:solidFill>
                <a:srgbClr val="0A0808"/>
              </a:solidFill>
              <a:latin typeface="Times New Roman"/>
              <a:cs typeface="Times New Roman"/>
            </a:rPr>
            <a:t>'</a:t>
          </a:r>
          <a:r>
            <a:rPr sz="450" b="0" spc="0">
              <a:solidFill>
                <a:srgbClr val="0A0808"/>
              </a:solidFill>
              <a:latin typeface="Times New Roman"/>
              <a:cs typeface="Times New Roman"/>
            </a:rPr>
            <a:t>\</a:t>
          </a:r>
        </a:p>
      </xdr:txBody>
    </xdr:sp>
    <xdr:clientData/>
  </xdr:twoCellAnchor>
  <xdr:twoCellAnchor editAs="oneCell">
    <xdr:from>
      <xdr:col>0</xdr:col>
      <xdr:colOff>12212</xdr:colOff>
      <xdr:row>2453</xdr:row>
      <xdr:rowOff>0</xdr:rowOff>
    </xdr:from>
    <xdr:to>
      <xdr:col>0</xdr:col>
      <xdr:colOff>12212</xdr:colOff>
      <xdr:row>2453</xdr:row>
      <xdr:rowOff>189865</xdr:rowOff>
    </xdr:to>
    <xdr:sp macro="" textlink="">
      <xdr:nvSpPr>
        <xdr:cNvPr id="197" name="Shape 166">
          <a:extLst>
            <a:ext uri="{FF2B5EF4-FFF2-40B4-BE49-F238E27FC236}">
              <a16:creationId xmlns:a16="http://schemas.microsoft.com/office/drawing/2014/main" id="{00000000-0008-0000-1700-0000C5000000}"/>
            </a:ext>
          </a:extLst>
        </xdr:cNvPr>
        <xdr:cNvSpPr/>
      </xdr:nvSpPr>
      <xdr:spPr>
        <a:xfrm>
          <a:off x="12212" y="4271095725"/>
          <a:ext cx="0" cy="189865"/>
        </a:xfrm>
        <a:custGeom>
          <a:avLst/>
          <a:gdLst/>
          <a:ahLst/>
          <a:cxnLst/>
          <a:rect l="0" t="0" r="0" b="0"/>
          <a:pathLst>
            <a:path h="231140">
              <a:moveTo>
                <a:pt x="0" y="0"/>
              </a:moveTo>
              <a:lnTo>
                <a:pt x="0" y="231089"/>
              </a:lnTo>
            </a:path>
          </a:pathLst>
        </a:custGeom>
        <a:ln w="24424">
          <a:solidFill>
            <a:srgbClr val="EBEBEB"/>
          </a:solidFill>
        </a:ln>
      </xdr:spPr>
    </xdr:sp>
    <xdr:clientData/>
  </xdr:twoCellAnchor>
  <xdr:twoCellAnchor editAs="oneCell">
    <xdr:from>
      <xdr:col>0</xdr:col>
      <xdr:colOff>4579</xdr:colOff>
      <xdr:row>2453</xdr:row>
      <xdr:rowOff>0</xdr:rowOff>
    </xdr:from>
    <xdr:to>
      <xdr:col>0</xdr:col>
      <xdr:colOff>4579</xdr:colOff>
      <xdr:row>2453</xdr:row>
      <xdr:rowOff>186442</xdr:rowOff>
    </xdr:to>
    <xdr:sp macro="" textlink="">
      <xdr:nvSpPr>
        <xdr:cNvPr id="198" name="Shape 167">
          <a:extLst>
            <a:ext uri="{FF2B5EF4-FFF2-40B4-BE49-F238E27FC236}">
              <a16:creationId xmlns:a16="http://schemas.microsoft.com/office/drawing/2014/main" id="{00000000-0008-0000-1700-0000C6000000}"/>
            </a:ext>
          </a:extLst>
        </xdr:cNvPr>
        <xdr:cNvSpPr/>
      </xdr:nvSpPr>
      <xdr:spPr>
        <a:xfrm>
          <a:off x="4579" y="4271095725"/>
          <a:ext cx="0" cy="186442"/>
        </a:xfrm>
        <a:custGeom>
          <a:avLst/>
          <a:gdLst/>
          <a:ahLst/>
          <a:cxnLst/>
          <a:rect l="0" t="0" r="0" b="0"/>
          <a:pathLst>
            <a:path h="265430">
              <a:moveTo>
                <a:pt x="0" y="0"/>
              </a:moveTo>
              <a:lnTo>
                <a:pt x="0" y="265325"/>
              </a:lnTo>
            </a:path>
          </a:pathLst>
        </a:custGeom>
        <a:ln w="9159">
          <a:solidFill>
            <a:srgbClr val="EBEBEB"/>
          </a:solidFill>
        </a:ln>
      </xdr:spPr>
    </xdr:sp>
    <xdr:clientData/>
  </xdr:twoCellAnchor>
  <xdr:twoCellAnchor editAs="oneCell">
    <xdr:from>
      <xdr:col>0</xdr:col>
      <xdr:colOff>4579</xdr:colOff>
      <xdr:row>2455</xdr:row>
      <xdr:rowOff>0</xdr:rowOff>
    </xdr:from>
    <xdr:to>
      <xdr:col>0</xdr:col>
      <xdr:colOff>4579</xdr:colOff>
      <xdr:row>2455</xdr:row>
      <xdr:rowOff>461009</xdr:rowOff>
    </xdr:to>
    <xdr:sp macro="" textlink="">
      <xdr:nvSpPr>
        <xdr:cNvPr id="199" name="Shape 133">
          <a:extLst>
            <a:ext uri="{FF2B5EF4-FFF2-40B4-BE49-F238E27FC236}">
              <a16:creationId xmlns:a16="http://schemas.microsoft.com/office/drawing/2014/main" id="{00000000-0008-0000-1700-0000C7000000}"/>
            </a:ext>
          </a:extLst>
        </xdr:cNvPr>
        <xdr:cNvSpPr/>
      </xdr:nvSpPr>
      <xdr:spPr>
        <a:xfrm>
          <a:off x="4579" y="4273572225"/>
          <a:ext cx="0" cy="461009"/>
        </a:xfrm>
        <a:custGeom>
          <a:avLst/>
          <a:gdLst/>
          <a:ahLst/>
          <a:cxnLst/>
          <a:rect l="0" t="0" r="0" b="0"/>
          <a:pathLst>
            <a:path h="461009">
              <a:moveTo>
                <a:pt x="0" y="460816"/>
              </a:moveTo>
              <a:lnTo>
                <a:pt x="0" y="0"/>
              </a:lnTo>
            </a:path>
          </a:pathLst>
        </a:custGeom>
        <a:ln w="9159">
          <a:solidFill>
            <a:srgbClr val="000000"/>
          </a:solidFill>
        </a:ln>
      </xdr:spPr>
    </xdr:sp>
    <xdr:clientData/>
  </xdr:twoCellAnchor>
  <xdr:twoCellAnchor editAs="oneCell">
    <xdr:from>
      <xdr:col>0</xdr:col>
      <xdr:colOff>0</xdr:colOff>
      <xdr:row>2455</xdr:row>
      <xdr:rowOff>0</xdr:rowOff>
    </xdr:from>
    <xdr:to>
      <xdr:col>0</xdr:col>
      <xdr:colOff>27305</xdr:colOff>
      <xdr:row>2455</xdr:row>
      <xdr:rowOff>53974</xdr:rowOff>
    </xdr:to>
    <xdr:sp macro="" textlink="">
      <xdr:nvSpPr>
        <xdr:cNvPr id="200" name="Textbox 145">
          <a:extLst>
            <a:ext uri="{FF2B5EF4-FFF2-40B4-BE49-F238E27FC236}">
              <a16:creationId xmlns:a16="http://schemas.microsoft.com/office/drawing/2014/main" id="{00000000-0008-0000-1700-0000C8000000}"/>
            </a:ext>
          </a:extLst>
        </xdr:cNvPr>
        <xdr:cNvSpPr txBox="1"/>
      </xdr:nvSpPr>
      <xdr:spPr>
        <a:xfrm>
          <a:off x="0" y="4273572225"/>
          <a:ext cx="27305" cy="53974"/>
        </a:xfrm>
        <a:prstGeom prst="rect">
          <a:avLst/>
        </a:prstGeom>
      </xdr:spPr>
      <xdr:txBody>
        <a:bodyPr vertOverflow="clip" lIns="0" tIns="0" rIns="0" bIns="0" anchor="t"/>
        <a:lstStyle/>
        <a:p>
          <a:r>
            <a:rPr sz="450" b="0" spc="-5">
              <a:solidFill>
                <a:srgbClr val="0A0808"/>
              </a:solidFill>
              <a:latin typeface="Times New Roman"/>
              <a:cs typeface="Times New Roman"/>
            </a:rPr>
            <a:t>'</a:t>
          </a:r>
          <a:r>
            <a:rPr sz="450" b="0" spc="0">
              <a:solidFill>
                <a:srgbClr val="0A0808"/>
              </a:solidFill>
              <a:latin typeface="Times New Roman"/>
              <a:cs typeface="Times New Roman"/>
            </a:rPr>
            <a:t>\</a:t>
          </a:r>
        </a:p>
      </xdr:txBody>
    </xdr:sp>
    <xdr:clientData/>
  </xdr:twoCellAnchor>
  <xdr:twoCellAnchor editAs="oneCell">
    <xdr:from>
      <xdr:col>0</xdr:col>
      <xdr:colOff>12212</xdr:colOff>
      <xdr:row>2455</xdr:row>
      <xdr:rowOff>0</xdr:rowOff>
    </xdr:from>
    <xdr:to>
      <xdr:col>0</xdr:col>
      <xdr:colOff>12212</xdr:colOff>
      <xdr:row>2455</xdr:row>
      <xdr:rowOff>227965</xdr:rowOff>
    </xdr:to>
    <xdr:sp macro="" textlink="">
      <xdr:nvSpPr>
        <xdr:cNvPr id="201" name="Shape 166">
          <a:extLst>
            <a:ext uri="{FF2B5EF4-FFF2-40B4-BE49-F238E27FC236}">
              <a16:creationId xmlns:a16="http://schemas.microsoft.com/office/drawing/2014/main" id="{00000000-0008-0000-1700-0000C9000000}"/>
            </a:ext>
          </a:extLst>
        </xdr:cNvPr>
        <xdr:cNvSpPr/>
      </xdr:nvSpPr>
      <xdr:spPr>
        <a:xfrm>
          <a:off x="12212" y="4273572225"/>
          <a:ext cx="0" cy="227965"/>
        </a:xfrm>
        <a:custGeom>
          <a:avLst/>
          <a:gdLst/>
          <a:ahLst/>
          <a:cxnLst/>
          <a:rect l="0" t="0" r="0" b="0"/>
          <a:pathLst>
            <a:path h="231140">
              <a:moveTo>
                <a:pt x="0" y="0"/>
              </a:moveTo>
              <a:lnTo>
                <a:pt x="0" y="231089"/>
              </a:lnTo>
            </a:path>
          </a:pathLst>
        </a:custGeom>
        <a:ln w="24424">
          <a:solidFill>
            <a:srgbClr val="EBEBEB"/>
          </a:solidFill>
        </a:ln>
      </xdr:spPr>
    </xdr:sp>
    <xdr:clientData/>
  </xdr:twoCellAnchor>
  <xdr:twoCellAnchor editAs="oneCell">
    <xdr:from>
      <xdr:col>0</xdr:col>
      <xdr:colOff>4579</xdr:colOff>
      <xdr:row>2455</xdr:row>
      <xdr:rowOff>0</xdr:rowOff>
    </xdr:from>
    <xdr:to>
      <xdr:col>0</xdr:col>
      <xdr:colOff>4579</xdr:colOff>
      <xdr:row>2455</xdr:row>
      <xdr:rowOff>472192</xdr:rowOff>
    </xdr:to>
    <xdr:sp macro="" textlink="">
      <xdr:nvSpPr>
        <xdr:cNvPr id="202" name="Shape 167">
          <a:extLst>
            <a:ext uri="{FF2B5EF4-FFF2-40B4-BE49-F238E27FC236}">
              <a16:creationId xmlns:a16="http://schemas.microsoft.com/office/drawing/2014/main" id="{00000000-0008-0000-1700-0000CA000000}"/>
            </a:ext>
          </a:extLst>
        </xdr:cNvPr>
        <xdr:cNvSpPr/>
      </xdr:nvSpPr>
      <xdr:spPr>
        <a:xfrm>
          <a:off x="4579" y="4273572225"/>
          <a:ext cx="0" cy="472192"/>
        </a:xfrm>
        <a:custGeom>
          <a:avLst/>
          <a:gdLst/>
          <a:ahLst/>
          <a:cxnLst/>
          <a:rect l="0" t="0" r="0" b="0"/>
          <a:pathLst>
            <a:path h="265430">
              <a:moveTo>
                <a:pt x="0" y="0"/>
              </a:moveTo>
              <a:lnTo>
                <a:pt x="0" y="265325"/>
              </a:lnTo>
            </a:path>
          </a:pathLst>
        </a:custGeom>
        <a:ln w="9159">
          <a:solidFill>
            <a:srgbClr val="EBEBEB"/>
          </a:solidFill>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l3051004\E\Documents%20and%20Settings\CRK\Desktop\Techinal%202006-07\Tundulwar-A.E\Ambedkar%20Bhavan%20-%20Pradeep\for%20CD%20Da%20ta\w%20p%20final%20dtp\0%20to%2012%20CD.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WINDOWS\Desktop\w%20p%20final%20dtp\0%20to%2012%20CD.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atil2\NISARGA%20(E)\PMGSY-Nandurbar-06-07\DPR\Block%20%20%20%20NAVAPUR\Copy%20of%20Estimate%20of%20Causeway%20@%20CH%2014080%20on%20Korad%20River.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E:\Users\abc\AppData\Local\Microsoft\Windows\Temporary%20Internet%20Files\Low\Content.IE5\BKB0G72Y\Gaoner\Space-5.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E:\SELOO%20SUB%20DIV\ESTIMATE-2017-18%20(%20e-DSR)\ANIMAL%20HUSBANDRY%20YELKELI\&#160;\mahesh\t-s_models\MODEL1(chandrashekar).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E:\SELOO%20SUB%20DIV\ESTIMATE-2017-18%20(%20e-DSR)\ANIMAL%20HUSBANDRY%20YELKELI\&#160;\My%20Documents%20250806\New%20P-B%20Rd.16-25.2\Vallampatla%20-Tharigoppula.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SELOO%20SUB%20DIV\ESTIMATE-2017-18%20(%20e-DSR)\ANIMAL%20HUSBANDRY%20YELKELI\allapalli%20bhamragad\OFFICE\Trans%203\GEd\AEEK\NABARD%20BOMMENA\NEW%20NH16%20TO%20BOMMENA%201.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rpn\road\estimate\balkhed.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SELOO%20SUB%20DIV\ESTIMATE-2017-18%20(%20e-DSR)\ANIMAL%20HUSBANDRY%20YELKELI\&#160;\mahesh\mODEL_XI%20wet_2006.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SELOO%20SUB%20DIV\ESTIMATE-2017-18%20(%20e-DSR)\ANIMAL%20HUSBANDRY%20YELKELI\&#160;\My%20Documents%20250806\New%20P-B%20Rd.16-25.2\Estimates\RIDF-XI\WARANGAL\RN%20road-05-06.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A:\mahesh\t-s_models\LATEST\WG\Madhavaram_Kamsalipalem.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Gadchiroli%20estt\TS%20Tadwai-Bayyaram-N.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A:\temp-BISEN.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THEME9\G\WINDOWS\Desktop\Complete%20Data%20for%20DPR\PRIORITY%20ROADS\BADAMALAHRA\Belda\Complete%20Data%20for%20DPR\Tests\Badamalahra\Bhelda\bhelda%20300m.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l3051004\E\Documents%20and%20Settings\CRK\Desktop\Techinal%202006-07\Tundulwar-A.E\Ambedkar%20Bhavan%20-%20Pradeep\for%20CD%20Da%20ta\w%20p%20final%20dtp\WideniSTBT%20Warora%20Panzurni0%20to%2012.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l3051004\E\Documents%20and%20Settings\CRK\Desktop\Techinal%202006-07\Tundulwar-A.E\Ambedkar%20Bhavan%20-%20Pradeep\P.W.D\Muttyalwar\July\Nimsada%20Road.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SELOO%20SUB%20DIV\ESTIMATE-2017-18%20(%20e-DSR)\ANIMAL%20HUSBANDRY%20YELKELI\&#160;\mahesh\t-s_models\model_final.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Com-02\D\Users\user3\Desktop\Desktop\ANNEXURE%20NABARD%20XVII\Annexures-%20R&amp;%20B%20(Nabard-XV)%20additional%20FINAL.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E:\SELOO%20SUB%20DIV\ESTIMATE-2017-18%20(%20e-DSR)\ANIMAL%20HUSBANDRY%20YELKELI\&#160;\My%20Documents%20250806\SR-2006-07\SR-ET-030706.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Bhimmanwar\Ofifce%20shiva\Dp1\HOSTEL\WINDOWS\Desktop\P.W.D\Muttyalwar\July\Nimsada%20Road.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Cl3051004\E\Documents%20and%20Settings\CRK\Desktop\Techinal%202006-07\Joshi%20-AE\Estimate%20%20All\Estt.%20%2006-%2007%20(J)\Tahasil%20Chimur.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E:\SELOO%20SUB%20DIV\ESTIMATE-2017-18%20(%20e-DSR)\ANIMAL%20HUSBANDRY%20YELKELI\allapalli%20bhamragad\Documents%20and%20Settings\Administrator\My%20Documents\List%20of%20IRC%20codes%20&amp;%20Geometrical%20design%20Std\sTANDARD%20PIPES.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Server\g\WINDOWS\Desktop\Complete%20Data%20for%20DPR\PRIORITY%20ROADS\BADAMALAHRA\Belda\Ghuwara-%20Indora%20Road%20to%20Bhelda%20Village_DPR_21-11-04.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E:\ASH\ASHOK%20MASTER.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E:\SELOO%20SUB%20DIV\ESTIMATE-2017-18%20(%20e-DSR)\ANIMAL%20HUSBANDRY%20YELKELI\allapalli%20bhamragad\Users\dell\Desktop\LWE\AP\B-A%20road-2\Backup_010808\ANR_ME\PAIDIM~1.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3E55F0D4\sanctioned%20list.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E:\Ofifce%20shiva\P.W.D\Muttyalwar\July\Nimsada%20Road.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Com-02\AEEK\NABARD%20BOMMENA\NEW%20NH16%20TO%20BOMMENA%201.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Com-02\D\Users\user3\Desktop\Desktop\ANNEXURE%20NABARD%20XVII\Annexures-%20R&amp;%20B%20(Nabard-XVII).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E:\Gaoner\Space-5.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Patil2\NISARGA%20(E)\Program%20Files\Arrrnew12.8.05\ARRR1.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E:\MDH\COLOURING%202%20500-NEW%20CNSTBL%20QTR.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Com-02\D\Users\user3\Desktop\Desktop\ANNEXURE%20NABARD%20XVII\Annexure-%20R&amp;%20B%20(Nabard-XVI)%20Add%20Wardha%20dist.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SELOO%20SUB%20DIV\ESTIMATE-2017-18%20(%20e-DSR)\ANIMAL%20HUSBANDRY%20YELKELI\&#160;\TS%20Tadwai-Bayyaram-N.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Com-02\d\My%20Documents\Belekar\Conversion\Conv%20-%20Final.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B:\WINNT\Profiles\Administrator.000\Personal\mdh%20KADIMBAGH.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Com-02\D\Users\user3\Desktop\PAWAN\ANNEXURE%20NABARD%20XVII%20OK\Annexures-%20R&amp;%20B%20(Nabard-XVII)%20Wardha%20Dist%20FINAL1.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E:\2008%20PWD\Dhamane%202008%20March\2009\Diwali\15%20Dec%20up%20to%20entry%20done\Court%20Building.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C9A84BB7\BOS%202007-08%20final.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C:\AEEK\NABARD%20BOMMENA\NEW%20NH16%20TO%20BOMMENA%201.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C:\Gaoner\Space-5.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E:\office%20data\ESTIMATE\JAIL\1%20JAIL%20KITCHEN.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E:\WARDHA%20SUB%20DIV.NO.1%20-%20SEP-2020\JAIL%20DEPTT\HIRKANI%20KAKSHA\HIRKANI%20KAKSH%20%20AS%20PER%20%20T.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joduck_SK_1"/>
      <sheetName val="Gan AB"/>
      <sheetName val="ABS V"/>
      <sheetName val="MS V"/>
      <sheetName val="RT V"/>
      <sheetName val="LD B"/>
      <sheetName val="RMR"/>
      <sheetName val="CHANGES SHEET"/>
      <sheetName val="SEPARATORS"/>
      <sheetName val="COVER PAGE"/>
      <sheetName val="I-p=O-p"/>
      <sheetName val="SLOPE CAL."/>
      <sheetName val="I.Q.Cal."/>
      <sheetName val="CAL.THFL N TOFL"/>
      <sheetName val="Sheet1"/>
      <sheetName val="MQRTL"/>
      <sheetName val="OBS Vs TALLIED"/>
      <sheetName val="M.Q.Cal.(OFL)"/>
      <sheetName val="R.R.% M.Q.Cal.(OFL) "/>
      <sheetName val="Afflux(OFL)"/>
      <sheetName val="R.R%Afflux(OFL)"/>
      <sheetName val="L.W.(OFL)"/>
      <sheetName val="M.Q.Cal.(HFL)"/>
      <sheetName val="R.T.M.Q.Cal.(RTL)"/>
      <sheetName val="R.R.% M.Q.Cal.(HFL)"/>
      <sheetName val="Afflux(HFL)"/>
      <sheetName val="SWF"/>
      <sheetName val="SWF(HFL)"/>
      <sheetName val="R.R.%Afflux(HFL) "/>
      <sheetName val="L.W.(HFL)"/>
      <sheetName val="M.Q.Cal.(RTL)"/>
      <sheetName val="Afflux(RTL)"/>
      <sheetName val="L.W.(RTL)"/>
      <sheetName val="Raft_S.D. swf"/>
      <sheetName val="SWF(RTL)"/>
      <sheetName val="SCOUR DEPTH"/>
      <sheetName val="RTL CAL."/>
      <sheetName val="SUMMARY"/>
      <sheetName val="R.T.M.Q.Cal.(OFL)"/>
      <sheetName val="R.T.M.Q.Cal.(HFL)"/>
      <sheetName val="open found."/>
      <sheetName val="CAL. OF TOFL &amp; THFL"/>
      <sheetName val="INDEX"/>
      <sheetName val="SILENT FEATURES"/>
      <sheetName val="SBC"/>
      <sheetName val="PSD"/>
      <sheetName val="GENERAL REPORT"/>
      <sheetName val="L.W. 4 T.O-H.F.L."/>
      <sheetName val="Gan_AB"/>
      <sheetName val="ABS_V"/>
      <sheetName val="MS_V"/>
      <sheetName val="RT_V"/>
      <sheetName val="LD_B"/>
      <sheetName val="Mesurement"/>
      <sheetName val="carting"/>
      <sheetName val="rcd"/>
      <sheetName val="ROY"/>
      <sheetName val="RD"/>
      <sheetName val="DATA"/>
      <sheetName val="MES "/>
      <sheetName val="Material"/>
      <sheetName val="v"/>
      <sheetName val="r"/>
      <sheetName val="leads"/>
      <sheetName val="rdamdata"/>
      <sheetName val="maya"/>
      <sheetName val="Transfer"/>
      <sheetName val="Part4"/>
      <sheetName val="Material "/>
      <sheetName val="RA-CD"/>
      <sheetName val="RD-Est"/>
      <sheetName val="Pier Data"/>
      <sheetName val="CU"/>
      <sheetName val="Gen Info"/>
      <sheetName val="ANNEXURE-A"/>
      <sheetName val="Package-2"/>
      <sheetName val="m"/>
      <sheetName val="Machinery"/>
      <sheetName val="lead-st"/>
      <sheetName val="IV(R)"/>
      <sheetName val="Lead"/>
      <sheetName val="Plant &amp;  Machinery"/>
      <sheetName val="Config"/>
      <sheetName val="Steel-Circular"/>
      <sheetName val="DETAILED  BOQ"/>
      <sheetName val="bricks"/>
      <sheetName val="sorna-lanjera"/>
      <sheetName val="PRICE BID"/>
      <sheetName val="Labour"/>
      <sheetName val="5"/>
      <sheetName val="PH-V (20-07-06) (77)"/>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joduck_SK_1"/>
      <sheetName val="Gan AB"/>
      <sheetName val="ABS V"/>
      <sheetName val="MS V"/>
      <sheetName val="RT V"/>
      <sheetName val="LD B"/>
    </sheetNames>
    <sheetDataSet>
      <sheetData sheetId="0" refreshError="1"/>
      <sheetData sheetId="1"/>
      <sheetData sheetId="2"/>
      <sheetData sheetId="3"/>
      <sheetData sheetId="4"/>
      <sheetData sheetId="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sheetName val="DATA"/>
      <sheetName val="S C W _Basic"/>
      <sheetName val="RECAP"/>
      <sheetName val="RD"/>
      <sheetName val="1R"/>
      <sheetName val="2R"/>
      <sheetName val="3R"/>
      <sheetName val="S CW"/>
      <sheetName val="S CW (2)"/>
      <sheetName val="Box Culvert"/>
      <sheetName val="SC Single "/>
      <sheetName val="SC Multiple"/>
      <sheetName val="SUB  SLAB CULVERT  Basic"/>
      <sheetName val="SLab CAUSE Multiple (2)"/>
      <sheetName val="Hard Passage Repairing"/>
      <sheetName val="Hard Passage"/>
      <sheetName val="SRC"/>
      <sheetName val="rrd"/>
      <sheetName val="rcd"/>
      <sheetName val="RET"/>
      <sheetName val="GUT"/>
      <sheetName val="Div-23"/>
      <sheetName val="S-OUT"/>
      <sheetName val="ROY"/>
      <sheetName val="Labour Rate"/>
      <sheetName val="Building Materials Rate"/>
      <sheetName val="Carraige"/>
      <sheetName val="Mortar"/>
      <sheetName val="Sheet2"/>
      <sheetName val="Skew Slab Culvert 8 m"/>
      <sheetName val="Information"/>
      <sheetName val="Abs_Road"/>
      <sheetName val="PROCTOR"/>
      <sheetName val="S_C_W__Basic"/>
      <sheetName val="S_CW"/>
      <sheetName val="S_CW_(2)"/>
      <sheetName val="Box_Culvert"/>
      <sheetName val="SC_Single_"/>
      <sheetName val="SC_Multiple"/>
      <sheetName val="SUB__SLAB_CULVERT__Basic"/>
      <sheetName val="SLab_CAUSE_Multiple_(2)"/>
      <sheetName val="Hard_Passage_Repairing"/>
      <sheetName val="Hard_Passage"/>
      <sheetName val="Design"/>
      <sheetName val="zone-2"/>
      <sheetName val="Sheet1"/>
      <sheetName val="CONNECT"/>
      <sheetName val="CPIPE"/>
      <sheetName val="Fixation_Principal_Level"/>
      <sheetName val="Below_Earth"/>
      <sheetName val="Labour"/>
      <sheetName val="Material"/>
      <sheetName val="Plant &amp;  Machinery"/>
      <sheetName val="A"/>
      <sheetName val="DRAINAGE SYPHON"/>
      <sheetName val="Binnies"/>
      <sheetName val="IWR_Rabi_CP1_Barwani_CWR"/>
      <sheetName val="UH"/>
      <sheetName val="Routing"/>
      <sheetName val="Unit-I"/>
      <sheetName val="basdat"/>
    </sheetNames>
    <sheetDataSet>
      <sheetData sheetId="0">
        <row r="9">
          <cell r="B9" t="str">
            <v xml:space="preserve">PROPOSED UPGRADATION &amp; MAINTENANCE OF ROAD FROM MDR 61 TO ZAMTYAWAD -GHOGALPADA-DHAVALIPADA- NAVALI- KHOLVIHIR-PIMPALE- DEOLIPADA-CHITVI  CH 0/00 TO 24/000 KM </v>
          </cell>
        </row>
      </sheetData>
      <sheetData sheetId="1">
        <row r="9">
          <cell r="B9" t="str">
            <v xml:space="preserve">PROPOSED UPGRADATION &amp; MAINTENANCE OF ROAD FROM MDR 61 TO ZAMTYAWAD -GHOGALPADA-DHAVALIPADA- NAVALI- KHOLVIHIR-PIMPALE- DEOLIPADA-CHITVI  CH 0/00 TO 24/000 KM </v>
          </cell>
        </row>
      </sheetData>
      <sheetData sheetId="2"/>
      <sheetData sheetId="3"/>
      <sheetData sheetId="4">
        <row r="9">
          <cell r="B9" t="str">
            <v xml:space="preserve">PROPOSED UPGRADATION &amp; MAINTENANCE OF ROAD FROM MDR 61 TO ZAMTYAWAD -GHOGALPADA-DHAVALIPADA- NAVALI- KHOLVIHIR-PIMPALE- DEOLIPADA-CHITVI  CH 0/00 TO 24/000 KM </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tter-space-5(13)"/>
      <sheetName val="Improve"/>
      <sheetName val="Letter-space-5(12)"/>
    </sheetNames>
    <sheetDataSet>
      <sheetData sheetId="0"/>
      <sheetData sheetId="1"/>
      <sheetData sheetId="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0000000"/>
      <sheetName val="1000000000000"/>
      <sheetName val="Cover"/>
      <sheetName val="TS Memo"/>
      <sheetName val="Sp Report"/>
      <sheetName val="note"/>
      <sheetName val="BTR"/>
      <sheetName val="mlead"/>
      <sheetName val="lead"/>
      <sheetName val="RMR"/>
      <sheetName val="CD Data (Morth)"/>
      <sheetName val="Rd Det Est"/>
      <sheetName val="Rd abs Est"/>
      <sheetName val="HP Det est"/>
      <sheetName val="HP Abs Est"/>
      <sheetName val="CBR"/>
      <sheetName val="Gen Abs"/>
    </sheetNames>
    <sheetDataSet>
      <sheetData sheetId="0"/>
      <sheetData sheetId="1"/>
      <sheetData sheetId="2">
        <row r="27">
          <cell r="E27" t="str">
            <v>VIJAYAWADA</v>
          </cell>
        </row>
        <row r="28">
          <cell r="E28" t="str">
            <v>VIJAYAWADA</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0000000"/>
      <sheetName val="1000000000000"/>
      <sheetName val="coverpage"/>
      <sheetName val="TS memo"/>
      <sheetName val="Spn report"/>
      <sheetName val="Gen abs"/>
      <sheetName val="abs road"/>
      <sheetName val="HP abs"/>
      <sheetName val="R_Det"/>
      <sheetName val="1R 800"/>
      <sheetName val="Ret wall"/>
      <sheetName val="Road data"/>
      <sheetName val="BTR"/>
      <sheetName val="RMR"/>
      <sheetName val="certificates"/>
      <sheetName val="mlea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8">
          <cell r="C8">
            <v>75</v>
          </cell>
        </row>
        <row r="18">
          <cell r="C18">
            <v>113.5</v>
          </cell>
        </row>
        <row r="23">
          <cell r="D23">
            <v>146.6</v>
          </cell>
        </row>
        <row r="44">
          <cell r="D44">
            <v>226.9</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0000000"/>
      <sheetName val="1000000000000"/>
      <sheetName val="coverpage"/>
      <sheetName val="TS memo"/>
      <sheetName val="Spn report"/>
      <sheetName val="BTR"/>
      <sheetName val="RMR"/>
      <sheetName val="Road data"/>
      <sheetName val="road est"/>
      <sheetName val="abs road"/>
      <sheetName val="4V800"/>
      <sheetName val="3V800"/>
      <sheetName val="1vof Obul800"/>
      <sheetName val="1V800"/>
      <sheetName val="1V600"/>
      <sheetName val="2V600"/>
      <sheetName val="2V1000"/>
      <sheetName val="HP abs"/>
      <sheetName val="Det. CC"/>
      <sheetName val="Drt Slab"/>
      <sheetName val="Abs_CD_2"/>
      <sheetName val="certificate"/>
      <sheetName val="CBR"/>
      <sheetName val="Gen abs"/>
      <sheetName val="mlead"/>
      <sheetName val="ECV"/>
      <sheetName val="1rX1000"/>
    </sheetNames>
    <sheetDataSet>
      <sheetData sheetId="0"/>
      <sheetData sheetId="1"/>
      <sheetData sheetId="2">
        <row r="27">
          <cell r="E27" t="str">
            <v>Karimnagar</v>
          </cell>
        </row>
        <row r="28">
          <cell r="E28" t="str">
            <v>Jagtial</v>
          </cell>
        </row>
      </sheetData>
      <sheetData sheetId="3"/>
      <sheetData sheetId="4"/>
      <sheetData sheetId="5"/>
      <sheetData sheetId="6">
        <row r="5">
          <cell r="L5">
            <v>485.70400000000006</v>
          </cell>
        </row>
        <row r="7">
          <cell r="L7">
            <v>596.67000000000007</v>
          </cell>
        </row>
        <row r="10">
          <cell r="L10">
            <v>1112.57</v>
          </cell>
        </row>
        <row r="12">
          <cell r="L12">
            <v>850.65</v>
          </cell>
        </row>
        <row r="13">
          <cell r="L13">
            <v>723.28000000000009</v>
          </cell>
        </row>
        <row r="14">
          <cell r="L14">
            <v>337.74</v>
          </cell>
        </row>
        <row r="15">
          <cell r="L15">
            <v>323.50900000000001</v>
          </cell>
        </row>
        <row r="18">
          <cell r="L18">
            <v>183.32000000000002</v>
          </cell>
        </row>
        <row r="20">
          <cell r="L20">
            <v>775.57799999999997</v>
          </cell>
        </row>
        <row r="26">
          <cell r="L26">
            <v>193.46900000000005</v>
          </cell>
        </row>
        <row r="30">
          <cell r="F30">
            <v>3400</v>
          </cell>
        </row>
      </sheetData>
      <sheetData sheetId="7">
        <row r="3">
          <cell r="C3" t="str">
            <v>Earthwork excavation by mechanical means and depositing on bank with initial  lead and lift in all soils upto SDR and laying earth in layers including breaking clods, sectioning and rolling with Power Road Roller 8 to 10 Tonnes capacity  @ FMC including a</v>
          </cell>
        </row>
        <row r="18">
          <cell r="K18">
            <v>43.7</v>
          </cell>
        </row>
        <row r="37">
          <cell r="K37">
            <v>87</v>
          </cell>
        </row>
        <row r="68">
          <cell r="K68">
            <v>1053</v>
          </cell>
        </row>
        <row r="81">
          <cell r="C81" t="str">
            <v>Providing, Laying, Spreading for a compacted thickness of 75 mm, using  stone aggregates of Grade - II - H.B.G. ( IRC ) Metal  as per Table 400-7&amp;9 of MoRT&amp;H Specification 404 of 4th revision for Water Bound Macadam specification including cost, conveyanc</v>
          </cell>
        </row>
        <row r="106">
          <cell r="K106">
            <v>983</v>
          </cell>
        </row>
        <row r="108">
          <cell r="C108" t="str">
            <v>Providing, Laying, Spreading for a compacted thickness of 75 mm, using  stone aggregates of Grade - III - H.B.G. ( IRC ) Metal  as per Table 400-7&amp; 9 of MORTH Specification 404 of 4th revision for Water Bound Macadam specification including cost, conveyan</v>
          </cell>
        </row>
        <row r="132">
          <cell r="K132">
            <v>1096</v>
          </cell>
        </row>
        <row r="194">
          <cell r="K194">
            <v>18.100000000000001</v>
          </cell>
        </row>
        <row r="218">
          <cell r="K218">
            <v>3.7</v>
          </cell>
        </row>
        <row r="256">
          <cell r="K256">
            <v>3390</v>
          </cell>
        </row>
        <row r="273">
          <cell r="K273">
            <v>243</v>
          </cell>
        </row>
        <row r="281">
          <cell r="K281">
            <v>34.299999999999997</v>
          </cell>
        </row>
        <row r="306">
          <cell r="K306">
            <v>1966</v>
          </cell>
        </row>
        <row r="317">
          <cell r="K317">
            <v>2527</v>
          </cell>
        </row>
        <row r="330">
          <cell r="K330">
            <v>241</v>
          </cell>
        </row>
        <row r="341">
          <cell r="K341">
            <v>1143</v>
          </cell>
        </row>
        <row r="353">
          <cell r="K353">
            <v>62</v>
          </cell>
        </row>
        <row r="364">
          <cell r="K364">
            <v>241</v>
          </cell>
        </row>
      </sheetData>
      <sheetData sheetId="8">
        <row r="7">
          <cell r="H7">
            <v>11200</v>
          </cell>
          <cell r="J7">
            <v>18600</v>
          </cell>
        </row>
        <row r="11">
          <cell r="H11">
            <v>7400</v>
          </cell>
        </row>
        <row r="15">
          <cell r="H15">
            <v>4253</v>
          </cell>
          <cell r="J15">
            <v>9587</v>
          </cell>
        </row>
        <row r="20">
          <cell r="H20">
            <v>5334</v>
          </cell>
        </row>
        <row r="24">
          <cell r="H24">
            <v>2667</v>
          </cell>
        </row>
        <row r="28">
          <cell r="H28">
            <v>33750</v>
          </cell>
        </row>
        <row r="32">
          <cell r="H32">
            <v>33750</v>
          </cell>
        </row>
        <row r="36">
          <cell r="H36">
            <v>844</v>
          </cell>
        </row>
      </sheetData>
      <sheetData sheetId="9">
        <row r="6">
          <cell r="J6">
            <v>1133240</v>
          </cell>
        </row>
        <row r="13">
          <cell r="H13">
            <v>4478409</v>
          </cell>
        </row>
        <row r="17">
          <cell r="J17">
            <v>8166354</v>
          </cell>
        </row>
        <row r="25">
          <cell r="H25">
            <v>610875</v>
          </cell>
        </row>
        <row r="29">
          <cell r="H29">
            <v>124875</v>
          </cell>
        </row>
        <row r="33">
          <cell r="H33">
            <v>2861160</v>
          </cell>
        </row>
        <row r="39">
          <cell r="K39">
            <v>17374913</v>
          </cell>
        </row>
      </sheetData>
      <sheetData sheetId="10"/>
      <sheetData sheetId="11"/>
      <sheetData sheetId="12"/>
      <sheetData sheetId="13"/>
      <sheetData sheetId="14"/>
      <sheetData sheetId="15"/>
      <sheetData sheetId="16"/>
      <sheetData sheetId="17"/>
      <sheetData sheetId="18"/>
      <sheetData sheetId="19"/>
      <sheetData sheetId="20">
        <row r="7">
          <cell r="C7">
            <v>1</v>
          </cell>
        </row>
        <row r="8">
          <cell r="C8">
            <v>1</v>
          </cell>
        </row>
        <row r="51">
          <cell r="K51" t="e">
            <v>#REF!</v>
          </cell>
        </row>
      </sheetData>
      <sheetData sheetId="21"/>
      <sheetData sheetId="22"/>
      <sheetData sheetId="23"/>
      <sheetData sheetId="24">
        <row r="10">
          <cell r="C10">
            <v>82.9</v>
          </cell>
        </row>
        <row r="11">
          <cell r="C11">
            <v>86.4</v>
          </cell>
        </row>
        <row r="21">
          <cell r="D21">
            <v>138.5</v>
          </cell>
        </row>
        <row r="28">
          <cell r="C28">
            <v>150.29999999999998</v>
          </cell>
        </row>
        <row r="29">
          <cell r="D29">
            <v>170.1</v>
          </cell>
        </row>
        <row r="33">
          <cell r="D33">
            <v>186.1</v>
          </cell>
        </row>
        <row r="38">
          <cell r="C38">
            <v>181.1</v>
          </cell>
          <cell r="D38">
            <v>205.29999999999998</v>
          </cell>
        </row>
        <row r="46">
          <cell r="D46">
            <v>234.1</v>
          </cell>
        </row>
      </sheetData>
      <sheetData sheetId="25">
        <row r="10">
          <cell r="B10" t="e">
            <v>#REF!</v>
          </cell>
        </row>
      </sheetData>
      <sheetData sheetId="26"/>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dataRoad"/>
      <sheetName val="front"/>
      <sheetName val="GR"/>
      <sheetName val="face"/>
      <sheetName val="Gabst"/>
      <sheetName val="ABST"/>
      <sheetName val="MES "/>
      <sheetName val="EWABST "/>
      <sheetName val="EWMES"/>
      <sheetName val="GutterABST "/>
      <sheetName val="gutterMES"/>
      <sheetName val="BBM50mm"/>
      <sheetName val="PremixSD"/>
      <sheetName val="psc overBBM)"/>
      <sheetName val="lsc"/>
      <sheetName val="Lead"/>
      <sheetName val="Data lead"/>
    </sheetNames>
    <sheetDataSet>
      <sheetData sheetId="0"/>
      <sheetData sheetId="1" refreshError="1"/>
      <sheetData sheetId="2" refreshError="1"/>
      <sheetData sheetId="3" refreshError="1"/>
      <sheetData sheetId="4" refreshError="1"/>
      <sheetData sheetId="5" refreshError="1"/>
      <sheetData sheetId="6" refreshError="1"/>
      <sheetData sheetId="7"/>
      <sheetData sheetId="8" refreshError="1"/>
      <sheetData sheetId="9"/>
      <sheetData sheetId="10" refreshError="1"/>
      <sheetData sheetId="11"/>
      <sheetData sheetId="12"/>
      <sheetData sheetId="13"/>
      <sheetData sheetId="14" refreshError="1"/>
      <sheetData sheetId="15" refreshError="1"/>
      <sheetData sheetId="16"/>
      <sheetData sheetId="1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0000000"/>
      <sheetName val="1000000000000"/>
      <sheetName val="Index (2)"/>
      <sheetName val="Annex-B"/>
      <sheetName val="Cover"/>
      <sheetName val="SPE-REP"/>
      <sheetName val="Ann_IIA_m"/>
      <sheetName val="EXE-SUMRY"/>
      <sheetName val="RMR"/>
      <sheetName val="BTR"/>
      <sheetName val="Rd.Data"/>
      <sheetName val="com_sta"/>
      <sheetName val="lab_mac"/>
      <sheetName val="C.D.Data (Morth)"/>
      <sheetName val="Rd.Det.Est"/>
      <sheetName val="Gen.Abs."/>
      <sheetName val="Rd.abs.Est"/>
      <sheetName val="FA_CD_LINE"/>
      <sheetName val="A_R_lINE"/>
      <sheetName val="Det. 1Rx800"/>
      <sheetName val="Leads"/>
      <sheetName val="AN_B_SUP"/>
      <sheetName val="Pr_1"/>
      <sheetName val="A1"/>
      <sheetName val="A2"/>
      <sheetName val="A4"/>
      <sheetName val="A5"/>
      <sheetName val="A6"/>
      <sheetName val="A7"/>
      <sheetName val="CBR (2)"/>
      <sheetName val="TSmemo"/>
      <sheetName val="CBR"/>
      <sheetName val="Exe sum"/>
    </sheetNames>
    <sheetDataSet>
      <sheetData sheetId="0"/>
      <sheetData sheetId="1"/>
      <sheetData sheetId="2"/>
      <sheetData sheetId="3"/>
      <sheetData sheetId="4"/>
      <sheetData sheetId="5"/>
      <sheetData sheetId="6"/>
      <sheetData sheetId="7"/>
      <sheetData sheetId="8">
        <row r="33">
          <cell r="E33">
            <v>19</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0000000"/>
      <sheetName val="1000000000000"/>
      <sheetName val="Line_Est"/>
      <sheetName val="certificates"/>
      <sheetName val="coverpage"/>
      <sheetName val="TS memo"/>
      <sheetName val="Spn report"/>
      <sheetName val="BTR"/>
      <sheetName val="RMR"/>
      <sheetName val="Road data"/>
      <sheetName val="R_Det"/>
      <sheetName val="abs road"/>
      <sheetName val="Abs CD"/>
      <sheetName val="2R 800"/>
      <sheetName val="Gen abs"/>
      <sheetName val="mlea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73">
          <cell r="D73">
            <v>326.20000000000005</v>
          </cell>
        </row>
      </sheetData>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0000000"/>
      <sheetName val="1000000000000"/>
      <sheetName val="certificates"/>
      <sheetName val="Cover"/>
      <sheetName val="Sp. Report"/>
      <sheetName val="TSmemo"/>
      <sheetName val="BTR"/>
      <sheetName val="RMR"/>
      <sheetName val="Rd.Data"/>
      <sheetName val="C.D.Data (Morth)"/>
      <sheetName val="Rd.Det.Est"/>
      <sheetName val="Gen.Abs."/>
      <sheetName val="Rd.abs.Est"/>
      <sheetName val="Abs_p_04"/>
      <sheetName val="Abs.p_01"/>
      <sheetName val="Abs.cc"/>
      <sheetName val="Abs_ret"/>
      <sheetName val="Abs_vent&amp;pipe"/>
      <sheetName val="Abs_slab"/>
      <sheetName val="Abs_box"/>
      <sheetName val="Det. 1Rx800"/>
      <sheetName val="Det. 2Rx800"/>
      <sheetName val="Det. CC"/>
      <sheetName val="CD_DET_PIPE_1R"/>
      <sheetName val="Slab det est"/>
      <sheetName val="CD_DET_1CELL_BOX"/>
      <sheetName val="CD_DET_4CELL_BOX"/>
      <sheetName val="CBR"/>
      <sheetName val="mlead"/>
      <sheetName val="Leads"/>
      <sheetName val="Mesurement"/>
      <sheetName val="ABS1"/>
      <sheetName val="MS1"/>
      <sheetName val="abs road"/>
      <sheetName val="Abs_CD_2"/>
      <sheetName val="coverpage"/>
      <sheetName val="road est"/>
      <sheetName val="Road data"/>
      <sheetName val="ECV"/>
      <sheetName val="Chapter-11"/>
      <sheetName val="Lead"/>
      <sheetName val="Data"/>
      <sheetName val="MS V"/>
      <sheetName val="2-wlr"/>
      <sheetName val="ABS"/>
      <sheetName val="Material "/>
      <sheetName val="GRADE"/>
      <sheetName val="ETO VALUES"/>
      <sheetName val="CROP KC VALUES"/>
      <sheetName val="RAIN FALL AND CWR"/>
      <sheetName val="maya"/>
      <sheetName val="Labour &amp; Plant"/>
    </sheetNames>
    <sheetDataSet>
      <sheetData sheetId="0"/>
      <sheetData sheetId="1"/>
      <sheetData sheetId="2">
        <row r="8">
          <cell r="C8" t="str">
            <v xml:space="preserve">Improvements to  Madhavaram-Kamsalipalem Road from Km 0/0 to 4/8 in West Godavari District </v>
          </cell>
        </row>
      </sheetData>
      <sheetData sheetId="3">
        <row r="8">
          <cell r="C8" t="str">
            <v xml:space="preserve">Improvements to  Madhavaram-Kamsalipalem Road from Km 0/0 to 4/8 in West Godavari District </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0000000"/>
      <sheetName val="1000000000000"/>
      <sheetName val="coverpage"/>
      <sheetName val="TS memo"/>
      <sheetName val="Spn report"/>
      <sheetName val="Gen abs"/>
      <sheetName val="abs road"/>
      <sheetName val="HP abs"/>
      <sheetName val="R_Det"/>
      <sheetName val="1R 800"/>
      <sheetName val="3R800"/>
      <sheetName val="Ret wall"/>
      <sheetName val="Road data"/>
      <sheetName val="BTR"/>
      <sheetName val="RMR"/>
      <sheetName val="certificates"/>
      <sheetName val="mlead"/>
      <sheetName val="m le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hgaon road"/>
      <sheetName val="DAWEZARI RUDERA"/>
      <sheetName val="KAWALEWADA"/>
      <sheetName val="SAKALI APP"/>
      <sheetName val="ASLAPANI"/>
      <sheetName val="HASARA"/>
      <sheetName val="sorna-lanjera"/>
      <sheetName val="YERALI NAVEGAON "/>
      <sheetName val="All Abstract"/>
      <sheetName val="DPDC Abst"/>
      <sheetName val="Nabard Abst"/>
      <sheetName val="ADB Abst"/>
      <sheetName val="2015-16"/>
      <sheetName val="2016-17"/>
      <sheetName val="2017-18"/>
      <sheetName val="2018-19"/>
      <sheetName val="2019-20 State Fund"/>
      <sheetName val=" 2019-20 ADB B-I"/>
      <sheetName val="2019-20 ADB B-II"/>
      <sheetName val="DPDC"/>
      <sheetName val="Nabard"/>
      <sheetName val="Cover"/>
      <sheetName val="RM PMGSY I and PMGSY II"/>
      <sheetName val="Sheet1"/>
      <sheetName val="Ab MainBl"/>
      <sheetName val="Sheet2"/>
      <sheetName val="mlead"/>
      <sheetName val="abs road"/>
      <sheetName val="Sub Engg scale"/>
      <sheetName val="Plant &amp;  Machinery"/>
      <sheetName val="Labour"/>
      <sheetName val="Material"/>
      <sheetName val="Quarry Chart"/>
      <sheetName val="ABQ"/>
      <sheetName val="Dev"/>
      <sheetName val="ABS"/>
      <sheetName val="Back_Cal_for OMC"/>
      <sheetName val="IO List"/>
      <sheetName val="Detail In Door Stad"/>
      <sheetName val="ROY"/>
      <sheetName val="DATA"/>
      <sheetName val="RD"/>
      <sheetName val="RA-CD"/>
      <sheetName val="RD-Est"/>
      <sheetName val="design"/>
      <sheetName val="DEY   VAJATI"/>
      <sheetName val="P L I"/>
      <sheetName val="COMPUTER SLIP"/>
      <sheetName val="FIRST"/>
      <sheetName val="Ene"/>
      <sheetName val="CODE BOOK REFERENCE"/>
      <sheetName val="Eg-2"/>
      <sheetName val="Eg-1"/>
      <sheetName val="Eg-3"/>
      <sheetName val="SB_SCH_A3"/>
      <sheetName val="SB SCH_A7"/>
      <sheetName val="Population Projection 4decades"/>
      <sheetName val="Sheet3"/>
      <sheetName val="Binnies"/>
      <sheetName val="Waste_Weir"/>
      <sheetName val="R.MAIN"/>
      <sheetName val="CPIPE2"/>
      <sheetName val="Bed Class"/>
      <sheetName val="Cd"/>
      <sheetName val="Cs"/>
      <sheetName val="DVALUE"/>
      <sheetName val="SewerCAD Pipe Data-Actual 2040"/>
      <sheetName val="SewerCAD MH Data"/>
      <sheetName val="Design 2040 Design Flows-(1)"/>
      <sheetName val="THK"/>
      <sheetName val="CALC_Minor_Flows "/>
      <sheetName val="CALC_MC_Flows"/>
      <sheetName val="Area_Capacity"/>
      <sheetName val="HWEQUIV"/>
      <sheetName val="kachner cl38"/>
      <sheetName val="wtr pln minor-2"/>
      <sheetName val="drf_Khargone"/>
      <sheetName val="Water_Planning_conti.."/>
      <sheetName val="CCA_cal (2)"/>
      <sheetName val="Fixations_Principal_level"/>
      <sheetName val="9_AGR_Stati"/>
      <sheetName val="Rainfall_gandhwani"/>
      <sheetName val="Hyd_Jum_WA"/>
      <sheetName val="16_Drinking &amp; Ind Water use"/>
      <sheetName val="23_Design_Wast_weir_chanel"/>
      <sheetName val="Fixation_Principal_Level"/>
      <sheetName val="Bed Slope"/>
      <sheetName val="Water_Planning"/>
      <sheetName val="21_Waste_Weir New"/>
      <sheetName val="Table_6,Waste_Weir New"/>
      <sheetName val="17__Abst.CWR"/>
      <sheetName val="JACKWELL"/>
      <sheetName val="Quantity"/>
      <sheetName val="mohgaon_road"/>
      <sheetName val="DAWEZARI_RUDERA"/>
      <sheetName val="SAKALI_APP"/>
      <sheetName val="YERALI_NAVEGAON_"/>
      <sheetName val="rcd"/>
      <sheetName val="Rainfall_Bhagwanpura"/>
      <sheetName val="Below_Earth"/>
      <sheetName val="A"/>
      <sheetName val="CPIPE"/>
      <sheetName val="measurement"/>
      <sheetName val="MS V"/>
      <sheetName val="Rainfall_Alirajpur"/>
      <sheetName val="WR"/>
      <sheetName val="Flood &amp; Lift"/>
      <sheetName val="DRAINAGE SYPHON"/>
      <sheetName val="Rainfall_Jobat_Rainfall_Runoff"/>
      <sheetName val="Part4"/>
      <sheetName val="dataAPProches"/>
      <sheetName val="iNDEX"/>
      <sheetName val="LMERate"/>
      <sheetName val="DATAold"/>
      <sheetName val="MES "/>
      <sheetName val="D"/>
      <sheetName val="C"/>
      <sheetName val="Abut Shaft"/>
      <sheetName val="04"/>
      <sheetName val="05"/>
      <sheetName val="annex a3.1"/>
      <sheetName val="Pier Design(with offset)"/>
      <sheetName val="CONNECT"/>
      <sheetName val="Outlet Details"/>
      <sheetName val="Mmts intak"/>
      <sheetName val="DETAILED"/>
      <sheetName val="SEW4"/>
      <sheetName val="rdamdata"/>
      <sheetName val="lead-st"/>
      <sheetName val="Package-2"/>
      <sheetName val="Summary"/>
      <sheetName val="Transfer"/>
      <sheetName val="bricks"/>
      <sheetName val="ABS1"/>
      <sheetName val="MS1"/>
      <sheetName val="IV(R)"/>
      <sheetName val="leads"/>
      <sheetName val="FT-05-02IsoBOM"/>
      <sheetName val="r"/>
      <sheetName val="Steel-Circular"/>
      <sheetName val="Material "/>
      <sheetName val="Letter"/>
      <sheetName val="Pier Data"/>
      <sheetName val="doq"/>
      <sheetName val="Abs PMRL"/>
      <sheetName val="Machinery"/>
      <sheetName val="Gen Info"/>
      <sheetName val="Lead"/>
      <sheetName val="maya"/>
      <sheetName val="ANAL"/>
      <sheetName val="Bitumen trunk"/>
      <sheetName val="Feeder"/>
      <sheetName val="R99 etc"/>
      <sheetName val="Trunk unpaved"/>
      <sheetName val="Stability"/>
      <sheetName val="RMR"/>
      <sheetName val="Jack Well Repair"/>
      <sheetName val="Assumptio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
      <sheetName val="Pit-1"/>
      <sheetName val="Back_Cal_for OMC"/>
      <sheetName val="OMC_Gr"/>
      <sheetName val="Back_Cal_for CBR"/>
      <sheetName val="CBR_Graph Test_I"/>
      <sheetName val="CBR_Graph Test_II"/>
      <sheetName val="CBR_Graph Test_III"/>
      <sheetName val="Sheet1"/>
      <sheetName val="Sheet2"/>
      <sheetName val="Sheet3"/>
      <sheetName val="37000-54000"/>
      <sheetName val="估價單"/>
      <sheetName val="DETAILED  BOQ"/>
      <sheetName val="FT-05-02IsoBOM"/>
      <sheetName val="Transfer"/>
      <sheetName val="UNP-NCW "/>
      <sheetName val="Detail In Door Stad"/>
      <sheetName val="Voucher"/>
      <sheetName val="Data"/>
      <sheetName val="Cal"/>
      <sheetName val="Material"/>
      <sheetName val="Con_abs"/>
      <sheetName val="ANALYSIS"/>
      <sheetName val="MA"/>
      <sheetName val="BOQ"/>
      <sheetName val="ATTERBERG LIMIT"/>
      <sheetName val="TABLES"/>
      <sheetName val="Unconnected"/>
      <sheetName val="Back_Cal_for_OMC"/>
      <sheetName val="Back_Cal_for_CBR"/>
      <sheetName val="CBR_Graph_Test_I"/>
      <sheetName val="CBR_Graph_Test_II"/>
      <sheetName val="CBR_Graph_Test_III"/>
      <sheetName val="DETAILED__BOQ"/>
      <sheetName val="UNP-NCW_"/>
      <sheetName val="Labour"/>
      <sheetName val="Plant &amp;  Machinery"/>
      <sheetName val="Cover sheet"/>
      <sheetName val="Rate Analysis"/>
      <sheetName val="hyperstatic-3"/>
      <sheetName val="Intro"/>
      <sheetName val="hyperstatic"/>
      <sheetName val="Rate"/>
      <sheetName val="Materials Cost(PCC)"/>
      <sheetName val="Summary"/>
      <sheetName val="Improvements"/>
      <sheetName val="CABLE"/>
      <sheetName val="number"/>
      <sheetName val="(a)(F)Wide 2L to 4L(c)"/>
      <sheetName val="(a)(R)Wide 2L to 4L(c)"/>
      <sheetName val="(b)(f)Wide 2L to 4L(E)"/>
      <sheetName val="(b)(R)Wide 2L to 4L(E)"/>
      <sheetName val="Bhub Bypass(F)"/>
      <sheetName val="Bhub Bypass(R)"/>
      <sheetName val="(e)F)New"/>
      <sheetName val="basdat"/>
      <sheetName val="Steel-Circular"/>
      <sheetName val="Material "/>
      <sheetName val="Ave.wtd.rates"/>
      <sheetName val=" AnalysisPCC"/>
      <sheetName val="Vcap1500"/>
      <sheetName val="Inventory"/>
      <sheetName val="ANAL"/>
      <sheetName val="loadcal"/>
      <sheetName val="AoR Finishing"/>
      <sheetName val="SECPROP"/>
      <sheetName val="CABLENOS."/>
      <sheetName val="Debit_RMC"/>
      <sheetName val="Machinery"/>
      <sheetName val="Supply_RMC"/>
      <sheetName val="Master"/>
      <sheetName val="PROCTOR"/>
      <sheetName val="PRECAST lightconc-II"/>
      <sheetName val="Assmpns"/>
      <sheetName val="B1"/>
      <sheetName val="MAT cost"/>
      <sheetName val="DETAIL SHEET"/>
      <sheetName val="Balance sheet"/>
      <sheetName val="Design"/>
      <sheetName val="bhelda 300m"/>
      <sheetName val="purpose&amp;input"/>
      <sheetName val="E&amp;I"/>
      <sheetName val="BLOCK-A (MEA.SHEET)"/>
      <sheetName val="Table 4"/>
      <sheetName val="Table 5"/>
      <sheetName val="Table 27"/>
      <sheetName val="BHANDUP"/>
      <sheetName val="8"/>
      <sheetName val="6"/>
      <sheetName val="Flanged Beams"/>
      <sheetName val="Rectangular Beam"/>
      <sheetName val="revised data"/>
      <sheetName val="ABQ"/>
      <sheetName val="DT"/>
      <sheetName val="syndicate codes"/>
      <sheetName val="FIRST"/>
      <sheetName val="Ene"/>
      <sheetName val="CODE BOOK REFERENCE"/>
      <sheetName val="Eg-2"/>
      <sheetName val="Eg-1"/>
      <sheetName val="Eg-3"/>
      <sheetName val="Eg-4"/>
      <sheetName val="Sheet11"/>
      <sheetName val="FORM-16"/>
      <sheetName val="B2.MB_Deck"/>
      <sheetName val="Building Materials Rate"/>
      <sheetName val="Account_NO_Co_code"/>
      <sheetName val="Stn&amp;bldg Abs"/>
      <sheetName val="RR shed civil"/>
      <sheetName val="DELIN,CHERVON SIGN ch177-200"/>
      <sheetName val=" Type I (ANP II)"/>
      <sheetName val="LOCAL RATES"/>
      <sheetName val="4 Annex 1 Basic rate"/>
      <sheetName val="Fig_to_word"/>
      <sheetName val="DATA_PILE_RT2"/>
      <sheetName val="ETC Plant Cost"/>
      <sheetName val="DATA_PILE_RT1 "/>
      <sheetName val=" Type III"/>
      <sheetName val="Labour &amp; Plant"/>
      <sheetName val="Doq"/>
      <sheetName val="6A Minor Bridge"/>
      <sheetName val="2-wlr"/>
      <sheetName val="PO NOS"/>
      <sheetName val="2PI1.Sht1"/>
      <sheetName val="R.A."/>
      <sheetName val="Cover Page"/>
      <sheetName val="Tax Invoice"/>
      <sheetName val="Tax Invoice -2"/>
      <sheetName val="Abstract"/>
      <sheetName val="IOM REVISED FORMAT"/>
      <sheetName val="BOQ "/>
      <sheetName val="Int. Cal."/>
      <sheetName val="Summary sheet"/>
      <sheetName val="c&amp;g"/>
      <sheetName val="Dism.PCC str"/>
      <sheetName val="Dism.RCC str"/>
      <sheetName val="Dism.Stone str"/>
      <sheetName val="Dism.flexible "/>
      <sheetName val="Dism.granular"/>
      <sheetName val="Excavation"/>
      <sheetName val="Embankment"/>
      <sheetName val="Extracut for BOL Area REWALL"/>
      <sheetName val="R1"/>
      <sheetName val="Backup pondash"/>
      <sheetName val="RE wall filling"/>
      <sheetName val="Fly Ash"/>
      <sheetName val="Backup-Fly Ash"/>
      <sheetName val="Volume Report"/>
      <sheetName val="Soft Rock "/>
      <sheetName val="Hard rock"/>
      <sheetName val="softrock Vol Report"/>
      <sheetName val=" EMB Area LHS"/>
      <sheetName val="EMB Area RHS "/>
      <sheetName val="Non suitable soil"/>
      <sheetName val="Subgrade"/>
      <sheetName val="Kerb"/>
      <sheetName val="Median fill"/>
      <sheetName val="L&amp;R"/>
      <sheetName val="GSB"/>
      <sheetName val="WMM"/>
      <sheetName val="Pothole Reparing Claim "/>
      <sheetName val="Pothhole certify "/>
      <sheetName val="PRIME COAT"/>
      <sheetName val="DBM"/>
      <sheetName val="Drain Excavation"/>
      <sheetName val="Drain PCC"/>
      <sheetName val="Drain Raft"/>
      <sheetName val="Drain Wall"/>
      <sheetName val="Drain Slab"/>
      <sheetName val="8.13 Drain HYSD"/>
      <sheetName val="5.10 &amp; 6.13CLOSE ( M drain)"/>
      <sheetName val="M HEAD WALL 8.06"/>
      <sheetName val="Mdian Drain  8.07"/>
      <sheetName val="Medain Hume Pipe 8.19"/>
      <sheetName val="6.41 TO 6.44HP Laying"/>
      <sheetName val="5.09 &amp; 6.08 Encasing,Toe wall"/>
      <sheetName val="6.01 BC Excavation "/>
      <sheetName val="6.07 BC M-15"/>
      <sheetName val="6.49 BC M-10"/>
      <sheetName val="6.10&amp;6.11 BC FND"/>
      <sheetName val="6.14 &amp; 6.15 BC SUB STR "/>
      <sheetName val="6.18 &amp; 6.19BC SUP"/>
      <sheetName val="6.23 HYSD BC"/>
      <sheetName val="5.06 1st class bedding"/>
      <sheetName val="8.59 PW Exc"/>
      <sheetName val="8.63PW PCC"/>
      <sheetName val="8.87PW FOUND"/>
      <sheetName val="8.73PW SUB"/>
      <sheetName val="8.71 HYSD Protective work"/>
      <sheetName val="9.01 BR Excavation"/>
      <sheetName val="MNB M-10"/>
      <sheetName val="9.07MNB M-15 "/>
      <sheetName val="9.12 MNB FND"/>
      <sheetName val="9.47 MNB SUB "/>
      <sheetName val="9.51 MNB-VUP SUP"/>
      <sheetName val="9.62 HYSD BR "/>
      <sheetName val="7.47 RE Panel"/>
      <sheetName val="8.24 Barrier"/>
      <sheetName val="8.21 Bearing"/>
      <sheetName val="Billing Data"/>
      <sheetName val="Summary of Esca"/>
      <sheetName val="New indices"/>
      <sheetName val="Esca"/>
      <sheetName val="TCS Details"/>
      <sheetName val="Structure_list"/>
      <sheetName val="BOQ Distribution"/>
      <sheetName val="Back_Cal_for_OMC1"/>
      <sheetName val="Back_Cal_for_CBR1"/>
      <sheetName val="CBR_Graph_Test_I1"/>
      <sheetName val="CBR_Graph_Test_II1"/>
      <sheetName val="CBR_Graph_Test_III1"/>
      <sheetName val="Detail_In_Door_Stad1"/>
      <sheetName val="UNP-NCW_1"/>
      <sheetName val="DETAILED__BOQ1"/>
      <sheetName val="PRECAST_lightconc-II1"/>
      <sheetName val="BLOCK-A_(MEA_SHEET)1"/>
      <sheetName val="DETAIL_SHEET1"/>
      <sheetName val="Balance_sheet1"/>
      <sheetName val="syndicate_codes1"/>
      <sheetName val="CODE_BOOK_REFERENCE1"/>
      <sheetName val="AoR_Finishing1"/>
      <sheetName val="PO_NOS1"/>
      <sheetName val="2PI1_Sht11"/>
      <sheetName val="R_A_1"/>
      <sheetName val="_Type_I_(ANP_II)1"/>
      <sheetName val="ETC_Plant_Cost1"/>
      <sheetName val="DATA_PILE_RT1_1"/>
      <sheetName val="Detail_In_Door_Stad"/>
      <sheetName val="PRECAST_lightconc-II"/>
      <sheetName val="BLOCK-A_(MEA_SHEET)"/>
      <sheetName val="AoR_Finishing"/>
      <sheetName val="PO_NOS"/>
      <sheetName val="2PI1_Sht1"/>
      <sheetName val="R_A_"/>
      <sheetName val="_Type_I_(ANP_II)"/>
      <sheetName val="DETAIL_SHEET"/>
      <sheetName val="Balance_sheet"/>
      <sheetName val="syndicate_codes"/>
      <sheetName val="CODE_BOOK_REFERENCE"/>
      <sheetName val="ETC_Plant_Cost"/>
      <sheetName val="DATA_PILE_RT1_"/>
      <sheetName val="Back_Cal_for_OMC2"/>
      <sheetName val="Back_Cal_for_CBR2"/>
      <sheetName val="CBR_Graph_Test_I2"/>
      <sheetName val="CBR_Graph_Test_II2"/>
      <sheetName val="CBR_Graph_Test_III2"/>
      <sheetName val="Detail_In_Door_Stad2"/>
      <sheetName val="UNP-NCW_2"/>
      <sheetName val="DETAILED__BOQ2"/>
      <sheetName val="PRECAST_lightconc-II2"/>
      <sheetName val="BLOCK-A_(MEA_SHEET)2"/>
      <sheetName val="AoR_Finishing2"/>
      <sheetName val="PO_NOS2"/>
      <sheetName val="2PI1_Sht12"/>
      <sheetName val="R_A_2"/>
      <sheetName val="_Type_I_(ANP_II)2"/>
      <sheetName val="DETAIL_SHEET2"/>
      <sheetName val="Balance_sheet2"/>
      <sheetName val="syndicate_codes2"/>
      <sheetName val="CODE_BOOK_REFERENCE2"/>
      <sheetName val="ETC_Plant_Cost2"/>
      <sheetName val="DATA_PILE_RT1_2"/>
      <sheetName val="Cul_detail"/>
      <sheetName val="S2groupcode"/>
      <sheetName val="CORR_1"/>
      <sheetName val="Chapter-11"/>
      <sheetName val="Chapter-15"/>
      <sheetName val="Chapter-5"/>
      <sheetName val="Chapter-4"/>
      <sheetName val="Chapter-14"/>
      <sheetName val="Chapter-9"/>
      <sheetName val="Chapter-6"/>
      <sheetName val="Chapter-10"/>
      <sheetName val="Chapter-13"/>
      <sheetName val="Chapter-3"/>
      <sheetName val="Chapter-12"/>
      <sheetName val="Chapter-2"/>
      <sheetName val="Information"/>
      <sheetName val="F8-LABOUR"/>
      <sheetName val="Road data"/>
      <sheetName val="ms v"/>
      <sheetName val="Cover"/>
    </sheetNames>
    <sheetDataSet>
      <sheetData sheetId="0" refreshError="1"/>
      <sheetData sheetId="1" refreshError="1"/>
      <sheetData sheetId="2" refreshError="1">
        <row r="15">
          <cell r="A15" t="str">
            <v>A</v>
          </cell>
          <cell r="B15">
            <v>13.744999999999999</v>
          </cell>
        </row>
        <row r="16">
          <cell r="A16" t="str">
            <v>B</v>
          </cell>
          <cell r="B16">
            <v>13.507</v>
          </cell>
        </row>
        <row r="17">
          <cell r="A17" t="str">
            <v>C</v>
          </cell>
          <cell r="B17">
            <v>13.96</v>
          </cell>
        </row>
        <row r="18">
          <cell r="A18" t="str">
            <v>D</v>
          </cell>
          <cell r="B18">
            <v>13.38</v>
          </cell>
        </row>
        <row r="19">
          <cell r="A19" t="str">
            <v>E</v>
          </cell>
          <cell r="B19">
            <v>13.706</v>
          </cell>
        </row>
        <row r="20">
          <cell r="A20" t="str">
            <v>F</v>
          </cell>
          <cell r="B20">
            <v>14.08</v>
          </cell>
        </row>
        <row r="21">
          <cell r="A21" t="str">
            <v>G</v>
          </cell>
          <cell r="B21">
            <v>14.257999999999999</v>
          </cell>
        </row>
        <row r="22">
          <cell r="A22" t="str">
            <v>H</v>
          </cell>
          <cell r="B22">
            <v>14.323</v>
          </cell>
        </row>
        <row r="23">
          <cell r="A23" t="str">
            <v>I</v>
          </cell>
          <cell r="B23">
            <v>13.295</v>
          </cell>
        </row>
        <row r="24">
          <cell r="A24" t="str">
            <v>J</v>
          </cell>
          <cell r="B24">
            <v>14.162000000000001</v>
          </cell>
        </row>
        <row r="25">
          <cell r="A25" t="str">
            <v>K</v>
          </cell>
          <cell r="B25">
            <v>14.525</v>
          </cell>
        </row>
        <row r="26">
          <cell r="A26" t="str">
            <v>L</v>
          </cell>
          <cell r="B26">
            <v>14.164999999999999</v>
          </cell>
        </row>
        <row r="27">
          <cell r="A27" t="str">
            <v>M</v>
          </cell>
          <cell r="B27">
            <v>13.677</v>
          </cell>
        </row>
        <row r="28">
          <cell r="A28" t="str">
            <v>N</v>
          </cell>
          <cell r="B28">
            <v>14.14</v>
          </cell>
        </row>
        <row r="29">
          <cell r="A29" t="str">
            <v>O</v>
          </cell>
          <cell r="B29">
            <v>13.522</v>
          </cell>
        </row>
        <row r="30">
          <cell r="A30" t="str">
            <v>P</v>
          </cell>
          <cell r="B30">
            <v>14.285</v>
          </cell>
        </row>
        <row r="31">
          <cell r="A31" t="str">
            <v>Q</v>
          </cell>
          <cell r="B31">
            <v>13.08</v>
          </cell>
        </row>
        <row r="32">
          <cell r="A32" t="str">
            <v>R</v>
          </cell>
          <cell r="B32">
            <v>13.24</v>
          </cell>
        </row>
        <row r="33">
          <cell r="A33" t="str">
            <v>S</v>
          </cell>
          <cell r="B33">
            <v>14.085000000000001</v>
          </cell>
        </row>
        <row r="34">
          <cell r="A34" t="str">
            <v>T</v>
          </cell>
          <cell r="B34">
            <v>13.483000000000001</v>
          </cell>
        </row>
        <row r="35">
          <cell r="A35" t="str">
            <v>U</v>
          </cell>
          <cell r="B35">
            <v>13.795</v>
          </cell>
        </row>
        <row r="36">
          <cell r="A36" t="str">
            <v>V</v>
          </cell>
          <cell r="B36">
            <v>14.055</v>
          </cell>
        </row>
        <row r="37">
          <cell r="A37" t="str">
            <v>W</v>
          </cell>
          <cell r="B37">
            <v>13.35</v>
          </cell>
        </row>
        <row r="38">
          <cell r="A38" t="str">
            <v>X</v>
          </cell>
          <cell r="B38">
            <v>12.86</v>
          </cell>
        </row>
        <row r="39">
          <cell r="A39" t="str">
            <v>Y</v>
          </cell>
          <cell r="B39">
            <v>15.565</v>
          </cell>
        </row>
        <row r="40">
          <cell r="A40" t="str">
            <v>Z</v>
          </cell>
          <cell r="B40">
            <v>12.79</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sheetData sheetId="145"/>
      <sheetData sheetId="146"/>
      <sheetData sheetId="147"/>
      <sheetData sheetId="148">
        <row r="7">
          <cell r="G7" t="str">
            <v>Nos</v>
          </cell>
        </row>
      </sheetData>
      <sheetData sheetId="149">
        <row r="7">
          <cell r="G7" t="str">
            <v>Nos</v>
          </cell>
        </row>
      </sheetData>
      <sheetData sheetId="150">
        <row r="7">
          <cell r="G7" t="str">
            <v>Nos</v>
          </cell>
        </row>
      </sheetData>
      <sheetData sheetId="151">
        <row r="7">
          <cell r="G7" t="str">
            <v>Nos</v>
          </cell>
        </row>
      </sheetData>
      <sheetData sheetId="152">
        <row r="7">
          <cell r="G7" t="str">
            <v>Nos</v>
          </cell>
        </row>
      </sheetData>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row r="7">
          <cell r="G7" t="str">
            <v>Nos</v>
          </cell>
        </row>
      </sheetData>
      <sheetData sheetId="255">
        <row r="7">
          <cell r="G7" t="str">
            <v>Nos</v>
          </cell>
        </row>
      </sheetData>
      <sheetData sheetId="256">
        <row r="7">
          <cell r="G7" t="str">
            <v>Nos</v>
          </cell>
        </row>
      </sheetData>
      <sheetData sheetId="257">
        <row r="7">
          <cell r="G7" t="str">
            <v>Nos</v>
          </cell>
        </row>
      </sheetData>
      <sheetData sheetId="258">
        <row r="7">
          <cell r="G7" t="str">
            <v>Nos</v>
          </cell>
        </row>
      </sheetData>
      <sheetData sheetId="259"/>
      <sheetData sheetId="260"/>
      <sheetData sheetId="26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0000000"/>
      <sheetName val="Curve"/>
      <sheetName val="Exi Crust"/>
      <sheetName val="Crust D"/>
      <sheetName val="GEN-ABT"/>
      <sheetName val="Rt -S.T."/>
      <sheetName val="Abs S.T."/>
      <sheetName val="ST LD"/>
      <sheetName val="MSST"/>
      <sheetName val="Reconst"/>
      <sheetName val="Rd tw"/>
      <sheetName val="e w cal"/>
      <sheetName val="BT LD"/>
      <sheetName val="RT BT"/>
      <sheetName val="Abs B.T."/>
      <sheetName val="Ms B.T"/>
      <sheetName val="Patches"/>
      <sheetName val="Exi_Crust"/>
      <sheetName val="Crust_D"/>
      <sheetName val="Rt_-S_T_"/>
      <sheetName val="Abs_S_T_"/>
      <sheetName val="ST_LD"/>
      <sheetName val="Rd_tw"/>
      <sheetName val="e_w_cal"/>
      <sheetName val="BT_LD"/>
      <sheetName val="RT_BT"/>
      <sheetName val="Abs_B_T_"/>
      <sheetName val="Ms_B_T"/>
      <sheetName val="Cover"/>
      <sheetName val="abs road"/>
      <sheetName val="Road data"/>
      <sheetName val="Abt Foundation "/>
      <sheetName val="pier Foundation"/>
      <sheetName val="Labour"/>
      <sheetName val="Material"/>
      <sheetName val="Plant &amp;  Machinery"/>
      <sheetName val="Data"/>
      <sheetName val="Lead"/>
      <sheetName val="Sheet1"/>
      <sheetName val="5"/>
      <sheetName val="PH-V (20-07-06) (77)"/>
      <sheetName val="3MLKQ"/>
      <sheetName val="leads"/>
      <sheetName val="FORM7"/>
      <sheetName val="Total Abstract"/>
      <sheetName val="Sent NHO"/>
    </sheetNames>
    <sheetDataSet>
      <sheetData sheetId="0"/>
      <sheetData sheetId="1"/>
      <sheetData sheetId="2"/>
      <sheetData sheetId="3"/>
      <sheetData sheetId="4"/>
      <sheetData sheetId="5"/>
      <sheetData sheetId="6"/>
      <sheetData sheetId="7"/>
      <sheetData sheetId="8"/>
      <sheetData sheetId="9" refreshError="1"/>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DRT"/>
      <sheetName val="CDMS (2)"/>
      <sheetName val="CDABS"/>
      <sheetName val="LD"/>
      <sheetName val="RT(P) (2)"/>
      <sheetName val="MS1"/>
      <sheetName val="ABS1"/>
      <sheetName val="GA"/>
      <sheetName val="EST"/>
      <sheetName val="GR"/>
      <sheetName val="FPA"/>
      <sheetName val="CDMS_(2)"/>
      <sheetName val="RT(P)_(2)"/>
      <sheetName val="MS V"/>
      <sheetName val="Mesurement"/>
      <sheetName val="Sent NHO"/>
      <sheetName val="well"/>
      <sheetName val="10+260"/>
      <sheetName val="box girder(30.36 span)"/>
      <sheetName val="box girder(41.11span)"/>
      <sheetName val="Gen Info"/>
      <sheetName val="ABS"/>
      <sheetName val="abs road"/>
      <sheetName val="Material"/>
      <sheetName val="Labour"/>
      <sheetName val="Plant &amp;  Machinery"/>
      <sheetName val="IO List"/>
      <sheetName val="sorna-lanjera"/>
      <sheetName val="rdamdata"/>
      <sheetName val="lead-st"/>
      <sheetName val="DATA"/>
      <sheetName val="Sheet1"/>
      <sheetName val="RA-CD"/>
      <sheetName val="RD-Est"/>
      <sheetName val="r"/>
      <sheetName val="Bitumen trunk"/>
      <sheetName val="Feeder"/>
      <sheetName val="R99 etc"/>
      <sheetName val="Trunk unpaved"/>
      <sheetName val="leads"/>
      <sheetName val="m"/>
      <sheetName val="maya"/>
      <sheetName val="ROY"/>
      <sheetName val="Back_Cal_for OMC"/>
      <sheetName val="Unconnected"/>
      <sheetName val="Pier Data"/>
      <sheetName val="FT-05-02IsoBOM"/>
      <sheetName val="Staff Acco."/>
      <sheetName val="coverpage"/>
      <sheetName val="Road data"/>
      <sheetName val="Material "/>
      <sheetName val="Lead"/>
      <sheetName val="bricks"/>
      <sheetName val="carting"/>
      <sheetName val="BOQ-Roadworks"/>
      <sheetName val="Part4"/>
      <sheetName val="CD design"/>
      <sheetName val="Data Sheet"/>
      <sheetName val="SOR"/>
      <sheetName val="do not remove"/>
      <sheetName val="pavement design"/>
      <sheetName val="BQ"/>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0000000"/>
      <sheetName val="1000000000000"/>
      <sheetName val="Cover"/>
      <sheetName val="Sp. Report"/>
      <sheetName val="TSmemo"/>
      <sheetName val="RMR"/>
      <sheetName val="BTR"/>
      <sheetName val="Rd.Data"/>
      <sheetName val="C.D.Data (Morth)"/>
      <sheetName val="Rd.Det.Est"/>
      <sheetName val="Gen.Abs."/>
      <sheetName val="Rd.abs.Est"/>
      <sheetName val="Abs.CDpipe"/>
      <sheetName val="Abs_vent&amp;pipe"/>
      <sheetName val="Abs_slab"/>
      <sheetName val="Abs.cc"/>
      <sheetName val="C.D.Abs.Est."/>
      <sheetName val="Abs_box"/>
      <sheetName val="Det. 1Rx800"/>
      <sheetName val="Det. 2Rx800"/>
      <sheetName val="Det. CC"/>
      <sheetName val="CD_DET_PIPE_1R"/>
      <sheetName val="Slab det est"/>
      <sheetName val="CD_DET_1CELL_BOX"/>
      <sheetName val="CD_DET_4CELL_BOX"/>
      <sheetName val="CBR"/>
      <sheetName val="mlead"/>
      <sheetName val="Lead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sheetData sheetId="22" refreshError="1"/>
      <sheetData sheetId="23"/>
      <sheetData sheetId="24"/>
      <sheetData sheetId="25"/>
      <sheetData sheetId="26"/>
      <sheetData sheetId="27"/>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tter (2)"/>
      <sheetName val="Facesheet-I to III Booklet"/>
      <sheetName val="Abstract"/>
      <sheetName val="I(R)"/>
      <sheetName val="I(B)"/>
      <sheetName val="II(R)"/>
      <sheetName val="II(B)"/>
      <sheetName val="II(BE)"/>
      <sheetName val="III(R)"/>
      <sheetName val="III(B)"/>
      <sheetName val="IV(R)"/>
      <sheetName val="IV(B)"/>
      <sheetName val="V(B)"/>
      <sheetName val="V(R)"/>
      <sheetName val="VI(R)"/>
      <sheetName val="VI(B)"/>
      <sheetName val="VII(R)"/>
      <sheetName val="VII(B)"/>
      <sheetName val="VIII(B)"/>
      <sheetName val="VIII(R) "/>
      <sheetName val="REASONS_EXCESS "/>
      <sheetName val="C.D.Abs.Est."/>
      <sheetName val="Sheet2"/>
      <sheetName val="abs road"/>
      <sheetName val="IO List"/>
      <sheetName val="Mesurement"/>
      <sheetName val="MS1"/>
      <sheetName val="Pier Data"/>
      <sheetName val="Sheet1"/>
      <sheetName val="Boq"/>
      <sheetName val="Labour"/>
      <sheetName val="Material"/>
      <sheetName val="ABS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0000000"/>
      <sheetName val="1000000000000"/>
      <sheetName val="coverpage"/>
      <sheetName val="Spn report"/>
      <sheetName val="abs road"/>
      <sheetName val="R_Det"/>
      <sheetName val="Road data"/>
      <sheetName val="BTR"/>
      <sheetName val="RMR"/>
      <sheetName val="Certificates"/>
      <sheetName val="m lead"/>
      <sheetName val="xls"/>
      <sheetName val="EW"/>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DRT"/>
      <sheetName val="CDMS (2)"/>
      <sheetName val="CDABS"/>
      <sheetName val="LD"/>
      <sheetName val="RT(P) (2)"/>
      <sheetName val="MS1"/>
      <sheetName val="ABS1"/>
      <sheetName val="GA"/>
      <sheetName val="EST"/>
      <sheetName val="GR"/>
      <sheetName val="FPA"/>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sheetName val="abst"/>
      <sheetName val="Mesurement"/>
      <sheetName val="Gen.Rep."/>
      <sheetName val="Sheet2"/>
      <sheetName val="Sch-C"/>
      <sheetName val="Sheet1"/>
      <sheetName val="Labr"/>
      <sheetName val="DTP"/>
      <sheetName val="Face"/>
      <sheetName val="Gen_Rep_"/>
      <sheetName val="MS V"/>
      <sheetName val="Data"/>
      <sheetName val="Main"/>
      <sheetName val="MS1"/>
      <sheetName val="Gen Info"/>
      <sheetName val="Config"/>
      <sheetName val="Name List"/>
      <sheetName val="r"/>
      <sheetName val="PRECAST lightconc-II"/>
    </sheetNames>
    <sheetDataSet>
      <sheetData sheetId="0" refreshError="1"/>
      <sheetData sheetId="1" refreshError="1"/>
      <sheetData sheetId="2" refreshError="1">
        <row r="1335">
          <cell r="G1335">
            <v>155.59000000000003</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s>
    <sheetDataSet>
      <sheetData sheetId="0"/>
      <sheetData sheetId="1">
        <row r="4">
          <cell r="A4" t="str">
            <v>A</v>
          </cell>
          <cell r="B4">
            <v>3268.3</v>
          </cell>
          <cell r="C4">
            <v>6.4</v>
          </cell>
          <cell r="D4">
            <v>1.4</v>
          </cell>
          <cell r="E4">
            <v>0.82499999999999996</v>
          </cell>
          <cell r="F4">
            <v>2.4500000000000002</v>
          </cell>
          <cell r="G4">
            <v>0.15</v>
          </cell>
          <cell r="H4">
            <v>0.41439999999999999</v>
          </cell>
          <cell r="I4">
            <v>3.87</v>
          </cell>
          <cell r="J4">
            <v>10.78</v>
          </cell>
          <cell r="K4">
            <v>3.9349999999999996</v>
          </cell>
          <cell r="L4">
            <v>2.23</v>
          </cell>
          <cell r="M4">
            <v>4.125</v>
          </cell>
          <cell r="N4">
            <v>3.05</v>
          </cell>
          <cell r="O4">
            <v>1.6</v>
          </cell>
          <cell r="P4">
            <v>14.85</v>
          </cell>
          <cell r="Q4">
            <v>2000</v>
          </cell>
          <cell r="R4" t="str">
            <v xml:space="preserve"> Single row 1000 mm dia</v>
          </cell>
        </row>
        <row r="5">
          <cell r="A5" t="str">
            <v>B</v>
          </cell>
          <cell r="B5">
            <v>6595.25</v>
          </cell>
          <cell r="C5">
            <v>8.1</v>
          </cell>
          <cell r="D5">
            <v>1.4</v>
          </cell>
          <cell r="E5">
            <v>0.82499999999999996</v>
          </cell>
          <cell r="F5">
            <v>2.4500000000000002</v>
          </cell>
          <cell r="G5">
            <v>0.15</v>
          </cell>
          <cell r="H5">
            <v>0.86599999999999999</v>
          </cell>
          <cell r="I5">
            <v>5.66</v>
          </cell>
          <cell r="J5">
            <v>15.879999999999999</v>
          </cell>
          <cell r="K5">
            <v>3.9349999999999996</v>
          </cell>
          <cell r="L5">
            <v>2.23</v>
          </cell>
          <cell r="M5">
            <v>4.125</v>
          </cell>
          <cell r="N5">
            <v>3.05</v>
          </cell>
          <cell r="O5">
            <v>3.3</v>
          </cell>
          <cell r="P5">
            <v>14.85</v>
          </cell>
          <cell r="Q5">
            <v>3000</v>
          </cell>
          <cell r="R5" t="str">
            <v>Double row 1000 mm dia</v>
          </cell>
        </row>
        <row r="6">
          <cell r="A6" t="str">
            <v>C</v>
          </cell>
          <cell r="B6">
            <v>9863.5499999999993</v>
          </cell>
          <cell r="C6">
            <v>9.8000000000000007</v>
          </cell>
          <cell r="D6">
            <v>1.4</v>
          </cell>
          <cell r="E6">
            <v>0.82499999999999996</v>
          </cell>
          <cell r="F6">
            <v>2.4500000000000002</v>
          </cell>
          <cell r="G6">
            <v>0.15</v>
          </cell>
          <cell r="H6">
            <v>1.2431999999999999</v>
          </cell>
          <cell r="I6">
            <v>8.49</v>
          </cell>
          <cell r="J6">
            <v>23.82</v>
          </cell>
          <cell r="K6">
            <v>3.9350000000000001</v>
          </cell>
          <cell r="L6">
            <v>2.23</v>
          </cell>
          <cell r="M6">
            <v>4.125</v>
          </cell>
          <cell r="N6">
            <v>3.05</v>
          </cell>
          <cell r="O6">
            <v>4.8000000000000007</v>
          </cell>
          <cell r="P6">
            <v>14.85</v>
          </cell>
          <cell r="Q6">
            <v>5000</v>
          </cell>
          <cell r="R6" t="str">
            <v>Triple row 1000 mm dia</v>
          </cell>
        </row>
        <row r="7">
          <cell r="A7" t="str">
            <v>D</v>
          </cell>
          <cell r="C7">
            <v>3000</v>
          </cell>
          <cell r="D7">
            <v>4000</v>
          </cell>
          <cell r="E7">
            <v>1700</v>
          </cell>
          <cell r="F7">
            <v>450</v>
          </cell>
          <cell r="G7">
            <v>480</v>
          </cell>
          <cell r="H7">
            <v>480</v>
          </cell>
          <cell r="I7">
            <v>7360</v>
          </cell>
          <cell r="J7">
            <v>7560</v>
          </cell>
          <cell r="K7">
            <v>630</v>
          </cell>
          <cell r="L7">
            <v>4000</v>
          </cell>
          <cell r="M7">
            <v>3000</v>
          </cell>
          <cell r="N7">
            <v>6000</v>
          </cell>
          <cell r="O7">
            <v>450</v>
          </cell>
          <cell r="P7">
            <v>750</v>
          </cell>
          <cell r="Q7">
            <v>124</v>
          </cell>
          <cell r="R7">
            <v>7541</v>
          </cell>
        </row>
        <row r="8">
          <cell r="A8" t="str">
            <v>E</v>
          </cell>
          <cell r="C8">
            <v>4000</v>
          </cell>
          <cell r="D8">
            <v>3000</v>
          </cell>
          <cell r="E8">
            <v>400</v>
          </cell>
          <cell r="F8">
            <v>450</v>
          </cell>
          <cell r="G8">
            <v>500</v>
          </cell>
          <cell r="H8">
            <v>500</v>
          </cell>
          <cell r="I8">
            <v>5800</v>
          </cell>
          <cell r="J8">
            <v>6000</v>
          </cell>
          <cell r="K8">
            <v>650</v>
          </cell>
          <cell r="L8">
            <v>3000</v>
          </cell>
          <cell r="M8">
            <v>3000</v>
          </cell>
          <cell r="N8">
            <v>6000</v>
          </cell>
          <cell r="O8">
            <v>450</v>
          </cell>
          <cell r="P8">
            <v>750</v>
          </cell>
          <cell r="Q8">
            <v>114</v>
          </cell>
          <cell r="R8">
            <v>7120</v>
          </cell>
        </row>
        <row r="9">
          <cell r="A9" t="str">
            <v>F</v>
          </cell>
          <cell r="C9">
            <v>4000</v>
          </cell>
          <cell r="D9">
            <v>4000</v>
          </cell>
          <cell r="E9">
            <v>1200</v>
          </cell>
          <cell r="F9">
            <v>480</v>
          </cell>
          <cell r="G9">
            <v>550</v>
          </cell>
          <cell r="H9">
            <v>550</v>
          </cell>
          <cell r="I9">
            <v>7500</v>
          </cell>
          <cell r="J9">
            <v>7700</v>
          </cell>
          <cell r="K9">
            <v>700</v>
          </cell>
          <cell r="L9">
            <v>4000</v>
          </cell>
          <cell r="M9">
            <v>3000</v>
          </cell>
          <cell r="N9">
            <v>6000</v>
          </cell>
          <cell r="O9">
            <v>450</v>
          </cell>
          <cell r="P9">
            <v>750</v>
          </cell>
          <cell r="Q9">
            <v>149</v>
          </cell>
          <cell r="R9">
            <v>9164</v>
          </cell>
        </row>
        <row r="10">
          <cell r="A10" t="str">
            <v>G</v>
          </cell>
          <cell r="C10">
            <v>4000</v>
          </cell>
          <cell r="D10">
            <v>5000</v>
          </cell>
          <cell r="E10">
            <v>1900</v>
          </cell>
          <cell r="F10">
            <v>520</v>
          </cell>
          <cell r="G10">
            <v>620</v>
          </cell>
          <cell r="H10">
            <v>630</v>
          </cell>
          <cell r="I10">
            <v>9060</v>
          </cell>
          <cell r="J10">
            <v>9260</v>
          </cell>
          <cell r="K10">
            <v>770</v>
          </cell>
          <cell r="L10">
            <v>5000</v>
          </cell>
          <cell r="M10">
            <v>3000</v>
          </cell>
          <cell r="N10">
            <v>6000</v>
          </cell>
          <cell r="O10">
            <v>450</v>
          </cell>
          <cell r="P10">
            <v>750</v>
          </cell>
          <cell r="Q10">
            <v>194</v>
          </cell>
          <cell r="R10">
            <v>10607</v>
          </cell>
        </row>
        <row r="11">
          <cell r="A11" t="str">
            <v>H</v>
          </cell>
          <cell r="C11">
            <v>5000</v>
          </cell>
          <cell r="D11">
            <v>3000</v>
          </cell>
          <cell r="E11">
            <v>300</v>
          </cell>
          <cell r="F11">
            <v>500</v>
          </cell>
          <cell r="G11">
            <v>570</v>
          </cell>
          <cell r="H11">
            <v>570</v>
          </cell>
          <cell r="I11">
            <v>6740</v>
          </cell>
          <cell r="J11">
            <v>6940</v>
          </cell>
          <cell r="K11">
            <v>720</v>
          </cell>
          <cell r="L11">
            <v>3000</v>
          </cell>
          <cell r="M11">
            <v>3000</v>
          </cell>
          <cell r="N11">
            <v>6000</v>
          </cell>
          <cell r="O11">
            <v>450</v>
          </cell>
          <cell r="P11">
            <v>750</v>
          </cell>
          <cell r="Q11">
            <v>142</v>
          </cell>
          <cell r="R11">
            <v>8941</v>
          </cell>
        </row>
        <row r="12">
          <cell r="A12" t="str">
            <v>I</v>
          </cell>
          <cell r="C12">
            <v>5000</v>
          </cell>
          <cell r="D12">
            <v>4000</v>
          </cell>
          <cell r="E12">
            <v>800</v>
          </cell>
          <cell r="F12">
            <v>520</v>
          </cell>
          <cell r="G12">
            <v>600</v>
          </cell>
          <cell r="H12">
            <v>620</v>
          </cell>
          <cell r="I12">
            <v>7840</v>
          </cell>
          <cell r="J12">
            <v>8040</v>
          </cell>
          <cell r="K12">
            <v>750</v>
          </cell>
          <cell r="L12">
            <v>4000</v>
          </cell>
          <cell r="M12">
            <v>3000</v>
          </cell>
          <cell r="N12">
            <v>6000</v>
          </cell>
          <cell r="O12">
            <v>450</v>
          </cell>
          <cell r="P12">
            <v>750</v>
          </cell>
          <cell r="Q12">
            <v>174</v>
          </cell>
          <cell r="R12">
            <v>10695</v>
          </cell>
        </row>
        <row r="13">
          <cell r="A13" t="str">
            <v>J</v>
          </cell>
          <cell r="C13">
            <v>5000</v>
          </cell>
          <cell r="D13">
            <v>5000</v>
          </cell>
          <cell r="E13">
            <v>1500</v>
          </cell>
          <cell r="F13">
            <v>580</v>
          </cell>
          <cell r="G13">
            <v>680</v>
          </cell>
          <cell r="H13">
            <v>700</v>
          </cell>
          <cell r="I13">
            <v>9400</v>
          </cell>
          <cell r="J13">
            <v>9600</v>
          </cell>
          <cell r="K13">
            <v>830</v>
          </cell>
          <cell r="L13">
            <v>5000</v>
          </cell>
          <cell r="M13">
            <v>3000</v>
          </cell>
          <cell r="N13">
            <v>6000</v>
          </cell>
          <cell r="O13">
            <v>450</v>
          </cell>
          <cell r="P13">
            <v>750</v>
          </cell>
          <cell r="Q13">
            <v>224</v>
          </cell>
          <cell r="R13">
            <v>14339</v>
          </cell>
        </row>
        <row r="14">
          <cell r="A14" t="str">
            <v>K</v>
          </cell>
          <cell r="C14">
            <v>6000</v>
          </cell>
          <cell r="D14">
            <v>3000</v>
          </cell>
          <cell r="E14">
            <v>300</v>
          </cell>
          <cell r="F14">
            <v>680</v>
          </cell>
          <cell r="G14">
            <v>720</v>
          </cell>
          <cell r="H14">
            <v>720</v>
          </cell>
          <cell r="I14">
            <v>8040</v>
          </cell>
          <cell r="J14">
            <v>8240</v>
          </cell>
          <cell r="K14">
            <v>870</v>
          </cell>
          <cell r="L14">
            <v>3000</v>
          </cell>
          <cell r="M14">
            <v>3000</v>
          </cell>
          <cell r="N14">
            <v>6000</v>
          </cell>
          <cell r="O14">
            <v>450</v>
          </cell>
          <cell r="P14">
            <v>750</v>
          </cell>
          <cell r="Q14">
            <v>201</v>
          </cell>
          <cell r="R14">
            <v>11238</v>
          </cell>
        </row>
        <row r="15">
          <cell r="A15" t="str">
            <v>L</v>
          </cell>
          <cell r="C15">
            <v>6000</v>
          </cell>
          <cell r="D15">
            <v>4000</v>
          </cell>
          <cell r="E15">
            <v>300</v>
          </cell>
          <cell r="F15">
            <v>680</v>
          </cell>
          <cell r="G15">
            <v>720</v>
          </cell>
          <cell r="H15">
            <v>750</v>
          </cell>
          <cell r="I15">
            <v>8100</v>
          </cell>
          <cell r="J15">
            <v>8300</v>
          </cell>
          <cell r="K15">
            <v>870</v>
          </cell>
          <cell r="L15">
            <v>4000</v>
          </cell>
          <cell r="M15">
            <v>3000</v>
          </cell>
          <cell r="N15">
            <v>6000</v>
          </cell>
          <cell r="O15">
            <v>450</v>
          </cell>
          <cell r="P15">
            <v>750</v>
          </cell>
          <cell r="Q15">
            <v>222</v>
          </cell>
          <cell r="R15">
            <v>13848</v>
          </cell>
        </row>
        <row r="16">
          <cell r="A16" t="str">
            <v>M</v>
          </cell>
          <cell r="C16">
            <v>6000</v>
          </cell>
          <cell r="D16">
            <v>5000</v>
          </cell>
          <cell r="E16">
            <v>1100</v>
          </cell>
          <cell r="F16">
            <v>680</v>
          </cell>
          <cell r="G16">
            <v>750</v>
          </cell>
          <cell r="H16">
            <v>750</v>
          </cell>
          <cell r="I16">
            <v>9700</v>
          </cell>
          <cell r="J16">
            <v>9900</v>
          </cell>
          <cell r="K16">
            <v>900</v>
          </cell>
          <cell r="L16">
            <v>5000</v>
          </cell>
          <cell r="M16">
            <v>3000</v>
          </cell>
          <cell r="N16">
            <v>6000</v>
          </cell>
          <cell r="O16">
            <v>450</v>
          </cell>
          <cell r="P16">
            <v>750</v>
          </cell>
          <cell r="Q16">
            <v>258</v>
          </cell>
          <cell r="R16">
            <v>14479</v>
          </cell>
        </row>
        <row r="17">
          <cell r="A17" t="str">
            <v>N</v>
          </cell>
          <cell r="C17">
            <v>6000</v>
          </cell>
          <cell r="D17">
            <v>6000</v>
          </cell>
          <cell r="E17">
            <v>1800</v>
          </cell>
          <cell r="F17">
            <v>700</v>
          </cell>
          <cell r="G17">
            <v>800</v>
          </cell>
          <cell r="H17">
            <v>850</v>
          </cell>
          <cell r="I17">
            <v>11300</v>
          </cell>
          <cell r="J17">
            <v>11500</v>
          </cell>
          <cell r="K17">
            <v>950</v>
          </cell>
          <cell r="L17">
            <v>6000</v>
          </cell>
          <cell r="M17">
            <v>3000</v>
          </cell>
          <cell r="N17">
            <v>6000</v>
          </cell>
          <cell r="O17">
            <v>450</v>
          </cell>
          <cell r="P17">
            <v>750</v>
          </cell>
          <cell r="Q17">
            <v>315</v>
          </cell>
          <cell r="R17">
            <v>18100</v>
          </cell>
        </row>
        <row r="18">
          <cell r="A18" t="str">
            <v>O</v>
          </cell>
          <cell r="C18">
            <v>7000</v>
          </cell>
          <cell r="D18">
            <v>5000</v>
          </cell>
          <cell r="E18">
            <v>600</v>
          </cell>
          <cell r="F18">
            <v>750</v>
          </cell>
          <cell r="G18">
            <v>850</v>
          </cell>
          <cell r="H18">
            <v>850</v>
          </cell>
          <cell r="I18">
            <v>9900</v>
          </cell>
          <cell r="J18">
            <v>10100</v>
          </cell>
          <cell r="K18">
            <v>1000</v>
          </cell>
          <cell r="L18">
            <v>5000</v>
          </cell>
          <cell r="M18">
            <v>3000</v>
          </cell>
          <cell r="N18">
            <v>6000</v>
          </cell>
          <cell r="O18">
            <v>450</v>
          </cell>
          <cell r="P18">
            <v>750</v>
          </cell>
          <cell r="Q18">
            <v>301</v>
          </cell>
          <cell r="R18">
            <v>17607</v>
          </cell>
        </row>
        <row r="19">
          <cell r="A19" t="str">
            <v>P</v>
          </cell>
          <cell r="C19">
            <v>7000</v>
          </cell>
          <cell r="D19">
            <v>6000</v>
          </cell>
          <cell r="E19">
            <v>1200</v>
          </cell>
          <cell r="F19">
            <v>780</v>
          </cell>
          <cell r="G19">
            <v>920</v>
          </cell>
          <cell r="H19">
            <v>950</v>
          </cell>
          <cell r="I19">
            <v>11300</v>
          </cell>
          <cell r="J19">
            <v>11500</v>
          </cell>
          <cell r="K19">
            <v>1070</v>
          </cell>
          <cell r="L19">
            <v>6000</v>
          </cell>
          <cell r="M19">
            <v>3000</v>
          </cell>
          <cell r="N19">
            <v>6000</v>
          </cell>
          <cell r="O19">
            <v>450</v>
          </cell>
          <cell r="P19">
            <v>750</v>
          </cell>
          <cell r="Q19">
            <v>365</v>
          </cell>
          <cell r="R19">
            <v>20915</v>
          </cell>
        </row>
        <row r="20">
          <cell r="A20" t="str">
            <v>Q</v>
          </cell>
          <cell r="C20">
            <v>7000</v>
          </cell>
          <cell r="D20">
            <v>7000</v>
          </cell>
          <cell r="E20">
            <v>1300</v>
          </cell>
          <cell r="F20">
            <v>780</v>
          </cell>
          <cell r="G20">
            <v>950</v>
          </cell>
          <cell r="H20">
            <v>950</v>
          </cell>
          <cell r="I20">
            <v>11500</v>
          </cell>
          <cell r="J20">
            <v>11700</v>
          </cell>
          <cell r="K20">
            <v>1100</v>
          </cell>
          <cell r="L20">
            <v>7000</v>
          </cell>
          <cell r="M20">
            <v>3000</v>
          </cell>
          <cell r="N20">
            <v>6000</v>
          </cell>
          <cell r="O20">
            <v>450</v>
          </cell>
          <cell r="P20">
            <v>750</v>
          </cell>
          <cell r="Q20">
            <v>394</v>
          </cell>
          <cell r="R20">
            <v>22120</v>
          </cell>
        </row>
        <row r="21">
          <cell r="A21" t="str">
            <v>R</v>
          </cell>
          <cell r="C21">
            <v>8000</v>
          </cell>
          <cell r="D21">
            <v>5000</v>
          </cell>
          <cell r="E21">
            <v>300</v>
          </cell>
          <cell r="F21">
            <v>800</v>
          </cell>
          <cell r="G21">
            <v>950</v>
          </cell>
          <cell r="H21">
            <v>950</v>
          </cell>
          <cell r="I21">
            <v>10500</v>
          </cell>
          <cell r="J21">
            <v>10700</v>
          </cell>
          <cell r="K21">
            <v>1100</v>
          </cell>
          <cell r="L21">
            <v>5000</v>
          </cell>
          <cell r="M21">
            <v>3000</v>
          </cell>
          <cell r="N21">
            <v>6000</v>
          </cell>
          <cell r="O21">
            <v>450</v>
          </cell>
          <cell r="P21">
            <v>750</v>
          </cell>
          <cell r="Q21">
            <v>350</v>
          </cell>
          <cell r="R21">
            <v>20650</v>
          </cell>
        </row>
        <row r="22">
          <cell r="A22" t="str">
            <v>S</v>
          </cell>
          <cell r="C22">
            <v>8000</v>
          </cell>
          <cell r="D22">
            <v>6000</v>
          </cell>
          <cell r="E22">
            <v>900</v>
          </cell>
          <cell r="F22">
            <v>820</v>
          </cell>
          <cell r="G22">
            <v>970</v>
          </cell>
          <cell r="H22">
            <v>1000</v>
          </cell>
          <cell r="I22">
            <v>11800</v>
          </cell>
          <cell r="J22">
            <v>12000</v>
          </cell>
          <cell r="K22">
            <v>1120</v>
          </cell>
          <cell r="L22">
            <v>6000</v>
          </cell>
          <cell r="M22">
            <v>3000</v>
          </cell>
          <cell r="N22">
            <v>6000</v>
          </cell>
          <cell r="O22">
            <v>450</v>
          </cell>
          <cell r="P22">
            <v>750</v>
          </cell>
          <cell r="Q22">
            <v>478</v>
          </cell>
          <cell r="R22">
            <v>23539</v>
          </cell>
        </row>
        <row r="23">
          <cell r="A23" t="str">
            <v>T</v>
          </cell>
          <cell r="C23">
            <v>8000</v>
          </cell>
          <cell r="D23">
            <v>7000</v>
          </cell>
          <cell r="E23">
            <v>1300</v>
          </cell>
          <cell r="F23">
            <v>850</v>
          </cell>
          <cell r="G23">
            <v>1100</v>
          </cell>
          <cell r="H23">
            <v>1200</v>
          </cell>
          <cell r="I23">
            <v>13000</v>
          </cell>
          <cell r="J23">
            <v>13200</v>
          </cell>
          <cell r="K23">
            <v>1250</v>
          </cell>
          <cell r="L23">
            <v>7000</v>
          </cell>
          <cell r="M23">
            <v>3000</v>
          </cell>
          <cell r="N23">
            <v>6000</v>
          </cell>
          <cell r="O23">
            <v>450</v>
          </cell>
          <cell r="P23">
            <v>750</v>
          </cell>
          <cell r="Q23">
            <v>502</v>
          </cell>
          <cell r="R23">
            <v>27371</v>
          </cell>
        </row>
      </sheetData>
      <sheetData sheetId="2"/>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 Info"/>
      <sheetName val="level"/>
      <sheetName val="volume"/>
      <sheetName val="G_Design"/>
      <sheetName val="traffic "/>
      <sheetName val="lab_ test"/>
      <sheetName val="CD_Existing"/>
      <sheetName val="Slab-1840"/>
      <sheetName val="Slab-2560"/>
      <sheetName val="Slab-3520"/>
      <sheetName val="Slab 3520m est"/>
      <sheetName val="CD Design"/>
      <sheetName val="pavement(0-1300&amp;2600-3860)"/>
      <sheetName val="pavement (1300-2600m)"/>
      <sheetName val="road_est(bm)"/>
      <sheetName val="E-Slab3520"/>
      <sheetName val="E-Slab 1840,2560"/>
      <sheetName val="E-P1"/>
      <sheetName val="E-P2"/>
      <sheetName val="Total Cost"/>
      <sheetName val="cover page"/>
      <sheetName val="1.5mspanX1.0m est. "/>
      <sheetName val="design of 510m "/>
      <sheetName val="510m estimate"/>
      <sheetName val="design of 750m"/>
      <sheetName val="design of  1260m"/>
      <sheetName val="Dig_Pavment 0-1300"/>
      <sheetName val="Dig_Pavment1300-2600"/>
      <sheetName val="Dig_Pavment2600-3860"/>
      <sheetName val="Rigid Pavement Drawing"/>
      <sheetName val="pavement(0-1300&amp;26p0-3860)"/>
      <sheetName val="ATTERBERG LIMIT"/>
      <sheetName val="Unconnected"/>
      <sheetName val="Back_Cal_for OMC"/>
      <sheetName val="hyperstatic-3"/>
      <sheetName val="MAIN"/>
      <sheetName val="Assumptions"/>
      <sheetName val="foundation(V)"/>
      <sheetName val="Letter"/>
      <sheetName val="procurement"/>
      <sheetName val="Build-up"/>
      <sheetName val="Indirect expenses"/>
      <sheetName val="Plant &amp;  Machinery"/>
      <sheetName val="SILICATE"/>
      <sheetName val="RA"/>
      <sheetName val="DETAILED  BOQ"/>
      <sheetName val="A.O.R."/>
      <sheetName val="Machinery"/>
      <sheetName val="CBR "/>
      <sheetName val="FORM7"/>
      <sheetName val="FT-05-02IsoBOM"/>
      <sheetName val="Timesheet"/>
      <sheetName val="INPUT-DATA"/>
      <sheetName val="basdat"/>
      <sheetName val="Dayworks Bill"/>
      <sheetName val="Bills of Quantities"/>
      <sheetName val="SALIENT"/>
      <sheetName val="Sheet1"/>
      <sheetName val="Inventory"/>
      <sheetName val="dBase"/>
      <sheetName val="REL"/>
      <sheetName val="Staff Acco."/>
      <sheetName val="PROG_DATA"/>
      <sheetName val="Rates Basic"/>
      <sheetName val="doq"/>
      <sheetName val="01"/>
      <sheetName val="Cul_detail"/>
      <sheetName val="SUMMARY"/>
      <sheetName val="Major Br. Statement"/>
      <sheetName val="DATA"/>
      <sheetName val="Input_data"/>
      <sheetName val="PLAN_FEB97"/>
      <sheetName val="ANAL"/>
      <sheetName val="UNP-NCW "/>
      <sheetName val="BOQ Distribution"/>
      <sheetName val="Material "/>
      <sheetName val="meas"/>
      <sheetName val="Gen_Info"/>
      <sheetName val="traffic_"/>
      <sheetName val="lab__test"/>
      <sheetName val="Slab_3520m_est"/>
      <sheetName val="CD_Design"/>
      <sheetName val="pavement_(1300-2600m)"/>
      <sheetName val="E-Slab_1840,2560"/>
      <sheetName val="Total_Cost"/>
      <sheetName val="cover_page"/>
      <sheetName val="1_5mspanX1_0m_est__"/>
      <sheetName val="design_of_510m_"/>
      <sheetName val="510m_estimate"/>
      <sheetName val="design_of_750m"/>
      <sheetName val="design_of__1260m"/>
      <sheetName val="Dig_Pavment_0-1300"/>
      <sheetName val="Rigid_Pavement_Drawing"/>
      <sheetName val="ATTERBERG_LIMIT"/>
      <sheetName val="Indirect_expenses"/>
      <sheetName val="ANNEXURE-A"/>
      <sheetName val="schedule1"/>
      <sheetName val="Legal Risk Analysis"/>
      <sheetName val="key dates"/>
      <sheetName val="Actuals"/>
      <sheetName val="BALAN1"/>
      <sheetName val="Material"/>
      <sheetName val="Labour"/>
      <sheetName val="Voucher"/>
      <sheetName val="Cal"/>
      <sheetName val="basic-data"/>
      <sheetName val="mem-property"/>
      <sheetName val="5"/>
      <sheetName val="PH-V (20-07-06) (77)"/>
      <sheetName val="Sheet2"/>
      <sheetName val="IDC revised"/>
      <sheetName val="Schedule with cap"/>
      <sheetName val="XL4Poppy"/>
      <sheetName val="ABQ"/>
      <sheetName val="17"/>
      <sheetName val="Annex"/>
      <sheetName val=""/>
      <sheetName val="Gen_Info1"/>
      <sheetName val="traffic_1"/>
      <sheetName val="lab__test1"/>
      <sheetName val="Slab_3520m_est1"/>
      <sheetName val="CD_Design1"/>
      <sheetName val="pavement_(1300-2600m)1"/>
      <sheetName val="E-Slab_1840,25601"/>
      <sheetName val="Total_Cost1"/>
      <sheetName val="cover_page1"/>
      <sheetName val="1_5mspanX1_0m_est__1"/>
      <sheetName val="design_of_510m_1"/>
      <sheetName val="510m_estimate1"/>
      <sheetName val="design_of_750m1"/>
      <sheetName val="design_of__1260m1"/>
      <sheetName val="Dig_Pavment_0-13001"/>
      <sheetName val="Rigid_Pavement_Drawing1"/>
      <sheetName val="Legal_Risk_Analysis1"/>
      <sheetName val="key_dates1"/>
      <sheetName val="Indirect_expenses1"/>
      <sheetName val="ATTERBERG_LIMIT1"/>
      <sheetName val="A_O_R_1"/>
      <sheetName val="Back_Cal_for_OMC1"/>
      <sheetName val="DETAILED__BOQ1"/>
      <sheetName val="BOQ_Distribution1"/>
      <sheetName val="Legal_Risk_Analysis"/>
      <sheetName val="key_dates"/>
      <sheetName val="BOQ_Distribution"/>
      <sheetName val="A_O_R_"/>
      <sheetName val="Back_Cal_for_OMC"/>
      <sheetName val="DETAILED__BOQ"/>
      <sheetName val="Gen_Info2"/>
      <sheetName val="traffic_2"/>
      <sheetName val="lab__test2"/>
      <sheetName val="Slab_3520m_est2"/>
      <sheetName val="CD_Design2"/>
      <sheetName val="pavement_(1300-2600m)2"/>
      <sheetName val="E-Slab_1840,25602"/>
      <sheetName val="Total_Cost2"/>
      <sheetName val="cover_page2"/>
      <sheetName val="1_5mspanX1_0m_est__2"/>
      <sheetName val="design_of_510m_2"/>
      <sheetName val="510m_estimate2"/>
      <sheetName val="design_of_750m2"/>
      <sheetName val="design_of__1260m2"/>
      <sheetName val="Dig_Pavment_0-13002"/>
      <sheetName val="Rigid_Pavement_Drawing2"/>
      <sheetName val="Legal_Risk_Analysis2"/>
      <sheetName val="key_dates2"/>
      <sheetName val="Indirect_expenses2"/>
      <sheetName val="ATTERBERG_LIMIT2"/>
      <sheetName val="BOQ_Distribution2"/>
      <sheetName val="A_O_R_2"/>
      <sheetName val="Back_Cal_for_OMC2"/>
      <sheetName val="DETAILED__BOQ2"/>
      <sheetName val="INPUT"/>
      <sheetName val="Analysis"/>
      <sheetName val="Intro"/>
      <sheetName val="Schedule"/>
      <sheetName val="SDBC"/>
      <sheetName val="rabsg"/>
      <sheetName val="racarp"/>
      <sheetName val="measur"/>
      <sheetName val="dataentry"/>
      <sheetName val="raseal"/>
      <sheetName val="DOQ-9"/>
      <sheetName val="4 Annex 1 Basic rate"/>
      <sheetName val="DESIGN"/>
      <sheetName val="Flocculator footing"/>
      <sheetName val="Bridge hydrology1"/>
      <sheetName val="PROCTOR"/>
      <sheetName val="Index"/>
      <sheetName val="evaluate"/>
      <sheetName val="Elect."/>
      <sheetName val="VCH-SLC"/>
      <sheetName val="Supplier"/>
      <sheetName val="INPUT SHEET"/>
      <sheetName val="BS1"/>
      <sheetName val="gen"/>
      <sheetName val="macros"/>
      <sheetName val="bhandup"/>
      <sheetName val="Gen_Info3"/>
      <sheetName val="traffic_3"/>
      <sheetName val="lab__test3"/>
      <sheetName val="Slab_3520m_est3"/>
      <sheetName val="CD_Design3"/>
      <sheetName val="pavement_(1300-2600m)3"/>
      <sheetName val="E-Slab_1840,25603"/>
      <sheetName val="Total_Cost3"/>
      <sheetName val="cover_page3"/>
      <sheetName val="1_5mspanX1_0m_est__3"/>
      <sheetName val="design_of_510m_3"/>
      <sheetName val="510m_estimate3"/>
      <sheetName val="design_of_750m3"/>
      <sheetName val="design_of__1260m3"/>
      <sheetName val="Dig_Pavment_0-13003"/>
      <sheetName val="Rigid_Pavement_Drawing3"/>
      <sheetName val="Indirect_expenses3"/>
      <sheetName val="Back_Cal_for_OMC3"/>
      <sheetName val="ATTERBERG_LIMIT3"/>
      <sheetName val="DETAILED__BOQ3"/>
      <sheetName val="Legal_Risk_Analysis3"/>
      <sheetName val="key_dates3"/>
      <sheetName val="BOQ_Distribution3"/>
      <sheetName val="A_O_R_3"/>
      <sheetName val="UNP-NCW_"/>
      <sheetName val="Dayworks_Bill"/>
      <sheetName val="Bills_of_Quantities"/>
      <sheetName val="Staff_Acco_"/>
      <sheetName val="Rates_Basic"/>
      <sheetName val="Major_Br__Statement"/>
      <sheetName val="Material_"/>
      <sheetName val="IDC_revised"/>
      <sheetName val="Schedule_with_cap"/>
      <sheetName val="B S"/>
      <sheetName val="Cntrl Sheet"/>
      <sheetName val="DTPL"/>
      <sheetName val="Facility"/>
      <sheetName val="PAP"/>
      <sheetName val="Keyratios"/>
      <sheetName val="Narrative"/>
      <sheetName val="revised Scenario"/>
      <sheetName val="CABLE"/>
      <sheetName val="number"/>
      <sheetName val="hyperstatic"/>
      <sheetName val="section"/>
      <sheetName val="loadcal"/>
      <sheetName val="Design of two-way slab"/>
      <sheetName val="Materials "/>
      <sheetName val="Box Details"/>
      <sheetName val="Longitudinal"/>
      <sheetName val="ms v"/>
      <sheetName val="Debit_Pump"/>
      <sheetName val="Details_Transit"/>
      <sheetName val="IV(R)"/>
    </sheetNames>
    <sheetDataSet>
      <sheetData sheetId="0" refreshError="1">
        <row r="34">
          <cell r="B34">
            <v>500</v>
          </cell>
        </row>
        <row r="35">
          <cell r="B35">
            <v>500</v>
          </cell>
        </row>
        <row r="36">
          <cell r="B36">
            <v>1000</v>
          </cell>
        </row>
        <row r="37">
          <cell r="B37">
            <v>1500</v>
          </cell>
        </row>
        <row r="38">
          <cell r="B38">
            <v>2000</v>
          </cell>
        </row>
        <row r="39">
          <cell r="B39">
            <v>2500</v>
          </cell>
        </row>
        <row r="40">
          <cell r="B40">
            <v>3000</v>
          </cell>
        </row>
        <row r="41">
          <cell r="B41">
            <v>3500</v>
          </cell>
        </row>
        <row r="42">
          <cell r="B42">
            <v>4000</v>
          </cell>
        </row>
        <row r="43">
          <cell r="B43">
            <v>4500</v>
          </cell>
        </row>
        <row r="44">
          <cell r="B44">
            <v>5000</v>
          </cell>
        </row>
        <row r="45">
          <cell r="B45">
            <v>5500</v>
          </cell>
        </row>
        <row r="46">
          <cell r="B46">
            <v>6000</v>
          </cell>
        </row>
        <row r="47">
          <cell r="B47">
            <v>6500</v>
          </cell>
        </row>
        <row r="48">
          <cell r="B48">
            <v>7000</v>
          </cell>
        </row>
        <row r="49">
          <cell r="B49">
            <v>7500</v>
          </cell>
        </row>
        <row r="50">
          <cell r="B50">
            <v>8000</v>
          </cell>
        </row>
        <row r="51">
          <cell r="B51">
            <v>8500</v>
          </cell>
        </row>
        <row r="52">
          <cell r="B52">
            <v>9000</v>
          </cell>
        </row>
        <row r="53">
          <cell r="B53">
            <v>9500</v>
          </cell>
        </row>
        <row r="54">
          <cell r="B54">
            <v>10000</v>
          </cell>
        </row>
        <row r="55">
          <cell r="B55">
            <v>10500</v>
          </cell>
        </row>
        <row r="56">
          <cell r="B56">
            <v>11000</v>
          </cell>
        </row>
        <row r="57">
          <cell r="B57">
            <v>11500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ow r="34">
          <cell r="B34">
            <v>500</v>
          </cell>
        </row>
      </sheetData>
      <sheetData sheetId="117">
        <row r="34">
          <cell r="B34">
            <v>500</v>
          </cell>
        </row>
      </sheetData>
      <sheetData sheetId="118">
        <row r="34">
          <cell r="B34">
            <v>500</v>
          </cell>
        </row>
      </sheetData>
      <sheetData sheetId="119">
        <row r="34">
          <cell r="B34">
            <v>500</v>
          </cell>
        </row>
      </sheetData>
      <sheetData sheetId="120">
        <row r="34">
          <cell r="B34">
            <v>500</v>
          </cell>
        </row>
      </sheetData>
      <sheetData sheetId="121">
        <row r="34">
          <cell r="B34">
            <v>500</v>
          </cell>
        </row>
      </sheetData>
      <sheetData sheetId="122">
        <row r="34">
          <cell r="B34">
            <v>500</v>
          </cell>
        </row>
      </sheetData>
      <sheetData sheetId="123">
        <row r="34">
          <cell r="B34">
            <v>500</v>
          </cell>
        </row>
      </sheetData>
      <sheetData sheetId="124">
        <row r="34">
          <cell r="B34">
            <v>500</v>
          </cell>
        </row>
      </sheetData>
      <sheetData sheetId="125">
        <row r="34">
          <cell r="B34">
            <v>500</v>
          </cell>
        </row>
      </sheetData>
      <sheetData sheetId="126">
        <row r="34">
          <cell r="B34">
            <v>500</v>
          </cell>
        </row>
      </sheetData>
      <sheetData sheetId="127">
        <row r="34">
          <cell r="B34">
            <v>500</v>
          </cell>
        </row>
      </sheetData>
      <sheetData sheetId="128">
        <row r="34">
          <cell r="B34">
            <v>500</v>
          </cell>
        </row>
      </sheetData>
      <sheetData sheetId="129">
        <row r="34">
          <cell r="B34">
            <v>500</v>
          </cell>
        </row>
      </sheetData>
      <sheetData sheetId="130">
        <row r="34">
          <cell r="B34">
            <v>500</v>
          </cell>
        </row>
      </sheetData>
      <sheetData sheetId="131">
        <row r="34">
          <cell r="B34">
            <v>500</v>
          </cell>
        </row>
      </sheetData>
      <sheetData sheetId="132">
        <row r="34">
          <cell r="B34">
            <v>500</v>
          </cell>
        </row>
      </sheetData>
      <sheetData sheetId="133">
        <row r="34">
          <cell r="B34">
            <v>500</v>
          </cell>
        </row>
      </sheetData>
      <sheetData sheetId="134">
        <row r="34">
          <cell r="B34">
            <v>500</v>
          </cell>
        </row>
      </sheetData>
      <sheetData sheetId="135">
        <row r="34">
          <cell r="B34">
            <v>500</v>
          </cell>
        </row>
      </sheetData>
      <sheetData sheetId="136">
        <row r="34">
          <cell r="B34">
            <v>500</v>
          </cell>
        </row>
      </sheetData>
      <sheetData sheetId="137">
        <row r="34">
          <cell r="B34">
            <v>500</v>
          </cell>
        </row>
      </sheetData>
      <sheetData sheetId="138">
        <row r="34">
          <cell r="B34">
            <v>500</v>
          </cell>
        </row>
      </sheetData>
      <sheetData sheetId="139">
        <row r="34">
          <cell r="B34">
            <v>500</v>
          </cell>
        </row>
      </sheetData>
      <sheetData sheetId="140">
        <row r="34">
          <cell r="B34">
            <v>500</v>
          </cell>
        </row>
      </sheetData>
      <sheetData sheetId="141">
        <row r="34">
          <cell r="B34">
            <v>500</v>
          </cell>
        </row>
      </sheetData>
      <sheetData sheetId="142">
        <row r="34">
          <cell r="B34">
            <v>500</v>
          </cell>
        </row>
      </sheetData>
      <sheetData sheetId="143">
        <row r="34">
          <cell r="B34">
            <v>500</v>
          </cell>
        </row>
      </sheetData>
      <sheetData sheetId="144">
        <row r="34">
          <cell r="B34">
            <v>500</v>
          </cell>
        </row>
      </sheetData>
      <sheetData sheetId="145">
        <row r="34">
          <cell r="B34">
            <v>500</v>
          </cell>
        </row>
      </sheetData>
      <sheetData sheetId="146">
        <row r="34">
          <cell r="B34">
            <v>500</v>
          </cell>
        </row>
      </sheetData>
      <sheetData sheetId="147">
        <row r="34">
          <cell r="B34">
            <v>500</v>
          </cell>
        </row>
      </sheetData>
      <sheetData sheetId="148">
        <row r="34">
          <cell r="B34">
            <v>500</v>
          </cell>
        </row>
      </sheetData>
      <sheetData sheetId="149">
        <row r="34">
          <cell r="B34">
            <v>500</v>
          </cell>
        </row>
      </sheetData>
      <sheetData sheetId="150">
        <row r="34">
          <cell r="B34">
            <v>500</v>
          </cell>
        </row>
      </sheetData>
      <sheetData sheetId="151">
        <row r="34">
          <cell r="B34">
            <v>500</v>
          </cell>
        </row>
      </sheetData>
      <sheetData sheetId="152">
        <row r="34">
          <cell r="B34">
            <v>500</v>
          </cell>
        </row>
      </sheetData>
      <sheetData sheetId="153">
        <row r="34">
          <cell r="B34">
            <v>500</v>
          </cell>
        </row>
      </sheetData>
      <sheetData sheetId="154">
        <row r="34">
          <cell r="B34">
            <v>500</v>
          </cell>
        </row>
      </sheetData>
      <sheetData sheetId="155">
        <row r="34">
          <cell r="B34">
            <v>500</v>
          </cell>
        </row>
      </sheetData>
      <sheetData sheetId="156">
        <row r="34">
          <cell r="B34">
            <v>500</v>
          </cell>
        </row>
      </sheetData>
      <sheetData sheetId="157">
        <row r="34">
          <cell r="B34">
            <v>500</v>
          </cell>
        </row>
      </sheetData>
      <sheetData sheetId="158">
        <row r="34">
          <cell r="B34">
            <v>500</v>
          </cell>
        </row>
      </sheetData>
      <sheetData sheetId="159">
        <row r="34">
          <cell r="B34">
            <v>500</v>
          </cell>
        </row>
      </sheetData>
      <sheetData sheetId="160">
        <row r="34">
          <cell r="B34">
            <v>500</v>
          </cell>
        </row>
      </sheetData>
      <sheetData sheetId="161">
        <row r="34">
          <cell r="B34">
            <v>500</v>
          </cell>
        </row>
      </sheetData>
      <sheetData sheetId="162"/>
      <sheetData sheetId="163"/>
      <sheetData sheetId="164"/>
      <sheetData sheetId="165"/>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ow r="34">
          <cell r="B34">
            <v>500</v>
          </cell>
        </row>
      </sheetData>
      <sheetData sheetId="198">
        <row r="34">
          <cell r="B34">
            <v>500</v>
          </cell>
        </row>
      </sheetData>
      <sheetData sheetId="199">
        <row r="34">
          <cell r="B34">
            <v>500</v>
          </cell>
        </row>
      </sheetData>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SR"/>
      <sheetName val="PERCENTAGE"/>
      <sheetName val="boidata"/>
      <sheetName val="carting"/>
    </sheetNames>
    <sheetDataSet>
      <sheetData sheetId="0" refreshError="1"/>
      <sheetData sheetId="1" refreshError="1"/>
      <sheetData sheetId="2" refreshError="1"/>
      <sheetData sheetId="3" refreshError="1">
        <row r="3">
          <cell r="A3">
            <v>0.5</v>
          </cell>
          <cell r="C3">
            <v>17.600000000000001</v>
          </cell>
          <cell r="E3">
            <v>17.899999999999999</v>
          </cell>
        </row>
        <row r="4">
          <cell r="A4">
            <v>1</v>
          </cell>
          <cell r="C4">
            <v>19.2</v>
          </cell>
          <cell r="E4">
            <v>19.8</v>
          </cell>
        </row>
        <row r="5">
          <cell r="A5">
            <v>1.5</v>
          </cell>
          <cell r="C5">
            <v>20.85</v>
          </cell>
          <cell r="E5">
            <v>21.75</v>
          </cell>
        </row>
        <row r="6">
          <cell r="A6">
            <v>2</v>
          </cell>
          <cell r="C6">
            <v>22.95</v>
          </cell>
          <cell r="E6">
            <v>24.15</v>
          </cell>
        </row>
        <row r="7">
          <cell r="A7">
            <v>2.5</v>
          </cell>
          <cell r="C7">
            <v>25.25</v>
          </cell>
          <cell r="E7">
            <v>26.75</v>
          </cell>
        </row>
        <row r="8">
          <cell r="A8">
            <v>3</v>
          </cell>
          <cell r="C8">
            <v>26.85</v>
          </cell>
          <cell r="E8">
            <v>28.65</v>
          </cell>
        </row>
        <row r="9">
          <cell r="A9">
            <v>3.5</v>
          </cell>
          <cell r="C9">
            <v>27.15</v>
          </cell>
          <cell r="E9">
            <v>29.2</v>
          </cell>
        </row>
        <row r="10">
          <cell r="A10">
            <v>4</v>
          </cell>
          <cell r="C10">
            <v>28.75</v>
          </cell>
          <cell r="E10">
            <v>31.05</v>
          </cell>
        </row>
        <row r="11">
          <cell r="A11">
            <v>4.5</v>
          </cell>
          <cell r="C11">
            <v>30.2</v>
          </cell>
          <cell r="E11">
            <v>32.75</v>
          </cell>
        </row>
        <row r="12">
          <cell r="A12">
            <v>5</v>
          </cell>
          <cell r="C12">
            <v>31.75</v>
          </cell>
          <cell r="E12">
            <v>34.549999999999997</v>
          </cell>
        </row>
        <row r="13">
          <cell r="A13">
            <v>5.5</v>
          </cell>
          <cell r="C13">
            <v>33.299999999999997</v>
          </cell>
          <cell r="E13">
            <v>36.35</v>
          </cell>
        </row>
        <row r="14">
          <cell r="A14">
            <v>6</v>
          </cell>
          <cell r="C14">
            <v>33.5</v>
          </cell>
          <cell r="E14">
            <v>36.799999999999997</v>
          </cell>
        </row>
        <row r="15">
          <cell r="A15">
            <v>6.5</v>
          </cell>
          <cell r="C15">
            <v>36.35</v>
          </cell>
          <cell r="E15">
            <v>39.9</v>
          </cell>
        </row>
        <row r="16">
          <cell r="A16">
            <v>7</v>
          </cell>
          <cell r="C16">
            <v>37.75</v>
          </cell>
          <cell r="E16">
            <v>41.55</v>
          </cell>
        </row>
        <row r="17">
          <cell r="A17">
            <v>7.5</v>
          </cell>
          <cell r="C17">
            <v>39.35</v>
          </cell>
          <cell r="E17">
            <v>43.4</v>
          </cell>
        </row>
        <row r="18">
          <cell r="A18">
            <v>8</v>
          </cell>
          <cell r="C18">
            <v>40.700000000000003</v>
          </cell>
          <cell r="E18">
            <v>45</v>
          </cell>
        </row>
        <row r="19">
          <cell r="A19">
            <v>8.5</v>
          </cell>
          <cell r="C19">
            <v>42.25</v>
          </cell>
          <cell r="E19">
            <v>46.8</v>
          </cell>
        </row>
        <row r="20">
          <cell r="A20">
            <v>9</v>
          </cell>
          <cell r="C20">
            <v>43.6</v>
          </cell>
          <cell r="E20">
            <v>48.4</v>
          </cell>
        </row>
        <row r="21">
          <cell r="A21">
            <v>9.5</v>
          </cell>
          <cell r="C21">
            <v>45.1</v>
          </cell>
          <cell r="E21">
            <v>50.15</v>
          </cell>
        </row>
        <row r="22">
          <cell r="A22">
            <v>10</v>
          </cell>
          <cell r="C22">
            <v>46.35</v>
          </cell>
          <cell r="E22">
            <v>51.65</v>
          </cell>
        </row>
        <row r="23">
          <cell r="A23">
            <v>10.5</v>
          </cell>
          <cell r="C23">
            <v>47.45</v>
          </cell>
          <cell r="E23">
            <v>52.7</v>
          </cell>
        </row>
        <row r="24">
          <cell r="A24">
            <v>11</v>
          </cell>
          <cell r="C24">
            <v>48.6</v>
          </cell>
          <cell r="E24">
            <v>54.05</v>
          </cell>
        </row>
        <row r="25">
          <cell r="A25">
            <v>11.5</v>
          </cell>
          <cell r="C25">
            <v>49.65</v>
          </cell>
          <cell r="E25">
            <v>55.25</v>
          </cell>
        </row>
        <row r="26">
          <cell r="A26">
            <v>12</v>
          </cell>
          <cell r="C26">
            <v>50.75</v>
          </cell>
          <cell r="E26">
            <v>56.6</v>
          </cell>
        </row>
        <row r="27">
          <cell r="A27">
            <v>12.5</v>
          </cell>
          <cell r="C27">
            <v>51.75</v>
          </cell>
          <cell r="E27">
            <v>57.8</v>
          </cell>
        </row>
        <row r="28">
          <cell r="A28">
            <v>13</v>
          </cell>
          <cell r="C28">
            <v>52.8</v>
          </cell>
          <cell r="E28">
            <v>59.05</v>
          </cell>
        </row>
        <row r="29">
          <cell r="A29">
            <v>13.5</v>
          </cell>
          <cell r="C29">
            <v>53.85</v>
          </cell>
          <cell r="E29">
            <v>60.3</v>
          </cell>
        </row>
        <row r="30">
          <cell r="A30">
            <v>14</v>
          </cell>
          <cell r="C30">
            <v>54.95</v>
          </cell>
          <cell r="E30">
            <v>61.6</v>
          </cell>
        </row>
        <row r="31">
          <cell r="A31">
            <v>14.5</v>
          </cell>
          <cell r="C31">
            <v>55.9</v>
          </cell>
          <cell r="E31">
            <v>62.75</v>
          </cell>
        </row>
        <row r="32">
          <cell r="A32">
            <v>15</v>
          </cell>
          <cell r="C32">
            <v>56.95</v>
          </cell>
          <cell r="E32">
            <v>64</v>
          </cell>
        </row>
        <row r="33">
          <cell r="A33">
            <v>15.5</v>
          </cell>
          <cell r="C33">
            <v>58.3</v>
          </cell>
          <cell r="E33">
            <v>65.55</v>
          </cell>
        </row>
        <row r="34">
          <cell r="A34">
            <v>16</v>
          </cell>
          <cell r="C34">
            <v>59.7</v>
          </cell>
          <cell r="E34">
            <v>67.150000000000006</v>
          </cell>
        </row>
        <row r="35">
          <cell r="A35">
            <v>16.5</v>
          </cell>
          <cell r="C35">
            <v>67.25</v>
          </cell>
          <cell r="E35">
            <v>68.900000000000006</v>
          </cell>
        </row>
        <row r="36">
          <cell r="A36">
            <v>17</v>
          </cell>
          <cell r="C36">
            <v>63.55</v>
          </cell>
          <cell r="E36">
            <v>71.400000000000006</v>
          </cell>
        </row>
        <row r="37">
          <cell r="A37">
            <v>17.5</v>
          </cell>
          <cell r="C37">
            <v>64</v>
          </cell>
          <cell r="E37">
            <v>72.05</v>
          </cell>
        </row>
        <row r="38">
          <cell r="A38">
            <v>18</v>
          </cell>
          <cell r="C38">
            <v>65.349999999999994</v>
          </cell>
          <cell r="E38">
            <v>73.599999999999994</v>
          </cell>
        </row>
        <row r="39">
          <cell r="A39">
            <v>18.5</v>
          </cell>
          <cell r="C39">
            <v>66.75</v>
          </cell>
          <cell r="E39">
            <v>75.2</v>
          </cell>
        </row>
        <row r="40">
          <cell r="A40">
            <v>19</v>
          </cell>
          <cell r="C40">
            <v>68.25</v>
          </cell>
          <cell r="E40">
            <v>76.900000000000006</v>
          </cell>
        </row>
        <row r="41">
          <cell r="A41">
            <v>19.5</v>
          </cell>
          <cell r="C41">
            <v>69.7</v>
          </cell>
          <cell r="E41">
            <v>78.55</v>
          </cell>
        </row>
        <row r="42">
          <cell r="A42">
            <v>20</v>
          </cell>
          <cell r="C42">
            <v>71.05</v>
          </cell>
          <cell r="E42">
            <v>80.12</v>
          </cell>
        </row>
        <row r="43">
          <cell r="A43">
            <v>20.5</v>
          </cell>
          <cell r="C43">
            <v>72.55</v>
          </cell>
          <cell r="E43">
            <v>81.599999999999994</v>
          </cell>
        </row>
        <row r="44">
          <cell r="A44">
            <v>21</v>
          </cell>
          <cell r="C44">
            <v>73.900000000000006</v>
          </cell>
          <cell r="E44">
            <v>83.1</v>
          </cell>
        </row>
        <row r="45">
          <cell r="A45">
            <v>21.5</v>
          </cell>
          <cell r="C45">
            <v>75.3</v>
          </cell>
          <cell r="E45">
            <v>84.65</v>
          </cell>
        </row>
        <row r="46">
          <cell r="A46">
            <v>22</v>
          </cell>
          <cell r="C46">
            <v>76.75</v>
          </cell>
          <cell r="E46">
            <v>86.25</v>
          </cell>
        </row>
        <row r="47">
          <cell r="A47">
            <v>22.5</v>
          </cell>
          <cell r="C47">
            <v>78.2</v>
          </cell>
          <cell r="E47">
            <v>87.85</v>
          </cell>
        </row>
        <row r="48">
          <cell r="A48">
            <v>23</v>
          </cell>
          <cell r="C48">
            <v>79.599999999999994</v>
          </cell>
          <cell r="E48">
            <v>89.4</v>
          </cell>
        </row>
        <row r="49">
          <cell r="A49">
            <v>23.5</v>
          </cell>
          <cell r="C49">
            <v>81</v>
          </cell>
          <cell r="E49">
            <v>90.95</v>
          </cell>
        </row>
        <row r="50">
          <cell r="A50">
            <v>24</v>
          </cell>
          <cell r="C50">
            <v>82.45</v>
          </cell>
          <cell r="E50">
            <v>92.55</v>
          </cell>
        </row>
        <row r="51">
          <cell r="A51">
            <v>24.5</v>
          </cell>
          <cell r="C51">
            <v>83.85</v>
          </cell>
          <cell r="E51">
            <v>94.1</v>
          </cell>
        </row>
        <row r="52">
          <cell r="A52">
            <v>25</v>
          </cell>
          <cell r="C52">
            <v>85.3</v>
          </cell>
          <cell r="E52">
            <v>95.7</v>
          </cell>
        </row>
        <row r="53">
          <cell r="A53">
            <v>25.5</v>
          </cell>
          <cell r="C53">
            <v>86.65</v>
          </cell>
          <cell r="E53">
            <v>97.2</v>
          </cell>
        </row>
        <row r="54">
          <cell r="A54">
            <v>26</v>
          </cell>
          <cell r="C54">
            <v>88.15</v>
          </cell>
          <cell r="E54">
            <v>98.85</v>
          </cell>
        </row>
        <row r="55">
          <cell r="A55">
            <v>26.5</v>
          </cell>
          <cell r="C55">
            <v>89.55</v>
          </cell>
          <cell r="E55">
            <v>100.4</v>
          </cell>
        </row>
        <row r="56">
          <cell r="A56">
            <v>27</v>
          </cell>
          <cell r="C56">
            <v>91</v>
          </cell>
          <cell r="E56">
            <v>102</v>
          </cell>
        </row>
        <row r="57">
          <cell r="A57">
            <v>27.5</v>
          </cell>
          <cell r="C57">
            <v>92.35</v>
          </cell>
          <cell r="E57">
            <v>103.5</v>
          </cell>
        </row>
        <row r="58">
          <cell r="A58">
            <v>28</v>
          </cell>
          <cell r="C58">
            <v>93.75</v>
          </cell>
          <cell r="E58">
            <v>105.05</v>
          </cell>
        </row>
        <row r="59">
          <cell r="A59">
            <v>28.5</v>
          </cell>
          <cell r="C59">
            <v>95.25</v>
          </cell>
          <cell r="E59">
            <v>106.7</v>
          </cell>
        </row>
        <row r="60">
          <cell r="A60">
            <v>29</v>
          </cell>
          <cell r="C60">
            <v>96.6</v>
          </cell>
          <cell r="E60">
            <v>108.2</v>
          </cell>
        </row>
        <row r="61">
          <cell r="A61">
            <v>29.5</v>
          </cell>
          <cell r="C61">
            <v>98.05</v>
          </cell>
          <cell r="E61">
            <v>109.8</v>
          </cell>
        </row>
        <row r="62">
          <cell r="A62">
            <v>30</v>
          </cell>
          <cell r="C62">
            <v>99.4</v>
          </cell>
          <cell r="E62">
            <v>111.3</v>
          </cell>
        </row>
        <row r="63">
          <cell r="A63">
            <v>30.5</v>
          </cell>
          <cell r="C63">
            <v>100.2</v>
          </cell>
          <cell r="E63">
            <v>112.18</v>
          </cell>
        </row>
        <row r="64">
          <cell r="A64">
            <v>31</v>
          </cell>
          <cell r="C64">
            <v>101</v>
          </cell>
          <cell r="E64">
            <v>113.06</v>
          </cell>
        </row>
        <row r="65">
          <cell r="A65">
            <v>31.5</v>
          </cell>
          <cell r="C65">
            <v>101.8</v>
          </cell>
          <cell r="E65">
            <v>113.94</v>
          </cell>
        </row>
        <row r="66">
          <cell r="A66">
            <v>32</v>
          </cell>
          <cell r="C66">
            <v>102.6</v>
          </cell>
          <cell r="E66">
            <v>114.82</v>
          </cell>
        </row>
        <row r="67">
          <cell r="A67">
            <v>32.5</v>
          </cell>
          <cell r="C67">
            <v>103.4</v>
          </cell>
          <cell r="E67">
            <v>115.7</v>
          </cell>
        </row>
        <row r="68">
          <cell r="A68">
            <v>33</v>
          </cell>
          <cell r="C68">
            <v>104.2</v>
          </cell>
          <cell r="E68">
            <v>116.58</v>
          </cell>
        </row>
        <row r="69">
          <cell r="A69">
            <v>33.5</v>
          </cell>
          <cell r="C69">
            <v>105</v>
          </cell>
          <cell r="E69">
            <v>117.46</v>
          </cell>
        </row>
        <row r="70">
          <cell r="A70">
            <v>34</v>
          </cell>
          <cell r="C70">
            <v>105.8</v>
          </cell>
          <cell r="E70">
            <v>118.34</v>
          </cell>
        </row>
        <row r="71">
          <cell r="A71">
            <v>34.5</v>
          </cell>
          <cell r="C71">
            <v>106.6</v>
          </cell>
          <cell r="E71">
            <v>119.22</v>
          </cell>
        </row>
        <row r="72">
          <cell r="A72">
            <v>35</v>
          </cell>
          <cell r="C72">
            <v>107.4</v>
          </cell>
          <cell r="E72">
            <v>120.1</v>
          </cell>
        </row>
        <row r="73">
          <cell r="A73">
            <v>35.5</v>
          </cell>
          <cell r="C73">
            <v>108.2</v>
          </cell>
          <cell r="E73">
            <v>120.98</v>
          </cell>
        </row>
        <row r="74">
          <cell r="A74">
            <v>36</v>
          </cell>
          <cell r="C74">
            <v>109</v>
          </cell>
          <cell r="E74">
            <v>121.86</v>
          </cell>
        </row>
        <row r="75">
          <cell r="A75">
            <v>36.5</v>
          </cell>
          <cell r="C75">
            <v>109.8</v>
          </cell>
          <cell r="E75">
            <v>122.74</v>
          </cell>
        </row>
        <row r="76">
          <cell r="A76">
            <v>37</v>
          </cell>
          <cell r="C76">
            <v>110.6</v>
          </cell>
          <cell r="E76">
            <v>123.62</v>
          </cell>
        </row>
        <row r="77">
          <cell r="A77">
            <v>37.5</v>
          </cell>
          <cell r="C77">
            <v>111.4</v>
          </cell>
          <cell r="E77">
            <v>124.5</v>
          </cell>
        </row>
        <row r="78">
          <cell r="A78">
            <v>38</v>
          </cell>
          <cell r="C78">
            <v>112.2</v>
          </cell>
          <cell r="E78">
            <v>125.38</v>
          </cell>
        </row>
        <row r="79">
          <cell r="A79">
            <v>38.5</v>
          </cell>
          <cell r="C79">
            <v>113</v>
          </cell>
          <cell r="E79">
            <v>126.26</v>
          </cell>
        </row>
        <row r="80">
          <cell r="A80">
            <v>39</v>
          </cell>
          <cell r="C80">
            <v>113.8</v>
          </cell>
          <cell r="E80">
            <v>127.14</v>
          </cell>
        </row>
        <row r="81">
          <cell r="A81">
            <v>39.5</v>
          </cell>
          <cell r="C81">
            <v>114.6</v>
          </cell>
          <cell r="E81">
            <v>128.02000000000001</v>
          </cell>
        </row>
        <row r="82">
          <cell r="A82">
            <v>40</v>
          </cell>
          <cell r="C82">
            <v>115.4</v>
          </cell>
          <cell r="E82">
            <v>128.9</v>
          </cell>
        </row>
        <row r="83">
          <cell r="A83">
            <v>40.5</v>
          </cell>
          <cell r="C83">
            <v>116.2</v>
          </cell>
          <cell r="E83">
            <v>129.78</v>
          </cell>
        </row>
        <row r="84">
          <cell r="A84">
            <v>41</v>
          </cell>
          <cell r="C84">
            <v>117</v>
          </cell>
          <cell r="E84">
            <v>130.66</v>
          </cell>
        </row>
        <row r="85">
          <cell r="A85">
            <v>41.5</v>
          </cell>
          <cell r="C85">
            <v>117.8</v>
          </cell>
          <cell r="E85">
            <v>131.54</v>
          </cell>
        </row>
        <row r="86">
          <cell r="A86">
            <v>42</v>
          </cell>
          <cell r="C86">
            <v>118.6</v>
          </cell>
          <cell r="E86">
            <v>132.41999999999999</v>
          </cell>
        </row>
        <row r="87">
          <cell r="A87">
            <v>42.5</v>
          </cell>
          <cell r="C87">
            <v>119.4</v>
          </cell>
          <cell r="E87">
            <v>133.30000000000001</v>
          </cell>
        </row>
        <row r="88">
          <cell r="A88">
            <v>43</v>
          </cell>
          <cell r="C88">
            <v>120.2</v>
          </cell>
          <cell r="E88">
            <v>134.18</v>
          </cell>
        </row>
        <row r="89">
          <cell r="A89">
            <v>43.5</v>
          </cell>
          <cell r="C89">
            <v>121</v>
          </cell>
          <cell r="E89">
            <v>135.06</v>
          </cell>
        </row>
        <row r="90">
          <cell r="A90">
            <v>44</v>
          </cell>
          <cell r="C90">
            <v>121.8</v>
          </cell>
          <cell r="E90">
            <v>135.94</v>
          </cell>
        </row>
        <row r="91">
          <cell r="A91">
            <v>44.5</v>
          </cell>
          <cell r="C91">
            <v>122.6</v>
          </cell>
          <cell r="E91">
            <v>136.82</v>
          </cell>
        </row>
        <row r="92">
          <cell r="A92">
            <v>45</v>
          </cell>
          <cell r="C92">
            <v>123.4</v>
          </cell>
          <cell r="E92">
            <v>137.69999999999999</v>
          </cell>
        </row>
        <row r="93">
          <cell r="A93">
            <v>45.5</v>
          </cell>
          <cell r="C93">
            <v>124.2</v>
          </cell>
          <cell r="E93">
            <v>138.58000000000001</v>
          </cell>
        </row>
        <row r="94">
          <cell r="A94">
            <v>46</v>
          </cell>
          <cell r="C94">
            <v>125</v>
          </cell>
          <cell r="E94">
            <v>139.46</v>
          </cell>
        </row>
        <row r="95">
          <cell r="A95">
            <v>46.5</v>
          </cell>
          <cell r="C95">
            <v>125.8</v>
          </cell>
          <cell r="E95">
            <v>140.34</v>
          </cell>
        </row>
        <row r="96">
          <cell r="A96">
            <v>47</v>
          </cell>
          <cell r="C96">
            <v>126.6</v>
          </cell>
          <cell r="E96">
            <v>141.22</v>
          </cell>
        </row>
        <row r="97">
          <cell r="A97">
            <v>47.5</v>
          </cell>
          <cell r="C97">
            <v>127.4</v>
          </cell>
          <cell r="E97">
            <v>142.1</v>
          </cell>
        </row>
        <row r="98">
          <cell r="A98">
            <v>48</v>
          </cell>
          <cell r="C98">
            <v>128.19999999999999</v>
          </cell>
          <cell r="E98">
            <v>142.97999999999999</v>
          </cell>
        </row>
        <row r="99">
          <cell r="A99">
            <v>48.5</v>
          </cell>
          <cell r="C99">
            <v>129</v>
          </cell>
          <cell r="E99">
            <v>143.86000000000001</v>
          </cell>
        </row>
        <row r="100">
          <cell r="A100">
            <v>49</v>
          </cell>
          <cell r="C100">
            <v>129.80000000000001</v>
          </cell>
          <cell r="E100">
            <v>144.74</v>
          </cell>
        </row>
        <row r="101">
          <cell r="A101">
            <v>49.5</v>
          </cell>
          <cell r="C101">
            <v>130.6</v>
          </cell>
          <cell r="E101">
            <v>145.62</v>
          </cell>
        </row>
        <row r="102">
          <cell r="A102">
            <v>50</v>
          </cell>
          <cell r="C102">
            <v>131.4</v>
          </cell>
          <cell r="E102">
            <v>146.5</v>
          </cell>
        </row>
        <row r="103">
          <cell r="A103">
            <v>50.5</v>
          </cell>
          <cell r="C103">
            <v>132.19999999999999</v>
          </cell>
          <cell r="E103">
            <v>147.38</v>
          </cell>
        </row>
        <row r="104">
          <cell r="A104">
            <v>51</v>
          </cell>
          <cell r="C104">
            <v>133</v>
          </cell>
          <cell r="E104">
            <v>148.26</v>
          </cell>
        </row>
        <row r="105">
          <cell r="A105">
            <v>51.5</v>
          </cell>
          <cell r="C105">
            <v>133.80000000000001</v>
          </cell>
          <cell r="E105">
            <v>149.13999999999999</v>
          </cell>
        </row>
        <row r="106">
          <cell r="A106">
            <v>52</v>
          </cell>
          <cell r="C106">
            <v>134.6</v>
          </cell>
          <cell r="E106">
            <v>150.02000000000001</v>
          </cell>
        </row>
        <row r="107">
          <cell r="A107">
            <v>52.5</v>
          </cell>
          <cell r="C107">
            <v>135.4</v>
          </cell>
          <cell r="E107">
            <v>150.9</v>
          </cell>
        </row>
        <row r="108">
          <cell r="A108">
            <v>53</v>
          </cell>
          <cell r="C108">
            <v>136.19999999999999</v>
          </cell>
          <cell r="E108">
            <v>151.78</v>
          </cell>
        </row>
        <row r="109">
          <cell r="A109">
            <v>53.5</v>
          </cell>
          <cell r="C109">
            <v>137</v>
          </cell>
          <cell r="E109">
            <v>152.66</v>
          </cell>
        </row>
        <row r="110">
          <cell r="A110">
            <v>54</v>
          </cell>
          <cell r="C110">
            <v>137.80000000000001</v>
          </cell>
          <cell r="E110">
            <v>153.54</v>
          </cell>
        </row>
        <row r="111">
          <cell r="A111">
            <v>54.5</v>
          </cell>
          <cell r="C111">
            <v>138.6</v>
          </cell>
          <cell r="E111">
            <v>154.41999999999999</v>
          </cell>
        </row>
        <row r="112">
          <cell r="A112">
            <v>55</v>
          </cell>
          <cell r="C112">
            <v>139.4</v>
          </cell>
          <cell r="E112">
            <v>155.30000000000001</v>
          </cell>
        </row>
        <row r="113">
          <cell r="A113">
            <v>55.5</v>
          </cell>
          <cell r="C113">
            <v>140.19999999999999</v>
          </cell>
          <cell r="E113">
            <v>156.18</v>
          </cell>
        </row>
        <row r="114">
          <cell r="A114">
            <v>56</v>
          </cell>
          <cell r="C114">
            <v>141</v>
          </cell>
          <cell r="E114">
            <v>157.06</v>
          </cell>
        </row>
        <row r="115">
          <cell r="A115">
            <v>56.5</v>
          </cell>
          <cell r="C115">
            <v>141.80000000000001</v>
          </cell>
          <cell r="E115">
            <v>157.94</v>
          </cell>
        </row>
        <row r="116">
          <cell r="A116">
            <v>57</v>
          </cell>
          <cell r="C116">
            <v>142.6</v>
          </cell>
          <cell r="E116">
            <v>158.82</v>
          </cell>
        </row>
        <row r="117">
          <cell r="A117">
            <v>57.5</v>
          </cell>
          <cell r="C117">
            <v>143.4</v>
          </cell>
          <cell r="E117">
            <v>159.69999999999999</v>
          </cell>
        </row>
        <row r="118">
          <cell r="A118">
            <v>58</v>
          </cell>
          <cell r="C118">
            <v>144.19999999999999</v>
          </cell>
          <cell r="E118">
            <v>160.58000000000001</v>
          </cell>
        </row>
        <row r="119">
          <cell r="A119">
            <v>58.5</v>
          </cell>
          <cell r="C119">
            <v>145</v>
          </cell>
          <cell r="E119">
            <v>161.46</v>
          </cell>
        </row>
        <row r="120">
          <cell r="A120">
            <v>59</v>
          </cell>
          <cell r="C120">
            <v>145.80000000000001</v>
          </cell>
          <cell r="E120">
            <v>162.34</v>
          </cell>
        </row>
        <row r="121">
          <cell r="A121">
            <v>59.5</v>
          </cell>
          <cell r="C121">
            <v>146.6</v>
          </cell>
          <cell r="E121">
            <v>163.22</v>
          </cell>
        </row>
        <row r="122">
          <cell r="A122">
            <v>60</v>
          </cell>
          <cell r="C122">
            <v>147.4</v>
          </cell>
          <cell r="E122">
            <v>164.1</v>
          </cell>
        </row>
        <row r="123">
          <cell r="A123">
            <v>60.5</v>
          </cell>
          <cell r="C123">
            <v>148.15</v>
          </cell>
          <cell r="E123">
            <v>164.93</v>
          </cell>
        </row>
        <row r="124">
          <cell r="A124">
            <v>61</v>
          </cell>
          <cell r="C124">
            <v>148.9</v>
          </cell>
          <cell r="E124">
            <v>165.76</v>
          </cell>
        </row>
        <row r="125">
          <cell r="A125">
            <v>61.5</v>
          </cell>
          <cell r="C125">
            <v>149.65</v>
          </cell>
          <cell r="E125">
            <v>166.59</v>
          </cell>
        </row>
        <row r="126">
          <cell r="A126">
            <v>62</v>
          </cell>
          <cell r="C126">
            <v>150.4</v>
          </cell>
          <cell r="E126">
            <v>167.42</v>
          </cell>
        </row>
        <row r="127">
          <cell r="A127">
            <v>62.5</v>
          </cell>
          <cell r="C127">
            <v>151.15</v>
          </cell>
          <cell r="E127">
            <v>168.25</v>
          </cell>
        </row>
        <row r="128">
          <cell r="A128">
            <v>63</v>
          </cell>
          <cell r="C128">
            <v>151.9</v>
          </cell>
          <cell r="E128">
            <v>169.08</v>
          </cell>
        </row>
        <row r="129">
          <cell r="A129">
            <v>63.5</v>
          </cell>
          <cell r="C129">
            <v>152.65</v>
          </cell>
          <cell r="E129">
            <v>169.91</v>
          </cell>
        </row>
        <row r="130">
          <cell r="A130">
            <v>64</v>
          </cell>
          <cell r="C130">
            <v>153.4</v>
          </cell>
          <cell r="E130">
            <v>170.74</v>
          </cell>
        </row>
        <row r="131">
          <cell r="A131">
            <v>64.5</v>
          </cell>
          <cell r="C131">
            <v>154.15</v>
          </cell>
          <cell r="E131">
            <v>171.57</v>
          </cell>
        </row>
        <row r="132">
          <cell r="A132">
            <v>65</v>
          </cell>
          <cell r="C132">
            <v>154.9</v>
          </cell>
          <cell r="E132">
            <v>172.4</v>
          </cell>
        </row>
        <row r="133">
          <cell r="A133">
            <v>65.5</v>
          </cell>
          <cell r="C133">
            <v>155.65</v>
          </cell>
          <cell r="E133">
            <v>173.23</v>
          </cell>
        </row>
        <row r="134">
          <cell r="A134">
            <v>66</v>
          </cell>
          <cell r="C134">
            <v>156.4</v>
          </cell>
          <cell r="E134">
            <v>174.06</v>
          </cell>
        </row>
        <row r="135">
          <cell r="A135">
            <v>66.5</v>
          </cell>
          <cell r="C135">
            <v>157.15</v>
          </cell>
          <cell r="E135">
            <v>174.89</v>
          </cell>
        </row>
        <row r="136">
          <cell r="A136">
            <v>67</v>
          </cell>
          <cell r="C136">
            <v>157.9</v>
          </cell>
          <cell r="E136">
            <v>175.72</v>
          </cell>
        </row>
        <row r="137">
          <cell r="A137">
            <v>67.5</v>
          </cell>
          <cell r="C137">
            <v>158.65</v>
          </cell>
          <cell r="E137">
            <v>176.55</v>
          </cell>
        </row>
        <row r="138">
          <cell r="A138">
            <v>68</v>
          </cell>
          <cell r="C138">
            <v>159.4</v>
          </cell>
          <cell r="E138">
            <v>177.38</v>
          </cell>
        </row>
        <row r="139">
          <cell r="A139">
            <v>68.5</v>
          </cell>
          <cell r="C139">
            <v>160.15</v>
          </cell>
          <cell r="E139">
            <v>178.21</v>
          </cell>
        </row>
        <row r="140">
          <cell r="A140">
            <v>69</v>
          </cell>
          <cell r="C140">
            <v>160.9</v>
          </cell>
          <cell r="E140">
            <v>179.04</v>
          </cell>
        </row>
        <row r="141">
          <cell r="A141">
            <v>69.5</v>
          </cell>
          <cell r="C141">
            <v>161.65</v>
          </cell>
          <cell r="E141">
            <v>179.87</v>
          </cell>
        </row>
        <row r="142">
          <cell r="A142">
            <v>70</v>
          </cell>
          <cell r="C142">
            <v>162.4</v>
          </cell>
          <cell r="E142">
            <v>180.7</v>
          </cell>
        </row>
        <row r="143">
          <cell r="A143">
            <v>70.5</v>
          </cell>
          <cell r="C143">
            <v>163.15</v>
          </cell>
          <cell r="E143">
            <v>181.53</v>
          </cell>
        </row>
        <row r="144">
          <cell r="A144">
            <v>71</v>
          </cell>
          <cell r="C144">
            <v>163.9</v>
          </cell>
          <cell r="E144">
            <v>182.36</v>
          </cell>
        </row>
        <row r="145">
          <cell r="A145">
            <v>71.5</v>
          </cell>
          <cell r="C145">
            <v>164.65</v>
          </cell>
          <cell r="E145">
            <v>183.19</v>
          </cell>
        </row>
        <row r="146">
          <cell r="A146">
            <v>72</v>
          </cell>
          <cell r="C146">
            <v>165.4</v>
          </cell>
          <cell r="E146">
            <v>184.02</v>
          </cell>
        </row>
        <row r="147">
          <cell r="A147">
            <v>72.5</v>
          </cell>
          <cell r="C147">
            <v>166.15</v>
          </cell>
          <cell r="E147">
            <v>184.85</v>
          </cell>
        </row>
        <row r="148">
          <cell r="A148">
            <v>73</v>
          </cell>
          <cell r="C148">
            <v>166.9</v>
          </cell>
          <cell r="E148">
            <v>185.68</v>
          </cell>
        </row>
        <row r="149">
          <cell r="A149">
            <v>73.5</v>
          </cell>
          <cell r="C149">
            <v>167.65</v>
          </cell>
          <cell r="E149">
            <v>186.51</v>
          </cell>
        </row>
        <row r="150">
          <cell r="A150">
            <v>74</v>
          </cell>
          <cell r="C150">
            <v>168.4</v>
          </cell>
          <cell r="E150">
            <v>187.34</v>
          </cell>
        </row>
        <row r="151">
          <cell r="A151">
            <v>74.5</v>
          </cell>
          <cell r="C151">
            <v>169.15</v>
          </cell>
          <cell r="E151">
            <v>188.17</v>
          </cell>
        </row>
        <row r="152">
          <cell r="A152">
            <v>75</v>
          </cell>
          <cell r="C152">
            <v>169.9</v>
          </cell>
          <cell r="E152">
            <v>189</v>
          </cell>
        </row>
        <row r="153">
          <cell r="A153">
            <v>75.5</v>
          </cell>
          <cell r="C153">
            <v>170.65</v>
          </cell>
          <cell r="E153">
            <v>189.83</v>
          </cell>
        </row>
        <row r="154">
          <cell r="A154">
            <v>76</v>
          </cell>
          <cell r="C154">
            <v>171.4</v>
          </cell>
          <cell r="E154">
            <v>190.66</v>
          </cell>
        </row>
        <row r="155">
          <cell r="A155">
            <v>76.5</v>
          </cell>
          <cell r="C155">
            <v>172.15</v>
          </cell>
          <cell r="E155">
            <v>191.49</v>
          </cell>
        </row>
        <row r="156">
          <cell r="A156">
            <v>77</v>
          </cell>
          <cell r="C156">
            <v>172.9</v>
          </cell>
          <cell r="E156">
            <v>192.32</v>
          </cell>
        </row>
        <row r="157">
          <cell r="A157">
            <v>77.5</v>
          </cell>
          <cell r="C157">
            <v>173.65</v>
          </cell>
          <cell r="E157">
            <v>193.15</v>
          </cell>
        </row>
        <row r="158">
          <cell r="A158">
            <v>78</v>
          </cell>
          <cell r="C158">
            <v>174.4</v>
          </cell>
          <cell r="E158">
            <v>193.98</v>
          </cell>
        </row>
        <row r="159">
          <cell r="A159">
            <v>78.5</v>
          </cell>
          <cell r="C159">
            <v>175.15</v>
          </cell>
          <cell r="E159">
            <v>194.81</v>
          </cell>
        </row>
        <row r="160">
          <cell r="A160">
            <v>79</v>
          </cell>
          <cell r="C160">
            <v>175.9</v>
          </cell>
          <cell r="E160">
            <v>195.64</v>
          </cell>
        </row>
        <row r="161">
          <cell r="A161">
            <v>79.5</v>
          </cell>
          <cell r="C161">
            <v>176.65</v>
          </cell>
          <cell r="E161">
            <v>196.47</v>
          </cell>
        </row>
        <row r="162">
          <cell r="A162">
            <v>80</v>
          </cell>
          <cell r="C162">
            <v>177.4</v>
          </cell>
          <cell r="E162">
            <v>197.3</v>
          </cell>
        </row>
        <row r="163">
          <cell r="A163">
            <v>80.5</v>
          </cell>
          <cell r="C163">
            <v>178.15</v>
          </cell>
          <cell r="E163">
            <v>198.13</v>
          </cell>
        </row>
        <row r="164">
          <cell r="A164">
            <v>81</v>
          </cell>
          <cell r="C164">
            <v>178.9</v>
          </cell>
          <cell r="E164">
            <v>198.96</v>
          </cell>
        </row>
        <row r="165">
          <cell r="A165">
            <v>81.5</v>
          </cell>
          <cell r="C165">
            <v>179.65</v>
          </cell>
          <cell r="E165">
            <v>199.79</v>
          </cell>
        </row>
        <row r="166">
          <cell r="A166">
            <v>82</v>
          </cell>
          <cell r="C166">
            <v>180.4</v>
          </cell>
          <cell r="E166">
            <v>200.62</v>
          </cell>
        </row>
        <row r="167">
          <cell r="A167">
            <v>82.5</v>
          </cell>
          <cell r="C167">
            <v>181.15</v>
          </cell>
          <cell r="E167">
            <v>201.45</v>
          </cell>
        </row>
        <row r="168">
          <cell r="A168">
            <v>83</v>
          </cell>
          <cell r="C168">
            <v>181.9</v>
          </cell>
          <cell r="E168">
            <v>202.28</v>
          </cell>
        </row>
        <row r="169">
          <cell r="A169">
            <v>83.5</v>
          </cell>
          <cell r="C169">
            <v>182.65</v>
          </cell>
          <cell r="E169">
            <v>203.11</v>
          </cell>
        </row>
        <row r="170">
          <cell r="A170">
            <v>84</v>
          </cell>
          <cell r="C170">
            <v>183.4</v>
          </cell>
          <cell r="E170">
            <v>203.94</v>
          </cell>
        </row>
        <row r="171">
          <cell r="A171">
            <v>84.5</v>
          </cell>
          <cell r="C171">
            <v>184.15</v>
          </cell>
          <cell r="E171">
            <v>204.77</v>
          </cell>
        </row>
        <row r="172">
          <cell r="A172">
            <v>85</v>
          </cell>
          <cell r="C172">
            <v>184.9</v>
          </cell>
          <cell r="E172">
            <v>205.6</v>
          </cell>
        </row>
        <row r="173">
          <cell r="A173">
            <v>85.5</v>
          </cell>
          <cell r="C173">
            <v>185.65</v>
          </cell>
          <cell r="E173">
            <v>206.43</v>
          </cell>
        </row>
        <row r="174">
          <cell r="A174">
            <v>86</v>
          </cell>
          <cell r="C174">
            <v>186.4</v>
          </cell>
          <cell r="E174">
            <v>207.26</v>
          </cell>
        </row>
        <row r="175">
          <cell r="A175">
            <v>86.5</v>
          </cell>
          <cell r="C175">
            <v>187.15</v>
          </cell>
          <cell r="E175">
            <v>208.09</v>
          </cell>
        </row>
        <row r="176">
          <cell r="A176">
            <v>87</v>
          </cell>
          <cell r="C176">
            <v>187.9</v>
          </cell>
          <cell r="E176">
            <v>208.92</v>
          </cell>
        </row>
        <row r="177">
          <cell r="A177">
            <v>87.5</v>
          </cell>
          <cell r="C177">
            <v>188.65</v>
          </cell>
          <cell r="E177">
            <v>209.75</v>
          </cell>
        </row>
        <row r="178">
          <cell r="A178">
            <v>88</v>
          </cell>
          <cell r="C178">
            <v>189.4</v>
          </cell>
          <cell r="E178">
            <v>210.58</v>
          </cell>
        </row>
        <row r="179">
          <cell r="A179">
            <v>88.5</v>
          </cell>
          <cell r="C179">
            <v>190.15</v>
          </cell>
          <cell r="E179">
            <v>211.41</v>
          </cell>
        </row>
        <row r="180">
          <cell r="A180">
            <v>89</v>
          </cell>
          <cell r="C180">
            <v>190.9</v>
          </cell>
          <cell r="E180">
            <v>212.24</v>
          </cell>
        </row>
        <row r="181">
          <cell r="A181">
            <v>89.5</v>
          </cell>
          <cell r="C181">
            <v>191.65</v>
          </cell>
          <cell r="E181">
            <v>213.07</v>
          </cell>
        </row>
        <row r="182">
          <cell r="A182">
            <v>90</v>
          </cell>
          <cell r="C182">
            <v>192.4</v>
          </cell>
          <cell r="E182">
            <v>213.9</v>
          </cell>
        </row>
        <row r="183">
          <cell r="A183">
            <v>90.5</v>
          </cell>
          <cell r="C183">
            <v>193.15</v>
          </cell>
          <cell r="E183">
            <v>214.73</v>
          </cell>
        </row>
        <row r="184">
          <cell r="A184">
            <v>91</v>
          </cell>
          <cell r="C184">
            <v>193.9</v>
          </cell>
          <cell r="E184">
            <v>215.56</v>
          </cell>
        </row>
        <row r="185">
          <cell r="A185">
            <v>91.5</v>
          </cell>
          <cell r="C185">
            <v>194.65</v>
          </cell>
          <cell r="E185">
            <v>216.39</v>
          </cell>
        </row>
        <row r="186">
          <cell r="A186">
            <v>92</v>
          </cell>
          <cell r="C186">
            <v>195.4</v>
          </cell>
          <cell r="E186">
            <v>217.22</v>
          </cell>
        </row>
        <row r="187">
          <cell r="A187">
            <v>92.5</v>
          </cell>
          <cell r="C187">
            <v>196.15</v>
          </cell>
          <cell r="E187">
            <v>218.05</v>
          </cell>
        </row>
        <row r="188">
          <cell r="A188">
            <v>93</v>
          </cell>
          <cell r="C188">
            <v>196.9</v>
          </cell>
          <cell r="E188">
            <v>218.88</v>
          </cell>
        </row>
        <row r="189">
          <cell r="A189">
            <v>93.5</v>
          </cell>
          <cell r="C189">
            <v>197.65</v>
          </cell>
          <cell r="E189">
            <v>219.71</v>
          </cell>
        </row>
        <row r="190">
          <cell r="A190">
            <v>94</v>
          </cell>
          <cell r="C190">
            <v>198.4</v>
          </cell>
          <cell r="E190">
            <v>220.54</v>
          </cell>
        </row>
        <row r="191">
          <cell r="A191">
            <v>94.5</v>
          </cell>
          <cell r="C191">
            <v>199.15</v>
          </cell>
          <cell r="E191">
            <v>221.37</v>
          </cell>
        </row>
        <row r="192">
          <cell r="A192">
            <v>95</v>
          </cell>
          <cell r="C192">
            <v>199.9</v>
          </cell>
          <cell r="E192">
            <v>222.2</v>
          </cell>
        </row>
        <row r="193">
          <cell r="A193">
            <v>95.5</v>
          </cell>
          <cell r="C193">
            <v>200.65</v>
          </cell>
          <cell r="E193">
            <v>223.03</v>
          </cell>
        </row>
        <row r="194">
          <cell r="A194">
            <v>96</v>
          </cell>
          <cell r="C194">
            <v>201.4</v>
          </cell>
          <cell r="E194">
            <v>223.86</v>
          </cell>
        </row>
        <row r="195">
          <cell r="A195">
            <v>96.5</v>
          </cell>
          <cell r="C195">
            <v>202.15</v>
          </cell>
          <cell r="E195">
            <v>224.69</v>
          </cell>
        </row>
        <row r="196">
          <cell r="A196">
            <v>97</v>
          </cell>
          <cell r="C196">
            <v>202.9</v>
          </cell>
          <cell r="E196">
            <v>225.52</v>
          </cell>
        </row>
        <row r="197">
          <cell r="A197">
            <v>97.5</v>
          </cell>
          <cell r="C197">
            <v>203.65</v>
          </cell>
          <cell r="E197">
            <v>226.35</v>
          </cell>
        </row>
        <row r="198">
          <cell r="A198">
            <v>98</v>
          </cell>
          <cell r="C198">
            <v>204.4</v>
          </cell>
          <cell r="E198">
            <v>227.18</v>
          </cell>
        </row>
        <row r="199">
          <cell r="A199">
            <v>98.5</v>
          </cell>
          <cell r="C199">
            <v>205.15</v>
          </cell>
          <cell r="E199">
            <v>228.01</v>
          </cell>
        </row>
        <row r="200">
          <cell r="A200">
            <v>99</v>
          </cell>
          <cell r="C200">
            <v>205.9</v>
          </cell>
          <cell r="E200">
            <v>228.84</v>
          </cell>
        </row>
        <row r="201">
          <cell r="A201">
            <v>99.5</v>
          </cell>
          <cell r="C201">
            <v>206.65</v>
          </cell>
          <cell r="E201">
            <v>229.67</v>
          </cell>
        </row>
        <row r="202">
          <cell r="A202">
            <v>100</v>
          </cell>
          <cell r="C202">
            <v>207.4</v>
          </cell>
          <cell r="E202">
            <v>230.5</v>
          </cell>
        </row>
        <row r="203">
          <cell r="A203">
            <v>100.5</v>
          </cell>
          <cell r="C203">
            <v>208.07499999999999</v>
          </cell>
          <cell r="E203">
            <v>231.25</v>
          </cell>
        </row>
        <row r="204">
          <cell r="A204">
            <v>101</v>
          </cell>
          <cell r="C204">
            <v>208.75</v>
          </cell>
          <cell r="E204">
            <v>232</v>
          </cell>
        </row>
        <row r="205">
          <cell r="A205">
            <v>101.5</v>
          </cell>
          <cell r="C205">
            <v>209.42500000000001</v>
          </cell>
          <cell r="E205">
            <v>232.75</v>
          </cell>
        </row>
        <row r="206">
          <cell r="A206">
            <v>102</v>
          </cell>
          <cell r="C206">
            <v>210.1</v>
          </cell>
          <cell r="E206">
            <v>233.5</v>
          </cell>
        </row>
        <row r="207">
          <cell r="A207">
            <v>102.5</v>
          </cell>
          <cell r="C207">
            <v>210.77500000000001</v>
          </cell>
          <cell r="E207">
            <v>234.25</v>
          </cell>
        </row>
        <row r="208">
          <cell r="A208">
            <v>103</v>
          </cell>
          <cell r="C208">
            <v>211.45</v>
          </cell>
          <cell r="E208">
            <v>235</v>
          </cell>
        </row>
        <row r="209">
          <cell r="A209">
            <v>103.5</v>
          </cell>
          <cell r="C209">
            <v>212.125</v>
          </cell>
          <cell r="E209">
            <v>235.75</v>
          </cell>
        </row>
        <row r="210">
          <cell r="A210">
            <v>104</v>
          </cell>
          <cell r="C210">
            <v>212.8</v>
          </cell>
          <cell r="E210">
            <v>236.5</v>
          </cell>
        </row>
        <row r="211">
          <cell r="A211">
            <v>104.5</v>
          </cell>
          <cell r="C211">
            <v>213.47499999999999</v>
          </cell>
          <cell r="E211">
            <v>237.25</v>
          </cell>
        </row>
        <row r="212">
          <cell r="A212">
            <v>105</v>
          </cell>
          <cell r="C212">
            <v>214.15</v>
          </cell>
          <cell r="E212">
            <v>238</v>
          </cell>
        </row>
        <row r="213">
          <cell r="A213">
            <v>105.5</v>
          </cell>
          <cell r="C213">
            <v>214.82499999999999</v>
          </cell>
          <cell r="E213">
            <v>238.75</v>
          </cell>
        </row>
        <row r="214">
          <cell r="A214">
            <v>106</v>
          </cell>
          <cell r="C214">
            <v>215.5</v>
          </cell>
          <cell r="E214">
            <v>239.5</v>
          </cell>
        </row>
        <row r="215">
          <cell r="A215">
            <v>106.5</v>
          </cell>
          <cell r="C215">
            <v>216.17500000000001</v>
          </cell>
          <cell r="E215">
            <v>240.25</v>
          </cell>
        </row>
        <row r="216">
          <cell r="A216">
            <v>107</v>
          </cell>
          <cell r="C216">
            <v>216.85</v>
          </cell>
          <cell r="E216">
            <v>241</v>
          </cell>
        </row>
        <row r="217">
          <cell r="A217">
            <v>107.5</v>
          </cell>
          <cell r="C217">
            <v>217.52500000000001</v>
          </cell>
          <cell r="E217">
            <v>241.75</v>
          </cell>
        </row>
        <row r="218">
          <cell r="A218">
            <v>108</v>
          </cell>
          <cell r="C218">
            <v>218.2</v>
          </cell>
          <cell r="E218">
            <v>242.5</v>
          </cell>
        </row>
        <row r="219">
          <cell r="A219">
            <v>108.5</v>
          </cell>
          <cell r="C219">
            <v>218.875</v>
          </cell>
          <cell r="E219">
            <v>243.25</v>
          </cell>
        </row>
        <row r="220">
          <cell r="A220">
            <v>109</v>
          </cell>
          <cell r="C220">
            <v>219.55</v>
          </cell>
          <cell r="E220">
            <v>244</v>
          </cell>
        </row>
        <row r="221">
          <cell r="A221">
            <v>109.5</v>
          </cell>
          <cell r="C221">
            <v>220.22499999999999</v>
          </cell>
          <cell r="E221">
            <v>244.75</v>
          </cell>
        </row>
        <row r="222">
          <cell r="A222">
            <v>110</v>
          </cell>
          <cell r="C222">
            <v>220.9</v>
          </cell>
          <cell r="E222">
            <v>245.5</v>
          </cell>
        </row>
        <row r="223">
          <cell r="A223">
            <v>110.5</v>
          </cell>
          <cell r="C223">
            <v>221.57499999999999</v>
          </cell>
          <cell r="E223">
            <v>246.25</v>
          </cell>
        </row>
        <row r="224">
          <cell r="A224">
            <v>111</v>
          </cell>
          <cell r="C224">
            <v>222.25</v>
          </cell>
          <cell r="E224">
            <v>247</v>
          </cell>
        </row>
        <row r="225">
          <cell r="A225">
            <v>111.5</v>
          </cell>
          <cell r="C225">
            <v>222.92500000000001</v>
          </cell>
          <cell r="E225">
            <v>247.75</v>
          </cell>
        </row>
        <row r="226">
          <cell r="A226">
            <v>112</v>
          </cell>
          <cell r="C226">
            <v>223.6</v>
          </cell>
          <cell r="E226">
            <v>248.5</v>
          </cell>
        </row>
        <row r="227">
          <cell r="A227">
            <v>112.5</v>
          </cell>
          <cell r="C227">
            <v>224.27500000000001</v>
          </cell>
          <cell r="E227">
            <v>249.25</v>
          </cell>
        </row>
        <row r="228">
          <cell r="A228">
            <v>113</v>
          </cell>
          <cell r="C228">
            <v>224.95</v>
          </cell>
          <cell r="E228">
            <v>250</v>
          </cell>
        </row>
        <row r="229">
          <cell r="A229">
            <v>113.5</v>
          </cell>
          <cell r="C229">
            <v>225.625</v>
          </cell>
          <cell r="E229">
            <v>250.75</v>
          </cell>
        </row>
        <row r="230">
          <cell r="A230">
            <v>114</v>
          </cell>
          <cell r="C230">
            <v>226.30000000000049</v>
          </cell>
          <cell r="E230">
            <v>251.5</v>
          </cell>
        </row>
        <row r="231">
          <cell r="A231">
            <v>114.5</v>
          </cell>
          <cell r="C231">
            <v>226.97500000000051</v>
          </cell>
          <cell r="E231">
            <v>252.25</v>
          </cell>
        </row>
        <row r="232">
          <cell r="A232">
            <v>115</v>
          </cell>
          <cell r="C232">
            <v>227.65000000000052</v>
          </cell>
          <cell r="E232">
            <v>253</v>
          </cell>
        </row>
        <row r="233">
          <cell r="A233">
            <v>115.5</v>
          </cell>
          <cell r="C233">
            <v>228.32500000000053</v>
          </cell>
          <cell r="E233">
            <v>253.75</v>
          </cell>
        </row>
        <row r="234">
          <cell r="A234">
            <v>116</v>
          </cell>
          <cell r="C234">
            <v>229.00000000000054</v>
          </cell>
          <cell r="E234">
            <v>254.5</v>
          </cell>
        </row>
        <row r="235">
          <cell r="A235">
            <v>116.5</v>
          </cell>
          <cell r="C235">
            <v>229.67500000000055</v>
          </cell>
          <cell r="E235">
            <v>255.25</v>
          </cell>
        </row>
        <row r="236">
          <cell r="A236">
            <v>117</v>
          </cell>
          <cell r="C236">
            <v>230.35000000000056</v>
          </cell>
          <cell r="E236">
            <v>256</v>
          </cell>
        </row>
        <row r="237">
          <cell r="A237">
            <v>117.5</v>
          </cell>
          <cell r="C237">
            <v>231.02500000000057</v>
          </cell>
          <cell r="E237">
            <v>256.75</v>
          </cell>
        </row>
        <row r="238">
          <cell r="A238">
            <v>118</v>
          </cell>
          <cell r="C238">
            <v>231.70000000000059</v>
          </cell>
          <cell r="E238">
            <v>257.5</v>
          </cell>
        </row>
        <row r="239">
          <cell r="A239">
            <v>118.5</v>
          </cell>
          <cell r="C239">
            <v>232.3750000000006</v>
          </cell>
          <cell r="E239">
            <v>258.25</v>
          </cell>
        </row>
        <row r="240">
          <cell r="A240">
            <v>119</v>
          </cell>
          <cell r="C240">
            <v>233.05000000000061</v>
          </cell>
          <cell r="E240">
            <v>259</v>
          </cell>
        </row>
        <row r="241">
          <cell r="A241">
            <v>119.5</v>
          </cell>
          <cell r="C241">
            <v>233.72500000000062</v>
          </cell>
          <cell r="E241">
            <v>259.75</v>
          </cell>
        </row>
        <row r="242">
          <cell r="A242">
            <v>120</v>
          </cell>
          <cell r="C242">
            <v>234.40000000000063</v>
          </cell>
          <cell r="E242">
            <v>260.5</v>
          </cell>
        </row>
        <row r="243">
          <cell r="A243">
            <v>120.5</v>
          </cell>
          <cell r="C243">
            <v>235.07500000000064</v>
          </cell>
          <cell r="E243">
            <v>261.25</v>
          </cell>
        </row>
        <row r="244">
          <cell r="A244">
            <v>121</v>
          </cell>
          <cell r="C244">
            <v>235.75000000000065</v>
          </cell>
          <cell r="E244">
            <v>262</v>
          </cell>
        </row>
        <row r="245">
          <cell r="A245">
            <v>121.5</v>
          </cell>
          <cell r="C245">
            <v>236.42500000000067</v>
          </cell>
          <cell r="E245">
            <v>262.75</v>
          </cell>
        </row>
        <row r="246">
          <cell r="A246">
            <v>122</v>
          </cell>
          <cell r="C246">
            <v>237.10000000000068</v>
          </cell>
          <cell r="E246">
            <v>263.5</v>
          </cell>
        </row>
        <row r="247">
          <cell r="A247">
            <v>122.5</v>
          </cell>
          <cell r="C247">
            <v>237.77500000000069</v>
          </cell>
          <cell r="E247">
            <v>264.25</v>
          </cell>
        </row>
        <row r="248">
          <cell r="A248">
            <v>123</v>
          </cell>
          <cell r="C248">
            <v>238.4500000000007</v>
          </cell>
          <cell r="E248">
            <v>265</v>
          </cell>
        </row>
        <row r="249">
          <cell r="A249">
            <v>123.5</v>
          </cell>
          <cell r="C249">
            <v>239.12500000000071</v>
          </cell>
          <cell r="E249">
            <v>265.75</v>
          </cell>
        </row>
        <row r="250">
          <cell r="A250">
            <v>124</v>
          </cell>
          <cell r="C250">
            <v>239.80000000000072</v>
          </cell>
          <cell r="E250">
            <v>266.5</v>
          </cell>
        </row>
        <row r="251">
          <cell r="A251">
            <v>124.5</v>
          </cell>
          <cell r="C251">
            <v>240.47500000000073</v>
          </cell>
          <cell r="E251">
            <v>267.25</v>
          </cell>
        </row>
        <row r="252">
          <cell r="A252">
            <v>125</v>
          </cell>
          <cell r="C252">
            <v>241.15000000000074</v>
          </cell>
          <cell r="E252">
            <v>268</v>
          </cell>
        </row>
        <row r="253">
          <cell r="A253">
            <v>125.5</v>
          </cell>
          <cell r="C253">
            <v>241.82500000000076</v>
          </cell>
          <cell r="E253">
            <v>268.75</v>
          </cell>
        </row>
        <row r="254">
          <cell r="A254">
            <v>126</v>
          </cell>
          <cell r="C254">
            <v>242.50000000000077</v>
          </cell>
          <cell r="E254">
            <v>269.5</v>
          </cell>
        </row>
        <row r="255">
          <cell r="A255">
            <v>126.5</v>
          </cell>
          <cell r="C255">
            <v>243.17500000000078</v>
          </cell>
          <cell r="E255">
            <v>270.25</v>
          </cell>
        </row>
        <row r="256">
          <cell r="A256">
            <v>127</v>
          </cell>
          <cell r="C256">
            <v>243.85000000000079</v>
          </cell>
          <cell r="E256">
            <v>271</v>
          </cell>
        </row>
        <row r="257">
          <cell r="A257">
            <v>127.5</v>
          </cell>
          <cell r="C257">
            <v>244.5250000000008</v>
          </cell>
          <cell r="E257">
            <v>271.75</v>
          </cell>
        </row>
        <row r="258">
          <cell r="A258">
            <v>128</v>
          </cell>
          <cell r="C258">
            <v>245.20000000000081</v>
          </cell>
          <cell r="E258">
            <v>272.5</v>
          </cell>
        </row>
        <row r="259">
          <cell r="A259">
            <v>128.5</v>
          </cell>
          <cell r="C259">
            <v>245.87500000000082</v>
          </cell>
          <cell r="E259">
            <v>273.25</v>
          </cell>
        </row>
        <row r="260">
          <cell r="A260">
            <v>129</v>
          </cell>
          <cell r="C260">
            <v>246.55000000000084</v>
          </cell>
          <cell r="E260">
            <v>274</v>
          </cell>
        </row>
        <row r="261">
          <cell r="A261">
            <v>129.5</v>
          </cell>
          <cell r="C261">
            <v>247.22500000000085</v>
          </cell>
          <cell r="E261">
            <v>274.75</v>
          </cell>
        </row>
        <row r="262">
          <cell r="A262">
            <v>130</v>
          </cell>
          <cell r="C262">
            <v>247.90000000000086</v>
          </cell>
          <cell r="E262">
            <v>275.5</v>
          </cell>
        </row>
        <row r="263">
          <cell r="A263">
            <v>130.5</v>
          </cell>
          <cell r="C263">
            <v>248.57500000000087</v>
          </cell>
          <cell r="E263">
            <v>276.25</v>
          </cell>
        </row>
        <row r="264">
          <cell r="A264">
            <v>131</v>
          </cell>
          <cell r="C264">
            <v>249.25000000000088</v>
          </cell>
          <cell r="E264">
            <v>277</v>
          </cell>
        </row>
        <row r="265">
          <cell r="A265">
            <v>131.5</v>
          </cell>
          <cell r="C265">
            <v>249.92500000000089</v>
          </cell>
          <cell r="E265">
            <v>277.75</v>
          </cell>
        </row>
        <row r="266">
          <cell r="A266">
            <v>132</v>
          </cell>
          <cell r="C266">
            <v>250.6000000000009</v>
          </cell>
          <cell r="E266">
            <v>278.5</v>
          </cell>
        </row>
        <row r="267">
          <cell r="A267">
            <v>132.5</v>
          </cell>
          <cell r="C267">
            <v>251.27500000000092</v>
          </cell>
          <cell r="E267">
            <v>279.25</v>
          </cell>
        </row>
        <row r="268">
          <cell r="A268">
            <v>133</v>
          </cell>
          <cell r="C268">
            <v>251.95000000000093</v>
          </cell>
          <cell r="E268">
            <v>280</v>
          </cell>
        </row>
        <row r="269">
          <cell r="A269">
            <v>133.5</v>
          </cell>
          <cell r="C269">
            <v>252.62500000000094</v>
          </cell>
          <cell r="E269">
            <v>280.75</v>
          </cell>
        </row>
        <row r="270">
          <cell r="A270">
            <v>134</v>
          </cell>
          <cell r="C270">
            <v>253.30000000000095</v>
          </cell>
          <cell r="E270">
            <v>281.5</v>
          </cell>
        </row>
        <row r="271">
          <cell r="A271">
            <v>134.5</v>
          </cell>
          <cell r="C271">
            <v>253.97500000000096</v>
          </cell>
          <cell r="E271">
            <v>282.25</v>
          </cell>
        </row>
        <row r="272">
          <cell r="A272">
            <v>135</v>
          </cell>
          <cell r="C272">
            <v>254.65000000000097</v>
          </cell>
          <cell r="E272">
            <v>283</v>
          </cell>
        </row>
        <row r="273">
          <cell r="A273">
            <v>135.5</v>
          </cell>
          <cell r="C273">
            <v>255.32500000000098</v>
          </cell>
          <cell r="E273">
            <v>283.75</v>
          </cell>
        </row>
        <row r="274">
          <cell r="A274">
            <v>136</v>
          </cell>
          <cell r="C274">
            <v>256.00000000000097</v>
          </cell>
          <cell r="E274">
            <v>284.5</v>
          </cell>
        </row>
        <row r="275">
          <cell r="A275">
            <v>136.5</v>
          </cell>
          <cell r="C275">
            <v>256.67500000000098</v>
          </cell>
          <cell r="E275">
            <v>285.25</v>
          </cell>
        </row>
        <row r="276">
          <cell r="A276">
            <v>137</v>
          </cell>
          <cell r="C276">
            <v>257.35000000000099</v>
          </cell>
          <cell r="E276">
            <v>286</v>
          </cell>
        </row>
        <row r="277">
          <cell r="A277">
            <v>137.5</v>
          </cell>
          <cell r="C277">
            <v>258.025000000001</v>
          </cell>
          <cell r="E277">
            <v>286.75</v>
          </cell>
        </row>
        <row r="278">
          <cell r="A278">
            <v>138</v>
          </cell>
          <cell r="C278">
            <v>258.70000000000101</v>
          </cell>
          <cell r="E278">
            <v>287.5</v>
          </cell>
        </row>
        <row r="279">
          <cell r="A279">
            <v>138.5</v>
          </cell>
          <cell r="C279">
            <v>259.37500000000102</v>
          </cell>
          <cell r="E279">
            <v>288.25</v>
          </cell>
        </row>
        <row r="280">
          <cell r="A280">
            <v>139</v>
          </cell>
          <cell r="C280">
            <v>260.05000000000103</v>
          </cell>
          <cell r="E280">
            <v>289</v>
          </cell>
        </row>
        <row r="281">
          <cell r="A281">
            <v>139.5</v>
          </cell>
          <cell r="C281">
            <v>260.72500000000105</v>
          </cell>
          <cell r="E281">
            <v>289.75</v>
          </cell>
        </row>
        <row r="282">
          <cell r="A282">
            <v>140</v>
          </cell>
          <cell r="C282">
            <v>261.40000000000106</v>
          </cell>
          <cell r="E282">
            <v>290.5</v>
          </cell>
        </row>
        <row r="283">
          <cell r="A283">
            <v>140.5</v>
          </cell>
          <cell r="C283">
            <v>262.07500000000107</v>
          </cell>
          <cell r="E283">
            <v>291.25</v>
          </cell>
        </row>
        <row r="284">
          <cell r="A284">
            <v>141</v>
          </cell>
          <cell r="C284">
            <v>262.75000000000108</v>
          </cell>
          <cell r="E284">
            <v>292</v>
          </cell>
        </row>
        <row r="285">
          <cell r="A285">
            <v>141.5</v>
          </cell>
          <cell r="C285">
            <v>263.42500000000109</v>
          </cell>
          <cell r="E285">
            <v>292.75</v>
          </cell>
        </row>
        <row r="286">
          <cell r="A286">
            <v>142</v>
          </cell>
          <cell r="C286">
            <v>264.1000000000011</v>
          </cell>
          <cell r="E286">
            <v>293.5</v>
          </cell>
        </row>
        <row r="287">
          <cell r="A287">
            <v>142.5</v>
          </cell>
          <cell r="C287">
            <v>264.77500000000111</v>
          </cell>
          <cell r="E287">
            <v>294.25</v>
          </cell>
        </row>
        <row r="288">
          <cell r="A288">
            <v>143</v>
          </cell>
          <cell r="C288">
            <v>265.45000000000113</v>
          </cell>
          <cell r="E288">
            <v>295</v>
          </cell>
        </row>
        <row r="289">
          <cell r="A289">
            <v>143.5</v>
          </cell>
          <cell r="C289">
            <v>266.12500000000114</v>
          </cell>
          <cell r="E289">
            <v>295.75</v>
          </cell>
        </row>
        <row r="290">
          <cell r="A290">
            <v>144</v>
          </cell>
          <cell r="C290">
            <v>266.80000000000115</v>
          </cell>
          <cell r="E290">
            <v>296.5</v>
          </cell>
        </row>
        <row r="291">
          <cell r="A291">
            <v>144.5</v>
          </cell>
          <cell r="C291">
            <v>267.47500000000116</v>
          </cell>
          <cell r="E291">
            <v>297.25</v>
          </cell>
        </row>
        <row r="292">
          <cell r="A292">
            <v>145</v>
          </cell>
          <cell r="C292">
            <v>268.15000000000117</v>
          </cell>
          <cell r="E292">
            <v>298</v>
          </cell>
        </row>
        <row r="293">
          <cell r="A293">
            <v>145.5</v>
          </cell>
          <cell r="C293">
            <v>268.82500000000118</v>
          </cell>
          <cell r="E293">
            <v>298.75</v>
          </cell>
        </row>
        <row r="294">
          <cell r="A294">
            <v>146</v>
          </cell>
          <cell r="C294">
            <v>269.50000000000119</v>
          </cell>
          <cell r="E294">
            <v>299.5</v>
          </cell>
        </row>
        <row r="295">
          <cell r="A295">
            <v>146.5</v>
          </cell>
          <cell r="C295">
            <v>270.17500000000121</v>
          </cell>
          <cell r="E295">
            <v>300.25</v>
          </cell>
        </row>
        <row r="296">
          <cell r="A296">
            <v>147</v>
          </cell>
          <cell r="C296">
            <v>270.85000000000122</v>
          </cell>
          <cell r="E296">
            <v>301</v>
          </cell>
        </row>
        <row r="297">
          <cell r="A297">
            <v>147.5</v>
          </cell>
          <cell r="C297">
            <v>271.52500000000123</v>
          </cell>
          <cell r="E297">
            <v>301.75</v>
          </cell>
        </row>
        <row r="298">
          <cell r="A298">
            <v>148</v>
          </cell>
          <cell r="C298">
            <v>272.20000000000124</v>
          </cell>
          <cell r="E298">
            <v>302.5</v>
          </cell>
        </row>
        <row r="299">
          <cell r="A299">
            <v>148.5</v>
          </cell>
          <cell r="C299">
            <v>272.87500000000125</v>
          </cell>
          <cell r="E299">
            <v>303.25</v>
          </cell>
        </row>
        <row r="300">
          <cell r="A300">
            <v>149</v>
          </cell>
          <cell r="C300">
            <v>273.55000000000126</v>
          </cell>
          <cell r="E300">
            <v>304</v>
          </cell>
        </row>
        <row r="301">
          <cell r="A301">
            <v>149.5</v>
          </cell>
          <cell r="C301">
            <v>274.22500000000127</v>
          </cell>
          <cell r="E301">
            <v>304.75</v>
          </cell>
        </row>
        <row r="302">
          <cell r="A302">
            <v>150</v>
          </cell>
          <cell r="C302">
            <v>274.90000000000128</v>
          </cell>
          <cell r="E302">
            <v>305.5</v>
          </cell>
        </row>
        <row r="303">
          <cell r="A303">
            <v>150.5</v>
          </cell>
          <cell r="C303">
            <v>275.5750000000013</v>
          </cell>
          <cell r="E303">
            <v>306.25</v>
          </cell>
        </row>
        <row r="304">
          <cell r="A304">
            <v>151</v>
          </cell>
          <cell r="C304">
            <v>276.25000000000131</v>
          </cell>
          <cell r="E304">
            <v>307</v>
          </cell>
        </row>
        <row r="305">
          <cell r="A305">
            <v>151.5</v>
          </cell>
          <cell r="C305">
            <v>276.92500000000132</v>
          </cell>
          <cell r="E305">
            <v>307.75</v>
          </cell>
        </row>
        <row r="306">
          <cell r="A306">
            <v>152</v>
          </cell>
          <cell r="C306">
            <v>277.60000000000133</v>
          </cell>
          <cell r="E306">
            <v>308.5</v>
          </cell>
        </row>
        <row r="307">
          <cell r="A307">
            <v>152.5</v>
          </cell>
          <cell r="C307">
            <v>278.27500000000134</v>
          </cell>
          <cell r="E307">
            <v>309.25</v>
          </cell>
        </row>
        <row r="308">
          <cell r="A308">
            <v>153</v>
          </cell>
          <cell r="C308">
            <v>278.95000000000135</v>
          </cell>
          <cell r="E308">
            <v>310</v>
          </cell>
        </row>
        <row r="309">
          <cell r="A309">
            <v>153.5</v>
          </cell>
          <cell r="C309">
            <v>279.62500000000136</v>
          </cell>
          <cell r="E309">
            <v>310.75</v>
          </cell>
        </row>
        <row r="310">
          <cell r="A310">
            <v>154</v>
          </cell>
          <cell r="C310">
            <v>280.30000000000138</v>
          </cell>
          <cell r="E310">
            <v>311.5</v>
          </cell>
        </row>
        <row r="311">
          <cell r="A311">
            <v>154.5</v>
          </cell>
          <cell r="C311">
            <v>280.97500000000139</v>
          </cell>
          <cell r="E311">
            <v>312.25</v>
          </cell>
        </row>
        <row r="312">
          <cell r="A312">
            <v>155</v>
          </cell>
          <cell r="C312">
            <v>281.6500000000014</v>
          </cell>
          <cell r="E312">
            <v>313</v>
          </cell>
        </row>
        <row r="313">
          <cell r="A313">
            <v>155.5</v>
          </cell>
          <cell r="C313">
            <v>282.32500000000141</v>
          </cell>
          <cell r="E313">
            <v>313.75</v>
          </cell>
        </row>
        <row r="314">
          <cell r="A314">
            <v>156</v>
          </cell>
          <cell r="E314">
            <v>314.5</v>
          </cell>
        </row>
        <row r="315">
          <cell r="A315">
            <v>156.5</v>
          </cell>
          <cell r="E315">
            <v>315.25</v>
          </cell>
        </row>
        <row r="316">
          <cell r="A316">
            <v>157</v>
          </cell>
          <cell r="E316">
            <v>316</v>
          </cell>
        </row>
        <row r="317">
          <cell r="A317">
            <v>157.5</v>
          </cell>
          <cell r="E317">
            <v>316.75</v>
          </cell>
        </row>
        <row r="318">
          <cell r="A318">
            <v>158</v>
          </cell>
          <cell r="E318">
            <v>317.5</v>
          </cell>
        </row>
        <row r="319">
          <cell r="A319">
            <v>158.5</v>
          </cell>
          <cell r="E319">
            <v>318.25</v>
          </cell>
        </row>
        <row r="320">
          <cell r="A320">
            <v>159</v>
          </cell>
          <cell r="E320">
            <v>319</v>
          </cell>
        </row>
        <row r="321">
          <cell r="A321">
            <v>159.5</v>
          </cell>
          <cell r="E321">
            <v>319.75</v>
          </cell>
        </row>
        <row r="322">
          <cell r="A322">
            <v>160</v>
          </cell>
          <cell r="E322">
            <v>320.5</v>
          </cell>
        </row>
        <row r="323">
          <cell r="A323">
            <v>160.5</v>
          </cell>
          <cell r="E323">
            <v>321.25</v>
          </cell>
        </row>
        <row r="324">
          <cell r="A324">
            <v>161</v>
          </cell>
          <cell r="E324">
            <v>322</v>
          </cell>
        </row>
        <row r="325">
          <cell r="A325">
            <v>161.5</v>
          </cell>
          <cell r="E325">
            <v>322.75</v>
          </cell>
        </row>
        <row r="326">
          <cell r="A326">
            <v>162</v>
          </cell>
          <cell r="E326">
            <v>323.5</v>
          </cell>
        </row>
        <row r="327">
          <cell r="A327">
            <v>162.5</v>
          </cell>
          <cell r="E327">
            <v>324.25</v>
          </cell>
        </row>
        <row r="328">
          <cell r="A328">
            <v>163</v>
          </cell>
          <cell r="E328">
            <v>325</v>
          </cell>
        </row>
        <row r="329">
          <cell r="A329">
            <v>163.5</v>
          </cell>
          <cell r="E329">
            <v>325.75</v>
          </cell>
        </row>
        <row r="330">
          <cell r="A330">
            <v>164</v>
          </cell>
          <cell r="E330">
            <v>326.5</v>
          </cell>
        </row>
        <row r="331">
          <cell r="A331">
            <v>164.5</v>
          </cell>
          <cell r="E331">
            <v>327.25</v>
          </cell>
        </row>
        <row r="332">
          <cell r="A332">
            <v>165</v>
          </cell>
          <cell r="E332">
            <v>328</v>
          </cell>
        </row>
        <row r="333">
          <cell r="A333">
            <v>165.5</v>
          </cell>
          <cell r="E333">
            <v>328.75</v>
          </cell>
        </row>
        <row r="334">
          <cell r="A334">
            <v>166</v>
          </cell>
          <cell r="E334">
            <v>329.5</v>
          </cell>
        </row>
        <row r="335">
          <cell r="A335">
            <v>166.5</v>
          </cell>
          <cell r="E335">
            <v>330.25</v>
          </cell>
        </row>
        <row r="336">
          <cell r="A336">
            <v>167</v>
          </cell>
          <cell r="E336">
            <v>331</v>
          </cell>
        </row>
        <row r="337">
          <cell r="A337">
            <v>167.5</v>
          </cell>
          <cell r="E337">
            <v>331.75</v>
          </cell>
        </row>
        <row r="338">
          <cell r="A338">
            <v>168</v>
          </cell>
          <cell r="E338">
            <v>332.5</v>
          </cell>
        </row>
        <row r="339">
          <cell r="A339">
            <v>168.5</v>
          </cell>
          <cell r="E339">
            <v>333.25</v>
          </cell>
        </row>
        <row r="340">
          <cell r="A340">
            <v>169</v>
          </cell>
          <cell r="E340">
            <v>334</v>
          </cell>
        </row>
        <row r="341">
          <cell r="A341">
            <v>169.5</v>
          </cell>
          <cell r="E341">
            <v>334.75</v>
          </cell>
        </row>
        <row r="342">
          <cell r="A342">
            <v>170</v>
          </cell>
          <cell r="E342">
            <v>335.5</v>
          </cell>
        </row>
        <row r="343">
          <cell r="A343">
            <v>170.5</v>
          </cell>
          <cell r="E343">
            <v>336.25</v>
          </cell>
        </row>
        <row r="344">
          <cell r="A344">
            <v>171</v>
          </cell>
          <cell r="E344">
            <v>337</v>
          </cell>
        </row>
        <row r="345">
          <cell r="A345">
            <v>171.5</v>
          </cell>
          <cell r="E345">
            <v>337.75</v>
          </cell>
        </row>
        <row r="346">
          <cell r="A346">
            <v>172</v>
          </cell>
          <cell r="E346">
            <v>338.5</v>
          </cell>
        </row>
        <row r="347">
          <cell r="A347">
            <v>172.5</v>
          </cell>
          <cell r="E347">
            <v>339.25</v>
          </cell>
        </row>
        <row r="348">
          <cell r="A348">
            <v>173</v>
          </cell>
          <cell r="E348">
            <v>340</v>
          </cell>
        </row>
        <row r="349">
          <cell r="A349">
            <v>173.5</v>
          </cell>
          <cell r="E349">
            <v>340.75</v>
          </cell>
        </row>
        <row r="350">
          <cell r="A350">
            <v>174</v>
          </cell>
          <cell r="E350">
            <v>341.5</v>
          </cell>
        </row>
        <row r="351">
          <cell r="A351">
            <v>174.5</v>
          </cell>
          <cell r="E351">
            <v>342.25</v>
          </cell>
        </row>
        <row r="352">
          <cell r="A352">
            <v>175</v>
          </cell>
          <cell r="E352">
            <v>343</v>
          </cell>
        </row>
        <row r="353">
          <cell r="A353">
            <v>175.5</v>
          </cell>
          <cell r="E353">
            <v>343.75</v>
          </cell>
        </row>
        <row r="354">
          <cell r="A354">
            <v>176</v>
          </cell>
          <cell r="E354">
            <v>344.5</v>
          </cell>
        </row>
        <row r="355">
          <cell r="A355">
            <v>176.5</v>
          </cell>
          <cell r="E355">
            <v>345.25</v>
          </cell>
        </row>
        <row r="356">
          <cell r="A356">
            <v>177</v>
          </cell>
          <cell r="E356">
            <v>346</v>
          </cell>
        </row>
        <row r="357">
          <cell r="A357">
            <v>177.5</v>
          </cell>
          <cell r="E357">
            <v>346.75</v>
          </cell>
        </row>
        <row r="358">
          <cell r="A358">
            <v>178</v>
          </cell>
          <cell r="E358">
            <v>347.5</v>
          </cell>
        </row>
        <row r="359">
          <cell r="A359">
            <v>178.5</v>
          </cell>
          <cell r="E359">
            <v>348.25</v>
          </cell>
        </row>
        <row r="360">
          <cell r="A360">
            <v>179</v>
          </cell>
          <cell r="E360">
            <v>349</v>
          </cell>
        </row>
        <row r="361">
          <cell r="A361">
            <v>179.5</v>
          </cell>
          <cell r="E361">
            <v>349.75</v>
          </cell>
        </row>
        <row r="362">
          <cell r="A362">
            <v>180</v>
          </cell>
          <cell r="E362">
            <v>350.5</v>
          </cell>
        </row>
        <row r="363">
          <cell r="A363">
            <v>180.5</v>
          </cell>
          <cell r="E363">
            <v>351.25</v>
          </cell>
        </row>
        <row r="364">
          <cell r="A364">
            <v>181</v>
          </cell>
          <cell r="E364">
            <v>352</v>
          </cell>
        </row>
        <row r="365">
          <cell r="A365">
            <v>181.5</v>
          </cell>
          <cell r="E365">
            <v>352.75</v>
          </cell>
        </row>
        <row r="366">
          <cell r="A366">
            <v>182</v>
          </cell>
          <cell r="E366">
            <v>353.5</v>
          </cell>
        </row>
        <row r="367">
          <cell r="A367">
            <v>182.5</v>
          </cell>
          <cell r="E367">
            <v>354.25</v>
          </cell>
        </row>
        <row r="368">
          <cell r="A368">
            <v>183</v>
          </cell>
          <cell r="E368">
            <v>355</v>
          </cell>
        </row>
        <row r="369">
          <cell r="A369">
            <v>183.5</v>
          </cell>
          <cell r="E369">
            <v>355.75</v>
          </cell>
        </row>
        <row r="370">
          <cell r="A370">
            <v>184</v>
          </cell>
          <cell r="E370">
            <v>356.5</v>
          </cell>
        </row>
        <row r="371">
          <cell r="A371">
            <v>184.5</v>
          </cell>
          <cell r="E371">
            <v>357.25</v>
          </cell>
        </row>
        <row r="372">
          <cell r="A372">
            <v>185</v>
          </cell>
          <cell r="E372">
            <v>358</v>
          </cell>
        </row>
        <row r="373">
          <cell r="A373">
            <v>185.5</v>
          </cell>
          <cell r="E373">
            <v>358.75</v>
          </cell>
        </row>
        <row r="374">
          <cell r="A374">
            <v>186</v>
          </cell>
          <cell r="E374">
            <v>359.5</v>
          </cell>
        </row>
        <row r="375">
          <cell r="A375">
            <v>186.5</v>
          </cell>
          <cell r="E375">
            <v>360.25</v>
          </cell>
        </row>
        <row r="376">
          <cell r="A376">
            <v>187</v>
          </cell>
          <cell r="E376">
            <v>361</v>
          </cell>
        </row>
        <row r="377">
          <cell r="A377">
            <v>187.5</v>
          </cell>
          <cell r="E377">
            <v>361.75</v>
          </cell>
        </row>
        <row r="378">
          <cell r="A378">
            <v>188</v>
          </cell>
          <cell r="E378">
            <v>362.5</v>
          </cell>
        </row>
        <row r="379">
          <cell r="A379">
            <v>188.5</v>
          </cell>
          <cell r="E379">
            <v>363.25</v>
          </cell>
        </row>
        <row r="380">
          <cell r="A380">
            <v>189</v>
          </cell>
          <cell r="E380">
            <v>364</v>
          </cell>
        </row>
        <row r="381">
          <cell r="A381">
            <v>189.5</v>
          </cell>
          <cell r="E381">
            <v>364.75</v>
          </cell>
        </row>
        <row r="382">
          <cell r="A382">
            <v>190</v>
          </cell>
          <cell r="E382">
            <v>365.5</v>
          </cell>
        </row>
        <row r="383">
          <cell r="A383">
            <v>190.5</v>
          </cell>
          <cell r="E383">
            <v>366.25</v>
          </cell>
        </row>
        <row r="384">
          <cell r="A384">
            <v>191</v>
          </cell>
          <cell r="E384">
            <v>367</v>
          </cell>
        </row>
        <row r="385">
          <cell r="A385">
            <v>191.5</v>
          </cell>
          <cell r="E385">
            <v>367.75</v>
          </cell>
        </row>
        <row r="386">
          <cell r="A386">
            <v>192</v>
          </cell>
          <cell r="E386">
            <v>368.5</v>
          </cell>
        </row>
        <row r="387">
          <cell r="A387">
            <v>192.5</v>
          </cell>
          <cell r="E387">
            <v>369.25</v>
          </cell>
        </row>
        <row r="388">
          <cell r="A388">
            <v>193</v>
          </cell>
          <cell r="E388">
            <v>370</v>
          </cell>
        </row>
        <row r="389">
          <cell r="A389">
            <v>193.5</v>
          </cell>
          <cell r="E389">
            <v>370.75</v>
          </cell>
        </row>
        <row r="390">
          <cell r="A390">
            <v>194</v>
          </cell>
          <cell r="E390">
            <v>371.5</v>
          </cell>
        </row>
        <row r="391">
          <cell r="A391">
            <v>194.5</v>
          </cell>
          <cell r="E391">
            <v>372.25</v>
          </cell>
        </row>
        <row r="392">
          <cell r="A392">
            <v>195</v>
          </cell>
          <cell r="E392">
            <v>373</v>
          </cell>
        </row>
        <row r="393">
          <cell r="A393">
            <v>195.5</v>
          </cell>
          <cell r="E393">
            <v>373.75</v>
          </cell>
        </row>
        <row r="394">
          <cell r="A394">
            <v>196</v>
          </cell>
          <cell r="E394">
            <v>374.5</v>
          </cell>
        </row>
        <row r="395">
          <cell r="A395">
            <v>196.5</v>
          </cell>
          <cell r="E395">
            <v>375.25</v>
          </cell>
        </row>
        <row r="396">
          <cell r="A396">
            <v>197</v>
          </cell>
          <cell r="E396">
            <v>376</v>
          </cell>
        </row>
        <row r="397">
          <cell r="A397">
            <v>197.5</v>
          </cell>
          <cell r="E397">
            <v>376.75</v>
          </cell>
        </row>
        <row r="398">
          <cell r="A398">
            <v>198</v>
          </cell>
          <cell r="E398">
            <v>377.5</v>
          </cell>
        </row>
        <row r="399">
          <cell r="A399">
            <v>198.5</v>
          </cell>
          <cell r="E399">
            <v>378.25</v>
          </cell>
        </row>
        <row r="400">
          <cell r="A400">
            <v>199</v>
          </cell>
          <cell r="E400">
            <v>379</v>
          </cell>
        </row>
        <row r="401">
          <cell r="A401">
            <v>199.5</v>
          </cell>
          <cell r="E401">
            <v>379.75</v>
          </cell>
        </row>
        <row r="402">
          <cell r="A402">
            <v>200</v>
          </cell>
          <cell r="E402">
            <v>380.5</v>
          </cell>
        </row>
        <row r="403">
          <cell r="A403">
            <v>200.5</v>
          </cell>
          <cell r="E403">
            <v>381.25</v>
          </cell>
        </row>
        <row r="404">
          <cell r="A404">
            <v>201</v>
          </cell>
          <cell r="E404">
            <v>382</v>
          </cell>
        </row>
        <row r="405">
          <cell r="A405">
            <v>201.5</v>
          </cell>
          <cell r="E405">
            <v>382.75</v>
          </cell>
        </row>
        <row r="406">
          <cell r="A406">
            <v>202</v>
          </cell>
          <cell r="E406">
            <v>383.5</v>
          </cell>
        </row>
        <row r="407">
          <cell r="A407">
            <v>202.5</v>
          </cell>
          <cell r="E407">
            <v>384.25</v>
          </cell>
        </row>
        <row r="408">
          <cell r="A408">
            <v>203</v>
          </cell>
          <cell r="E408">
            <v>385</v>
          </cell>
        </row>
        <row r="409">
          <cell r="A409">
            <v>203.5</v>
          </cell>
          <cell r="E409">
            <v>385.75</v>
          </cell>
        </row>
        <row r="410">
          <cell r="A410">
            <v>204</v>
          </cell>
          <cell r="E410">
            <v>386.5</v>
          </cell>
        </row>
        <row r="411">
          <cell r="A411">
            <v>204.5</v>
          </cell>
          <cell r="E411">
            <v>387.25</v>
          </cell>
        </row>
        <row r="412">
          <cell r="A412">
            <v>205</v>
          </cell>
          <cell r="E412">
            <v>388</v>
          </cell>
        </row>
        <row r="413">
          <cell r="A413">
            <v>205.5</v>
          </cell>
          <cell r="E413">
            <v>388.75</v>
          </cell>
        </row>
        <row r="414">
          <cell r="A414">
            <v>206</v>
          </cell>
          <cell r="E414">
            <v>389.5</v>
          </cell>
        </row>
        <row r="415">
          <cell r="A415">
            <v>206.5</v>
          </cell>
          <cell r="E415">
            <v>390.25</v>
          </cell>
        </row>
        <row r="416">
          <cell r="A416">
            <v>207</v>
          </cell>
          <cell r="E416">
            <v>391</v>
          </cell>
        </row>
        <row r="417">
          <cell r="A417">
            <v>207.5</v>
          </cell>
          <cell r="E417">
            <v>391.75</v>
          </cell>
        </row>
        <row r="418">
          <cell r="A418">
            <v>208</v>
          </cell>
          <cell r="E418">
            <v>392.5</v>
          </cell>
        </row>
        <row r="419">
          <cell r="A419">
            <v>208.5</v>
          </cell>
          <cell r="E419">
            <v>393.25</v>
          </cell>
        </row>
        <row r="420">
          <cell r="A420">
            <v>209</v>
          </cell>
          <cell r="E420">
            <v>394</v>
          </cell>
        </row>
        <row r="421">
          <cell r="A421">
            <v>209.5</v>
          </cell>
          <cell r="E421">
            <v>394.75</v>
          </cell>
        </row>
        <row r="422">
          <cell r="A422">
            <v>210</v>
          </cell>
          <cell r="E422">
            <v>395.5</v>
          </cell>
        </row>
        <row r="423">
          <cell r="A423">
            <v>210.5</v>
          </cell>
          <cell r="E423">
            <v>396.25</v>
          </cell>
        </row>
        <row r="424">
          <cell r="A424">
            <v>211</v>
          </cell>
          <cell r="E424">
            <v>397</v>
          </cell>
        </row>
        <row r="425">
          <cell r="A425">
            <v>211.5</v>
          </cell>
          <cell r="E425">
            <v>397.75</v>
          </cell>
        </row>
        <row r="426">
          <cell r="A426">
            <v>212</v>
          </cell>
          <cell r="E426">
            <v>398.5</v>
          </cell>
        </row>
        <row r="427">
          <cell r="A427">
            <v>212.5</v>
          </cell>
          <cell r="E427">
            <v>399.25</v>
          </cell>
        </row>
        <row r="428">
          <cell r="A428">
            <v>213</v>
          </cell>
          <cell r="E428">
            <v>400</v>
          </cell>
        </row>
        <row r="429">
          <cell r="A429">
            <v>213.5</v>
          </cell>
          <cell r="E429">
            <v>400.75</v>
          </cell>
        </row>
        <row r="430">
          <cell r="A430">
            <v>214</v>
          </cell>
          <cell r="E430">
            <v>401.5</v>
          </cell>
        </row>
        <row r="431">
          <cell r="A431">
            <v>214.5</v>
          </cell>
          <cell r="E431">
            <v>402.25</v>
          </cell>
        </row>
        <row r="432">
          <cell r="A432">
            <v>215</v>
          </cell>
          <cell r="E432">
            <v>403</v>
          </cell>
        </row>
        <row r="433">
          <cell r="A433">
            <v>215.5</v>
          </cell>
          <cell r="E433">
            <v>403.75</v>
          </cell>
        </row>
        <row r="434">
          <cell r="A434">
            <v>216</v>
          </cell>
          <cell r="E434">
            <v>404.5</v>
          </cell>
        </row>
        <row r="435">
          <cell r="A435">
            <v>216.5</v>
          </cell>
          <cell r="E435">
            <v>405.25</v>
          </cell>
        </row>
        <row r="436">
          <cell r="A436">
            <v>217</v>
          </cell>
          <cell r="E436">
            <v>406</v>
          </cell>
        </row>
        <row r="437">
          <cell r="A437">
            <v>217.5</v>
          </cell>
          <cell r="E437">
            <v>406.75</v>
          </cell>
        </row>
        <row r="438">
          <cell r="A438">
            <v>218</v>
          </cell>
          <cell r="E438">
            <v>407.5</v>
          </cell>
        </row>
        <row r="439">
          <cell r="A439">
            <v>218.5</v>
          </cell>
          <cell r="E439">
            <v>408.25</v>
          </cell>
        </row>
        <row r="440">
          <cell r="A440">
            <v>219</v>
          </cell>
          <cell r="E440">
            <v>409</v>
          </cell>
        </row>
        <row r="441">
          <cell r="A441">
            <v>219.5</v>
          </cell>
          <cell r="E441">
            <v>409.75</v>
          </cell>
        </row>
        <row r="442">
          <cell r="A442">
            <v>220</v>
          </cell>
          <cell r="E442">
            <v>410.5</v>
          </cell>
        </row>
        <row r="443">
          <cell r="A443">
            <v>220.5</v>
          </cell>
          <cell r="E443">
            <v>411.25</v>
          </cell>
        </row>
        <row r="444">
          <cell r="A444">
            <v>221</v>
          </cell>
          <cell r="E444">
            <v>412</v>
          </cell>
        </row>
        <row r="445">
          <cell r="A445">
            <v>221.5</v>
          </cell>
          <cell r="E445">
            <v>412.75</v>
          </cell>
        </row>
      </sheetData>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0000000"/>
      <sheetName val="1000000000000"/>
      <sheetName val="C-I"/>
      <sheetName val="C-III"/>
      <sheetName val="C-IV"/>
      <sheetName val="A-1"/>
      <sheetName val="A-II"/>
      <sheetName val="A-III"/>
      <sheetName val="A-IV"/>
      <sheetName val="A-V"/>
      <sheetName val="A-VI"/>
      <sheetName val="A-VII"/>
      <sheetName val="St P"/>
      <sheetName val="CRUST"/>
      <sheetName val="A-VIII"/>
      <sheetName val="Cover"/>
      <sheetName val="GABST"/>
      <sheetName val="TCS"/>
      <sheetName val="TCS1"/>
      <sheetName val="ES"/>
      <sheetName val="SPR"/>
      <sheetName val="C-VIII"/>
      <sheetName val="EST"/>
      <sheetName val="1V800"/>
      <sheetName val="BTR"/>
      <sheetName val="CBR"/>
      <sheetName val="BC"/>
      <sheetName val="RMR"/>
      <sheetName val="Road data"/>
      <sheetName val="Sheet1"/>
      <sheetName val="Sheet2"/>
      <sheetName val="Sheet3"/>
      <sheetName val="Sheet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ow r="10">
          <cell r="C10">
            <v>5</v>
          </cell>
        </row>
      </sheetData>
      <sheetData sheetId="24" refreshError="1"/>
      <sheetData sheetId="25" refreshError="1"/>
      <sheetData sheetId="26" refreshError="1"/>
      <sheetData sheetId="27"/>
      <sheetData sheetId="28">
        <row r="3">
          <cell r="E3" t="str">
            <v>Improvements to Paidimadugu to Itikyal road from Km 0/0 to 6/8 (Working Reach from Km 0/0 to 5/8) in Karimnagar District</v>
          </cell>
        </row>
      </sheetData>
      <sheetData sheetId="29" refreshError="1"/>
      <sheetData sheetId="30" refreshError="1"/>
      <sheetData sheetId="31" refreshError="1"/>
      <sheetData sheetId="3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efreshError="1">
        <row r="50">
          <cell r="D50" t="str">
            <v>Patan-Abhana-Tendulkheda</v>
          </cell>
          <cell r="E50">
            <v>51</v>
          </cell>
          <cell r="F50">
            <v>1126.82</v>
          </cell>
        </row>
        <row r="51">
          <cell r="D51" t="str">
            <v>Guna-Fetahgarh-padon-Naahargarh</v>
          </cell>
          <cell r="E51">
            <v>5</v>
          </cell>
          <cell r="F51">
            <v>150</v>
          </cell>
        </row>
        <row r="52">
          <cell r="D52" t="str">
            <v>Deharada- Isagarh</v>
          </cell>
          <cell r="E52">
            <v>7</v>
          </cell>
          <cell r="F52">
            <v>148</v>
          </cell>
        </row>
        <row r="53">
          <cell r="D53" t="str">
            <v>Vagli- Punjapura- Kishangarh</v>
          </cell>
          <cell r="E53">
            <v>30.6</v>
          </cell>
          <cell r="F53">
            <v>594.96</v>
          </cell>
        </row>
        <row r="54">
          <cell r="D54" t="str">
            <v>Parasiya-Ikalhara</v>
          </cell>
          <cell r="E54">
            <v>37</v>
          </cell>
          <cell r="F54">
            <v>912.05</v>
          </cell>
        </row>
        <row r="55">
          <cell r="D55" t="str">
            <v>Survasa-Guradia-Vijaymarg</v>
          </cell>
          <cell r="E55">
            <v>18.600000000000001</v>
          </cell>
          <cell r="F55">
            <v>110.59</v>
          </cell>
        </row>
        <row r="56">
          <cell r="D56" t="str">
            <v>Balaghat -Samanpur- Lamta</v>
          </cell>
          <cell r="E56">
            <v>70</v>
          </cell>
          <cell r="F56">
            <v>500.6</v>
          </cell>
        </row>
        <row r="57">
          <cell r="D57" t="str">
            <v>Panna-Amanganj-Simaria-Gaisabad-Damoh</v>
          </cell>
          <cell r="E57">
            <v>10.6</v>
          </cell>
          <cell r="F57">
            <v>225.23</v>
          </cell>
        </row>
        <row r="58">
          <cell r="D58" t="str">
            <v>Hatta- Batiyagarh</v>
          </cell>
          <cell r="E58">
            <v>18</v>
          </cell>
          <cell r="F58">
            <v>379.41</v>
          </cell>
        </row>
        <row r="59">
          <cell r="D59" t="str">
            <v>Vinti-Madiyadon</v>
          </cell>
          <cell r="E59">
            <v>14.2</v>
          </cell>
          <cell r="F59">
            <v>344.1</v>
          </cell>
        </row>
        <row r="60">
          <cell r="D60" t="str">
            <v>Itarasi-Zamani-Dharamkundi road</v>
          </cell>
          <cell r="E60">
            <v>30.6</v>
          </cell>
          <cell r="F60">
            <v>739.72</v>
          </cell>
        </row>
        <row r="61">
          <cell r="D61" t="str">
            <v>Management Information-sytem</v>
          </cell>
          <cell r="F61">
            <v>200</v>
          </cell>
        </row>
        <row r="62">
          <cell r="D62" t="str">
            <v>Central-Research-Laboratory</v>
          </cell>
          <cell r="F62">
            <v>90</v>
          </cell>
        </row>
        <row r="63">
          <cell r="D63" t="str">
            <v>Bhopal-Bersiya</v>
          </cell>
          <cell r="E63">
            <v>39.200000000000003</v>
          </cell>
          <cell r="F63">
            <v>790.85</v>
          </cell>
        </row>
        <row r="64">
          <cell r="D64" t="str">
            <v>Naurabad-Bersiya-Maksudgarh</v>
          </cell>
          <cell r="E64">
            <v>41.3</v>
          </cell>
          <cell r="F64">
            <v>812.26</v>
          </cell>
        </row>
        <row r="65">
          <cell r="D65" t="str">
            <v>Ajnor- Dunda- Badegaon</v>
          </cell>
          <cell r="E65">
            <v>12</v>
          </cell>
          <cell r="F65">
            <v>264.58999999999997</v>
          </cell>
        </row>
        <row r="66">
          <cell r="D66" t="str">
            <v>Badgaon- Fakkarwah</v>
          </cell>
          <cell r="E66">
            <v>13.8</v>
          </cell>
          <cell r="F66">
            <v>310.79000000000002</v>
          </cell>
        </row>
        <row r="67">
          <cell r="D67" t="str">
            <v>Seoni- Katangi</v>
          </cell>
          <cell r="E67">
            <v>39</v>
          </cell>
          <cell r="F67">
            <v>735.11</v>
          </cell>
        </row>
        <row r="68">
          <cell r="D68" t="str">
            <v>Teekamgarh-Dhuwara- Malehara</v>
          </cell>
          <cell r="E68">
            <v>27.2</v>
          </cell>
          <cell r="F68">
            <v>581</v>
          </cell>
        </row>
        <row r="69">
          <cell r="D69" t="str">
            <v>Katni- Amanganj- Kishangarh</v>
          </cell>
          <cell r="E69">
            <v>13.8</v>
          </cell>
          <cell r="F69">
            <v>377.76</v>
          </cell>
        </row>
        <row r="70">
          <cell r="D70" t="str">
            <v>Agar- Badod</v>
          </cell>
          <cell r="E70">
            <v>24.8</v>
          </cell>
          <cell r="F70">
            <v>262.14</v>
          </cell>
        </row>
        <row r="71">
          <cell r="D71" t="str">
            <v>Pichor- Chanderi- Mungawali</v>
          </cell>
          <cell r="E71">
            <v>82</v>
          </cell>
          <cell r="F71">
            <v>2026</v>
          </cell>
        </row>
        <row r="72">
          <cell r="D72" t="str">
            <v>Sleemnabad- Umariapan- Vilayatkala (Balace work)</v>
          </cell>
          <cell r="E72">
            <v>13</v>
          </cell>
          <cell r="F72">
            <v>420.29</v>
          </cell>
        </row>
        <row r="73">
          <cell r="D73" t="str">
            <v>Bandi- Zirri (Balance work)</v>
          </cell>
          <cell r="E73">
            <v>13</v>
          </cell>
          <cell r="F73">
            <v>191.07</v>
          </cell>
        </row>
        <row r="74">
          <cell r="D74" t="str">
            <v>Sagar- Bareli- Sultanganj</v>
          </cell>
          <cell r="E74">
            <v>42.2</v>
          </cell>
          <cell r="F74">
            <v>1182</v>
          </cell>
        </row>
        <row r="75">
          <cell r="D75" t="str">
            <v>Kuti-Hasalpur-Fafund-Sagor</v>
          </cell>
          <cell r="E75">
            <v>18</v>
          </cell>
          <cell r="F75">
            <v>417.15</v>
          </cell>
        </row>
      </sheetData>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DRT"/>
      <sheetName val="CDMS (2)"/>
      <sheetName val="CDABS"/>
      <sheetName val="LD"/>
      <sheetName val="RT(P) (2)"/>
      <sheetName val="MS1"/>
      <sheetName val="ABS1"/>
      <sheetName val="GA"/>
      <sheetName val="EST"/>
      <sheetName val="GR"/>
      <sheetName val="FPA"/>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0000000"/>
      <sheetName val="1000000000000"/>
      <sheetName val="coverpage"/>
      <sheetName val="TS memo"/>
      <sheetName val="Spn report"/>
      <sheetName val="BTR"/>
      <sheetName val="RMR"/>
      <sheetName val="Road data"/>
      <sheetName val="road est"/>
      <sheetName val="abs road"/>
      <sheetName val="4V800"/>
      <sheetName val="3V800"/>
      <sheetName val="1vof Obul800"/>
      <sheetName val="1V800"/>
      <sheetName val="1V600"/>
      <sheetName val="2V600"/>
      <sheetName val="2V1000"/>
      <sheetName val="HP abs"/>
      <sheetName val="Det. CC"/>
      <sheetName val="Drt Slab"/>
      <sheetName val="Abs_CD_2"/>
      <sheetName val="certificate"/>
      <sheetName val="CBR"/>
      <sheetName val="Gen abs"/>
      <sheetName val="mlead"/>
      <sheetName val="ECV"/>
      <sheetName val="1rX1000"/>
    </sheetNames>
    <sheetDataSet>
      <sheetData sheetId="0"/>
      <sheetData sheetId="1"/>
      <sheetData sheetId="2">
        <row r="27">
          <cell r="E27" t="str">
            <v>Karimnagar</v>
          </cell>
        </row>
      </sheetData>
      <sheetData sheetId="3"/>
      <sheetData sheetId="4"/>
      <sheetData sheetId="5"/>
      <sheetData sheetId="6">
        <row r="5">
          <cell r="L5">
            <v>485.70400000000006</v>
          </cell>
        </row>
      </sheetData>
      <sheetData sheetId="7">
        <row r="3">
          <cell r="C3" t="str">
            <v>Earthwork excavation by mechanical means and depositing on bank with initial  lead and lift in all soils upto SDR and laying earth in layers including breaking clods, sectioning and rolling with Power Road Roller 8 to 10 Tonnes capacity  @ FMC including a</v>
          </cell>
        </row>
      </sheetData>
      <sheetData sheetId="8">
        <row r="7">
          <cell r="H7">
            <v>11200</v>
          </cell>
        </row>
        <row r="28">
          <cell r="H28">
            <v>33750</v>
          </cell>
        </row>
      </sheetData>
      <sheetData sheetId="9">
        <row r="6">
          <cell r="J6">
            <v>1133240</v>
          </cell>
        </row>
      </sheetData>
      <sheetData sheetId="10"/>
      <sheetData sheetId="11"/>
      <sheetData sheetId="12"/>
      <sheetData sheetId="13"/>
      <sheetData sheetId="14"/>
      <sheetData sheetId="15"/>
      <sheetData sheetId="16"/>
      <sheetData sheetId="17"/>
      <sheetData sheetId="18"/>
      <sheetData sheetId="19"/>
      <sheetData sheetId="20">
        <row r="7">
          <cell r="C7">
            <v>1</v>
          </cell>
        </row>
      </sheetData>
      <sheetData sheetId="21"/>
      <sheetData sheetId="22"/>
      <sheetData sheetId="23"/>
      <sheetData sheetId="24">
        <row r="10">
          <cell r="C10">
            <v>82.9</v>
          </cell>
        </row>
      </sheetData>
      <sheetData sheetId="25">
        <row r="10">
          <cell r="B10" t="e">
            <v>#REF!</v>
          </cell>
        </row>
      </sheetData>
      <sheetData sheetId="26"/>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tter (2)"/>
      <sheetName val="Facesheet-I to III Booklet"/>
      <sheetName val="I(R)"/>
      <sheetName val="I(B)"/>
      <sheetName val="II(R)"/>
      <sheetName val="II(B)"/>
      <sheetName val="II(BE)"/>
      <sheetName val="III(R)"/>
      <sheetName val="III(B)"/>
      <sheetName val="IV(R)"/>
      <sheetName val="IV(B)"/>
      <sheetName val="V(B)"/>
      <sheetName val="V(R)"/>
      <sheetName val="VI(R)"/>
      <sheetName val="VI(B)"/>
      <sheetName val="VII(R)"/>
      <sheetName val="VII(B)"/>
      <sheetName val="VIII(B)"/>
      <sheetName val="VIII(R) "/>
      <sheetName val="VIII(B) Blank"/>
      <sheetName val="VIII(R) BLNK"/>
      <sheetName val="REASONS_EXCESS "/>
      <sheetName val="ABS1"/>
      <sheetName val="Sent NHO"/>
      <sheetName val="Reconst"/>
      <sheetName val="Sheet1"/>
      <sheetName val="Labour"/>
      <sheetName val="Material"/>
      <sheetName val="Plant &amp;  Machinery"/>
      <sheetName val="Lead"/>
      <sheetName val="FORM7"/>
      <sheetName val="abs road"/>
      <sheetName val="Road data"/>
      <sheetName val="IO LIST"/>
      <sheetName val="1V800"/>
    </sheetNames>
    <sheetDataSet>
      <sheetData sheetId="0" refreshError="1"/>
      <sheetData sheetId="1" refreshError="1"/>
      <sheetData sheetId="2"/>
      <sheetData sheetId="3" refreshError="1"/>
      <sheetData sheetId="4"/>
      <sheetData sheetId="5" refreshError="1"/>
      <sheetData sheetId="6" refreshError="1"/>
      <sheetData sheetId="7"/>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tter-space-5(13)"/>
      <sheetName val="Improve"/>
      <sheetName val="Letter-space-5(12)"/>
    </sheetNames>
    <sheetDataSet>
      <sheetData sheetId="0"/>
      <sheetData sheetId="1"/>
      <sheetData sheetId="2"/>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ontents"/>
      <sheetName val="Plant &amp;  Machinery"/>
      <sheetName val="Labour"/>
      <sheetName val="Material"/>
      <sheetName val="Summary of Rates"/>
      <sheetName val="Preambles-Chapter"/>
      <sheetName val="Basic Approach"/>
      <sheetName val="Preamble-1"/>
      <sheetName val="Preamble-2"/>
      <sheetName val="Preamble-3"/>
      <sheetName val="Preamble-4"/>
      <sheetName val="Preamble-5"/>
      <sheetName val="Preamble-6"/>
      <sheetName val="Preamble-7"/>
      <sheetName val="Preamble-8"/>
      <sheetName val="Preamble-9"/>
      <sheetName val="Preamble-10"/>
      <sheetName val="Preamble-11"/>
      <sheetName val="Preamble-12"/>
      <sheetName val="Preamble-13"/>
      <sheetName val="Preamble-14"/>
      <sheetName val="Preamble-15"/>
      <sheetName val="Chapter-1"/>
      <sheetName val="Chapter-2"/>
      <sheetName val="Chapter-3"/>
      <sheetName val="Chapter-4"/>
      <sheetName val="Chapter-5"/>
      <sheetName val="Chapter-6"/>
      <sheetName val="Chapter-7"/>
      <sheetName val="Chapter-8"/>
      <sheetName val="Chapter-9"/>
      <sheetName val="Chapter-10"/>
      <sheetName val="Chapter-11"/>
      <sheetName val="Chapter-12"/>
      <sheetName val="Chapter-13"/>
      <sheetName val="Chapter-14"/>
      <sheetName val="Chapter-15"/>
      <sheetName val="Summary"/>
      <sheetName val="Abbreviations"/>
      <sheetName val="Sheet2"/>
      <sheetName val="HP C W Basic"/>
      <sheetName val="Plant_&amp;__Machinery"/>
      <sheetName val="Summary_of_Rates"/>
      <sheetName val="Basic_Approach"/>
      <sheetName val="HP_C_W_Basic"/>
      <sheetName val="Flood_&amp;_Lift"/>
      <sheetName val="Flood &amp; Lift"/>
      <sheetName val="a"/>
      <sheetName val="Waste_Weir"/>
      <sheetName val="Binnies"/>
      <sheetName val="R.MAIN"/>
      <sheetName val="Design_VRB"/>
      <sheetName val="DETAILED"/>
      <sheetName val="17__Abst.CWR(Gravity)"/>
      <sheetName val="cot cal"/>
      <sheetName val="Kc_Values"/>
      <sheetName val="I-CO"/>
      <sheetName val="Pier Design(with offset)"/>
      <sheetName val="Assumptions"/>
      <sheetName val="Vaij population forcast_anx1"/>
      <sheetName val="Unit-I"/>
      <sheetName val="Area_Capacity Dhawaliya"/>
      <sheetName val="Water_Planning_conti.."/>
      <sheetName val="Fixation_Principal_Level Bhelya"/>
      <sheetName val="Fixation_Principal_Level Dhawal"/>
      <sheetName val="WR (Lift)"/>
      <sheetName val="WR (2)"/>
      <sheetName val="Prjt"/>
      <sheetName val="kachner cl38"/>
      <sheetName val="Basic Data Sheet"/>
      <sheetName val="Spill channel"/>
      <sheetName val="I.P"/>
      <sheetName val="Sheet7"/>
      <sheetName val="Water_Planning"/>
      <sheetName val="Ele-Capacity"/>
      <sheetName val="Area_Capacity"/>
      <sheetName val="21_Waste_Weir New"/>
      <sheetName val="Fixation_Principal_Level "/>
      <sheetName val="Water_Planning dhwaliya"/>
      <sheetName val="Sheet3"/>
      <sheetName val="IWR_Rabi_CP1_Barwani_CWR (L)"/>
      <sheetName val="IWR_Rabi_CP1_Barwani_CWR(G)"/>
      <sheetName val="Pop_Ann1"/>
      <sheetName val="Des"/>
      <sheetName val="basdat"/>
      <sheetName val="D2_CO"/>
      <sheetName val="Main_Canal_Data_balgaon"/>
      <sheetName val="CPIPE2"/>
      <sheetName val="abs road"/>
      <sheetName val="Abs_CD_2"/>
      <sheetName val="RMR"/>
      <sheetName val="coverpage"/>
      <sheetName val="road est"/>
      <sheetName val="road data"/>
      <sheetName val="ECV"/>
      <sheetName val="mlead"/>
      <sheetName val="sorna-lanjera"/>
      <sheetName val="FIRST"/>
      <sheetName val="Ene"/>
      <sheetName val="CODE BOOK REFERENCE"/>
      <sheetName val="Eg-2"/>
      <sheetName val="Eg-1"/>
      <sheetName val="Eg-3"/>
      <sheetName val="RD-Est"/>
      <sheetName val="RA-CD"/>
      <sheetName val="ROY"/>
      <sheetName val="DATA"/>
      <sheetName val="Anicut-abstract"/>
      <sheetName val="routing (2)"/>
      <sheetName val="Fixation_Principal_Level"/>
      <sheetName val="Spill-Hydro design"/>
      <sheetName val="HFL Calculation (routed)"/>
      <sheetName val="Rainfall_Bhagwanpura"/>
      <sheetName val="Fixations_Principal_level"/>
      <sheetName val="D1_CO"/>
      <sheetName val="CCA_cal (2)"/>
      <sheetName val="Rainfall_Alirajpur"/>
      <sheetName val="WR"/>
      <sheetName val="wtr pln minor-2"/>
      <sheetName val="drf_Khargone"/>
      <sheetName val="DESIGN"/>
      <sheetName val="IWR_Rabi_CP1_Barwani_CWR"/>
      <sheetName val="UH"/>
      <sheetName val="Routing"/>
      <sheetName val="Sheet11"/>
      <sheetName val="SB_SCH_A3"/>
      <sheetName val="SB SCH_A7"/>
    </sheetNames>
    <sheetDataSet>
      <sheetData sheetId="0" refreshError="1"/>
      <sheetData sheetId="1" refreshError="1"/>
      <sheetData sheetId="2" refreshError="1">
        <row r="3">
          <cell r="D3">
            <v>40.4</v>
          </cell>
        </row>
        <row r="4">
          <cell r="G4">
            <v>407</v>
          </cell>
        </row>
        <row r="5">
          <cell r="G5">
            <v>1840</v>
          </cell>
        </row>
        <row r="6">
          <cell r="G6">
            <v>1840</v>
          </cell>
        </row>
        <row r="8">
          <cell r="G8">
            <v>150</v>
          </cell>
        </row>
        <row r="9">
          <cell r="G9">
            <v>185</v>
          </cell>
        </row>
        <row r="10">
          <cell r="G10">
            <v>250</v>
          </cell>
        </row>
        <row r="11">
          <cell r="G11">
            <v>151</v>
          </cell>
        </row>
        <row r="12">
          <cell r="G12">
            <v>422</v>
          </cell>
        </row>
        <row r="13">
          <cell r="G13">
            <v>900</v>
          </cell>
        </row>
        <row r="15">
          <cell r="G15">
            <v>631</v>
          </cell>
        </row>
        <row r="17">
          <cell r="G17">
            <v>739</v>
          </cell>
        </row>
        <row r="19">
          <cell r="G19">
            <v>271</v>
          </cell>
        </row>
        <row r="20">
          <cell r="G20">
            <v>1577</v>
          </cell>
        </row>
        <row r="21">
          <cell r="G21">
            <v>450</v>
          </cell>
        </row>
        <row r="22">
          <cell r="G22">
            <v>250</v>
          </cell>
        </row>
        <row r="23">
          <cell r="G23">
            <v>94</v>
          </cell>
        </row>
        <row r="24">
          <cell r="G24">
            <v>672</v>
          </cell>
        </row>
        <row r="25">
          <cell r="G25">
            <v>1041</v>
          </cell>
        </row>
        <row r="27">
          <cell r="G27">
            <v>78</v>
          </cell>
        </row>
        <row r="28">
          <cell r="G28">
            <v>691</v>
          </cell>
        </row>
        <row r="29">
          <cell r="G29">
            <v>65</v>
          </cell>
        </row>
        <row r="30">
          <cell r="G30">
            <v>65</v>
          </cell>
        </row>
        <row r="31">
          <cell r="G31">
            <v>75.099999999999994</v>
          </cell>
        </row>
        <row r="33">
          <cell r="G33">
            <v>371</v>
          </cell>
        </row>
        <row r="34">
          <cell r="G34">
            <v>343</v>
          </cell>
        </row>
        <row r="45">
          <cell r="G45">
            <v>404.4</v>
          </cell>
        </row>
        <row r="46">
          <cell r="G46">
            <v>275</v>
          </cell>
        </row>
        <row r="47">
          <cell r="G47">
            <v>275</v>
          </cell>
        </row>
        <row r="48">
          <cell r="G48">
            <v>267</v>
          </cell>
        </row>
        <row r="49">
          <cell r="G49">
            <v>275</v>
          </cell>
        </row>
        <row r="50">
          <cell r="G50">
            <v>605</v>
          </cell>
        </row>
        <row r="51">
          <cell r="G51">
            <v>1043</v>
          </cell>
        </row>
        <row r="53">
          <cell r="G53">
            <v>347</v>
          </cell>
        </row>
        <row r="54">
          <cell r="G54">
            <v>835</v>
          </cell>
        </row>
      </sheetData>
      <sheetData sheetId="3" refreshError="1">
        <row r="3">
          <cell r="D3">
            <v>140.4</v>
          </cell>
        </row>
        <row r="4">
          <cell r="D4">
            <v>143.4</v>
          </cell>
        </row>
        <row r="5">
          <cell r="D5">
            <v>140.4</v>
          </cell>
        </row>
        <row r="6">
          <cell r="D6">
            <v>140.4</v>
          </cell>
        </row>
        <row r="7">
          <cell r="D7">
            <v>151.4</v>
          </cell>
        </row>
        <row r="8">
          <cell r="D8">
            <v>140.4</v>
          </cell>
        </row>
        <row r="9">
          <cell r="D9">
            <v>140.4</v>
          </cell>
        </row>
        <row r="10">
          <cell r="D10">
            <v>145.4</v>
          </cell>
        </row>
        <row r="11">
          <cell r="D11">
            <v>140.4</v>
          </cell>
        </row>
        <row r="12">
          <cell r="D12">
            <v>151.4</v>
          </cell>
        </row>
        <row r="13">
          <cell r="D13">
            <v>145.4</v>
          </cell>
        </row>
        <row r="14">
          <cell r="D14">
            <v>151.4</v>
          </cell>
        </row>
        <row r="15">
          <cell r="D15">
            <v>145.4</v>
          </cell>
        </row>
        <row r="16">
          <cell r="D16">
            <v>145.4</v>
          </cell>
        </row>
        <row r="17">
          <cell r="D17">
            <v>140.4</v>
          </cell>
        </row>
        <row r="18">
          <cell r="D18">
            <v>143.4</v>
          </cell>
        </row>
        <row r="19">
          <cell r="D19">
            <v>145.4</v>
          </cell>
        </row>
        <row r="20">
          <cell r="D20">
            <v>151.4</v>
          </cell>
        </row>
        <row r="21">
          <cell r="D21">
            <v>151.4</v>
          </cell>
        </row>
        <row r="22">
          <cell r="D22">
            <v>145.4</v>
          </cell>
        </row>
        <row r="23">
          <cell r="D23">
            <v>140.4</v>
          </cell>
        </row>
      </sheetData>
      <sheetData sheetId="4" refreshError="1">
        <row r="3">
          <cell r="D3">
            <v>40.4</v>
          </cell>
        </row>
        <row r="4">
          <cell r="D4">
            <v>205</v>
          </cell>
        </row>
        <row r="5">
          <cell r="D5">
            <v>170</v>
          </cell>
        </row>
        <row r="6">
          <cell r="D6">
            <v>180</v>
          </cell>
        </row>
        <row r="7">
          <cell r="D7">
            <v>205</v>
          </cell>
        </row>
        <row r="8">
          <cell r="D8">
            <v>105</v>
          </cell>
        </row>
        <row r="9">
          <cell r="D9">
            <v>180</v>
          </cell>
        </row>
        <row r="10">
          <cell r="D10">
            <v>220</v>
          </cell>
        </row>
        <row r="11">
          <cell r="D11">
            <v>200</v>
          </cell>
        </row>
        <row r="12">
          <cell r="D12">
            <v>180</v>
          </cell>
        </row>
        <row r="13">
          <cell r="D13">
            <v>180</v>
          </cell>
        </row>
        <row r="14">
          <cell r="D14">
            <v>220</v>
          </cell>
        </row>
        <row r="15">
          <cell r="D15">
            <v>220</v>
          </cell>
        </row>
        <row r="16">
          <cell r="D16">
            <v>180</v>
          </cell>
        </row>
        <row r="17">
          <cell r="D17">
            <v>220</v>
          </cell>
        </row>
        <row r="18">
          <cell r="D18">
            <v>190</v>
          </cell>
        </row>
        <row r="19">
          <cell r="D19">
            <v>170</v>
          </cell>
        </row>
        <row r="20">
          <cell r="D20">
            <v>38</v>
          </cell>
        </row>
        <row r="21">
          <cell r="D21">
            <v>38</v>
          </cell>
        </row>
        <row r="22">
          <cell r="D22">
            <v>36</v>
          </cell>
        </row>
        <row r="23">
          <cell r="D23">
            <v>85</v>
          </cell>
        </row>
        <row r="24">
          <cell r="D24">
            <v>95</v>
          </cell>
        </row>
        <row r="25">
          <cell r="D25">
            <v>105</v>
          </cell>
        </row>
        <row r="26">
          <cell r="D26">
            <v>205</v>
          </cell>
        </row>
        <row r="27">
          <cell r="D27">
            <v>175</v>
          </cell>
        </row>
        <row r="28">
          <cell r="D28">
            <v>10000</v>
          </cell>
        </row>
        <row r="29">
          <cell r="D29">
            <v>500</v>
          </cell>
        </row>
        <row r="30">
          <cell r="D30">
            <v>50</v>
          </cell>
        </row>
        <row r="31">
          <cell r="D31">
            <v>75</v>
          </cell>
        </row>
        <row r="32">
          <cell r="D32">
            <v>100</v>
          </cell>
        </row>
        <row r="33">
          <cell r="D33">
            <v>150</v>
          </cell>
        </row>
        <row r="34">
          <cell r="D34">
            <v>40</v>
          </cell>
        </row>
        <row r="35">
          <cell r="D35">
            <v>50</v>
          </cell>
        </row>
        <row r="36">
          <cell r="D36">
            <v>30</v>
          </cell>
        </row>
        <row r="37">
          <cell r="D37">
            <v>36</v>
          </cell>
        </row>
        <row r="38">
          <cell r="D38">
            <v>27.75</v>
          </cell>
        </row>
        <row r="39">
          <cell r="D39">
            <v>17037.97</v>
          </cell>
        </row>
        <row r="40">
          <cell r="D40">
            <v>13099</v>
          </cell>
        </row>
        <row r="41">
          <cell r="D41">
            <v>18033</v>
          </cell>
        </row>
        <row r="42">
          <cell r="D42">
            <v>13831.9</v>
          </cell>
        </row>
        <row r="43">
          <cell r="D43">
            <v>12994.4</v>
          </cell>
        </row>
        <row r="44">
          <cell r="D44">
            <v>12758.85</v>
          </cell>
        </row>
        <row r="45">
          <cell r="D45">
            <v>12879.71</v>
          </cell>
        </row>
        <row r="46">
          <cell r="D46">
            <v>16</v>
          </cell>
        </row>
        <row r="47">
          <cell r="D47">
            <v>85</v>
          </cell>
        </row>
        <row r="48">
          <cell r="D48">
            <v>52.5</v>
          </cell>
        </row>
        <row r="49">
          <cell r="D49">
            <v>15.75</v>
          </cell>
        </row>
        <row r="50">
          <cell r="D50">
            <v>3.15</v>
          </cell>
        </row>
        <row r="51">
          <cell r="D51">
            <v>2600</v>
          </cell>
        </row>
        <row r="52">
          <cell r="D52">
            <v>60.9</v>
          </cell>
        </row>
        <row r="53">
          <cell r="D53">
            <v>250</v>
          </cell>
        </row>
        <row r="54">
          <cell r="D54">
            <v>18</v>
          </cell>
        </row>
        <row r="55">
          <cell r="D55">
            <v>945</v>
          </cell>
        </row>
        <row r="56">
          <cell r="D56">
            <v>190.75</v>
          </cell>
        </row>
        <row r="57">
          <cell r="D57">
            <v>200</v>
          </cell>
        </row>
        <row r="58">
          <cell r="D58">
            <v>70</v>
          </cell>
        </row>
        <row r="59">
          <cell r="D59">
            <v>85</v>
          </cell>
        </row>
        <row r="60">
          <cell r="D60">
            <v>1</v>
          </cell>
        </row>
        <row r="61">
          <cell r="D61">
            <v>195</v>
          </cell>
        </row>
        <row r="62">
          <cell r="D62">
            <v>160</v>
          </cell>
        </row>
        <row r="63">
          <cell r="D63">
            <v>205</v>
          </cell>
        </row>
        <row r="64">
          <cell r="D64">
            <v>220</v>
          </cell>
        </row>
        <row r="65">
          <cell r="D65">
            <v>220</v>
          </cell>
        </row>
        <row r="66">
          <cell r="D66">
            <v>220</v>
          </cell>
        </row>
        <row r="67">
          <cell r="D67">
            <v>220</v>
          </cell>
        </row>
        <row r="68">
          <cell r="D68">
            <v>220</v>
          </cell>
        </row>
        <row r="69">
          <cell r="D69">
            <v>150</v>
          </cell>
        </row>
        <row r="70">
          <cell r="D70">
            <v>550</v>
          </cell>
        </row>
        <row r="71">
          <cell r="D71">
            <v>220.5</v>
          </cell>
        </row>
        <row r="72">
          <cell r="D72">
            <v>220.5</v>
          </cell>
        </row>
        <row r="73">
          <cell r="D73">
            <v>25000</v>
          </cell>
        </row>
        <row r="74">
          <cell r="D74">
            <v>7.5</v>
          </cell>
        </row>
        <row r="75">
          <cell r="D75">
            <v>300</v>
          </cell>
        </row>
        <row r="77">
          <cell r="D77">
            <v>250</v>
          </cell>
        </row>
        <row r="78">
          <cell r="D78">
            <v>94.5</v>
          </cell>
        </row>
        <row r="79">
          <cell r="D79">
            <v>300</v>
          </cell>
        </row>
        <row r="80">
          <cell r="D80">
            <v>200</v>
          </cell>
        </row>
        <row r="81">
          <cell r="D81">
            <v>29</v>
          </cell>
        </row>
        <row r="83">
          <cell r="D83">
            <v>52.5</v>
          </cell>
        </row>
        <row r="84">
          <cell r="D84">
            <v>446</v>
          </cell>
        </row>
        <row r="85">
          <cell r="D85">
            <v>185</v>
          </cell>
        </row>
        <row r="86">
          <cell r="D86">
            <v>60</v>
          </cell>
        </row>
        <row r="87">
          <cell r="D87">
            <v>220</v>
          </cell>
        </row>
        <row r="88">
          <cell r="D88">
            <v>34.1</v>
          </cell>
        </row>
        <row r="89">
          <cell r="D89">
            <v>105</v>
          </cell>
        </row>
        <row r="90">
          <cell r="D90">
            <v>100</v>
          </cell>
        </row>
        <row r="91">
          <cell r="D91">
            <v>580</v>
          </cell>
        </row>
        <row r="92">
          <cell r="D92">
            <v>750</v>
          </cell>
        </row>
        <row r="93">
          <cell r="D93">
            <v>205</v>
          </cell>
        </row>
        <row r="94">
          <cell r="D94">
            <v>40</v>
          </cell>
        </row>
        <row r="95">
          <cell r="D95">
            <v>25</v>
          </cell>
        </row>
        <row r="96">
          <cell r="D96">
            <v>220</v>
          </cell>
        </row>
        <row r="97">
          <cell r="D97">
            <v>3150</v>
          </cell>
        </row>
        <row r="99">
          <cell r="D99">
            <v>410</v>
          </cell>
        </row>
        <row r="100">
          <cell r="D100">
            <v>6300</v>
          </cell>
        </row>
        <row r="101">
          <cell r="D101">
            <v>34</v>
          </cell>
        </row>
        <row r="102">
          <cell r="D102">
            <v>5</v>
          </cell>
        </row>
        <row r="103">
          <cell r="D103">
            <v>31000</v>
          </cell>
        </row>
        <row r="104">
          <cell r="D104">
            <v>42</v>
          </cell>
        </row>
        <row r="105">
          <cell r="D105">
            <v>370</v>
          </cell>
        </row>
        <row r="106">
          <cell r="D106">
            <v>500</v>
          </cell>
        </row>
        <row r="107">
          <cell r="D107">
            <v>31500</v>
          </cell>
        </row>
        <row r="108">
          <cell r="D108">
            <v>105</v>
          </cell>
        </row>
        <row r="109">
          <cell r="D109">
            <v>85</v>
          </cell>
        </row>
        <row r="110">
          <cell r="D110">
            <v>25</v>
          </cell>
        </row>
        <row r="111">
          <cell r="D111">
            <v>20</v>
          </cell>
        </row>
        <row r="112">
          <cell r="D112">
            <v>85</v>
          </cell>
        </row>
        <row r="113">
          <cell r="D113">
            <v>3560</v>
          </cell>
        </row>
        <row r="114">
          <cell r="D114">
            <v>2476</v>
          </cell>
        </row>
        <row r="115">
          <cell r="D115">
            <v>1659.6</v>
          </cell>
        </row>
        <row r="117">
          <cell r="D117">
            <v>1027.5999999999999</v>
          </cell>
        </row>
        <row r="118">
          <cell r="D118">
            <v>4105.6000000000004</v>
          </cell>
        </row>
        <row r="119">
          <cell r="D119">
            <v>3585.6</v>
          </cell>
        </row>
        <row r="120">
          <cell r="D120">
            <v>1990.8</v>
          </cell>
        </row>
        <row r="122">
          <cell r="D122">
            <v>1196.8</v>
          </cell>
        </row>
        <row r="123">
          <cell r="D123">
            <v>66.150000000000006</v>
          </cell>
        </row>
        <row r="124">
          <cell r="D124">
            <v>132</v>
          </cell>
        </row>
        <row r="125">
          <cell r="D125">
            <v>21</v>
          </cell>
        </row>
        <row r="126">
          <cell r="D126">
            <v>130</v>
          </cell>
        </row>
        <row r="127">
          <cell r="D127">
            <v>50</v>
          </cell>
        </row>
        <row r="128">
          <cell r="D128">
            <v>122</v>
          </cell>
        </row>
        <row r="129">
          <cell r="D129">
            <v>27500</v>
          </cell>
        </row>
        <row r="130">
          <cell r="D130">
            <v>27000</v>
          </cell>
        </row>
        <row r="131">
          <cell r="D131">
            <v>27700</v>
          </cell>
        </row>
        <row r="132">
          <cell r="D132">
            <v>120</v>
          </cell>
        </row>
        <row r="133">
          <cell r="D133">
            <v>220</v>
          </cell>
        </row>
        <row r="135">
          <cell r="D135">
            <v>220</v>
          </cell>
        </row>
        <row r="136">
          <cell r="D136">
            <v>55.1</v>
          </cell>
        </row>
        <row r="137">
          <cell r="D137">
            <v>55.1</v>
          </cell>
        </row>
        <row r="138">
          <cell r="D138">
            <v>50.1</v>
          </cell>
        </row>
        <row r="139">
          <cell r="D139">
            <v>15.75</v>
          </cell>
        </row>
        <row r="140">
          <cell r="D140">
            <v>220</v>
          </cell>
        </row>
        <row r="142">
          <cell r="D142">
            <v>220</v>
          </cell>
        </row>
        <row r="143">
          <cell r="D143">
            <v>220</v>
          </cell>
        </row>
        <row r="144">
          <cell r="D144">
            <v>34.1</v>
          </cell>
        </row>
        <row r="145">
          <cell r="D145">
            <v>500</v>
          </cell>
        </row>
        <row r="146">
          <cell r="D146">
            <v>60</v>
          </cell>
        </row>
        <row r="147">
          <cell r="D147">
            <v>195</v>
          </cell>
        </row>
        <row r="148">
          <cell r="D148">
            <v>220</v>
          </cell>
        </row>
        <row r="149">
          <cell r="D149">
            <v>220</v>
          </cell>
        </row>
        <row r="150">
          <cell r="D150">
            <v>195</v>
          </cell>
        </row>
        <row r="151">
          <cell r="D151">
            <v>220</v>
          </cell>
        </row>
        <row r="152">
          <cell r="D152">
            <v>220</v>
          </cell>
        </row>
        <row r="153">
          <cell r="D153">
            <v>220</v>
          </cell>
        </row>
        <row r="154">
          <cell r="D154">
            <v>130</v>
          </cell>
        </row>
        <row r="155">
          <cell r="D155">
            <v>170</v>
          </cell>
        </row>
        <row r="156">
          <cell r="D156">
            <v>220</v>
          </cell>
        </row>
        <row r="157">
          <cell r="D157">
            <v>130</v>
          </cell>
        </row>
        <row r="158">
          <cell r="D158">
            <v>190</v>
          </cell>
        </row>
        <row r="159">
          <cell r="D159">
            <v>220</v>
          </cell>
        </row>
        <row r="160">
          <cell r="D160">
            <v>130</v>
          </cell>
        </row>
        <row r="161">
          <cell r="D161">
            <v>220</v>
          </cell>
        </row>
        <row r="162">
          <cell r="D162">
            <v>220</v>
          </cell>
        </row>
        <row r="163">
          <cell r="D163">
            <v>100</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ow r="3">
          <cell r="D3">
            <v>40.4</v>
          </cell>
        </row>
      </sheetData>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VVVVVVVVVVVa"/>
      <sheetName val="0000000000000"/>
      <sheetName val="cover"/>
      <sheetName val="gnrl reprt"/>
      <sheetName val="Sheet2"/>
      <sheetName val="FC"/>
      <sheetName val="MMENT"/>
      <sheetName val="ABS"/>
      <sheetName val="RATE"/>
      <sheetName val="LEAD"/>
      <sheetName val="LEVEL"/>
      <sheetName val="Sheet1"/>
      <sheetName val="Sheet3"/>
      <sheetName val="Sheet4"/>
      <sheetName val="Sheet4 (final)"/>
      <sheetName val="RA CPWD"/>
    </sheetNames>
    <sheetDataSet>
      <sheetData sheetId="0" refreshError="1"/>
      <sheetData sheetId="1" refreshError="1"/>
      <sheetData sheetId="2" refreshError="1"/>
      <sheetData sheetId="3" refreshError="1"/>
      <sheetData sheetId="4" refreshError="1">
        <row r="3">
          <cell r="B3">
            <v>0.5</v>
          </cell>
          <cell r="C3">
            <v>17.600000000000001</v>
          </cell>
          <cell r="D3">
            <v>15.840000000000002</v>
          </cell>
          <cell r="E3">
            <v>15.840000000000002</v>
          </cell>
          <cell r="F3">
            <v>19.360000000000003</v>
          </cell>
        </row>
        <row r="4">
          <cell r="B4">
            <v>1</v>
          </cell>
          <cell r="C4">
            <v>19.2</v>
          </cell>
          <cell r="D4">
            <v>17.28</v>
          </cell>
          <cell r="E4">
            <v>17.28</v>
          </cell>
          <cell r="F4">
            <v>21.12</v>
          </cell>
        </row>
        <row r="5">
          <cell r="B5">
            <v>1.5</v>
          </cell>
          <cell r="C5">
            <v>20.85</v>
          </cell>
          <cell r="D5">
            <v>18.765000000000001</v>
          </cell>
          <cell r="E5">
            <v>18.765000000000001</v>
          </cell>
          <cell r="F5">
            <v>22.935000000000002</v>
          </cell>
        </row>
        <row r="6">
          <cell r="B6">
            <v>2</v>
          </cell>
          <cell r="C6">
            <v>22.95</v>
          </cell>
          <cell r="D6">
            <v>20.655000000000001</v>
          </cell>
          <cell r="E6">
            <v>20.655000000000001</v>
          </cell>
          <cell r="F6">
            <v>25.245000000000001</v>
          </cell>
        </row>
        <row r="7">
          <cell r="B7">
            <v>2.5</v>
          </cell>
          <cell r="C7">
            <v>25.25</v>
          </cell>
          <cell r="D7">
            <v>22.725000000000001</v>
          </cell>
          <cell r="E7">
            <v>22.725000000000001</v>
          </cell>
          <cell r="F7">
            <v>27.775000000000002</v>
          </cell>
        </row>
        <row r="8">
          <cell r="B8">
            <v>3</v>
          </cell>
          <cell r="C8">
            <v>26.85</v>
          </cell>
          <cell r="D8">
            <v>24.165000000000003</v>
          </cell>
          <cell r="E8">
            <v>24.165000000000003</v>
          </cell>
          <cell r="F8">
            <v>29.535000000000004</v>
          </cell>
        </row>
        <row r="9">
          <cell r="B9">
            <v>3.5</v>
          </cell>
          <cell r="C9">
            <v>27.15</v>
          </cell>
          <cell r="D9">
            <v>24.434999999999999</v>
          </cell>
          <cell r="E9">
            <v>24.434999999999999</v>
          </cell>
          <cell r="F9">
            <v>29.865000000000002</v>
          </cell>
        </row>
        <row r="10">
          <cell r="B10">
            <v>4</v>
          </cell>
          <cell r="C10">
            <v>28.75</v>
          </cell>
          <cell r="D10">
            <v>25.875</v>
          </cell>
          <cell r="E10">
            <v>25.875</v>
          </cell>
          <cell r="F10">
            <v>31.625000000000004</v>
          </cell>
        </row>
        <row r="11">
          <cell r="B11">
            <v>4.5</v>
          </cell>
          <cell r="C11">
            <v>30.2</v>
          </cell>
          <cell r="D11">
            <v>27.18</v>
          </cell>
          <cell r="E11">
            <v>27.18</v>
          </cell>
          <cell r="F11">
            <v>33.22</v>
          </cell>
        </row>
        <row r="12">
          <cell r="B12">
            <v>5</v>
          </cell>
          <cell r="C12">
            <v>31.75</v>
          </cell>
          <cell r="D12">
            <v>28.574999999999999</v>
          </cell>
          <cell r="E12">
            <v>28.574999999999999</v>
          </cell>
          <cell r="F12">
            <v>34.925000000000004</v>
          </cell>
        </row>
        <row r="13">
          <cell r="B13">
            <v>5.5</v>
          </cell>
          <cell r="C13">
            <v>33.299999999999997</v>
          </cell>
          <cell r="D13">
            <v>29.97</v>
          </cell>
          <cell r="E13">
            <v>29.97</v>
          </cell>
          <cell r="F13">
            <v>36.630000000000003</v>
          </cell>
        </row>
        <row r="14">
          <cell r="B14">
            <v>6</v>
          </cell>
          <cell r="C14">
            <v>33.5</v>
          </cell>
          <cell r="D14">
            <v>30.150000000000002</v>
          </cell>
          <cell r="E14">
            <v>30.150000000000002</v>
          </cell>
          <cell r="F14">
            <v>36.85</v>
          </cell>
        </row>
        <row r="15">
          <cell r="B15">
            <v>6.5</v>
          </cell>
          <cell r="C15">
            <v>36.35</v>
          </cell>
          <cell r="D15">
            <v>32.715000000000003</v>
          </cell>
          <cell r="E15">
            <v>32.715000000000003</v>
          </cell>
          <cell r="F15">
            <v>39.985000000000007</v>
          </cell>
        </row>
        <row r="16">
          <cell r="B16">
            <v>7</v>
          </cell>
          <cell r="C16">
            <v>37.75</v>
          </cell>
          <cell r="D16">
            <v>33.975000000000001</v>
          </cell>
          <cell r="E16">
            <v>33.975000000000001</v>
          </cell>
          <cell r="F16">
            <v>41.525000000000006</v>
          </cell>
        </row>
        <row r="17">
          <cell r="B17">
            <v>7.5</v>
          </cell>
          <cell r="C17">
            <v>39.35</v>
          </cell>
          <cell r="D17">
            <v>35.414999999999999</v>
          </cell>
          <cell r="E17">
            <v>35.414999999999999</v>
          </cell>
          <cell r="F17">
            <v>43.285000000000004</v>
          </cell>
        </row>
        <row r="18">
          <cell r="B18">
            <v>8</v>
          </cell>
          <cell r="C18">
            <v>40.700000000000003</v>
          </cell>
          <cell r="D18">
            <v>36.630000000000003</v>
          </cell>
          <cell r="E18">
            <v>36.630000000000003</v>
          </cell>
          <cell r="F18">
            <v>44.77000000000001</v>
          </cell>
        </row>
        <row r="19">
          <cell r="B19">
            <v>8.5</v>
          </cell>
          <cell r="C19">
            <v>42.25</v>
          </cell>
          <cell r="D19">
            <v>38.024999999999999</v>
          </cell>
          <cell r="E19">
            <v>38.024999999999999</v>
          </cell>
          <cell r="F19">
            <v>46.475000000000001</v>
          </cell>
        </row>
        <row r="20">
          <cell r="B20">
            <v>9</v>
          </cell>
          <cell r="C20">
            <v>43.6</v>
          </cell>
          <cell r="D20">
            <v>39.24</v>
          </cell>
          <cell r="E20">
            <v>39.24</v>
          </cell>
          <cell r="F20">
            <v>47.960000000000008</v>
          </cell>
        </row>
        <row r="21">
          <cell r="B21">
            <v>9.5</v>
          </cell>
          <cell r="C21">
            <v>45.1</v>
          </cell>
          <cell r="D21">
            <v>40.590000000000003</v>
          </cell>
          <cell r="E21">
            <v>40.590000000000003</v>
          </cell>
          <cell r="F21">
            <v>49.610000000000007</v>
          </cell>
        </row>
        <row r="22">
          <cell r="B22">
            <v>10</v>
          </cell>
          <cell r="C22">
            <v>46.35</v>
          </cell>
          <cell r="D22">
            <v>41.715000000000003</v>
          </cell>
          <cell r="E22">
            <v>41.715000000000003</v>
          </cell>
          <cell r="F22">
            <v>50.985000000000007</v>
          </cell>
        </row>
        <row r="23">
          <cell r="B23">
            <v>10.5</v>
          </cell>
          <cell r="C23">
            <v>47.45</v>
          </cell>
          <cell r="D23">
            <v>42.705000000000005</v>
          </cell>
          <cell r="E23">
            <v>42.705000000000005</v>
          </cell>
          <cell r="F23">
            <v>52.195000000000007</v>
          </cell>
        </row>
        <row r="24">
          <cell r="B24">
            <v>11</v>
          </cell>
          <cell r="C24">
            <v>48.6</v>
          </cell>
          <cell r="D24">
            <v>43.74</v>
          </cell>
          <cell r="E24">
            <v>43.74</v>
          </cell>
          <cell r="F24">
            <v>53.460000000000008</v>
          </cell>
        </row>
        <row r="25">
          <cell r="B25">
            <v>11.5</v>
          </cell>
          <cell r="C25">
            <v>49.65</v>
          </cell>
          <cell r="D25">
            <v>44.685000000000002</v>
          </cell>
          <cell r="E25">
            <v>44.685000000000002</v>
          </cell>
          <cell r="F25">
            <v>54.615000000000002</v>
          </cell>
        </row>
        <row r="26">
          <cell r="B26">
            <v>12</v>
          </cell>
          <cell r="C26">
            <v>50.75</v>
          </cell>
          <cell r="D26">
            <v>45.675000000000004</v>
          </cell>
          <cell r="E26">
            <v>45.675000000000004</v>
          </cell>
          <cell r="F26">
            <v>55.825000000000003</v>
          </cell>
        </row>
        <row r="27">
          <cell r="B27">
            <v>12.5</v>
          </cell>
          <cell r="C27">
            <v>51.75</v>
          </cell>
          <cell r="D27">
            <v>46.575000000000003</v>
          </cell>
          <cell r="E27">
            <v>46.575000000000003</v>
          </cell>
          <cell r="F27">
            <v>56.925000000000004</v>
          </cell>
        </row>
        <row r="28">
          <cell r="B28">
            <v>13</v>
          </cell>
          <cell r="C28">
            <v>52.8</v>
          </cell>
          <cell r="D28">
            <v>47.519999999999996</v>
          </cell>
          <cell r="E28">
            <v>47.519999999999996</v>
          </cell>
          <cell r="F28">
            <v>58.08</v>
          </cell>
        </row>
        <row r="29">
          <cell r="B29">
            <v>13.5</v>
          </cell>
          <cell r="C29">
            <v>53.85</v>
          </cell>
          <cell r="D29">
            <v>48.465000000000003</v>
          </cell>
          <cell r="E29">
            <v>48.465000000000003</v>
          </cell>
          <cell r="F29">
            <v>59.235000000000007</v>
          </cell>
        </row>
        <row r="30">
          <cell r="B30">
            <v>14</v>
          </cell>
          <cell r="C30">
            <v>54.95</v>
          </cell>
          <cell r="D30">
            <v>49.455000000000005</v>
          </cell>
          <cell r="E30">
            <v>49.455000000000005</v>
          </cell>
          <cell r="F30">
            <v>60.445000000000007</v>
          </cell>
        </row>
        <row r="31">
          <cell r="B31">
            <v>14.5</v>
          </cell>
          <cell r="C31">
            <v>55.9</v>
          </cell>
          <cell r="D31">
            <v>50.31</v>
          </cell>
          <cell r="E31">
            <v>50.31</v>
          </cell>
          <cell r="F31">
            <v>61.49</v>
          </cell>
        </row>
        <row r="32">
          <cell r="B32">
            <v>15</v>
          </cell>
          <cell r="C32">
            <v>56.95</v>
          </cell>
          <cell r="D32">
            <v>51.255000000000003</v>
          </cell>
          <cell r="E32">
            <v>51.255000000000003</v>
          </cell>
          <cell r="F32">
            <v>62.64500000000001</v>
          </cell>
        </row>
        <row r="33">
          <cell r="B33">
            <v>15.5</v>
          </cell>
          <cell r="C33">
            <v>58.3</v>
          </cell>
          <cell r="D33">
            <v>52.47</v>
          </cell>
          <cell r="E33">
            <v>52.47</v>
          </cell>
          <cell r="F33">
            <v>64.13</v>
          </cell>
        </row>
        <row r="34">
          <cell r="B34">
            <v>16</v>
          </cell>
          <cell r="C34">
            <v>59.7</v>
          </cell>
          <cell r="D34">
            <v>53.730000000000004</v>
          </cell>
          <cell r="E34">
            <v>53.730000000000004</v>
          </cell>
          <cell r="F34">
            <v>65.67</v>
          </cell>
        </row>
        <row r="35">
          <cell r="B35">
            <v>16.5</v>
          </cell>
          <cell r="C35">
            <v>61.25</v>
          </cell>
          <cell r="D35">
            <v>55.125</v>
          </cell>
          <cell r="E35">
            <v>55.125</v>
          </cell>
          <cell r="F35">
            <v>67.375</v>
          </cell>
        </row>
        <row r="36">
          <cell r="B36">
            <v>17</v>
          </cell>
          <cell r="C36">
            <v>63.55</v>
          </cell>
          <cell r="D36">
            <v>57.195</v>
          </cell>
          <cell r="E36">
            <v>57.195</v>
          </cell>
          <cell r="F36">
            <v>69.905000000000001</v>
          </cell>
        </row>
        <row r="37">
          <cell r="B37">
            <v>17.5</v>
          </cell>
          <cell r="C37">
            <v>64</v>
          </cell>
          <cell r="D37">
            <v>57.6</v>
          </cell>
          <cell r="E37">
            <v>57.6</v>
          </cell>
          <cell r="F37">
            <v>70.400000000000006</v>
          </cell>
        </row>
        <row r="38">
          <cell r="B38">
            <v>18</v>
          </cell>
          <cell r="C38">
            <v>65.349999999999994</v>
          </cell>
          <cell r="D38">
            <v>58.814999999999998</v>
          </cell>
          <cell r="E38">
            <v>58.814999999999998</v>
          </cell>
          <cell r="F38">
            <v>71.885000000000005</v>
          </cell>
        </row>
        <row r="39">
          <cell r="B39">
            <v>18.5</v>
          </cell>
          <cell r="C39">
            <v>66.75</v>
          </cell>
          <cell r="D39">
            <v>60.075000000000003</v>
          </cell>
          <cell r="E39">
            <v>60.075000000000003</v>
          </cell>
          <cell r="F39">
            <v>73.425000000000011</v>
          </cell>
        </row>
        <row r="40">
          <cell r="B40">
            <v>19</v>
          </cell>
          <cell r="C40">
            <v>68.25</v>
          </cell>
          <cell r="D40">
            <v>61.425000000000004</v>
          </cell>
          <cell r="E40">
            <v>61.425000000000004</v>
          </cell>
          <cell r="F40">
            <v>75.075000000000003</v>
          </cell>
        </row>
        <row r="41">
          <cell r="B41">
            <v>19.5</v>
          </cell>
          <cell r="C41">
            <v>69.7</v>
          </cell>
          <cell r="D41">
            <v>62.730000000000004</v>
          </cell>
          <cell r="E41">
            <v>62.730000000000004</v>
          </cell>
          <cell r="F41">
            <v>76.670000000000016</v>
          </cell>
        </row>
        <row r="42">
          <cell r="B42">
            <v>20</v>
          </cell>
          <cell r="C42">
            <v>71.05</v>
          </cell>
          <cell r="D42">
            <v>63.945</v>
          </cell>
          <cell r="E42">
            <v>63.945</v>
          </cell>
          <cell r="F42">
            <v>78.155000000000001</v>
          </cell>
        </row>
        <row r="43">
          <cell r="B43">
            <v>20.5</v>
          </cell>
          <cell r="C43">
            <v>72.55</v>
          </cell>
          <cell r="D43">
            <v>65.295000000000002</v>
          </cell>
          <cell r="E43">
            <v>65.295000000000002</v>
          </cell>
          <cell r="F43">
            <v>79.805000000000007</v>
          </cell>
        </row>
        <row r="44">
          <cell r="B44">
            <v>21</v>
          </cell>
          <cell r="C44">
            <v>73.900000000000006</v>
          </cell>
          <cell r="D44">
            <v>66.510000000000005</v>
          </cell>
          <cell r="E44">
            <v>66.510000000000005</v>
          </cell>
          <cell r="F44">
            <v>81.290000000000006</v>
          </cell>
        </row>
        <row r="45">
          <cell r="B45">
            <v>21.5</v>
          </cell>
          <cell r="C45">
            <v>75.3</v>
          </cell>
          <cell r="D45">
            <v>67.77</v>
          </cell>
          <cell r="E45">
            <v>67.77</v>
          </cell>
          <cell r="F45">
            <v>82.83</v>
          </cell>
        </row>
        <row r="46">
          <cell r="B46">
            <v>22</v>
          </cell>
          <cell r="C46">
            <v>76.75</v>
          </cell>
          <cell r="D46">
            <v>69.075000000000003</v>
          </cell>
          <cell r="E46">
            <v>69.075000000000003</v>
          </cell>
          <cell r="F46">
            <v>84.425000000000011</v>
          </cell>
        </row>
        <row r="47">
          <cell r="B47">
            <v>22.5</v>
          </cell>
          <cell r="C47">
            <v>78.2</v>
          </cell>
          <cell r="D47">
            <v>70.38000000000001</v>
          </cell>
          <cell r="E47">
            <v>70.38000000000001</v>
          </cell>
          <cell r="F47">
            <v>86.02000000000001</v>
          </cell>
        </row>
        <row r="48">
          <cell r="B48">
            <v>23</v>
          </cell>
          <cell r="C48">
            <v>79.599999999999994</v>
          </cell>
          <cell r="D48">
            <v>71.64</v>
          </cell>
          <cell r="E48">
            <v>71.64</v>
          </cell>
          <cell r="F48">
            <v>87.56</v>
          </cell>
        </row>
        <row r="49">
          <cell r="B49">
            <v>23.5</v>
          </cell>
          <cell r="C49">
            <v>81</v>
          </cell>
          <cell r="D49">
            <v>72.900000000000006</v>
          </cell>
          <cell r="E49">
            <v>72.900000000000006</v>
          </cell>
          <cell r="F49">
            <v>89.100000000000009</v>
          </cell>
        </row>
        <row r="50">
          <cell r="B50">
            <v>24</v>
          </cell>
          <cell r="C50">
            <v>82.45</v>
          </cell>
          <cell r="D50">
            <v>74.204999999999998</v>
          </cell>
          <cell r="E50">
            <v>74.204999999999998</v>
          </cell>
          <cell r="F50">
            <v>90.695000000000007</v>
          </cell>
        </row>
        <row r="51">
          <cell r="B51">
            <v>24.5</v>
          </cell>
          <cell r="C51">
            <v>83.85</v>
          </cell>
          <cell r="D51">
            <v>75.465000000000003</v>
          </cell>
          <cell r="E51">
            <v>75.465000000000003</v>
          </cell>
          <cell r="F51">
            <v>92.234999999999999</v>
          </cell>
        </row>
        <row r="52">
          <cell r="B52">
            <v>25</v>
          </cell>
          <cell r="C52">
            <v>85.3</v>
          </cell>
          <cell r="D52">
            <v>76.77</v>
          </cell>
          <cell r="E52">
            <v>76.77</v>
          </cell>
          <cell r="F52">
            <v>93.83</v>
          </cell>
        </row>
        <row r="53">
          <cell r="B53">
            <v>25.5</v>
          </cell>
          <cell r="C53">
            <v>86.65</v>
          </cell>
          <cell r="D53">
            <v>77.985000000000014</v>
          </cell>
          <cell r="E53">
            <v>77.985000000000014</v>
          </cell>
          <cell r="F53">
            <v>95.315000000000012</v>
          </cell>
        </row>
        <row r="54">
          <cell r="B54">
            <v>26</v>
          </cell>
          <cell r="C54">
            <v>88.15</v>
          </cell>
          <cell r="D54">
            <v>79.335000000000008</v>
          </cell>
          <cell r="E54">
            <v>79.335000000000008</v>
          </cell>
          <cell r="F54">
            <v>96.965000000000018</v>
          </cell>
        </row>
        <row r="55">
          <cell r="B55">
            <v>26.5</v>
          </cell>
          <cell r="C55">
            <v>89.55</v>
          </cell>
          <cell r="D55">
            <v>80.594999999999999</v>
          </cell>
          <cell r="E55">
            <v>80.594999999999999</v>
          </cell>
          <cell r="F55">
            <v>98.50500000000001</v>
          </cell>
        </row>
        <row r="56">
          <cell r="B56">
            <v>27</v>
          </cell>
          <cell r="C56">
            <v>91</v>
          </cell>
          <cell r="D56">
            <v>81.900000000000006</v>
          </cell>
          <cell r="E56">
            <v>81.900000000000006</v>
          </cell>
          <cell r="F56">
            <v>100.10000000000001</v>
          </cell>
        </row>
        <row r="57">
          <cell r="B57">
            <v>27.5</v>
          </cell>
          <cell r="C57">
            <v>92.35</v>
          </cell>
          <cell r="D57">
            <v>83.114999999999995</v>
          </cell>
          <cell r="E57">
            <v>83.114999999999995</v>
          </cell>
          <cell r="F57">
            <v>101.58500000000001</v>
          </cell>
        </row>
        <row r="58">
          <cell r="B58">
            <v>28</v>
          </cell>
          <cell r="C58">
            <v>93.75</v>
          </cell>
          <cell r="D58">
            <v>84.375</v>
          </cell>
          <cell r="E58">
            <v>84.375</v>
          </cell>
          <cell r="F58">
            <v>103.12500000000001</v>
          </cell>
        </row>
        <row r="59">
          <cell r="B59">
            <v>28.5</v>
          </cell>
          <cell r="C59">
            <v>95.25</v>
          </cell>
          <cell r="D59">
            <v>85.725000000000009</v>
          </cell>
          <cell r="E59">
            <v>85.725000000000009</v>
          </cell>
          <cell r="F59">
            <v>104.77500000000001</v>
          </cell>
        </row>
        <row r="60">
          <cell r="B60">
            <v>29</v>
          </cell>
          <cell r="C60">
            <v>96.6</v>
          </cell>
          <cell r="D60">
            <v>86.94</v>
          </cell>
          <cell r="E60">
            <v>86.94</v>
          </cell>
          <cell r="F60">
            <v>106.26</v>
          </cell>
        </row>
        <row r="61">
          <cell r="B61">
            <v>29.5</v>
          </cell>
          <cell r="C61">
            <v>98.05</v>
          </cell>
          <cell r="D61">
            <v>88.245000000000005</v>
          </cell>
          <cell r="E61">
            <v>88.245000000000005</v>
          </cell>
          <cell r="F61">
            <v>107.855</v>
          </cell>
        </row>
        <row r="62">
          <cell r="B62">
            <v>30</v>
          </cell>
          <cell r="C62">
            <v>99.4</v>
          </cell>
          <cell r="D62">
            <v>89.460000000000008</v>
          </cell>
          <cell r="E62">
            <v>89.460000000000008</v>
          </cell>
          <cell r="F62">
            <v>109.34000000000002</v>
          </cell>
        </row>
        <row r="63">
          <cell r="B63">
            <v>31</v>
          </cell>
          <cell r="C63">
            <v>101</v>
          </cell>
          <cell r="D63">
            <v>90.9</v>
          </cell>
          <cell r="E63">
            <v>90.9</v>
          </cell>
          <cell r="F63">
            <v>111.10000000000001</v>
          </cell>
        </row>
        <row r="64">
          <cell r="B64">
            <v>32</v>
          </cell>
          <cell r="C64">
            <v>102.60000000000001</v>
          </cell>
          <cell r="D64">
            <v>92.34</v>
          </cell>
          <cell r="E64">
            <v>92.34</v>
          </cell>
          <cell r="F64">
            <v>112.86000000000001</v>
          </cell>
        </row>
        <row r="65">
          <cell r="B65">
            <v>33</v>
          </cell>
          <cell r="C65">
            <v>104.2</v>
          </cell>
          <cell r="D65">
            <v>93.78</v>
          </cell>
          <cell r="E65">
            <v>93.78</v>
          </cell>
          <cell r="F65">
            <v>114.62000000000002</v>
          </cell>
        </row>
        <row r="66">
          <cell r="B66">
            <v>34</v>
          </cell>
          <cell r="C66">
            <v>105.80000000000001</v>
          </cell>
          <cell r="D66">
            <v>95.220000000000013</v>
          </cell>
          <cell r="E66">
            <v>95.220000000000013</v>
          </cell>
          <cell r="F66">
            <v>116.38000000000002</v>
          </cell>
        </row>
        <row r="67">
          <cell r="B67">
            <v>35</v>
          </cell>
          <cell r="C67">
            <v>107.4</v>
          </cell>
          <cell r="D67">
            <v>96.660000000000011</v>
          </cell>
          <cell r="E67">
            <v>96.660000000000011</v>
          </cell>
          <cell r="F67">
            <v>118.14000000000001</v>
          </cell>
        </row>
        <row r="68">
          <cell r="B68">
            <v>36</v>
          </cell>
          <cell r="C68">
            <v>109</v>
          </cell>
          <cell r="D68">
            <v>98.100000000000009</v>
          </cell>
          <cell r="E68">
            <v>98.100000000000009</v>
          </cell>
          <cell r="F68">
            <v>119.9</v>
          </cell>
        </row>
        <row r="69">
          <cell r="B69">
            <v>37</v>
          </cell>
          <cell r="C69">
            <v>110.60000000000001</v>
          </cell>
          <cell r="D69">
            <v>99.54</v>
          </cell>
          <cell r="E69">
            <v>99.54</v>
          </cell>
          <cell r="F69">
            <v>121.66000000000003</v>
          </cell>
        </row>
        <row r="70">
          <cell r="B70">
            <v>38</v>
          </cell>
          <cell r="C70">
            <v>112.2</v>
          </cell>
          <cell r="D70">
            <v>100.98</v>
          </cell>
          <cell r="E70">
            <v>100.98</v>
          </cell>
          <cell r="F70">
            <v>123.42000000000002</v>
          </cell>
        </row>
        <row r="71">
          <cell r="B71">
            <v>39</v>
          </cell>
          <cell r="C71">
            <v>113.80000000000001</v>
          </cell>
          <cell r="D71">
            <v>102.42000000000002</v>
          </cell>
          <cell r="E71">
            <v>102.42000000000002</v>
          </cell>
          <cell r="F71">
            <v>125.18000000000002</v>
          </cell>
        </row>
        <row r="72">
          <cell r="B72">
            <v>40</v>
          </cell>
          <cell r="C72">
            <v>115.4</v>
          </cell>
          <cell r="D72">
            <v>103.86000000000001</v>
          </cell>
          <cell r="E72">
            <v>103.86000000000001</v>
          </cell>
          <cell r="F72">
            <v>126.94000000000001</v>
          </cell>
        </row>
        <row r="73">
          <cell r="B73">
            <v>41</v>
          </cell>
          <cell r="C73">
            <v>117</v>
          </cell>
          <cell r="D73">
            <v>105.3</v>
          </cell>
          <cell r="E73">
            <v>105.3</v>
          </cell>
          <cell r="F73">
            <v>128.70000000000002</v>
          </cell>
        </row>
        <row r="74">
          <cell r="B74">
            <v>42</v>
          </cell>
          <cell r="C74">
            <v>118.60000000000001</v>
          </cell>
          <cell r="D74">
            <v>106.74000000000001</v>
          </cell>
          <cell r="E74">
            <v>106.74000000000001</v>
          </cell>
          <cell r="F74">
            <v>130.46</v>
          </cell>
        </row>
        <row r="75">
          <cell r="B75">
            <v>43</v>
          </cell>
          <cell r="C75">
            <v>120.2</v>
          </cell>
          <cell r="D75">
            <v>108.18</v>
          </cell>
          <cell r="E75">
            <v>108.18</v>
          </cell>
          <cell r="F75">
            <v>132.22000000000003</v>
          </cell>
        </row>
        <row r="76">
          <cell r="B76">
            <v>44</v>
          </cell>
          <cell r="C76">
            <v>121.80000000000001</v>
          </cell>
          <cell r="D76">
            <v>109.62000000000002</v>
          </cell>
          <cell r="E76">
            <v>109.62000000000002</v>
          </cell>
          <cell r="F76">
            <v>133.98000000000002</v>
          </cell>
        </row>
        <row r="77">
          <cell r="B77">
            <v>45</v>
          </cell>
          <cell r="C77">
            <v>123.4</v>
          </cell>
          <cell r="D77">
            <v>111.06</v>
          </cell>
          <cell r="E77">
            <v>111.06</v>
          </cell>
          <cell r="F77">
            <v>135.74</v>
          </cell>
        </row>
        <row r="78">
          <cell r="B78">
            <v>46</v>
          </cell>
          <cell r="C78">
            <v>125</v>
          </cell>
          <cell r="D78">
            <v>112.5</v>
          </cell>
          <cell r="E78">
            <v>112.5</v>
          </cell>
          <cell r="F78">
            <v>137.5</v>
          </cell>
        </row>
        <row r="79">
          <cell r="B79">
            <v>47</v>
          </cell>
          <cell r="C79">
            <v>126.60000000000001</v>
          </cell>
          <cell r="D79">
            <v>113.94000000000001</v>
          </cell>
          <cell r="E79">
            <v>113.94000000000001</v>
          </cell>
          <cell r="F79">
            <v>139.26000000000002</v>
          </cell>
        </row>
        <row r="80">
          <cell r="B80">
            <v>48</v>
          </cell>
          <cell r="C80">
            <v>128.20000000000002</v>
          </cell>
          <cell r="D80">
            <v>115.38000000000002</v>
          </cell>
          <cell r="E80">
            <v>115.38000000000002</v>
          </cell>
          <cell r="F80">
            <v>141.02000000000004</v>
          </cell>
        </row>
        <row r="81">
          <cell r="B81">
            <v>49</v>
          </cell>
          <cell r="C81">
            <v>129.80000000000001</v>
          </cell>
          <cell r="D81">
            <v>116.82000000000001</v>
          </cell>
          <cell r="E81">
            <v>116.82000000000001</v>
          </cell>
          <cell r="F81">
            <v>142.78000000000003</v>
          </cell>
        </row>
        <row r="82">
          <cell r="B82">
            <v>50</v>
          </cell>
          <cell r="C82">
            <v>131.4</v>
          </cell>
          <cell r="D82">
            <v>118.26</v>
          </cell>
          <cell r="E82">
            <v>118.26</v>
          </cell>
          <cell r="F82">
            <v>144.54000000000002</v>
          </cell>
        </row>
        <row r="83">
          <cell r="B83">
            <v>51</v>
          </cell>
          <cell r="C83">
            <v>133</v>
          </cell>
          <cell r="D83">
            <v>119.7</v>
          </cell>
          <cell r="E83">
            <v>119.7</v>
          </cell>
          <cell r="F83">
            <v>146.30000000000001</v>
          </cell>
        </row>
        <row r="84">
          <cell r="B84">
            <v>52</v>
          </cell>
          <cell r="C84">
            <v>134.60000000000002</v>
          </cell>
          <cell r="D84">
            <v>121.14000000000003</v>
          </cell>
          <cell r="E84">
            <v>121.14000000000003</v>
          </cell>
          <cell r="F84">
            <v>148.06000000000003</v>
          </cell>
        </row>
        <row r="85">
          <cell r="B85">
            <v>53</v>
          </cell>
          <cell r="C85">
            <v>136.20000000000002</v>
          </cell>
          <cell r="D85">
            <v>122.58000000000001</v>
          </cell>
          <cell r="E85">
            <v>122.58000000000001</v>
          </cell>
          <cell r="F85">
            <v>149.82000000000002</v>
          </cell>
        </row>
        <row r="86">
          <cell r="B86">
            <v>54</v>
          </cell>
          <cell r="C86">
            <v>137.80000000000001</v>
          </cell>
          <cell r="D86">
            <v>124.02000000000001</v>
          </cell>
          <cell r="E86">
            <v>124.02000000000001</v>
          </cell>
          <cell r="F86">
            <v>151.58000000000001</v>
          </cell>
        </row>
        <row r="87">
          <cell r="B87">
            <v>55</v>
          </cell>
          <cell r="C87">
            <v>139.4</v>
          </cell>
          <cell r="D87">
            <v>125.46000000000001</v>
          </cell>
          <cell r="E87">
            <v>125.46000000000001</v>
          </cell>
          <cell r="F87">
            <v>153.34000000000003</v>
          </cell>
        </row>
        <row r="88">
          <cell r="B88">
            <v>56</v>
          </cell>
          <cell r="C88">
            <v>141</v>
          </cell>
          <cell r="D88">
            <v>126.9</v>
          </cell>
          <cell r="E88">
            <v>126.9</v>
          </cell>
          <cell r="F88">
            <v>155.10000000000002</v>
          </cell>
        </row>
        <row r="89">
          <cell r="B89">
            <v>57</v>
          </cell>
          <cell r="C89">
            <v>142.60000000000002</v>
          </cell>
          <cell r="D89">
            <v>128.34000000000003</v>
          </cell>
          <cell r="E89">
            <v>128.34000000000003</v>
          </cell>
          <cell r="F89">
            <v>156.86000000000004</v>
          </cell>
        </row>
        <row r="90">
          <cell r="B90">
            <v>58</v>
          </cell>
          <cell r="C90">
            <v>144.20000000000002</v>
          </cell>
          <cell r="D90">
            <v>129.78000000000003</v>
          </cell>
          <cell r="E90">
            <v>129.78000000000003</v>
          </cell>
          <cell r="F90">
            <v>158.62000000000003</v>
          </cell>
        </row>
        <row r="91">
          <cell r="B91">
            <v>59</v>
          </cell>
          <cell r="C91">
            <v>145.80000000000001</v>
          </cell>
          <cell r="D91">
            <v>131.22000000000003</v>
          </cell>
          <cell r="E91">
            <v>131.22000000000003</v>
          </cell>
          <cell r="F91">
            <v>160.38000000000002</v>
          </cell>
        </row>
        <row r="92">
          <cell r="B92">
            <v>60</v>
          </cell>
          <cell r="C92">
            <v>147.4</v>
          </cell>
          <cell r="D92">
            <v>132.66</v>
          </cell>
          <cell r="E92">
            <v>132.66</v>
          </cell>
          <cell r="F92">
            <v>162.14000000000001</v>
          </cell>
        </row>
        <row r="93">
          <cell r="B93">
            <v>61</v>
          </cell>
          <cell r="C93">
            <v>148.9</v>
          </cell>
          <cell r="D93">
            <v>134.01000000000002</v>
          </cell>
          <cell r="E93">
            <v>134.01000000000002</v>
          </cell>
          <cell r="F93">
            <v>163.79000000000002</v>
          </cell>
        </row>
        <row r="94">
          <cell r="B94">
            <v>62</v>
          </cell>
          <cell r="C94">
            <v>150.4</v>
          </cell>
          <cell r="D94">
            <v>135.36000000000001</v>
          </cell>
          <cell r="E94">
            <v>135.36000000000001</v>
          </cell>
          <cell r="F94">
            <v>165.44000000000003</v>
          </cell>
        </row>
        <row r="95">
          <cell r="B95">
            <v>63</v>
          </cell>
          <cell r="C95">
            <v>151.9</v>
          </cell>
          <cell r="D95">
            <v>136.71</v>
          </cell>
          <cell r="E95">
            <v>136.71</v>
          </cell>
          <cell r="F95">
            <v>167.09000000000003</v>
          </cell>
        </row>
        <row r="96">
          <cell r="B96">
            <v>64</v>
          </cell>
          <cell r="C96">
            <v>153.4</v>
          </cell>
          <cell r="D96">
            <v>138.06</v>
          </cell>
          <cell r="E96">
            <v>138.06</v>
          </cell>
          <cell r="F96">
            <v>168.74</v>
          </cell>
        </row>
        <row r="97">
          <cell r="B97">
            <v>65</v>
          </cell>
          <cell r="C97">
            <v>154.9</v>
          </cell>
          <cell r="D97">
            <v>139.41</v>
          </cell>
          <cell r="E97">
            <v>139.41</v>
          </cell>
          <cell r="F97">
            <v>170.39000000000001</v>
          </cell>
        </row>
        <row r="98">
          <cell r="B98">
            <v>66</v>
          </cell>
          <cell r="C98">
            <v>156.4</v>
          </cell>
          <cell r="D98">
            <v>140.76000000000002</v>
          </cell>
          <cell r="E98">
            <v>140.76000000000002</v>
          </cell>
          <cell r="F98">
            <v>172.04000000000002</v>
          </cell>
        </row>
        <row r="99">
          <cell r="B99">
            <v>67</v>
          </cell>
          <cell r="C99">
            <v>157.9</v>
          </cell>
          <cell r="D99">
            <v>142.11000000000001</v>
          </cell>
          <cell r="E99">
            <v>142.11000000000001</v>
          </cell>
          <cell r="F99">
            <v>173.69000000000003</v>
          </cell>
        </row>
        <row r="100">
          <cell r="B100">
            <v>68</v>
          </cell>
          <cell r="C100">
            <v>159.4</v>
          </cell>
          <cell r="D100">
            <v>143.46</v>
          </cell>
          <cell r="E100">
            <v>143.46</v>
          </cell>
          <cell r="F100">
            <v>175.34000000000003</v>
          </cell>
        </row>
        <row r="101">
          <cell r="B101">
            <v>69</v>
          </cell>
          <cell r="C101">
            <v>160.9</v>
          </cell>
          <cell r="D101">
            <v>144.81</v>
          </cell>
          <cell r="E101">
            <v>144.81</v>
          </cell>
          <cell r="F101">
            <v>176.99</v>
          </cell>
        </row>
        <row r="102">
          <cell r="B102">
            <v>70</v>
          </cell>
          <cell r="C102">
            <v>162.4</v>
          </cell>
          <cell r="D102">
            <v>146.16</v>
          </cell>
          <cell r="E102">
            <v>146.16</v>
          </cell>
          <cell r="F102">
            <v>178.64000000000001</v>
          </cell>
        </row>
        <row r="103">
          <cell r="B103">
            <v>71</v>
          </cell>
          <cell r="C103">
            <v>163.9</v>
          </cell>
          <cell r="D103">
            <v>147.51000000000002</v>
          </cell>
          <cell r="E103">
            <v>147.51000000000002</v>
          </cell>
          <cell r="F103">
            <v>180.29000000000002</v>
          </cell>
        </row>
        <row r="104">
          <cell r="B104">
            <v>72</v>
          </cell>
          <cell r="C104">
            <v>165.4</v>
          </cell>
          <cell r="D104">
            <v>148.86000000000001</v>
          </cell>
          <cell r="E104">
            <v>148.86000000000001</v>
          </cell>
          <cell r="F104">
            <v>181.94000000000003</v>
          </cell>
        </row>
        <row r="105">
          <cell r="B105">
            <v>73</v>
          </cell>
          <cell r="C105">
            <v>166.9</v>
          </cell>
          <cell r="D105">
            <v>150.21</v>
          </cell>
          <cell r="E105">
            <v>150.21</v>
          </cell>
          <cell r="F105">
            <v>183.59000000000003</v>
          </cell>
        </row>
        <row r="106">
          <cell r="B106">
            <v>74</v>
          </cell>
          <cell r="C106">
            <v>168.4</v>
          </cell>
          <cell r="D106">
            <v>151.56</v>
          </cell>
          <cell r="E106">
            <v>151.56</v>
          </cell>
          <cell r="F106">
            <v>185.24</v>
          </cell>
        </row>
        <row r="107">
          <cell r="B107">
            <v>75</v>
          </cell>
          <cell r="C107">
            <v>169.9</v>
          </cell>
          <cell r="D107">
            <v>152.91</v>
          </cell>
          <cell r="E107">
            <v>152.91</v>
          </cell>
          <cell r="F107">
            <v>186.89000000000001</v>
          </cell>
        </row>
        <row r="108">
          <cell r="B108">
            <v>76</v>
          </cell>
          <cell r="C108">
            <v>171.4</v>
          </cell>
          <cell r="D108">
            <v>154.26000000000002</v>
          </cell>
          <cell r="E108">
            <v>154.26000000000002</v>
          </cell>
          <cell r="F108">
            <v>188.54000000000002</v>
          </cell>
        </row>
        <row r="109">
          <cell r="B109">
            <v>77</v>
          </cell>
          <cell r="C109">
            <v>172.9</v>
          </cell>
          <cell r="D109">
            <v>155.61000000000001</v>
          </cell>
          <cell r="E109">
            <v>155.61000000000001</v>
          </cell>
          <cell r="F109">
            <v>190.19000000000003</v>
          </cell>
        </row>
        <row r="110">
          <cell r="B110">
            <v>78</v>
          </cell>
          <cell r="C110">
            <v>174.4</v>
          </cell>
          <cell r="D110">
            <v>156.96</v>
          </cell>
          <cell r="E110">
            <v>156.96</v>
          </cell>
          <cell r="F110">
            <v>191.84000000000003</v>
          </cell>
        </row>
        <row r="111">
          <cell r="B111">
            <v>79</v>
          </cell>
          <cell r="C111">
            <v>175.9</v>
          </cell>
          <cell r="D111">
            <v>158.31</v>
          </cell>
          <cell r="E111">
            <v>158.31</v>
          </cell>
          <cell r="F111">
            <v>193.49</v>
          </cell>
        </row>
        <row r="112">
          <cell r="B112">
            <v>80</v>
          </cell>
          <cell r="C112">
            <v>177.4</v>
          </cell>
          <cell r="D112">
            <v>159.66</v>
          </cell>
          <cell r="E112">
            <v>159.66</v>
          </cell>
          <cell r="F112">
            <v>195.14000000000001</v>
          </cell>
        </row>
        <row r="113">
          <cell r="B113">
            <v>81</v>
          </cell>
          <cell r="C113">
            <v>178.9</v>
          </cell>
          <cell r="D113">
            <v>161.01000000000002</v>
          </cell>
          <cell r="E113">
            <v>161.01000000000002</v>
          </cell>
          <cell r="F113">
            <v>196.79000000000002</v>
          </cell>
        </row>
        <row r="114">
          <cell r="B114">
            <v>82</v>
          </cell>
          <cell r="C114">
            <v>180.4</v>
          </cell>
          <cell r="D114">
            <v>162.36000000000001</v>
          </cell>
          <cell r="E114">
            <v>162.36000000000001</v>
          </cell>
          <cell r="F114">
            <v>198.44000000000003</v>
          </cell>
        </row>
        <row r="115">
          <cell r="B115">
            <v>83</v>
          </cell>
          <cell r="C115">
            <v>181.9</v>
          </cell>
          <cell r="D115">
            <v>163.71</v>
          </cell>
          <cell r="E115">
            <v>163.71</v>
          </cell>
          <cell r="F115">
            <v>200.09000000000003</v>
          </cell>
        </row>
        <row r="116">
          <cell r="B116">
            <v>84</v>
          </cell>
          <cell r="C116">
            <v>183.4</v>
          </cell>
          <cell r="D116">
            <v>165.06</v>
          </cell>
          <cell r="E116">
            <v>165.06</v>
          </cell>
          <cell r="F116">
            <v>201.74</v>
          </cell>
        </row>
        <row r="117">
          <cell r="B117">
            <v>85</v>
          </cell>
          <cell r="C117">
            <v>184.9</v>
          </cell>
          <cell r="D117">
            <v>166.41</v>
          </cell>
          <cell r="E117">
            <v>166.41</v>
          </cell>
          <cell r="F117">
            <v>203.39000000000001</v>
          </cell>
        </row>
        <row r="118">
          <cell r="B118">
            <v>86</v>
          </cell>
          <cell r="C118">
            <v>186.4</v>
          </cell>
          <cell r="D118">
            <v>167.76000000000002</v>
          </cell>
          <cell r="E118">
            <v>167.76000000000002</v>
          </cell>
          <cell r="F118">
            <v>205.04000000000002</v>
          </cell>
        </row>
        <row r="119">
          <cell r="B119">
            <v>87</v>
          </cell>
          <cell r="C119">
            <v>187.9</v>
          </cell>
          <cell r="D119">
            <v>169.11</v>
          </cell>
          <cell r="E119">
            <v>169.11</v>
          </cell>
          <cell r="F119">
            <v>206.69000000000003</v>
          </cell>
        </row>
        <row r="120">
          <cell r="B120">
            <v>88</v>
          </cell>
          <cell r="C120">
            <v>189.4</v>
          </cell>
          <cell r="D120">
            <v>170.46</v>
          </cell>
          <cell r="E120">
            <v>170.46</v>
          </cell>
          <cell r="F120">
            <v>208.34000000000003</v>
          </cell>
        </row>
        <row r="121">
          <cell r="B121">
            <v>89</v>
          </cell>
          <cell r="C121">
            <v>190.9</v>
          </cell>
          <cell r="D121">
            <v>171.81</v>
          </cell>
          <cell r="E121">
            <v>171.81</v>
          </cell>
          <cell r="F121">
            <v>209.99</v>
          </cell>
        </row>
        <row r="122">
          <cell r="B122">
            <v>90</v>
          </cell>
          <cell r="C122">
            <v>192.4</v>
          </cell>
          <cell r="D122">
            <v>173.16</v>
          </cell>
          <cell r="E122">
            <v>173.16</v>
          </cell>
          <cell r="F122">
            <v>211.64000000000001</v>
          </cell>
        </row>
        <row r="123">
          <cell r="B123">
            <v>91</v>
          </cell>
          <cell r="C123">
            <v>193.9</v>
          </cell>
          <cell r="D123">
            <v>174.51000000000002</v>
          </cell>
          <cell r="E123">
            <v>174.51000000000002</v>
          </cell>
          <cell r="F123">
            <v>213.29000000000002</v>
          </cell>
        </row>
        <row r="124">
          <cell r="B124">
            <v>92</v>
          </cell>
          <cell r="C124">
            <v>195.4</v>
          </cell>
          <cell r="D124">
            <v>175.86</v>
          </cell>
          <cell r="E124">
            <v>175.86</v>
          </cell>
          <cell r="F124">
            <v>214.94000000000003</v>
          </cell>
        </row>
        <row r="125">
          <cell r="B125">
            <v>93</v>
          </cell>
          <cell r="C125">
            <v>196.9</v>
          </cell>
          <cell r="D125">
            <v>177.21</v>
          </cell>
          <cell r="E125">
            <v>177.21</v>
          </cell>
          <cell r="F125">
            <v>216.59000000000003</v>
          </cell>
        </row>
        <row r="126">
          <cell r="B126">
            <v>94</v>
          </cell>
          <cell r="C126">
            <v>198.4</v>
          </cell>
          <cell r="D126">
            <v>178.56</v>
          </cell>
          <cell r="E126">
            <v>178.56</v>
          </cell>
          <cell r="F126">
            <v>218.24000000000004</v>
          </cell>
        </row>
        <row r="127">
          <cell r="B127">
            <v>95</v>
          </cell>
          <cell r="C127">
            <v>199.9</v>
          </cell>
          <cell r="D127">
            <v>179.91</v>
          </cell>
          <cell r="E127">
            <v>179.91</v>
          </cell>
          <cell r="F127">
            <v>219.89000000000001</v>
          </cell>
        </row>
        <row r="128">
          <cell r="B128">
            <v>96</v>
          </cell>
          <cell r="C128">
            <v>201.4</v>
          </cell>
          <cell r="D128">
            <v>181.26000000000002</v>
          </cell>
          <cell r="E128">
            <v>181.26000000000002</v>
          </cell>
          <cell r="F128">
            <v>221.54000000000002</v>
          </cell>
        </row>
        <row r="129">
          <cell r="B129">
            <v>97</v>
          </cell>
          <cell r="C129">
            <v>202.9</v>
          </cell>
          <cell r="D129">
            <v>182.61</v>
          </cell>
          <cell r="E129">
            <v>182.61</v>
          </cell>
          <cell r="F129">
            <v>223.19000000000003</v>
          </cell>
        </row>
        <row r="130">
          <cell r="B130">
            <v>98</v>
          </cell>
          <cell r="C130">
            <v>204.4</v>
          </cell>
          <cell r="D130">
            <v>183.96</v>
          </cell>
          <cell r="E130">
            <v>183.96</v>
          </cell>
          <cell r="F130">
            <v>224.84000000000003</v>
          </cell>
        </row>
        <row r="131">
          <cell r="B131">
            <v>99</v>
          </cell>
          <cell r="C131">
            <v>205.9</v>
          </cell>
          <cell r="D131">
            <v>185.31</v>
          </cell>
          <cell r="E131">
            <v>185.31</v>
          </cell>
          <cell r="F131">
            <v>226.49000000000004</v>
          </cell>
        </row>
        <row r="132">
          <cell r="B132">
            <v>100</v>
          </cell>
          <cell r="C132">
            <v>207.4</v>
          </cell>
          <cell r="D132">
            <v>186.66</v>
          </cell>
          <cell r="E132">
            <v>186.66</v>
          </cell>
          <cell r="F132">
            <v>228.14000000000001</v>
          </cell>
        </row>
        <row r="133">
          <cell r="B133">
            <v>101</v>
          </cell>
          <cell r="C133">
            <v>208.75</v>
          </cell>
          <cell r="D133">
            <v>187.875</v>
          </cell>
          <cell r="E133">
            <v>187.875</v>
          </cell>
          <cell r="F133">
            <v>229.62500000000003</v>
          </cell>
        </row>
        <row r="134">
          <cell r="B134">
            <v>102</v>
          </cell>
          <cell r="C134">
            <v>210.1</v>
          </cell>
          <cell r="D134">
            <v>189.09</v>
          </cell>
          <cell r="E134">
            <v>189.09</v>
          </cell>
          <cell r="F134">
            <v>231.11</v>
          </cell>
        </row>
        <row r="135">
          <cell r="B135">
            <v>103</v>
          </cell>
          <cell r="C135">
            <v>211.45000000000002</v>
          </cell>
          <cell r="D135">
            <v>190.30500000000001</v>
          </cell>
          <cell r="E135">
            <v>190.30500000000001</v>
          </cell>
          <cell r="F135">
            <v>232.59500000000003</v>
          </cell>
        </row>
        <row r="136">
          <cell r="B136">
            <v>104</v>
          </cell>
          <cell r="C136">
            <v>212.8</v>
          </cell>
          <cell r="D136">
            <v>191.52</v>
          </cell>
          <cell r="E136">
            <v>191.52</v>
          </cell>
          <cell r="F136">
            <v>234.08000000000004</v>
          </cell>
        </row>
        <row r="137">
          <cell r="B137">
            <v>105</v>
          </cell>
          <cell r="C137">
            <v>214.15</v>
          </cell>
          <cell r="D137">
            <v>192.73500000000001</v>
          </cell>
          <cell r="E137">
            <v>192.73500000000001</v>
          </cell>
          <cell r="F137">
            <v>235.56500000000003</v>
          </cell>
        </row>
        <row r="138">
          <cell r="B138">
            <v>106</v>
          </cell>
          <cell r="C138">
            <v>215.5</v>
          </cell>
          <cell r="D138">
            <v>193.95000000000002</v>
          </cell>
          <cell r="E138">
            <v>193.95000000000002</v>
          </cell>
          <cell r="F138">
            <v>237.05</v>
          </cell>
        </row>
        <row r="139">
          <cell r="B139">
            <v>107</v>
          </cell>
          <cell r="C139">
            <v>216.85</v>
          </cell>
          <cell r="D139">
            <v>195.16499999999999</v>
          </cell>
          <cell r="E139">
            <v>195.16499999999999</v>
          </cell>
          <cell r="F139">
            <v>238.53500000000003</v>
          </cell>
        </row>
        <row r="140">
          <cell r="B140">
            <v>108</v>
          </cell>
          <cell r="C140">
            <v>218.20000000000002</v>
          </cell>
          <cell r="D140">
            <v>196.38000000000002</v>
          </cell>
          <cell r="E140">
            <v>196.38000000000002</v>
          </cell>
          <cell r="F140">
            <v>240.02000000000004</v>
          </cell>
        </row>
        <row r="141">
          <cell r="B141">
            <v>109</v>
          </cell>
          <cell r="C141">
            <v>219.55</v>
          </cell>
          <cell r="D141">
            <v>197.59500000000003</v>
          </cell>
          <cell r="E141">
            <v>197.59500000000003</v>
          </cell>
          <cell r="F141">
            <v>241.50500000000002</v>
          </cell>
        </row>
        <row r="142">
          <cell r="B142">
            <v>110</v>
          </cell>
          <cell r="C142">
            <v>220.9</v>
          </cell>
          <cell r="D142">
            <v>198.81</v>
          </cell>
          <cell r="E142">
            <v>198.81</v>
          </cell>
          <cell r="F142">
            <v>242.99000000000004</v>
          </cell>
        </row>
        <row r="143">
          <cell r="B143">
            <v>111</v>
          </cell>
          <cell r="C143">
            <v>222.25</v>
          </cell>
          <cell r="D143">
            <v>200.02500000000001</v>
          </cell>
          <cell r="E143">
            <v>200.02500000000001</v>
          </cell>
          <cell r="F143">
            <v>244.47500000000002</v>
          </cell>
        </row>
        <row r="144">
          <cell r="B144">
            <v>112</v>
          </cell>
          <cell r="C144">
            <v>223.60000000000002</v>
          </cell>
          <cell r="D144">
            <v>201.24000000000004</v>
          </cell>
          <cell r="E144">
            <v>201.24000000000004</v>
          </cell>
          <cell r="F144">
            <v>245.96000000000004</v>
          </cell>
        </row>
        <row r="145">
          <cell r="B145">
            <v>113</v>
          </cell>
          <cell r="C145">
            <v>224.95000000000002</v>
          </cell>
          <cell r="D145">
            <v>202.45500000000001</v>
          </cell>
          <cell r="E145">
            <v>202.45500000000001</v>
          </cell>
          <cell r="F145">
            <v>247.44500000000005</v>
          </cell>
        </row>
        <row r="146">
          <cell r="B146">
            <v>114</v>
          </cell>
          <cell r="C146">
            <v>226.3</v>
          </cell>
          <cell r="D146">
            <v>203.67000000000002</v>
          </cell>
          <cell r="E146">
            <v>203.67000000000002</v>
          </cell>
          <cell r="F146">
            <v>248.93000000000004</v>
          </cell>
        </row>
        <row r="147">
          <cell r="B147">
            <v>115</v>
          </cell>
          <cell r="C147">
            <v>227.65</v>
          </cell>
          <cell r="D147">
            <v>204.88500000000002</v>
          </cell>
          <cell r="E147">
            <v>204.88500000000002</v>
          </cell>
          <cell r="F147">
            <v>250.41500000000002</v>
          </cell>
        </row>
        <row r="148">
          <cell r="B148">
            <v>116</v>
          </cell>
          <cell r="C148">
            <v>229</v>
          </cell>
          <cell r="D148">
            <v>206.1</v>
          </cell>
          <cell r="E148">
            <v>206.1</v>
          </cell>
          <cell r="F148">
            <v>251.90000000000003</v>
          </cell>
        </row>
        <row r="149">
          <cell r="B149">
            <v>117</v>
          </cell>
          <cell r="C149">
            <v>230.35000000000002</v>
          </cell>
          <cell r="D149">
            <v>207.31500000000003</v>
          </cell>
          <cell r="E149">
            <v>207.31500000000003</v>
          </cell>
          <cell r="F149">
            <v>253.38500000000005</v>
          </cell>
        </row>
        <row r="150">
          <cell r="B150">
            <v>118</v>
          </cell>
          <cell r="C150">
            <v>231.70000000000002</v>
          </cell>
          <cell r="D150">
            <v>208.53000000000003</v>
          </cell>
          <cell r="E150">
            <v>208.53000000000003</v>
          </cell>
          <cell r="F150">
            <v>254.87000000000003</v>
          </cell>
        </row>
        <row r="151">
          <cell r="B151">
            <v>119</v>
          </cell>
          <cell r="C151">
            <v>233.05</v>
          </cell>
          <cell r="D151">
            <v>209.745</v>
          </cell>
          <cell r="E151">
            <v>209.745</v>
          </cell>
          <cell r="F151">
            <v>256.35500000000002</v>
          </cell>
        </row>
        <row r="152">
          <cell r="B152">
            <v>120</v>
          </cell>
          <cell r="C152">
            <v>234.4</v>
          </cell>
          <cell r="D152">
            <v>210.96</v>
          </cell>
          <cell r="E152">
            <v>210.96</v>
          </cell>
          <cell r="F152">
            <v>257.84000000000003</v>
          </cell>
        </row>
        <row r="153">
          <cell r="B153">
            <v>121</v>
          </cell>
          <cell r="C153">
            <v>235.75</v>
          </cell>
          <cell r="D153">
            <v>212.17500000000001</v>
          </cell>
          <cell r="E153">
            <v>212.17500000000001</v>
          </cell>
          <cell r="F153">
            <v>259.32500000000005</v>
          </cell>
        </row>
        <row r="154">
          <cell r="B154">
            <v>122</v>
          </cell>
          <cell r="C154">
            <v>237.10000000000002</v>
          </cell>
          <cell r="D154">
            <v>213.39000000000001</v>
          </cell>
          <cell r="E154">
            <v>213.39000000000001</v>
          </cell>
          <cell r="F154">
            <v>260.81000000000006</v>
          </cell>
        </row>
        <row r="155">
          <cell r="B155">
            <v>123</v>
          </cell>
          <cell r="C155">
            <v>238.45000000000002</v>
          </cell>
          <cell r="D155">
            <v>214.60500000000002</v>
          </cell>
          <cell r="E155">
            <v>214.60500000000002</v>
          </cell>
          <cell r="F155">
            <v>262.29500000000002</v>
          </cell>
        </row>
        <row r="156">
          <cell r="B156">
            <v>124</v>
          </cell>
          <cell r="C156">
            <v>239.8</v>
          </cell>
          <cell r="D156">
            <v>215.82000000000002</v>
          </cell>
          <cell r="E156">
            <v>215.82000000000002</v>
          </cell>
          <cell r="F156">
            <v>263.78000000000003</v>
          </cell>
        </row>
        <row r="157">
          <cell r="B157">
            <v>125</v>
          </cell>
          <cell r="C157">
            <v>241.15</v>
          </cell>
          <cell r="D157">
            <v>217.035</v>
          </cell>
          <cell r="E157">
            <v>217.035</v>
          </cell>
          <cell r="F157">
            <v>265.26500000000004</v>
          </cell>
        </row>
        <row r="158">
          <cell r="B158">
            <v>126</v>
          </cell>
          <cell r="C158">
            <v>242.5</v>
          </cell>
          <cell r="D158">
            <v>218.25</v>
          </cell>
          <cell r="E158">
            <v>218.25</v>
          </cell>
          <cell r="F158">
            <v>266.75</v>
          </cell>
        </row>
        <row r="159">
          <cell r="B159">
            <v>127</v>
          </cell>
          <cell r="C159">
            <v>243.85000000000002</v>
          </cell>
          <cell r="D159">
            <v>219.46500000000003</v>
          </cell>
          <cell r="E159">
            <v>219.46500000000003</v>
          </cell>
          <cell r="F159">
            <v>268.23500000000007</v>
          </cell>
        </row>
        <row r="160">
          <cell r="B160">
            <v>128</v>
          </cell>
          <cell r="C160">
            <v>245.20000000000002</v>
          </cell>
          <cell r="D160">
            <v>220.68</v>
          </cell>
          <cell r="E160">
            <v>220.68</v>
          </cell>
          <cell r="F160">
            <v>269.72000000000003</v>
          </cell>
        </row>
        <row r="161">
          <cell r="B161">
            <v>129</v>
          </cell>
          <cell r="C161">
            <v>246.55</v>
          </cell>
          <cell r="D161">
            <v>221.89500000000001</v>
          </cell>
          <cell r="E161">
            <v>221.89500000000001</v>
          </cell>
          <cell r="F161">
            <v>271.20500000000004</v>
          </cell>
        </row>
        <row r="162">
          <cell r="B162">
            <v>130</v>
          </cell>
          <cell r="C162">
            <v>247.9</v>
          </cell>
          <cell r="D162">
            <v>223.11</v>
          </cell>
          <cell r="E162">
            <v>223.11</v>
          </cell>
          <cell r="F162">
            <v>272.69000000000005</v>
          </cell>
        </row>
        <row r="163">
          <cell r="B163">
            <v>131</v>
          </cell>
          <cell r="C163">
            <v>249.25</v>
          </cell>
          <cell r="D163">
            <v>224.32500000000002</v>
          </cell>
          <cell r="E163">
            <v>224.32500000000002</v>
          </cell>
          <cell r="F163">
            <v>274.17500000000001</v>
          </cell>
        </row>
        <row r="164">
          <cell r="B164">
            <v>132</v>
          </cell>
          <cell r="C164">
            <v>250.60000000000002</v>
          </cell>
          <cell r="D164">
            <v>225.54000000000002</v>
          </cell>
          <cell r="E164">
            <v>225.54000000000002</v>
          </cell>
          <cell r="F164">
            <v>275.66000000000003</v>
          </cell>
        </row>
        <row r="165">
          <cell r="B165">
            <v>133</v>
          </cell>
          <cell r="C165">
            <v>251.95000000000002</v>
          </cell>
          <cell r="D165">
            <v>226.75500000000002</v>
          </cell>
          <cell r="E165">
            <v>226.75500000000002</v>
          </cell>
          <cell r="F165">
            <v>277.14500000000004</v>
          </cell>
        </row>
        <row r="166">
          <cell r="B166">
            <v>134</v>
          </cell>
          <cell r="C166">
            <v>253.3</v>
          </cell>
          <cell r="D166">
            <v>227.97000000000003</v>
          </cell>
          <cell r="E166">
            <v>227.97000000000003</v>
          </cell>
          <cell r="F166">
            <v>278.63000000000005</v>
          </cell>
        </row>
        <row r="167">
          <cell r="B167">
            <v>135</v>
          </cell>
          <cell r="C167">
            <v>254.65</v>
          </cell>
          <cell r="D167">
            <v>229.185</v>
          </cell>
          <cell r="E167">
            <v>229.185</v>
          </cell>
          <cell r="F167">
            <v>280.11500000000001</v>
          </cell>
        </row>
        <row r="168">
          <cell r="B168">
            <v>136</v>
          </cell>
          <cell r="C168">
            <v>256</v>
          </cell>
          <cell r="D168">
            <v>230.4</v>
          </cell>
          <cell r="E168">
            <v>230.4</v>
          </cell>
          <cell r="F168">
            <v>281.60000000000002</v>
          </cell>
        </row>
        <row r="169">
          <cell r="B169">
            <v>137</v>
          </cell>
          <cell r="C169">
            <v>257.35000000000002</v>
          </cell>
          <cell r="D169">
            <v>231.61500000000004</v>
          </cell>
          <cell r="E169">
            <v>231.61500000000004</v>
          </cell>
          <cell r="F169">
            <v>283.08500000000004</v>
          </cell>
        </row>
        <row r="170">
          <cell r="B170">
            <v>138</v>
          </cell>
          <cell r="C170">
            <v>258.7</v>
          </cell>
          <cell r="D170">
            <v>232.82999999999998</v>
          </cell>
          <cell r="E170">
            <v>232.82999999999998</v>
          </cell>
          <cell r="F170">
            <v>284.57</v>
          </cell>
        </row>
        <row r="171">
          <cell r="B171">
            <v>139</v>
          </cell>
          <cell r="C171">
            <v>260.05</v>
          </cell>
          <cell r="D171">
            <v>234.04500000000002</v>
          </cell>
          <cell r="E171">
            <v>234.04500000000002</v>
          </cell>
          <cell r="F171">
            <v>286.05500000000006</v>
          </cell>
        </row>
        <row r="172">
          <cell r="B172">
            <v>140</v>
          </cell>
          <cell r="C172">
            <v>261.39999999999998</v>
          </cell>
          <cell r="D172">
            <v>235.26</v>
          </cell>
          <cell r="E172">
            <v>235.26</v>
          </cell>
          <cell r="F172">
            <v>287.54000000000002</v>
          </cell>
        </row>
        <row r="173">
          <cell r="B173">
            <v>141</v>
          </cell>
          <cell r="C173">
            <v>262.75</v>
          </cell>
          <cell r="D173">
            <v>236.47499999999999</v>
          </cell>
          <cell r="E173">
            <v>236.47499999999999</v>
          </cell>
          <cell r="F173">
            <v>289.02500000000003</v>
          </cell>
        </row>
        <row r="174">
          <cell r="B174">
            <v>142</v>
          </cell>
          <cell r="C174">
            <v>264.10000000000002</v>
          </cell>
          <cell r="D174">
            <v>237.69000000000003</v>
          </cell>
          <cell r="E174">
            <v>237.69000000000003</v>
          </cell>
          <cell r="F174">
            <v>290.51000000000005</v>
          </cell>
        </row>
        <row r="175">
          <cell r="B175">
            <v>143</v>
          </cell>
          <cell r="C175">
            <v>265.45</v>
          </cell>
          <cell r="D175">
            <v>238.905</v>
          </cell>
          <cell r="E175">
            <v>238.905</v>
          </cell>
          <cell r="F175">
            <v>291.995</v>
          </cell>
        </row>
        <row r="176">
          <cell r="B176">
            <v>144</v>
          </cell>
          <cell r="C176">
            <v>266.8</v>
          </cell>
          <cell r="D176">
            <v>240.12</v>
          </cell>
          <cell r="E176">
            <v>240.12</v>
          </cell>
          <cell r="F176">
            <v>293.48</v>
          </cell>
        </row>
        <row r="177">
          <cell r="B177">
            <v>145</v>
          </cell>
          <cell r="C177">
            <v>268.15000000000003</v>
          </cell>
          <cell r="D177">
            <v>241.33500000000004</v>
          </cell>
          <cell r="E177">
            <v>241.33500000000004</v>
          </cell>
          <cell r="F177">
            <v>294.96500000000009</v>
          </cell>
        </row>
        <row r="178">
          <cell r="B178">
            <v>146</v>
          </cell>
          <cell r="C178">
            <v>269.5</v>
          </cell>
          <cell r="D178">
            <v>242.55</v>
          </cell>
          <cell r="E178">
            <v>242.55</v>
          </cell>
          <cell r="F178">
            <v>296.45000000000005</v>
          </cell>
        </row>
        <row r="179">
          <cell r="B179">
            <v>147</v>
          </cell>
          <cell r="C179">
            <v>270.85000000000002</v>
          </cell>
          <cell r="D179">
            <v>243.76500000000001</v>
          </cell>
          <cell r="E179">
            <v>243.76500000000001</v>
          </cell>
          <cell r="F179">
            <v>297.93500000000006</v>
          </cell>
        </row>
        <row r="180">
          <cell r="B180">
            <v>148</v>
          </cell>
          <cell r="C180">
            <v>272.20000000000005</v>
          </cell>
          <cell r="D180">
            <v>244.98000000000005</v>
          </cell>
          <cell r="E180">
            <v>244.98000000000005</v>
          </cell>
          <cell r="F180">
            <v>299.42000000000007</v>
          </cell>
        </row>
        <row r="181">
          <cell r="B181">
            <v>149</v>
          </cell>
          <cell r="C181">
            <v>273.55</v>
          </cell>
          <cell r="D181">
            <v>246.19500000000002</v>
          </cell>
          <cell r="E181">
            <v>246.19500000000002</v>
          </cell>
          <cell r="F181">
            <v>300.90500000000003</v>
          </cell>
        </row>
        <row r="182">
          <cell r="B182">
            <v>150</v>
          </cell>
          <cell r="C182">
            <v>274.89999999999998</v>
          </cell>
          <cell r="D182">
            <v>247.41</v>
          </cell>
          <cell r="E182">
            <v>247.41</v>
          </cell>
          <cell r="F182">
            <v>302.39</v>
          </cell>
        </row>
        <row r="183">
          <cell r="B183">
            <v>151</v>
          </cell>
          <cell r="C183">
            <v>276.25</v>
          </cell>
          <cell r="D183">
            <v>248.625</v>
          </cell>
          <cell r="E183">
            <v>248.625</v>
          </cell>
          <cell r="F183">
            <v>303.875</v>
          </cell>
        </row>
        <row r="184">
          <cell r="B184">
            <v>152</v>
          </cell>
          <cell r="C184">
            <v>277.60000000000002</v>
          </cell>
          <cell r="D184">
            <v>249.84000000000003</v>
          </cell>
          <cell r="E184">
            <v>249.84000000000003</v>
          </cell>
          <cell r="F184">
            <v>305.36000000000007</v>
          </cell>
        </row>
        <row r="185">
          <cell r="B185">
            <v>153</v>
          </cell>
          <cell r="C185">
            <v>278.95000000000005</v>
          </cell>
          <cell r="D185">
            <v>251.05500000000004</v>
          </cell>
          <cell r="E185">
            <v>251.05500000000004</v>
          </cell>
          <cell r="F185">
            <v>306.84500000000008</v>
          </cell>
        </row>
        <row r="186">
          <cell r="B186">
            <v>154</v>
          </cell>
          <cell r="C186">
            <v>280.3</v>
          </cell>
          <cell r="D186">
            <v>252.27</v>
          </cell>
          <cell r="E186">
            <v>252.27</v>
          </cell>
          <cell r="F186">
            <v>308.33000000000004</v>
          </cell>
        </row>
        <row r="187">
          <cell r="B187">
            <v>155</v>
          </cell>
          <cell r="C187">
            <v>281.64999999999998</v>
          </cell>
          <cell r="D187">
            <v>253.48499999999999</v>
          </cell>
          <cell r="E187">
            <v>253.48499999999999</v>
          </cell>
          <cell r="F187">
            <v>309.815</v>
          </cell>
        </row>
        <row r="188">
          <cell r="B188">
            <v>156</v>
          </cell>
          <cell r="C188">
            <v>283</v>
          </cell>
          <cell r="D188">
            <v>254.70000000000002</v>
          </cell>
          <cell r="E188">
            <v>254.70000000000002</v>
          </cell>
          <cell r="F188">
            <v>311.3</v>
          </cell>
        </row>
        <row r="189">
          <cell r="B189">
            <v>157</v>
          </cell>
          <cell r="C189">
            <v>284.35000000000002</v>
          </cell>
          <cell r="D189">
            <v>255.91500000000002</v>
          </cell>
          <cell r="E189">
            <v>255.91500000000002</v>
          </cell>
          <cell r="F189">
            <v>312.78500000000003</v>
          </cell>
        </row>
        <row r="190">
          <cell r="B190">
            <v>158</v>
          </cell>
          <cell r="C190">
            <v>285.70000000000005</v>
          </cell>
          <cell r="D190">
            <v>257.13000000000005</v>
          </cell>
          <cell r="E190">
            <v>257.13000000000005</v>
          </cell>
          <cell r="F190">
            <v>314.2700000000001</v>
          </cell>
        </row>
        <row r="191">
          <cell r="B191">
            <v>159</v>
          </cell>
          <cell r="C191">
            <v>287.05</v>
          </cell>
          <cell r="D191">
            <v>258.34500000000003</v>
          </cell>
          <cell r="E191">
            <v>258.34500000000003</v>
          </cell>
          <cell r="F191">
            <v>315.75500000000005</v>
          </cell>
        </row>
        <row r="192">
          <cell r="B192">
            <v>160</v>
          </cell>
          <cell r="C192">
            <v>288.39999999999998</v>
          </cell>
          <cell r="D192">
            <v>259.56</v>
          </cell>
          <cell r="E192">
            <v>259.56</v>
          </cell>
          <cell r="F192">
            <v>317.24</v>
          </cell>
        </row>
        <row r="193">
          <cell r="B193">
            <v>161</v>
          </cell>
          <cell r="C193">
            <v>289.75</v>
          </cell>
          <cell r="D193">
            <v>260.77500000000003</v>
          </cell>
          <cell r="E193">
            <v>260.77500000000003</v>
          </cell>
          <cell r="F193">
            <v>318.72500000000002</v>
          </cell>
        </row>
        <row r="194">
          <cell r="B194">
            <v>162</v>
          </cell>
          <cell r="C194">
            <v>291.10000000000002</v>
          </cell>
          <cell r="D194">
            <v>261.99</v>
          </cell>
          <cell r="E194">
            <v>261.99</v>
          </cell>
          <cell r="F194">
            <v>320.21000000000004</v>
          </cell>
        </row>
        <row r="195">
          <cell r="B195">
            <v>163</v>
          </cell>
          <cell r="C195">
            <v>292.45000000000005</v>
          </cell>
          <cell r="D195">
            <v>263.20500000000004</v>
          </cell>
          <cell r="E195">
            <v>263.20500000000004</v>
          </cell>
          <cell r="F195">
            <v>321.69500000000005</v>
          </cell>
        </row>
        <row r="196">
          <cell r="B196">
            <v>164</v>
          </cell>
          <cell r="C196">
            <v>293.8</v>
          </cell>
          <cell r="D196">
            <v>264.42</v>
          </cell>
          <cell r="E196">
            <v>264.42</v>
          </cell>
          <cell r="F196">
            <v>323.18000000000006</v>
          </cell>
        </row>
        <row r="197">
          <cell r="B197">
            <v>165</v>
          </cell>
          <cell r="C197">
            <v>295.14999999999998</v>
          </cell>
          <cell r="D197">
            <v>265.63499999999999</v>
          </cell>
          <cell r="E197">
            <v>265.63499999999999</v>
          </cell>
          <cell r="F197">
            <v>324.66500000000002</v>
          </cell>
        </row>
        <row r="198">
          <cell r="B198">
            <v>166</v>
          </cell>
          <cell r="C198">
            <v>296.5</v>
          </cell>
          <cell r="D198">
            <v>266.85000000000002</v>
          </cell>
          <cell r="E198">
            <v>266.85000000000002</v>
          </cell>
          <cell r="F198">
            <v>326.15000000000003</v>
          </cell>
        </row>
        <row r="199">
          <cell r="B199">
            <v>167</v>
          </cell>
          <cell r="C199">
            <v>297.85000000000002</v>
          </cell>
          <cell r="D199">
            <v>268.06500000000005</v>
          </cell>
          <cell r="E199">
            <v>268.06500000000005</v>
          </cell>
          <cell r="F199">
            <v>327.63500000000005</v>
          </cell>
        </row>
        <row r="200">
          <cell r="B200">
            <v>168</v>
          </cell>
          <cell r="C200">
            <v>299.20000000000005</v>
          </cell>
          <cell r="D200">
            <v>269.28000000000003</v>
          </cell>
          <cell r="E200">
            <v>269.28000000000003</v>
          </cell>
          <cell r="F200">
            <v>329.12000000000006</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tter (2)"/>
      <sheetName val="Facesheet-I to III Booklet"/>
      <sheetName val="Abstract-RIDF-III"/>
      <sheetName val="I(R)"/>
      <sheetName val="II(R)"/>
      <sheetName val="III(R)"/>
      <sheetName val="IV(R)"/>
      <sheetName val="V(R)"/>
      <sheetName val="VI(R)"/>
      <sheetName val="VII(R)"/>
      <sheetName val="VIII(R) Wardha"/>
      <sheetName val="VIII(R) Arvi Addnl"/>
      <sheetName val="VIII(R) Arvi "/>
      <sheetName val="REASONS_EXCESS "/>
      <sheetName val="Labour"/>
      <sheetName val="Material"/>
      <sheetName val="Plant &amp;  Machinery"/>
      <sheetName val="abs road"/>
      <sheetName val="Road data"/>
      <sheetName val="Rates"/>
      <sheetName val="MES wide"/>
      <sheetName val="RCC,Ret. Wall"/>
      <sheetName val="PRICE BID"/>
      <sheetName val="LEAD_STATEMENT"/>
      <sheetName val="ABS1"/>
      <sheetName val="Labour &amp; Plant"/>
      <sheetName val="leads"/>
      <sheetName val="Sheet1-14"/>
      <sheetName val="Sheet2-76"/>
      <sheetName val="Input_data"/>
    </sheetNames>
    <sheetDataSet>
      <sheetData sheetId="0" refreshError="1"/>
      <sheetData sheetId="1" refreshError="1"/>
      <sheetData sheetId="2" refreshError="1"/>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0000000"/>
      <sheetName val="1000000000000"/>
      <sheetName val="coverpage"/>
      <sheetName val="TS memo"/>
      <sheetName val="Spn report"/>
      <sheetName val="Gen abs"/>
      <sheetName val="abs road"/>
      <sheetName val="HP abs"/>
      <sheetName val="R_Det"/>
      <sheetName val="1R 800"/>
      <sheetName val="3R800"/>
      <sheetName val="Ret wall"/>
      <sheetName val="Road data"/>
      <sheetName val="BTR"/>
      <sheetName val="RMR"/>
      <sheetName val="certificates"/>
      <sheetName val="mlead"/>
      <sheetName val="m le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row r="79">
          <cell r="C79" t="str">
            <v>Picking old metalled surface to a depth of 40 mm to 100 mm and sectioning including all labour and incidental charges complete for finished item of work and as directed by the Engineer-in-Charge.</v>
          </cell>
        </row>
        <row r="88">
          <cell r="K88">
            <v>1.6</v>
          </cell>
        </row>
      </sheetData>
      <sheetData sheetId="13" refreshError="1"/>
      <sheetData sheetId="14" refreshError="1"/>
      <sheetData sheetId="15" refreshError="1"/>
      <sheetData sheetId="16" refreshError="1"/>
      <sheetData sheetId="17"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Conv - Final"/>
      <sheetName val="IInd  RA"/>
      <sheetName val="abs road"/>
      <sheetName val="Abs_CD_2"/>
      <sheetName val="RMR"/>
      <sheetName val="coverpage"/>
      <sheetName val="road est"/>
      <sheetName val="road data"/>
      <sheetName val="ECV"/>
      <sheetName val="mlead"/>
    </sheetNames>
    <sheetDataSet>
      <sheetData sheetId="0" refreshError="1">
        <row r="1">
          <cell r="A1">
            <v>1</v>
          </cell>
          <cell r="B1" t="str">
            <v>One</v>
          </cell>
        </row>
        <row r="2">
          <cell r="A2">
            <v>2</v>
          </cell>
          <cell r="B2" t="str">
            <v>Two</v>
          </cell>
        </row>
        <row r="3">
          <cell r="A3">
            <v>3</v>
          </cell>
          <cell r="B3" t="str">
            <v>Three</v>
          </cell>
        </row>
        <row r="4">
          <cell r="A4">
            <v>4</v>
          </cell>
          <cell r="B4" t="str">
            <v>Four</v>
          </cell>
        </row>
        <row r="5">
          <cell r="A5">
            <v>5</v>
          </cell>
          <cell r="B5" t="str">
            <v>Five</v>
          </cell>
        </row>
        <row r="6">
          <cell r="A6">
            <v>6</v>
          </cell>
          <cell r="B6" t="str">
            <v>Six</v>
          </cell>
        </row>
        <row r="7">
          <cell r="A7">
            <v>7</v>
          </cell>
          <cell r="B7" t="str">
            <v>Seven</v>
          </cell>
        </row>
        <row r="8">
          <cell r="A8">
            <v>8</v>
          </cell>
          <cell r="B8" t="str">
            <v>Eight</v>
          </cell>
        </row>
        <row r="9">
          <cell r="A9">
            <v>9</v>
          </cell>
          <cell r="B9" t="str">
            <v>Nine</v>
          </cell>
        </row>
        <row r="10">
          <cell r="A10">
            <v>10</v>
          </cell>
          <cell r="B10" t="str">
            <v>Ten</v>
          </cell>
        </row>
        <row r="11">
          <cell r="A11">
            <v>11</v>
          </cell>
          <cell r="B11" t="str">
            <v>Elevan</v>
          </cell>
        </row>
        <row r="12">
          <cell r="A12">
            <v>12</v>
          </cell>
          <cell r="B12" t="str">
            <v>Twelve</v>
          </cell>
        </row>
        <row r="13">
          <cell r="A13">
            <v>13</v>
          </cell>
          <cell r="B13" t="str">
            <v>Thirteen</v>
          </cell>
        </row>
        <row r="14">
          <cell r="A14">
            <v>14</v>
          </cell>
          <cell r="B14" t="str">
            <v>Fourteen</v>
          </cell>
        </row>
        <row r="15">
          <cell r="A15">
            <v>15</v>
          </cell>
          <cell r="B15" t="str">
            <v>Fifteen</v>
          </cell>
        </row>
        <row r="16">
          <cell r="A16">
            <v>16</v>
          </cell>
          <cell r="B16" t="str">
            <v>Sixteen</v>
          </cell>
        </row>
        <row r="17">
          <cell r="A17">
            <v>17</v>
          </cell>
          <cell r="B17" t="str">
            <v>Seventeen</v>
          </cell>
        </row>
        <row r="18">
          <cell r="A18">
            <v>18</v>
          </cell>
          <cell r="B18" t="str">
            <v>Eighteen</v>
          </cell>
        </row>
        <row r="19">
          <cell r="A19">
            <v>19</v>
          </cell>
          <cell r="B19" t="str">
            <v>Nineteen</v>
          </cell>
        </row>
        <row r="20">
          <cell r="A20">
            <v>20</v>
          </cell>
          <cell r="B20" t="str">
            <v>Twenty</v>
          </cell>
        </row>
        <row r="21">
          <cell r="A21">
            <v>21</v>
          </cell>
          <cell r="B21" t="str">
            <v>Twenty One</v>
          </cell>
        </row>
        <row r="22">
          <cell r="A22">
            <v>22</v>
          </cell>
          <cell r="B22" t="str">
            <v>Twenty Two</v>
          </cell>
        </row>
        <row r="23">
          <cell r="A23">
            <v>23</v>
          </cell>
          <cell r="B23" t="str">
            <v>Twenty Three</v>
          </cell>
        </row>
        <row r="24">
          <cell r="A24">
            <v>24</v>
          </cell>
          <cell r="B24" t="str">
            <v>Twenty Four</v>
          </cell>
        </row>
        <row r="25">
          <cell r="A25">
            <v>25</v>
          </cell>
          <cell r="B25" t="str">
            <v>Twenty Five</v>
          </cell>
        </row>
        <row r="26">
          <cell r="A26">
            <v>26</v>
          </cell>
          <cell r="B26" t="str">
            <v>Twenty Six</v>
          </cell>
        </row>
        <row r="27">
          <cell r="A27">
            <v>27</v>
          </cell>
          <cell r="B27" t="str">
            <v>Twenty Seven</v>
          </cell>
        </row>
        <row r="28">
          <cell r="A28">
            <v>28</v>
          </cell>
          <cell r="B28" t="str">
            <v>Twenty Eight</v>
          </cell>
        </row>
        <row r="29">
          <cell r="A29">
            <v>29</v>
          </cell>
          <cell r="B29" t="str">
            <v>Twenty Nine</v>
          </cell>
        </row>
        <row r="30">
          <cell r="A30">
            <v>30</v>
          </cell>
          <cell r="B30" t="str">
            <v>Thirty</v>
          </cell>
        </row>
        <row r="31">
          <cell r="A31">
            <v>31</v>
          </cell>
          <cell r="B31" t="str">
            <v>Thirty One</v>
          </cell>
        </row>
        <row r="32">
          <cell r="A32">
            <v>32</v>
          </cell>
          <cell r="B32" t="str">
            <v>Thirty Two</v>
          </cell>
        </row>
        <row r="33">
          <cell r="A33">
            <v>33</v>
          </cell>
          <cell r="B33" t="str">
            <v>Thirty Three</v>
          </cell>
        </row>
        <row r="34">
          <cell r="A34">
            <v>34</v>
          </cell>
          <cell r="B34" t="str">
            <v>Thirty Four</v>
          </cell>
        </row>
        <row r="35">
          <cell r="A35">
            <v>35</v>
          </cell>
          <cell r="B35" t="str">
            <v>Thirty Five</v>
          </cell>
        </row>
        <row r="36">
          <cell r="A36">
            <v>36</v>
          </cell>
          <cell r="B36" t="str">
            <v>Thirty Six</v>
          </cell>
        </row>
        <row r="37">
          <cell r="A37">
            <v>37</v>
          </cell>
          <cell r="B37" t="str">
            <v>Thirty Seven</v>
          </cell>
        </row>
        <row r="38">
          <cell r="A38">
            <v>38</v>
          </cell>
          <cell r="B38" t="str">
            <v>Thirty Eight</v>
          </cell>
        </row>
        <row r="39">
          <cell r="A39">
            <v>39</v>
          </cell>
          <cell r="B39" t="str">
            <v>Thirty Nine</v>
          </cell>
        </row>
        <row r="40">
          <cell r="A40">
            <v>40</v>
          </cell>
          <cell r="B40" t="str">
            <v>Forty</v>
          </cell>
        </row>
        <row r="41">
          <cell r="A41">
            <v>41</v>
          </cell>
          <cell r="B41" t="str">
            <v>Forty One</v>
          </cell>
        </row>
        <row r="42">
          <cell r="A42">
            <v>42</v>
          </cell>
          <cell r="B42" t="str">
            <v>Forty Two</v>
          </cell>
        </row>
        <row r="43">
          <cell r="A43">
            <v>43</v>
          </cell>
          <cell r="B43" t="str">
            <v>Forty Three</v>
          </cell>
        </row>
        <row r="44">
          <cell r="A44">
            <v>44</v>
          </cell>
          <cell r="B44" t="str">
            <v>Forty Four</v>
          </cell>
        </row>
        <row r="45">
          <cell r="A45">
            <v>45</v>
          </cell>
          <cell r="B45" t="str">
            <v>Forty Five</v>
          </cell>
        </row>
        <row r="46">
          <cell r="A46">
            <v>46</v>
          </cell>
          <cell r="B46" t="str">
            <v>Forty Six</v>
          </cell>
        </row>
        <row r="47">
          <cell r="A47">
            <v>47</v>
          </cell>
          <cell r="B47" t="str">
            <v>Forty Seven</v>
          </cell>
        </row>
        <row r="48">
          <cell r="A48">
            <v>48</v>
          </cell>
          <cell r="B48" t="str">
            <v>Forty Eight</v>
          </cell>
        </row>
        <row r="49">
          <cell r="A49">
            <v>49</v>
          </cell>
          <cell r="B49" t="str">
            <v>Forty Nine</v>
          </cell>
        </row>
        <row r="50">
          <cell r="A50">
            <v>50</v>
          </cell>
          <cell r="B50" t="str">
            <v>Fifty</v>
          </cell>
        </row>
        <row r="51">
          <cell r="A51">
            <v>51</v>
          </cell>
          <cell r="B51" t="str">
            <v>Fifty One</v>
          </cell>
        </row>
        <row r="52">
          <cell r="A52">
            <v>52</v>
          </cell>
          <cell r="B52" t="str">
            <v>Fifty Two</v>
          </cell>
        </row>
        <row r="53">
          <cell r="A53">
            <v>53</v>
          </cell>
          <cell r="B53" t="str">
            <v>Fifty Three</v>
          </cell>
        </row>
        <row r="54">
          <cell r="A54">
            <v>54</v>
          </cell>
          <cell r="B54" t="str">
            <v>Fifty Four</v>
          </cell>
        </row>
        <row r="55">
          <cell r="A55">
            <v>55</v>
          </cell>
          <cell r="B55" t="str">
            <v>Fifty Five</v>
          </cell>
        </row>
        <row r="56">
          <cell r="A56">
            <v>56</v>
          </cell>
          <cell r="B56" t="str">
            <v>Fifty Six</v>
          </cell>
        </row>
        <row r="57">
          <cell r="A57">
            <v>57</v>
          </cell>
          <cell r="B57" t="str">
            <v>Fifty Seven</v>
          </cell>
        </row>
        <row r="58">
          <cell r="A58">
            <v>58</v>
          </cell>
          <cell r="B58" t="str">
            <v>Fifty Eight</v>
          </cell>
        </row>
        <row r="59">
          <cell r="A59">
            <v>59</v>
          </cell>
          <cell r="B59" t="str">
            <v>Fifty Nine</v>
          </cell>
        </row>
        <row r="60">
          <cell r="A60">
            <v>60</v>
          </cell>
          <cell r="B60" t="str">
            <v>Sixty</v>
          </cell>
        </row>
        <row r="61">
          <cell r="A61">
            <v>61</v>
          </cell>
          <cell r="B61" t="str">
            <v>Sixty One</v>
          </cell>
        </row>
        <row r="62">
          <cell r="A62">
            <v>62</v>
          </cell>
          <cell r="B62" t="str">
            <v>Sixty Two</v>
          </cell>
        </row>
        <row r="63">
          <cell r="A63">
            <v>63</v>
          </cell>
          <cell r="B63" t="str">
            <v>Sixty Three</v>
          </cell>
        </row>
        <row r="64">
          <cell r="A64">
            <v>64</v>
          </cell>
          <cell r="B64" t="str">
            <v>Sixty Four</v>
          </cell>
        </row>
        <row r="65">
          <cell r="A65">
            <v>65</v>
          </cell>
          <cell r="B65" t="str">
            <v>Sixty Five</v>
          </cell>
        </row>
        <row r="66">
          <cell r="A66">
            <v>66</v>
          </cell>
          <cell r="B66" t="str">
            <v>Sixty Six</v>
          </cell>
        </row>
        <row r="67">
          <cell r="A67">
            <v>67</v>
          </cell>
          <cell r="B67" t="str">
            <v>Sixty Seven</v>
          </cell>
        </row>
        <row r="68">
          <cell r="A68">
            <v>68</v>
          </cell>
          <cell r="B68" t="str">
            <v>Sixty Eight</v>
          </cell>
        </row>
        <row r="69">
          <cell r="A69">
            <v>69</v>
          </cell>
          <cell r="B69" t="str">
            <v>Sixty Nine</v>
          </cell>
        </row>
        <row r="70">
          <cell r="A70">
            <v>70</v>
          </cell>
          <cell r="B70" t="str">
            <v>Seventy</v>
          </cell>
        </row>
        <row r="71">
          <cell r="A71">
            <v>71</v>
          </cell>
          <cell r="B71" t="str">
            <v>Seventy One</v>
          </cell>
        </row>
        <row r="72">
          <cell r="A72">
            <v>72</v>
          </cell>
          <cell r="B72" t="str">
            <v>Seventy Two</v>
          </cell>
        </row>
        <row r="73">
          <cell r="A73">
            <v>73</v>
          </cell>
          <cell r="B73" t="str">
            <v>Seventy Three</v>
          </cell>
        </row>
        <row r="74">
          <cell r="A74">
            <v>74</v>
          </cell>
          <cell r="B74" t="str">
            <v>Seventy Four</v>
          </cell>
        </row>
        <row r="75">
          <cell r="A75">
            <v>75</v>
          </cell>
          <cell r="B75" t="str">
            <v>Seventy Five</v>
          </cell>
        </row>
        <row r="76">
          <cell r="A76">
            <v>76</v>
          </cell>
          <cell r="B76" t="str">
            <v>Seventy Six</v>
          </cell>
        </row>
        <row r="77">
          <cell r="A77">
            <v>77</v>
          </cell>
          <cell r="B77" t="str">
            <v>Seventy Seven</v>
          </cell>
        </row>
        <row r="78">
          <cell r="A78">
            <v>78</v>
          </cell>
          <cell r="B78" t="str">
            <v>Seventy Eight</v>
          </cell>
        </row>
        <row r="79">
          <cell r="A79">
            <v>79</v>
          </cell>
          <cell r="B79" t="str">
            <v>Seventy Nine</v>
          </cell>
        </row>
        <row r="80">
          <cell r="A80">
            <v>80</v>
          </cell>
          <cell r="B80" t="str">
            <v>Eighty</v>
          </cell>
        </row>
        <row r="81">
          <cell r="A81">
            <v>81</v>
          </cell>
          <cell r="B81" t="str">
            <v>Eighty One</v>
          </cell>
        </row>
        <row r="82">
          <cell r="A82">
            <v>82</v>
          </cell>
          <cell r="B82" t="str">
            <v>Eighty Two</v>
          </cell>
        </row>
        <row r="83">
          <cell r="A83">
            <v>83</v>
          </cell>
          <cell r="B83" t="str">
            <v>Eighty Three</v>
          </cell>
        </row>
        <row r="84">
          <cell r="A84">
            <v>84</v>
          </cell>
          <cell r="B84" t="str">
            <v>Eighty Four</v>
          </cell>
        </row>
        <row r="85">
          <cell r="A85">
            <v>85</v>
          </cell>
          <cell r="B85" t="str">
            <v>Eighty Five</v>
          </cell>
        </row>
        <row r="86">
          <cell r="A86">
            <v>86</v>
          </cell>
          <cell r="B86" t="str">
            <v>Eighty Six</v>
          </cell>
        </row>
        <row r="87">
          <cell r="A87">
            <v>87</v>
          </cell>
          <cell r="B87" t="str">
            <v>Eighty Seven</v>
          </cell>
        </row>
        <row r="88">
          <cell r="A88">
            <v>88</v>
          </cell>
          <cell r="B88" t="str">
            <v>Eighty Eight</v>
          </cell>
        </row>
        <row r="89">
          <cell r="A89">
            <v>89</v>
          </cell>
          <cell r="B89" t="str">
            <v>Eighty Nine</v>
          </cell>
        </row>
        <row r="90">
          <cell r="A90">
            <v>90</v>
          </cell>
          <cell r="B90" t="str">
            <v>Ninety</v>
          </cell>
        </row>
        <row r="91">
          <cell r="A91">
            <v>91</v>
          </cell>
          <cell r="B91" t="str">
            <v>Ninety One</v>
          </cell>
        </row>
        <row r="92">
          <cell r="A92">
            <v>92</v>
          </cell>
          <cell r="B92" t="str">
            <v>Ninety Two</v>
          </cell>
        </row>
        <row r="93">
          <cell r="A93">
            <v>93</v>
          </cell>
          <cell r="B93" t="str">
            <v>Ninety Three</v>
          </cell>
        </row>
        <row r="94">
          <cell r="A94">
            <v>94</v>
          </cell>
          <cell r="B94" t="str">
            <v>Ninety Four</v>
          </cell>
        </row>
        <row r="95">
          <cell r="A95">
            <v>95</v>
          </cell>
          <cell r="B95" t="str">
            <v>Ninety Five</v>
          </cell>
        </row>
        <row r="96">
          <cell r="A96">
            <v>96</v>
          </cell>
          <cell r="B96" t="str">
            <v>Ninety Six</v>
          </cell>
        </row>
        <row r="97">
          <cell r="A97">
            <v>97</v>
          </cell>
          <cell r="B97" t="str">
            <v>Ninety Sevene</v>
          </cell>
        </row>
        <row r="98">
          <cell r="A98">
            <v>98</v>
          </cell>
          <cell r="B98" t="str">
            <v>Ninety Eight</v>
          </cell>
        </row>
        <row r="99">
          <cell r="A99">
            <v>99</v>
          </cell>
          <cell r="B99" t="str">
            <v>Ninety Nine</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FACE SHT"/>
      <sheetName val="GNRL ABSTRT"/>
      <sheetName val="GNRL RPRT SPECFICTN"/>
      <sheetName val="ABSTRACT"/>
      <sheetName val="MEASURMENT"/>
      <sheetName val="RATE ANALYSIS"/>
      <sheetName val="LEAD "/>
      <sheetName val="Sheet3"/>
    </sheetNames>
    <sheetDataSet>
      <sheetData sheetId="0" refreshError="1"/>
      <sheetData sheetId="1" refreshError="1"/>
      <sheetData sheetId="2" refreshError="1"/>
      <sheetData sheetId="3" refreshError="1"/>
      <sheetData sheetId="4" refreshError="1"/>
      <sheetData sheetId="5" refreshError="1"/>
      <sheetData sheetId="6" refreshError="1">
        <row r="7">
          <cell r="B7">
            <v>1</v>
          </cell>
          <cell r="C7" t="str">
            <v>1/1</v>
          </cell>
          <cell r="D7" t="str">
            <v>Excavation for foundation in earth, soils of all types, sand, gravel and soft murum, including removing the excavated material upto a distance of 50 m. beyond the building area and stacking or spreading as directed, dewatering, preparing the bed for the f</v>
          </cell>
          <cell r="E7" t="str">
            <v>FOR SEPTIC TANK</v>
          </cell>
          <cell r="J7">
            <v>6.3264000000000005</v>
          </cell>
          <cell r="K7" t="str">
            <v>CUM</v>
          </cell>
        </row>
        <row r="8">
          <cell r="C8">
            <v>0</v>
          </cell>
          <cell r="E8">
            <v>1</v>
          </cell>
          <cell r="F8">
            <v>2.2599999999999998</v>
          </cell>
          <cell r="G8">
            <v>1.76</v>
          </cell>
          <cell r="H8">
            <v>1.5</v>
          </cell>
          <cell r="I8">
            <v>5.9664000000000001</v>
          </cell>
        </row>
        <row r="9">
          <cell r="C9">
            <v>0</v>
          </cell>
          <cell r="E9" t="str">
            <v>FOR STEPS</v>
          </cell>
        </row>
        <row r="10">
          <cell r="C10">
            <v>0</v>
          </cell>
          <cell r="E10">
            <v>1</v>
          </cell>
          <cell r="F10">
            <v>1.2</v>
          </cell>
          <cell r="G10">
            <v>1</v>
          </cell>
          <cell r="H10">
            <v>0.3</v>
          </cell>
          <cell r="I10">
            <v>0.36</v>
          </cell>
        </row>
        <row r="11">
          <cell r="C11">
            <v>0</v>
          </cell>
        </row>
        <row r="12">
          <cell r="C12">
            <v>0</v>
          </cell>
        </row>
        <row r="13">
          <cell r="C13">
            <v>0</v>
          </cell>
        </row>
        <row r="14">
          <cell r="C14">
            <v>0</v>
          </cell>
        </row>
        <row r="15">
          <cell r="C15">
            <v>0</v>
          </cell>
        </row>
        <row r="16">
          <cell r="C16">
            <v>0</v>
          </cell>
        </row>
        <row r="17">
          <cell r="C17">
            <v>0</v>
          </cell>
        </row>
        <row r="18">
          <cell r="B18">
            <v>2</v>
          </cell>
          <cell r="C18" t="str">
            <v>1(A)/1</v>
          </cell>
          <cell r="D18" t="str">
            <v>Excavation for foundation in earth, soils of all types, sand, gravel and soft murum, including removing the excavated material upto a distance of 50 m. beyond the building area and stacking or spreading as directed, dewatering, preparing the bed for the f</v>
          </cell>
          <cell r="E18" t="str">
            <v>FOR SEPTIC TANK</v>
          </cell>
          <cell r="J18">
            <v>1.9887999999999999</v>
          </cell>
          <cell r="K18" t="str">
            <v>CUM.</v>
          </cell>
        </row>
        <row r="19">
          <cell r="C19">
            <v>0</v>
          </cell>
          <cell r="E19">
            <v>1</v>
          </cell>
          <cell r="F19">
            <v>2.2599999999999998</v>
          </cell>
          <cell r="G19">
            <v>1.76</v>
          </cell>
          <cell r="H19">
            <v>0.5</v>
          </cell>
          <cell r="I19">
            <v>1.9887999999999999</v>
          </cell>
        </row>
        <row r="20">
          <cell r="C20">
            <v>0</v>
          </cell>
        </row>
        <row r="21">
          <cell r="C21">
            <v>0</v>
          </cell>
        </row>
        <row r="22">
          <cell r="C22">
            <v>0</v>
          </cell>
        </row>
        <row r="23">
          <cell r="C23">
            <v>0</v>
          </cell>
        </row>
        <row r="24">
          <cell r="C24">
            <v>0</v>
          </cell>
        </row>
        <row r="25">
          <cell r="C25">
            <v>0</v>
          </cell>
        </row>
        <row r="26">
          <cell r="C26">
            <v>0</v>
          </cell>
        </row>
        <row r="27">
          <cell r="C27">
            <v>0</v>
          </cell>
        </row>
        <row r="28">
          <cell r="B28">
            <v>3</v>
          </cell>
          <cell r="C28" t="str">
            <v>11/4</v>
          </cell>
          <cell r="D28" t="str">
            <v>Providing soling using 80 mm size granite / quartzite / gneiss / trap metal in 15 cm. layer including hand packing filling voids with sand / grit, ramming, watering complete.</v>
          </cell>
          <cell r="E28" t="str">
            <v>FOR SEPTIC TANK</v>
          </cell>
          <cell r="J28">
            <v>2.7903700000000002</v>
          </cell>
          <cell r="K28" t="str">
            <v>CUM</v>
          </cell>
        </row>
        <row r="29">
          <cell r="C29">
            <v>0</v>
          </cell>
          <cell r="E29">
            <v>1</v>
          </cell>
          <cell r="F29">
            <v>2.2599999999999998</v>
          </cell>
          <cell r="G29">
            <v>1.76</v>
          </cell>
          <cell r="H29">
            <v>0.2</v>
          </cell>
          <cell r="I29">
            <v>0.79552</v>
          </cell>
        </row>
        <row r="30">
          <cell r="C30">
            <v>0</v>
          </cell>
          <cell r="E30" t="str">
            <v>BELOW STEPS</v>
          </cell>
        </row>
        <row r="31">
          <cell r="C31">
            <v>0</v>
          </cell>
          <cell r="E31">
            <v>1</v>
          </cell>
          <cell r="F31">
            <v>1.2</v>
          </cell>
          <cell r="G31">
            <v>1</v>
          </cell>
          <cell r="H31">
            <v>0.15</v>
          </cell>
          <cell r="I31">
            <v>0.18</v>
          </cell>
        </row>
        <row r="32">
          <cell r="C32">
            <v>0</v>
          </cell>
          <cell r="E32" t="str">
            <v>BELOW STEPS</v>
          </cell>
        </row>
        <row r="33">
          <cell r="C33">
            <v>0</v>
          </cell>
          <cell r="E33">
            <v>1</v>
          </cell>
          <cell r="F33">
            <v>3.27</v>
          </cell>
          <cell r="G33">
            <v>1.85</v>
          </cell>
          <cell r="H33">
            <v>0.3</v>
          </cell>
          <cell r="I33">
            <v>1.8148500000000001</v>
          </cell>
        </row>
        <row r="34">
          <cell r="C34">
            <v>0</v>
          </cell>
          <cell r="I34">
            <v>2.7903700000000002</v>
          </cell>
        </row>
        <row r="35">
          <cell r="C35">
            <v>0</v>
          </cell>
        </row>
        <row r="36">
          <cell r="C36">
            <v>0</v>
          </cell>
        </row>
        <row r="37">
          <cell r="C37">
            <v>0</v>
          </cell>
        </row>
        <row r="38">
          <cell r="C38">
            <v>0</v>
          </cell>
        </row>
        <row r="39">
          <cell r="B39">
            <v>4</v>
          </cell>
          <cell r="C39" t="str">
            <v>2/23</v>
          </cell>
          <cell r="D39" t="str">
            <v>Providing and laying in situ, cement concrete in 1:4:8 of trap/ granite/quartzite/gneiss metal for foundation and bedding including bailing out water, plywood/steel formwork, compacting, finishing uneven and honeycombed surface curing etc. complete. The C</v>
          </cell>
          <cell r="E39" t="str">
            <v>FOR SEPTIC TANK</v>
          </cell>
          <cell r="J39">
            <v>1.3815900000000001</v>
          </cell>
          <cell r="K39" t="str">
            <v>CUM</v>
          </cell>
        </row>
        <row r="40">
          <cell r="C40">
            <v>0</v>
          </cell>
          <cell r="E40">
            <v>1</v>
          </cell>
          <cell r="F40">
            <v>2.2599999999999998</v>
          </cell>
          <cell r="G40">
            <v>1.76</v>
          </cell>
          <cell r="H40">
            <v>0.15</v>
          </cell>
          <cell r="I40">
            <v>0.59663999999999995</v>
          </cell>
        </row>
        <row r="41">
          <cell r="C41">
            <v>0</v>
          </cell>
          <cell r="E41" t="str">
            <v>BELOW STEPS</v>
          </cell>
        </row>
        <row r="42">
          <cell r="C42">
            <v>0</v>
          </cell>
          <cell r="E42">
            <v>1</v>
          </cell>
          <cell r="F42">
            <v>1.2</v>
          </cell>
          <cell r="G42">
            <v>1</v>
          </cell>
          <cell r="H42">
            <v>0.15</v>
          </cell>
          <cell r="I42">
            <v>0.18</v>
          </cell>
        </row>
        <row r="43">
          <cell r="C43">
            <v>0</v>
          </cell>
          <cell r="E43" t="str">
            <v>BELOW STEPS</v>
          </cell>
        </row>
        <row r="44">
          <cell r="C44">
            <v>0</v>
          </cell>
          <cell r="E44">
            <v>1</v>
          </cell>
          <cell r="F44">
            <v>3.27</v>
          </cell>
          <cell r="G44">
            <v>1.85</v>
          </cell>
          <cell r="H44">
            <v>0.1</v>
          </cell>
          <cell r="I44">
            <v>0.6049500000000001</v>
          </cell>
        </row>
        <row r="45">
          <cell r="C45">
            <v>0</v>
          </cell>
          <cell r="I45">
            <v>1.3815900000000001</v>
          </cell>
        </row>
        <row r="46">
          <cell r="C46">
            <v>0</v>
          </cell>
        </row>
        <row r="47">
          <cell r="C47">
            <v>0</v>
          </cell>
        </row>
        <row r="48">
          <cell r="C48">
            <v>0</v>
          </cell>
        </row>
        <row r="49">
          <cell r="C49">
            <v>0</v>
          </cell>
        </row>
        <row r="50">
          <cell r="C50">
            <v>0</v>
          </cell>
        </row>
        <row r="51">
          <cell r="C51">
            <v>0</v>
          </cell>
        </row>
        <row r="52">
          <cell r="C52">
            <v>0</v>
          </cell>
        </row>
        <row r="53">
          <cell r="C53">
            <v>0</v>
          </cell>
        </row>
        <row r="54">
          <cell r="B54">
            <v>5</v>
          </cell>
          <cell r="C54" t="str">
            <v>3/30</v>
          </cell>
          <cell r="D54" t="str">
            <v>Providing and laying in situ cement concrete M-15 of trap/ granite/quartzite/gneiss metal for R.C.C. work in foundations like raft, grillages, strip, foundations and footings of R.C.C. columns and steel stanchions including bailing out water, steel center</v>
          </cell>
          <cell r="E54" t="str">
            <v>FOR SEPTIC TANK RAFT</v>
          </cell>
          <cell r="J54">
            <v>0.39776</v>
          </cell>
          <cell r="K54" t="str">
            <v>CUM.</v>
          </cell>
        </row>
        <row r="55">
          <cell r="C55">
            <v>0</v>
          </cell>
          <cell r="E55">
            <v>1</v>
          </cell>
          <cell r="F55">
            <v>2.2599999999999998</v>
          </cell>
          <cell r="G55">
            <v>1.76</v>
          </cell>
          <cell r="H55">
            <v>0.1</v>
          </cell>
          <cell r="I55">
            <v>0.39776</v>
          </cell>
        </row>
        <row r="56">
          <cell r="C56">
            <v>0</v>
          </cell>
        </row>
        <row r="57">
          <cell r="C57">
            <v>0</v>
          </cell>
        </row>
        <row r="58">
          <cell r="C58">
            <v>0</v>
          </cell>
        </row>
        <row r="59">
          <cell r="C59">
            <v>0</v>
          </cell>
        </row>
        <row r="60">
          <cell r="C60">
            <v>0</v>
          </cell>
        </row>
        <row r="61">
          <cell r="C61">
            <v>0</v>
          </cell>
        </row>
        <row r="62">
          <cell r="C62">
            <v>0</v>
          </cell>
        </row>
        <row r="63">
          <cell r="C63">
            <v>0</v>
          </cell>
        </row>
        <row r="64">
          <cell r="C64">
            <v>0</v>
          </cell>
        </row>
        <row r="65">
          <cell r="C65">
            <v>0</v>
          </cell>
        </row>
        <row r="66">
          <cell r="C66">
            <v>0</v>
          </cell>
        </row>
        <row r="67">
          <cell r="C67">
            <v>0</v>
          </cell>
        </row>
        <row r="68">
          <cell r="C68">
            <v>0</v>
          </cell>
        </row>
        <row r="69">
          <cell r="C69">
            <v>0</v>
          </cell>
        </row>
        <row r="70">
          <cell r="C70">
            <v>0</v>
          </cell>
        </row>
        <row r="71">
          <cell r="C71">
            <v>0</v>
          </cell>
        </row>
        <row r="72">
          <cell r="C72">
            <v>0</v>
          </cell>
        </row>
        <row r="73">
          <cell r="B73">
            <v>6</v>
          </cell>
          <cell r="C73" t="str">
            <v>10/34</v>
          </cell>
          <cell r="D73" t="str">
            <v>Providing and casting in situ cement concrete M-15 of trap/ granite/quartzite/gneiss metal for R.C.C. beams and lintels as per detailed design and drawings or as directed,including steel centering, plywood/steel formwork, steel props,compaction, finishing</v>
          </cell>
          <cell r="E73" t="str">
            <v xml:space="preserve">FLOOR BEAMS FOR TOILET PARTITION </v>
          </cell>
          <cell r="J73">
            <v>0.191498</v>
          </cell>
          <cell r="K73" t="str">
            <v>CUM.</v>
          </cell>
        </row>
        <row r="74">
          <cell r="C74">
            <v>0</v>
          </cell>
          <cell r="E74">
            <v>1</v>
          </cell>
          <cell r="F74">
            <v>2.19</v>
          </cell>
          <cell r="G74">
            <v>0.23</v>
          </cell>
          <cell r="H74">
            <v>0.23</v>
          </cell>
          <cell r="I74">
            <v>0.11585100000000001</v>
          </cell>
        </row>
        <row r="75">
          <cell r="C75">
            <v>0</v>
          </cell>
          <cell r="E75" t="str">
            <v>X-BEAM BELOW W.C. PARTITION WALL</v>
          </cell>
        </row>
        <row r="76">
          <cell r="C76">
            <v>0</v>
          </cell>
          <cell r="E76">
            <v>1</v>
          </cell>
          <cell r="F76">
            <v>1.43</v>
          </cell>
          <cell r="G76">
            <v>0.23</v>
          </cell>
          <cell r="H76">
            <v>0.23</v>
          </cell>
          <cell r="I76">
            <v>7.5647000000000006E-2</v>
          </cell>
        </row>
        <row r="77">
          <cell r="C77">
            <v>0</v>
          </cell>
          <cell r="I77">
            <v>0.191498</v>
          </cell>
        </row>
        <row r="78">
          <cell r="C78">
            <v>0</v>
          </cell>
        </row>
        <row r="79">
          <cell r="C79">
            <v>0</v>
          </cell>
        </row>
        <row r="80">
          <cell r="C80">
            <v>0</v>
          </cell>
        </row>
        <row r="81">
          <cell r="C81">
            <v>0</v>
          </cell>
        </row>
        <row r="82">
          <cell r="C82">
            <v>0</v>
          </cell>
        </row>
        <row r="83">
          <cell r="C83">
            <v>0</v>
          </cell>
        </row>
        <row r="84">
          <cell r="C84">
            <v>0</v>
          </cell>
        </row>
        <row r="85">
          <cell r="C85">
            <v>0</v>
          </cell>
        </row>
        <row r="86">
          <cell r="C86">
            <v>0</v>
          </cell>
        </row>
        <row r="87">
          <cell r="C87">
            <v>0</v>
          </cell>
        </row>
        <row r="88">
          <cell r="C88">
            <v>0</v>
          </cell>
        </row>
        <row r="89">
          <cell r="C89">
            <v>0</v>
          </cell>
        </row>
        <row r="90">
          <cell r="C90">
            <v>0</v>
          </cell>
        </row>
        <row r="91">
          <cell r="C91">
            <v>0</v>
          </cell>
        </row>
        <row r="92">
          <cell r="B92">
            <v>7</v>
          </cell>
          <cell r="C92" t="str">
            <v>7/25</v>
          </cell>
          <cell r="D92" t="str">
            <v>Providing and casting in situ cement concrete M-15 of trap/ granite/quartzite/gneiss metal for bed blocks, foundation blocks and such other items including bailing out water, plywood/steel formwork, compacting, roughening them if special finish is to be p</v>
          </cell>
          <cell r="E92" t="str">
            <v>BELOW EACH END OF BEAM</v>
          </cell>
          <cell r="J92">
            <v>0.14283000000000001</v>
          </cell>
          <cell r="K92" t="str">
            <v>CUM.</v>
          </cell>
        </row>
        <row r="93">
          <cell r="C93">
            <v>0</v>
          </cell>
          <cell r="E93" t="str">
            <v>3*2</v>
          </cell>
          <cell r="F93">
            <v>0.45</v>
          </cell>
          <cell r="G93">
            <v>0.23</v>
          </cell>
          <cell r="H93">
            <v>0.23</v>
          </cell>
          <cell r="I93">
            <v>0.14283000000000001</v>
          </cell>
        </row>
        <row r="94">
          <cell r="C94">
            <v>0</v>
          </cell>
        </row>
        <row r="95">
          <cell r="C95">
            <v>0</v>
          </cell>
        </row>
        <row r="96">
          <cell r="C96">
            <v>0</v>
          </cell>
        </row>
        <row r="97">
          <cell r="C97">
            <v>0</v>
          </cell>
        </row>
        <row r="98">
          <cell r="C98">
            <v>0</v>
          </cell>
        </row>
        <row r="99">
          <cell r="C99">
            <v>0</v>
          </cell>
        </row>
        <row r="100">
          <cell r="C100">
            <v>0</v>
          </cell>
        </row>
        <row r="101">
          <cell r="C101">
            <v>0</v>
          </cell>
        </row>
        <row r="102">
          <cell r="C102">
            <v>0</v>
          </cell>
        </row>
        <row r="103">
          <cell r="C103">
            <v>0</v>
          </cell>
        </row>
        <row r="104">
          <cell r="C104">
            <v>0</v>
          </cell>
        </row>
        <row r="105">
          <cell r="C105">
            <v>0</v>
          </cell>
        </row>
        <row r="106">
          <cell r="B106">
            <v>8</v>
          </cell>
          <cell r="C106" t="str">
            <v>26/44</v>
          </cell>
          <cell r="D106" t="str">
            <v>Providing and casting in situ cement concrete M-15 of trap/ granite/quartzite/gneiss metal for R.C.C slabs and landings as per detailed designs and drawing or as directed including steel centering, plywood/steel formwork, steel props, compaction, finishin</v>
          </cell>
          <cell r="E106" t="str">
            <v>SEPTIC TANK</v>
          </cell>
          <cell r="J106">
            <v>0.28615999999999997</v>
          </cell>
          <cell r="K106" t="str">
            <v>CUM</v>
          </cell>
        </row>
        <row r="107">
          <cell r="C107">
            <v>0</v>
          </cell>
          <cell r="E107">
            <v>1</v>
          </cell>
          <cell r="F107">
            <v>1.96</v>
          </cell>
          <cell r="G107">
            <v>1.46</v>
          </cell>
          <cell r="H107">
            <v>0.1</v>
          </cell>
          <cell r="I107">
            <v>0.28615999999999997</v>
          </cell>
        </row>
        <row r="108">
          <cell r="C108">
            <v>0</v>
          </cell>
        </row>
        <row r="109">
          <cell r="C109">
            <v>0</v>
          </cell>
        </row>
        <row r="110">
          <cell r="C110">
            <v>0</v>
          </cell>
        </row>
        <row r="111">
          <cell r="C111">
            <v>0</v>
          </cell>
        </row>
        <row r="112">
          <cell r="C112">
            <v>0</v>
          </cell>
        </row>
        <row r="113">
          <cell r="C113">
            <v>0</v>
          </cell>
        </row>
        <row r="114">
          <cell r="C114">
            <v>0</v>
          </cell>
        </row>
        <row r="115">
          <cell r="C115">
            <v>0</v>
          </cell>
        </row>
        <row r="116">
          <cell r="C116">
            <v>0</v>
          </cell>
        </row>
        <row r="117">
          <cell r="C117">
            <v>0</v>
          </cell>
        </row>
        <row r="118">
          <cell r="C118">
            <v>0</v>
          </cell>
        </row>
        <row r="119">
          <cell r="C119">
            <v>0</v>
          </cell>
        </row>
        <row r="120">
          <cell r="C120">
            <v>0</v>
          </cell>
        </row>
        <row r="121">
          <cell r="C121">
            <v>0</v>
          </cell>
        </row>
        <row r="122">
          <cell r="C122">
            <v>0</v>
          </cell>
        </row>
        <row r="123">
          <cell r="C123">
            <v>0</v>
          </cell>
        </row>
        <row r="124">
          <cell r="C124">
            <v>0</v>
          </cell>
        </row>
        <row r="125">
          <cell r="C125">
            <v>0</v>
          </cell>
        </row>
        <row r="126">
          <cell r="C126">
            <v>0</v>
          </cell>
        </row>
        <row r="127">
          <cell r="C127">
            <v>0</v>
          </cell>
        </row>
        <row r="128">
          <cell r="C128">
            <v>0</v>
          </cell>
        </row>
        <row r="129">
          <cell r="C129">
            <v>0</v>
          </cell>
        </row>
        <row r="130">
          <cell r="C130">
            <v>0</v>
          </cell>
        </row>
        <row r="131">
          <cell r="C131">
            <v>0</v>
          </cell>
        </row>
        <row r="132">
          <cell r="C132">
            <v>0</v>
          </cell>
        </row>
        <row r="133">
          <cell r="B133">
            <v>9</v>
          </cell>
          <cell r="C133" t="str">
            <v>9/3</v>
          </cell>
          <cell r="D133" t="str">
            <v>Filling in plinth and floors with contractors approved material/Sand or murum in 15cm. to 20cm. layers including watering and compaction complete.{Spec.No. : Bd.A.11/Page No.263]</v>
          </cell>
          <cell r="E133">
            <v>1</v>
          </cell>
          <cell r="F133">
            <v>1.84</v>
          </cell>
          <cell r="G133">
            <v>1.8</v>
          </cell>
          <cell r="H133">
            <v>0.3</v>
          </cell>
          <cell r="I133">
            <v>0.99360000000000015</v>
          </cell>
          <cell r="J133">
            <v>2.6118000000000001</v>
          </cell>
          <cell r="K133" t="str">
            <v>CUM</v>
          </cell>
        </row>
        <row r="134">
          <cell r="C134">
            <v>0</v>
          </cell>
          <cell r="E134">
            <v>2</v>
          </cell>
          <cell r="F134">
            <v>1.1599999999999999</v>
          </cell>
          <cell r="G134">
            <v>0.78500000000000003</v>
          </cell>
          <cell r="H134">
            <v>0.3</v>
          </cell>
        </row>
        <row r="135">
          <cell r="C135">
            <v>0</v>
          </cell>
          <cell r="E135" t="str">
            <v>SEPTIC TANK SIDES</v>
          </cell>
        </row>
        <row r="136">
          <cell r="C136">
            <v>0</v>
          </cell>
          <cell r="E136">
            <v>2</v>
          </cell>
          <cell r="F136">
            <v>2.2599999999999998</v>
          </cell>
          <cell r="G136">
            <v>0.15</v>
          </cell>
          <cell r="H136">
            <v>1.45</v>
          </cell>
          <cell r="I136">
            <v>0.98309999999999986</v>
          </cell>
        </row>
        <row r="137">
          <cell r="C137">
            <v>0</v>
          </cell>
          <cell r="E137">
            <v>2</v>
          </cell>
          <cell r="F137">
            <v>1.46</v>
          </cell>
          <cell r="G137">
            <v>0.15</v>
          </cell>
          <cell r="H137">
            <v>1.45</v>
          </cell>
          <cell r="I137">
            <v>0.6351</v>
          </cell>
        </row>
        <row r="138">
          <cell r="C138">
            <v>0</v>
          </cell>
        </row>
        <row r="139">
          <cell r="C139">
            <v>0</v>
          </cell>
          <cell r="I139">
            <v>2.6118000000000001</v>
          </cell>
        </row>
        <row r="140">
          <cell r="C140">
            <v>0</v>
          </cell>
        </row>
        <row r="141">
          <cell r="C141">
            <v>0</v>
          </cell>
        </row>
        <row r="142">
          <cell r="C142">
            <v>0</v>
          </cell>
        </row>
        <row r="143">
          <cell r="B143">
            <v>10</v>
          </cell>
          <cell r="C143" t="str">
            <v>2/245</v>
          </cell>
          <cell r="D143" t="str">
            <v>Providing 2nd class Burnt Brick masonry with conventional/I.S. type bricks in cement mortar 1:6 in foundations and plinth of inner walls/in plinth of external walls including bailing out water, striking joints on unexposed faces, racking out joints on exp</v>
          </cell>
          <cell r="E143" t="str">
            <v xml:space="preserve">SANITARY BLOCK </v>
          </cell>
          <cell r="J143">
            <v>3.49472</v>
          </cell>
          <cell r="K143" t="str">
            <v>CUM</v>
          </cell>
        </row>
        <row r="144">
          <cell r="C144">
            <v>0</v>
          </cell>
          <cell r="E144" t="str">
            <v>L/WALLS</v>
          </cell>
        </row>
        <row r="145">
          <cell r="C145">
            <v>0</v>
          </cell>
          <cell r="E145">
            <v>1</v>
          </cell>
          <cell r="F145">
            <v>3.27</v>
          </cell>
          <cell r="G145">
            <v>0.23</v>
          </cell>
          <cell r="H145">
            <v>0.6</v>
          </cell>
          <cell r="I145">
            <v>0.45126000000000005</v>
          </cell>
        </row>
        <row r="146">
          <cell r="C146">
            <v>0</v>
          </cell>
          <cell r="E146" t="str">
            <v>X/WALLS</v>
          </cell>
        </row>
        <row r="147">
          <cell r="C147">
            <v>0</v>
          </cell>
          <cell r="E147">
            <v>2</v>
          </cell>
          <cell r="F147">
            <v>1.8</v>
          </cell>
          <cell r="G147">
            <v>0.23</v>
          </cell>
          <cell r="H147">
            <v>0.6</v>
          </cell>
          <cell r="I147">
            <v>0.49680000000000007</v>
          </cell>
        </row>
        <row r="148">
          <cell r="C148">
            <v>0</v>
          </cell>
          <cell r="E148">
            <v>1</v>
          </cell>
          <cell r="F148">
            <v>1.2</v>
          </cell>
          <cell r="G148">
            <v>0.23</v>
          </cell>
          <cell r="H148">
            <v>0.6</v>
          </cell>
          <cell r="I148">
            <v>0.1656</v>
          </cell>
        </row>
        <row r="149">
          <cell r="C149">
            <v>0</v>
          </cell>
          <cell r="E149" t="str">
            <v xml:space="preserve">FOR SEPTIC TANK </v>
          </cell>
        </row>
        <row r="150">
          <cell r="C150">
            <v>0</v>
          </cell>
          <cell r="E150">
            <v>2</v>
          </cell>
          <cell r="F150">
            <v>1.96</v>
          </cell>
          <cell r="G150">
            <v>0.23</v>
          </cell>
          <cell r="H150">
            <v>1.6</v>
          </cell>
          <cell r="I150">
            <v>1.4425600000000001</v>
          </cell>
        </row>
        <row r="151">
          <cell r="C151">
            <v>0</v>
          </cell>
          <cell r="E151">
            <v>2</v>
          </cell>
          <cell r="F151">
            <v>1</v>
          </cell>
          <cell r="G151">
            <v>0.23</v>
          </cell>
          <cell r="H151">
            <v>1.6</v>
          </cell>
          <cell r="I151">
            <v>0.7360000000000001</v>
          </cell>
        </row>
        <row r="152">
          <cell r="C152">
            <v>0</v>
          </cell>
          <cell r="E152" t="str">
            <v>FOR STEPS</v>
          </cell>
        </row>
        <row r="153">
          <cell r="C153">
            <v>0</v>
          </cell>
          <cell r="E153">
            <v>1</v>
          </cell>
          <cell r="F153">
            <v>0.9</v>
          </cell>
          <cell r="G153">
            <v>0.75</v>
          </cell>
          <cell r="H153">
            <v>0.15</v>
          </cell>
          <cell r="I153">
            <v>0.10124999999999999</v>
          </cell>
        </row>
        <row r="154">
          <cell r="C154">
            <v>0</v>
          </cell>
          <cell r="E154">
            <v>1</v>
          </cell>
          <cell r="F154">
            <v>0.9</v>
          </cell>
          <cell r="G154">
            <v>0.5</v>
          </cell>
          <cell r="H154">
            <v>0.15</v>
          </cell>
          <cell r="I154">
            <v>6.7500000000000004E-2</v>
          </cell>
        </row>
        <row r="155">
          <cell r="C155">
            <v>0</v>
          </cell>
          <cell r="E155">
            <v>1</v>
          </cell>
          <cell r="F155">
            <v>0.9</v>
          </cell>
          <cell r="G155">
            <v>0.25</v>
          </cell>
          <cell r="H155">
            <v>0.15</v>
          </cell>
          <cell r="I155">
            <v>3.3750000000000002E-2</v>
          </cell>
        </row>
        <row r="156">
          <cell r="C156">
            <v>0</v>
          </cell>
        </row>
        <row r="157">
          <cell r="C157">
            <v>0</v>
          </cell>
          <cell r="I157">
            <v>3.49472</v>
          </cell>
        </row>
        <row r="158">
          <cell r="C158">
            <v>0</v>
          </cell>
        </row>
        <row r="159">
          <cell r="C159">
            <v>0</v>
          </cell>
        </row>
        <row r="160">
          <cell r="C160">
            <v>0</v>
          </cell>
        </row>
        <row r="161">
          <cell r="C161">
            <v>0</v>
          </cell>
        </row>
        <row r="162">
          <cell r="B162">
            <v>11</v>
          </cell>
          <cell r="C162" t="str">
            <v>4/245</v>
          </cell>
          <cell r="D162" t="str">
            <v>Providing second class Burnt Brick masonry with conventional/ I.S. type bricks in cement mortar 1:6 in super structure including  striking joints, racking out joints wateringand scaffolding complete.</v>
          </cell>
          <cell r="E162">
            <v>1</v>
          </cell>
          <cell r="F162">
            <v>3.27</v>
          </cell>
          <cell r="G162">
            <v>0.23</v>
          </cell>
          <cell r="H162">
            <v>1.9</v>
          </cell>
          <cell r="I162">
            <v>1.42899</v>
          </cell>
          <cell r="J162">
            <v>0.95702999999999971</v>
          </cell>
          <cell r="K162" t="str">
            <v>CUM</v>
          </cell>
        </row>
        <row r="163">
          <cell r="C163">
            <v>0</v>
          </cell>
          <cell r="E163">
            <v>1</v>
          </cell>
          <cell r="F163">
            <v>1.72</v>
          </cell>
          <cell r="G163">
            <v>0.23</v>
          </cell>
          <cell r="H163">
            <v>1.9</v>
          </cell>
          <cell r="I163">
            <v>0.75163999999999997</v>
          </cell>
        </row>
        <row r="164">
          <cell r="C164">
            <v>0</v>
          </cell>
          <cell r="E164" t="str">
            <v>DEDUCT FOR OPENINGS</v>
          </cell>
          <cell r="I164">
            <v>2.1806299999999998</v>
          </cell>
        </row>
        <row r="165">
          <cell r="C165">
            <v>0</v>
          </cell>
          <cell r="E165" t="str">
            <v>DOORS</v>
          </cell>
        </row>
        <row r="166">
          <cell r="C166">
            <v>0</v>
          </cell>
          <cell r="E166">
            <v>1</v>
          </cell>
          <cell r="F166">
            <v>0.8</v>
          </cell>
          <cell r="G166">
            <v>0.23</v>
          </cell>
          <cell r="H166">
            <v>1.9</v>
          </cell>
          <cell r="I166">
            <v>0.34960000000000002</v>
          </cell>
        </row>
        <row r="167">
          <cell r="C167">
            <v>0</v>
          </cell>
          <cell r="E167" t="str">
            <v>VENTILLATORS</v>
          </cell>
        </row>
        <row r="168">
          <cell r="C168">
            <v>0</v>
          </cell>
          <cell r="E168">
            <v>4</v>
          </cell>
          <cell r="F168">
            <v>0.5</v>
          </cell>
          <cell r="G168">
            <v>0.23</v>
          </cell>
          <cell r="H168">
            <v>1.9</v>
          </cell>
          <cell r="I168">
            <v>0.874</v>
          </cell>
        </row>
        <row r="169">
          <cell r="C169">
            <v>0</v>
          </cell>
        </row>
        <row r="170">
          <cell r="C170">
            <v>0</v>
          </cell>
          <cell r="I170">
            <v>0.95702999999999971</v>
          </cell>
        </row>
        <row r="171">
          <cell r="C171">
            <v>0</v>
          </cell>
        </row>
        <row r="172">
          <cell r="C172">
            <v>0</v>
          </cell>
        </row>
        <row r="173">
          <cell r="B173">
            <v>12</v>
          </cell>
          <cell r="C173" t="str">
            <v>6/246</v>
          </cell>
          <cell r="D173" t="str">
            <v>Providing second class Burnt Brick masonry with conventional/I.S. type bricks in cement mortar 1:4 in half brick thick wall including mild steel longitudinal reinforcement of 2 bars of 6 mm. diameter/2 hoop iron strips 25 mm x 1.6 mm placed at every third</v>
          </cell>
          <cell r="E173">
            <v>1</v>
          </cell>
          <cell r="F173">
            <v>1.8</v>
          </cell>
          <cell r="H173">
            <v>2.4</v>
          </cell>
          <cell r="I173">
            <v>4.32</v>
          </cell>
          <cell r="J173">
            <v>5.68</v>
          </cell>
          <cell r="K173" t="str">
            <v>SQM</v>
          </cell>
        </row>
        <row r="174">
          <cell r="C174">
            <v>0</v>
          </cell>
          <cell r="E174">
            <v>1</v>
          </cell>
          <cell r="F174">
            <v>1.2</v>
          </cell>
          <cell r="H174">
            <v>2.4</v>
          </cell>
          <cell r="I174">
            <v>2.88</v>
          </cell>
        </row>
        <row r="175">
          <cell r="C175">
            <v>0</v>
          </cell>
          <cell r="I175">
            <v>7.2</v>
          </cell>
        </row>
        <row r="176">
          <cell r="C176">
            <v>0</v>
          </cell>
          <cell r="E176" t="str">
            <v>DEDUCT FOR OPENINGS</v>
          </cell>
        </row>
        <row r="177">
          <cell r="C177">
            <v>0</v>
          </cell>
          <cell r="E177">
            <v>1</v>
          </cell>
          <cell r="F177">
            <v>0.8</v>
          </cell>
          <cell r="H177">
            <v>1.9</v>
          </cell>
          <cell r="I177">
            <v>1.52</v>
          </cell>
        </row>
        <row r="178">
          <cell r="C178">
            <v>0</v>
          </cell>
        </row>
        <row r="179">
          <cell r="C179">
            <v>0</v>
          </cell>
          <cell r="I179">
            <v>5.68</v>
          </cell>
        </row>
        <row r="180">
          <cell r="C180">
            <v>0</v>
          </cell>
        </row>
        <row r="181">
          <cell r="C181">
            <v>0</v>
          </cell>
        </row>
        <row r="182">
          <cell r="C182">
            <v>0</v>
          </cell>
        </row>
        <row r="183">
          <cell r="C183">
            <v>0</v>
          </cell>
        </row>
        <row r="184">
          <cell r="B184">
            <v>13</v>
          </cell>
          <cell r="C184" t="str">
            <v>5/31</v>
          </cell>
          <cell r="D184" t="str">
            <v>Providing and casting in situ cement concrete M-15  of trap/ granite/quartzite/gneiss metal for R.C.C.coping to plinth or parapet and sill of doors, moulded or chamfered as per detailed drawings or approved by the Engineer including steel centering, plywo</v>
          </cell>
          <cell r="E184" t="str">
            <v>L/WALLS</v>
          </cell>
          <cell r="J184">
            <v>0.18561000000000005</v>
          </cell>
          <cell r="K184" t="str">
            <v>CUM</v>
          </cell>
        </row>
        <row r="185">
          <cell r="C185">
            <v>0</v>
          </cell>
          <cell r="E185">
            <v>1</v>
          </cell>
          <cell r="F185">
            <v>3.27</v>
          </cell>
          <cell r="G185">
            <v>0.23</v>
          </cell>
          <cell r="H185">
            <v>0.1</v>
          </cell>
          <cell r="I185">
            <v>7.5210000000000013E-2</v>
          </cell>
        </row>
        <row r="186">
          <cell r="C186">
            <v>0</v>
          </cell>
          <cell r="E186" t="str">
            <v>X/WALLS</v>
          </cell>
        </row>
        <row r="187">
          <cell r="C187">
            <v>0</v>
          </cell>
          <cell r="E187">
            <v>2</v>
          </cell>
          <cell r="F187">
            <v>1.8</v>
          </cell>
          <cell r="G187">
            <v>0.23</v>
          </cell>
          <cell r="H187">
            <v>0.1</v>
          </cell>
          <cell r="I187">
            <v>8.2800000000000012E-2</v>
          </cell>
        </row>
        <row r="188">
          <cell r="C188">
            <v>0</v>
          </cell>
          <cell r="E188">
            <v>1</v>
          </cell>
          <cell r="F188">
            <v>1.2</v>
          </cell>
          <cell r="G188">
            <v>0.23</v>
          </cell>
          <cell r="H188">
            <v>0.1</v>
          </cell>
          <cell r="I188">
            <v>2.7600000000000003E-2</v>
          </cell>
        </row>
        <row r="189">
          <cell r="C189">
            <v>0</v>
          </cell>
        </row>
        <row r="190">
          <cell r="C190">
            <v>0</v>
          </cell>
          <cell r="I190">
            <v>0.18561000000000005</v>
          </cell>
        </row>
        <row r="191">
          <cell r="C191">
            <v>0</v>
          </cell>
        </row>
        <row r="192">
          <cell r="C192">
            <v>0</v>
          </cell>
        </row>
        <row r="193">
          <cell r="C193">
            <v>0</v>
          </cell>
        </row>
        <row r="194">
          <cell r="C194">
            <v>0</v>
          </cell>
        </row>
        <row r="195">
          <cell r="C195">
            <v>0</v>
          </cell>
        </row>
        <row r="196">
          <cell r="C196">
            <v>0</v>
          </cell>
        </row>
        <row r="197">
          <cell r="C197">
            <v>0</v>
          </cell>
        </row>
        <row r="198">
          <cell r="C198">
            <v>0</v>
          </cell>
        </row>
        <row r="199">
          <cell r="C199">
            <v>0</v>
          </cell>
        </row>
        <row r="200">
          <cell r="C200">
            <v>0</v>
          </cell>
        </row>
        <row r="201">
          <cell r="C201">
            <v>0</v>
          </cell>
        </row>
        <row r="202">
          <cell r="B202">
            <v>14</v>
          </cell>
          <cell r="C202" t="str">
            <v>25/360</v>
          </cell>
          <cell r="D202" t="str">
            <v>Providing and fixing sintex or equivalent single leaf door shutter of approved colour made out of extruded rigid PVC hollow section DWUF-305 shutter frame of size 26 mm x 47 mm having double wall construction as vertical styles, top and bottom rails and m</v>
          </cell>
          <cell r="E202">
            <v>2</v>
          </cell>
          <cell r="F202">
            <v>0.7</v>
          </cell>
          <cell r="H202">
            <v>1.8</v>
          </cell>
          <cell r="I202">
            <v>2.52</v>
          </cell>
          <cell r="J202">
            <v>2.52</v>
          </cell>
          <cell r="K202" t="str">
            <v>SQM</v>
          </cell>
        </row>
        <row r="203">
          <cell r="C203">
            <v>0</v>
          </cell>
        </row>
        <row r="204">
          <cell r="C204">
            <v>0</v>
          </cell>
        </row>
        <row r="205">
          <cell r="C205">
            <v>0</v>
          </cell>
        </row>
        <row r="206">
          <cell r="C206">
            <v>0</v>
          </cell>
        </row>
        <row r="207">
          <cell r="C207">
            <v>0</v>
          </cell>
        </row>
        <row r="208">
          <cell r="C208">
            <v>0</v>
          </cell>
        </row>
        <row r="209">
          <cell r="C209">
            <v>0</v>
          </cell>
        </row>
        <row r="210">
          <cell r="C210">
            <v>0</v>
          </cell>
        </row>
        <row r="211">
          <cell r="C211">
            <v>0</v>
          </cell>
        </row>
        <row r="212">
          <cell r="C212">
            <v>0</v>
          </cell>
        </row>
        <row r="213">
          <cell r="C213">
            <v>0</v>
          </cell>
        </row>
        <row r="214">
          <cell r="C214">
            <v>0</v>
          </cell>
        </row>
        <row r="215">
          <cell r="C215">
            <v>0</v>
          </cell>
        </row>
        <row r="216">
          <cell r="C216">
            <v>0</v>
          </cell>
        </row>
        <row r="217">
          <cell r="C217">
            <v>0</v>
          </cell>
        </row>
        <row r="218">
          <cell r="C218">
            <v>0</v>
          </cell>
        </row>
        <row r="219">
          <cell r="C219">
            <v>0</v>
          </cell>
        </row>
        <row r="220">
          <cell r="C220">
            <v>0</v>
          </cell>
        </row>
        <row r="221">
          <cell r="C221">
            <v>0</v>
          </cell>
        </row>
        <row r="222">
          <cell r="B222">
            <v>15</v>
          </cell>
          <cell r="C222" t="str">
            <v>20/358</v>
          </cell>
          <cell r="D222" t="str">
            <v xml:space="preserve">Providing and fixing factory made precast door/window frames of C.C. M-40 grade of section 100 mm x 60 mm including reinforcement as per I.S.6523 with polymeric blocks having screw holding capacity of  250 kg/screw fixed in position in R.C.C.frame as per </v>
          </cell>
          <cell r="E222" t="str">
            <v>2*(0.8+2*(1.9))</v>
          </cell>
          <cell r="I222">
            <v>9.1999999999999993</v>
          </cell>
          <cell r="J222">
            <v>9.1999999999999993</v>
          </cell>
          <cell r="K222" t="str">
            <v>RMt</v>
          </cell>
        </row>
        <row r="223">
          <cell r="C223">
            <v>0</v>
          </cell>
        </row>
        <row r="224">
          <cell r="C224">
            <v>0</v>
          </cell>
        </row>
        <row r="225">
          <cell r="C225">
            <v>0</v>
          </cell>
        </row>
        <row r="226">
          <cell r="C226">
            <v>0</v>
          </cell>
        </row>
        <row r="227">
          <cell r="C227">
            <v>0</v>
          </cell>
        </row>
        <row r="228">
          <cell r="C228">
            <v>0</v>
          </cell>
        </row>
        <row r="229">
          <cell r="C229">
            <v>0</v>
          </cell>
        </row>
        <row r="230">
          <cell r="C230">
            <v>0</v>
          </cell>
        </row>
        <row r="231">
          <cell r="C231">
            <v>0</v>
          </cell>
        </row>
        <row r="232">
          <cell r="C232">
            <v>0</v>
          </cell>
        </row>
        <row r="233">
          <cell r="C233">
            <v>0</v>
          </cell>
        </row>
        <row r="234">
          <cell r="C234">
            <v>0</v>
          </cell>
        </row>
        <row r="235">
          <cell r="B235">
            <v>16</v>
          </cell>
          <cell r="C235" t="str">
            <v>42/369</v>
          </cell>
          <cell r="D235" t="str">
            <v>Providing and fixing steel Louvered windows / ventilators of various sizes as per detailed drawing without hot dip zinc coating including fabrication with approved type and quality all fixtures and fastening without teak wood boxing and architraves includ</v>
          </cell>
          <cell r="E235">
            <v>4</v>
          </cell>
          <cell r="F235">
            <v>0.5</v>
          </cell>
          <cell r="H235">
            <v>0.9</v>
          </cell>
          <cell r="I235">
            <v>1.8</v>
          </cell>
          <cell r="J235">
            <v>1.8</v>
          </cell>
          <cell r="K235" t="str">
            <v>SqM.</v>
          </cell>
        </row>
        <row r="236">
          <cell r="C236">
            <v>0</v>
          </cell>
        </row>
        <row r="237">
          <cell r="C237">
            <v>0</v>
          </cell>
        </row>
        <row r="238">
          <cell r="C238">
            <v>0</v>
          </cell>
        </row>
        <row r="239">
          <cell r="C239">
            <v>0</v>
          </cell>
        </row>
        <row r="240">
          <cell r="C240">
            <v>0</v>
          </cell>
        </row>
        <row r="241">
          <cell r="C241">
            <v>0</v>
          </cell>
        </row>
        <row r="242">
          <cell r="C242">
            <v>0</v>
          </cell>
        </row>
        <row r="243">
          <cell r="C243">
            <v>0</v>
          </cell>
        </row>
        <row r="244">
          <cell r="C244">
            <v>0</v>
          </cell>
        </row>
        <row r="245">
          <cell r="C245">
            <v>0</v>
          </cell>
        </row>
        <row r="246">
          <cell r="C246">
            <v>0</v>
          </cell>
        </row>
        <row r="247">
          <cell r="B247">
            <v>17</v>
          </cell>
          <cell r="C247" t="str">
            <v>12/309</v>
          </cell>
          <cell r="D247" t="str">
            <v>Providing and laying flooring of plain cement tiles of size 25cm x 25 cm and 20 mm thick on bed of 1:6 cement mortar including neat cement float, joints with neat cement slurry, curing, polishing and cleaning without border/with border /with pattern cemen</v>
          </cell>
          <cell r="E247">
            <v>1</v>
          </cell>
          <cell r="F247">
            <v>1.92</v>
          </cell>
          <cell r="G247">
            <v>1.8</v>
          </cell>
          <cell r="I247">
            <v>3.456</v>
          </cell>
          <cell r="J247">
            <v>3.456</v>
          </cell>
          <cell r="K247" t="str">
            <v>SQM</v>
          </cell>
        </row>
        <row r="248">
          <cell r="C248">
            <v>0</v>
          </cell>
        </row>
        <row r="249">
          <cell r="C249">
            <v>0</v>
          </cell>
        </row>
        <row r="250">
          <cell r="C250">
            <v>0</v>
          </cell>
        </row>
        <row r="251">
          <cell r="C251">
            <v>0</v>
          </cell>
        </row>
        <row r="252">
          <cell r="C252">
            <v>0</v>
          </cell>
        </row>
        <row r="253">
          <cell r="C253">
            <v>0</v>
          </cell>
        </row>
        <row r="254">
          <cell r="C254">
            <v>0</v>
          </cell>
        </row>
        <row r="255">
          <cell r="C255">
            <v>0</v>
          </cell>
        </row>
        <row r="256">
          <cell r="B256">
            <v>18</v>
          </cell>
          <cell r="C256" t="str">
            <v>13/309</v>
          </cell>
          <cell r="D256" t="str">
            <v>Providing and fixing plain cement tiles of size 25 cm x 25 cm and 20 mm thick for dado and skirting in required position after making the wall portion to required level with C.M.1:4 and fixing tiles with ready made adhesive including filling joints with n</v>
          </cell>
          <cell r="E256">
            <v>2</v>
          </cell>
          <cell r="F256">
            <v>1.92</v>
          </cell>
          <cell r="H256">
            <v>0.125</v>
          </cell>
          <cell r="I256">
            <v>0.48</v>
          </cell>
          <cell r="J256">
            <v>0.92999999999999994</v>
          </cell>
          <cell r="K256" t="str">
            <v>SQM</v>
          </cell>
        </row>
        <row r="257">
          <cell r="C257">
            <v>0</v>
          </cell>
          <cell r="E257">
            <v>2</v>
          </cell>
          <cell r="F257">
            <v>1.8</v>
          </cell>
          <cell r="H257">
            <v>0.125</v>
          </cell>
          <cell r="I257">
            <v>0.45</v>
          </cell>
        </row>
        <row r="258">
          <cell r="C258">
            <v>0</v>
          </cell>
        </row>
        <row r="259">
          <cell r="C259">
            <v>0</v>
          </cell>
          <cell r="I259">
            <v>0.92999999999999994</v>
          </cell>
        </row>
        <row r="260">
          <cell r="C260">
            <v>0</v>
          </cell>
        </row>
        <row r="261">
          <cell r="C261">
            <v>0</v>
          </cell>
        </row>
        <row r="262">
          <cell r="C262">
            <v>0</v>
          </cell>
        </row>
        <row r="263">
          <cell r="C263">
            <v>0</v>
          </cell>
        </row>
        <row r="264">
          <cell r="C264">
            <v>0</v>
          </cell>
        </row>
        <row r="265">
          <cell r="C265">
            <v>0</v>
          </cell>
        </row>
        <row r="266">
          <cell r="B266">
            <v>19</v>
          </cell>
          <cell r="C266" t="str">
            <v>16/310</v>
          </cell>
          <cell r="D266" t="str">
            <v>Providing and laying white glazed tiles of 148.5 mm x 148.5 mm in size and 5.5 mm to 6.6 mm thick for flooring in required position laid on bed of C.M.1:6  including neat cement float, filling joints with neat white cement slurry, curing and cleaning comp</v>
          </cell>
          <cell r="E266">
            <v>2</v>
          </cell>
          <cell r="F266">
            <v>1.2</v>
          </cell>
          <cell r="G266">
            <v>0.9</v>
          </cell>
          <cell r="I266">
            <v>2.16</v>
          </cell>
          <cell r="J266">
            <v>2.16</v>
          </cell>
          <cell r="K266" t="str">
            <v>SQM</v>
          </cell>
        </row>
        <row r="267">
          <cell r="C267">
            <v>0</v>
          </cell>
        </row>
        <row r="268">
          <cell r="C268">
            <v>0</v>
          </cell>
        </row>
        <row r="269">
          <cell r="C269">
            <v>0</v>
          </cell>
        </row>
        <row r="270">
          <cell r="C270">
            <v>0</v>
          </cell>
        </row>
        <row r="271">
          <cell r="C271">
            <v>0</v>
          </cell>
        </row>
        <row r="272">
          <cell r="C272">
            <v>0</v>
          </cell>
        </row>
        <row r="273">
          <cell r="C273">
            <v>0</v>
          </cell>
        </row>
        <row r="274">
          <cell r="C274">
            <v>0</v>
          </cell>
        </row>
        <row r="275">
          <cell r="C275">
            <v>0</v>
          </cell>
        </row>
        <row r="276">
          <cell r="C276">
            <v>0</v>
          </cell>
        </row>
        <row r="277">
          <cell r="B277">
            <v>20</v>
          </cell>
          <cell r="C277" t="str">
            <v>17/311</v>
          </cell>
          <cell r="D277" t="str">
            <v>Providing and fixing white glazed tiles of 148.5 mm x 148.5 mm in size and about 5 mm to 6 mm thick for dado and skirting in required positions after making the wall portion to required level with C.M.1:4 and fixing tiles with ready made adhesive (includi</v>
          </cell>
          <cell r="E277" t="str">
            <v>W.C.BLOCK WALL</v>
          </cell>
          <cell r="J277">
            <v>4.68</v>
          </cell>
          <cell r="K277" t="str">
            <v>SQM</v>
          </cell>
        </row>
        <row r="278">
          <cell r="C278">
            <v>0</v>
          </cell>
          <cell r="E278" t="str">
            <v>2*2</v>
          </cell>
          <cell r="F278">
            <v>1.2</v>
          </cell>
          <cell r="H278">
            <v>0.9</v>
          </cell>
          <cell r="I278">
            <v>4.32</v>
          </cell>
        </row>
        <row r="279">
          <cell r="C279">
            <v>0</v>
          </cell>
          <cell r="E279" t="str">
            <v>W.C.BLOCK  X / WALL</v>
          </cell>
        </row>
        <row r="280">
          <cell r="C280">
            <v>0</v>
          </cell>
          <cell r="E280" t="str">
            <v>2*2</v>
          </cell>
          <cell r="F280">
            <v>0.9</v>
          </cell>
          <cell r="H280">
            <v>0.9</v>
          </cell>
          <cell r="I280">
            <v>3.24</v>
          </cell>
        </row>
        <row r="281">
          <cell r="C281">
            <v>0</v>
          </cell>
        </row>
        <row r="282">
          <cell r="C282">
            <v>0</v>
          </cell>
          <cell r="E282" t="str">
            <v>DEDUCT FOR OPENINGS</v>
          </cell>
          <cell r="I282">
            <v>7.5600000000000005</v>
          </cell>
        </row>
        <row r="283">
          <cell r="C283">
            <v>0</v>
          </cell>
          <cell r="E283">
            <v>2</v>
          </cell>
          <cell r="F283">
            <v>0.8</v>
          </cell>
          <cell r="H283">
            <v>0.9</v>
          </cell>
          <cell r="I283">
            <v>2.8800000000000003</v>
          </cell>
        </row>
        <row r="284">
          <cell r="C284">
            <v>0</v>
          </cell>
        </row>
        <row r="285">
          <cell r="C285">
            <v>0</v>
          </cell>
          <cell r="I285">
            <v>4.68</v>
          </cell>
        </row>
        <row r="286">
          <cell r="C286">
            <v>0</v>
          </cell>
        </row>
        <row r="287">
          <cell r="C287">
            <v>0</v>
          </cell>
        </row>
        <row r="288">
          <cell r="B288">
            <v>21</v>
          </cell>
          <cell r="C288" t="str">
            <v>11/301</v>
          </cell>
          <cell r="D288" t="str">
            <v>Providing sand faced plaster for external portion in cement mortar using Kharsalia/Kasaba or similar type of sand, in all positions including base coat of 15 mm. thick in C.M. 1:4 using water proofing compound at 1kg per cement bag, curing the same for no</v>
          </cell>
          <cell r="E288" t="str">
            <v>L/WALLS</v>
          </cell>
          <cell r="J288">
            <v>25.025999999999996</v>
          </cell>
          <cell r="K288" t="str">
            <v>SqM.</v>
          </cell>
        </row>
        <row r="289">
          <cell r="C289">
            <v>0</v>
          </cell>
          <cell r="E289">
            <v>1</v>
          </cell>
          <cell r="F289">
            <v>3.27</v>
          </cell>
          <cell r="H289">
            <v>3.3</v>
          </cell>
          <cell r="I289">
            <v>10.790999999999999</v>
          </cell>
        </row>
        <row r="290">
          <cell r="C290">
            <v>0</v>
          </cell>
          <cell r="E290" t="str">
            <v>X/WALLS</v>
          </cell>
        </row>
        <row r="291">
          <cell r="C291">
            <v>0</v>
          </cell>
          <cell r="E291">
            <v>2</v>
          </cell>
          <cell r="F291">
            <v>2.2999999999999998</v>
          </cell>
          <cell r="H291">
            <v>3.3</v>
          </cell>
          <cell r="I291">
            <v>15.179999999999998</v>
          </cell>
        </row>
        <row r="292">
          <cell r="C292">
            <v>0</v>
          </cell>
        </row>
        <row r="293">
          <cell r="C293">
            <v>0</v>
          </cell>
          <cell r="E293" t="str">
            <v>DEDUCT FOR OPENINGS</v>
          </cell>
          <cell r="I293">
            <v>25.970999999999997</v>
          </cell>
        </row>
        <row r="294">
          <cell r="C294">
            <v>0</v>
          </cell>
          <cell r="E294" t="str">
            <v>DOORS</v>
          </cell>
        </row>
        <row r="295">
          <cell r="C295">
            <v>0</v>
          </cell>
          <cell r="E295" t="str">
            <v>1*0.5</v>
          </cell>
          <cell r="F295">
            <v>0.9</v>
          </cell>
          <cell r="H295">
            <v>2.1</v>
          </cell>
          <cell r="I295">
            <v>0.94500000000000006</v>
          </cell>
        </row>
        <row r="296">
          <cell r="C296">
            <v>0</v>
          </cell>
        </row>
        <row r="297">
          <cell r="C297">
            <v>0</v>
          </cell>
          <cell r="I297">
            <v>25.025999999999996</v>
          </cell>
        </row>
        <row r="298">
          <cell r="C298">
            <v>0</v>
          </cell>
        </row>
        <row r="299">
          <cell r="C299">
            <v>0</v>
          </cell>
        </row>
        <row r="300">
          <cell r="C300">
            <v>0</v>
          </cell>
        </row>
        <row r="301">
          <cell r="C301">
            <v>0</v>
          </cell>
        </row>
        <row r="302">
          <cell r="B302">
            <v>22</v>
          </cell>
          <cell r="C302" t="str">
            <v>18/303</v>
          </cell>
          <cell r="D302" t="str">
            <v>Providing cement plaster  6 mm thick to ceiling in single coat in cement mortar 1:3 with neeru finish to concrete surface in all positions including scaffolding and curing etc. complete.</v>
          </cell>
          <cell r="E302" t="str">
            <v>SLAB SOFFIT TOILET</v>
          </cell>
          <cell r="J302">
            <v>11.363099999999999</v>
          </cell>
          <cell r="K302" t="str">
            <v>SqM.</v>
          </cell>
        </row>
        <row r="303">
          <cell r="C303">
            <v>0</v>
          </cell>
          <cell r="E303" t="str">
            <v>W.C.</v>
          </cell>
        </row>
        <row r="304">
          <cell r="C304">
            <v>0</v>
          </cell>
          <cell r="E304">
            <v>2</v>
          </cell>
          <cell r="F304">
            <v>0.9</v>
          </cell>
          <cell r="G304">
            <v>1.2</v>
          </cell>
          <cell r="I304">
            <v>2.16</v>
          </cell>
        </row>
        <row r="305">
          <cell r="C305">
            <v>0</v>
          </cell>
          <cell r="E305">
            <v>1</v>
          </cell>
          <cell r="F305">
            <v>2.63</v>
          </cell>
          <cell r="G305">
            <v>1.92</v>
          </cell>
          <cell r="I305">
            <v>5.0495999999999999</v>
          </cell>
        </row>
        <row r="306">
          <cell r="C306">
            <v>0</v>
          </cell>
          <cell r="E306" t="str">
            <v>SLAB SOFFIT PROJECTION</v>
          </cell>
        </row>
        <row r="307">
          <cell r="C307">
            <v>0</v>
          </cell>
          <cell r="E307">
            <v>1</v>
          </cell>
          <cell r="F307">
            <v>4.63</v>
          </cell>
          <cell r="G307">
            <v>0.45</v>
          </cell>
          <cell r="I307">
            <v>2.0834999999999999</v>
          </cell>
        </row>
        <row r="308">
          <cell r="C308">
            <v>0</v>
          </cell>
          <cell r="E308">
            <v>2</v>
          </cell>
          <cell r="F308">
            <v>2.2999999999999998</v>
          </cell>
          <cell r="G308">
            <v>0.45</v>
          </cell>
          <cell r="I308">
            <v>2.0699999999999998</v>
          </cell>
        </row>
        <row r="309">
          <cell r="C309">
            <v>0</v>
          </cell>
        </row>
        <row r="310">
          <cell r="C310">
            <v>0</v>
          </cell>
          <cell r="I310">
            <v>11.363099999999999</v>
          </cell>
        </row>
        <row r="311">
          <cell r="C311">
            <v>0</v>
          </cell>
        </row>
        <row r="312">
          <cell r="C312">
            <v>0</v>
          </cell>
        </row>
        <row r="313">
          <cell r="C313">
            <v>0</v>
          </cell>
        </row>
        <row r="314">
          <cell r="B314">
            <v>23</v>
          </cell>
          <cell r="C314" t="str">
            <v>7/300</v>
          </cell>
          <cell r="D314" t="str">
            <v>Providing internal cement plaster 20mm thick in a single coat in cement mortar 1:5 without neeru finish to concrete, brick surfaces in all positions including scaffolding and curing. Providing groove at joint of B.B.Masonry and concrete members complete</v>
          </cell>
          <cell r="E314" t="str">
            <v>L/WALLS</v>
          </cell>
          <cell r="J314">
            <v>14.023</v>
          </cell>
          <cell r="K314" t="str">
            <v>SqM.</v>
          </cell>
        </row>
        <row r="315">
          <cell r="C315">
            <v>0</v>
          </cell>
          <cell r="E315">
            <v>1</v>
          </cell>
          <cell r="F315">
            <v>3.27</v>
          </cell>
          <cell r="H315">
            <v>2.4</v>
          </cell>
          <cell r="I315">
            <v>7.8479999999999999</v>
          </cell>
        </row>
        <row r="316">
          <cell r="C316">
            <v>0</v>
          </cell>
          <cell r="E316" t="str">
            <v>X/WALLS</v>
          </cell>
        </row>
        <row r="317">
          <cell r="C317">
            <v>0</v>
          </cell>
          <cell r="E317">
            <v>2</v>
          </cell>
          <cell r="F317">
            <v>1.8</v>
          </cell>
          <cell r="H317">
            <v>2.4</v>
          </cell>
          <cell r="I317">
            <v>8.64</v>
          </cell>
        </row>
        <row r="318">
          <cell r="C318">
            <v>0</v>
          </cell>
        </row>
        <row r="319">
          <cell r="C319">
            <v>0</v>
          </cell>
          <cell r="E319" t="str">
            <v>DEDUCT FOR OPENINGS</v>
          </cell>
          <cell r="I319">
            <v>16.488</v>
          </cell>
        </row>
        <row r="320">
          <cell r="C320">
            <v>0</v>
          </cell>
          <cell r="E320" t="str">
            <v>DOORS</v>
          </cell>
        </row>
        <row r="321">
          <cell r="C321">
            <v>0</v>
          </cell>
          <cell r="E321" t="str">
            <v>1*0.5</v>
          </cell>
          <cell r="F321">
            <v>0.9</v>
          </cell>
          <cell r="H321">
            <v>2.1</v>
          </cell>
          <cell r="I321">
            <v>0.94500000000000006</v>
          </cell>
        </row>
        <row r="322">
          <cell r="C322">
            <v>0</v>
          </cell>
          <cell r="E322">
            <v>1</v>
          </cell>
          <cell r="F322">
            <v>0.8</v>
          </cell>
          <cell r="H322">
            <v>1.9</v>
          </cell>
          <cell r="I322">
            <v>1.52</v>
          </cell>
        </row>
        <row r="323">
          <cell r="C323">
            <v>0</v>
          </cell>
        </row>
        <row r="324">
          <cell r="C324">
            <v>0</v>
          </cell>
          <cell r="I324">
            <v>14.023</v>
          </cell>
        </row>
        <row r="325">
          <cell r="C325">
            <v>0</v>
          </cell>
        </row>
        <row r="326">
          <cell r="C326">
            <v>0</v>
          </cell>
        </row>
        <row r="327">
          <cell r="B327">
            <v>24</v>
          </cell>
          <cell r="C327" t="str">
            <v>3/298</v>
          </cell>
          <cell r="D327" t="str">
            <v>Providing internal cement plaster 12 mm thick in a single coat in cement mortar 1:5 without neeru finish to concrete or brick surface in all positions including scaffolding and curing complete. Providing groove at joint of B.B. Masonry and concrete member</v>
          </cell>
          <cell r="E327" t="str">
            <v xml:space="preserve"> W.C. L / WALLS</v>
          </cell>
          <cell r="J327">
            <v>5.34</v>
          </cell>
          <cell r="K327" t="str">
            <v>SqM.</v>
          </cell>
        </row>
        <row r="328">
          <cell r="C328">
            <v>0</v>
          </cell>
          <cell r="E328">
            <v>2</v>
          </cell>
          <cell r="F328">
            <v>0.9</v>
          </cell>
          <cell r="H328">
            <v>1.5</v>
          </cell>
          <cell r="I328">
            <v>2.7</v>
          </cell>
        </row>
        <row r="329">
          <cell r="C329">
            <v>0</v>
          </cell>
          <cell r="E329" t="str">
            <v>W.C.X / WALLS</v>
          </cell>
        </row>
        <row r="330">
          <cell r="C330">
            <v>0</v>
          </cell>
          <cell r="E330">
            <v>2</v>
          </cell>
          <cell r="F330">
            <v>1.2</v>
          </cell>
          <cell r="H330">
            <v>1.5</v>
          </cell>
          <cell r="I330">
            <v>3.5999999999999996</v>
          </cell>
        </row>
        <row r="331">
          <cell r="C331">
            <v>0</v>
          </cell>
        </row>
        <row r="332">
          <cell r="C332">
            <v>0</v>
          </cell>
          <cell r="E332" t="str">
            <v>DEDUCT FOR OPENINGS</v>
          </cell>
          <cell r="I332">
            <v>6.3</v>
          </cell>
        </row>
        <row r="333">
          <cell r="C333">
            <v>0</v>
          </cell>
          <cell r="E333" t="str">
            <v>DOORS</v>
          </cell>
        </row>
        <row r="334">
          <cell r="C334">
            <v>0</v>
          </cell>
          <cell r="E334" t="str">
            <v>2*0.5</v>
          </cell>
          <cell r="F334">
            <v>0.8</v>
          </cell>
          <cell r="H334">
            <v>1.2</v>
          </cell>
          <cell r="I334">
            <v>0.96</v>
          </cell>
        </row>
        <row r="335">
          <cell r="C335">
            <v>0</v>
          </cell>
          <cell r="I335">
            <v>5.34</v>
          </cell>
        </row>
        <row r="336">
          <cell r="C336">
            <v>0</v>
          </cell>
        </row>
        <row r="337">
          <cell r="B337">
            <v>25</v>
          </cell>
          <cell r="C337" t="str">
            <v>8/300</v>
          </cell>
          <cell r="D337" t="str">
            <v>Providing internal cement plaster 20mm thick in a single coat in cement mortar 1:4 without neeru finish to concrete, brick surfaces in all positions including scaffolding and curing. Providing groove at joint of B.B.Masonry and concrete members complete.</v>
          </cell>
          <cell r="E337" t="str">
            <v>OUTER WALLS OF SEPTIC TANK</v>
          </cell>
          <cell r="J337">
            <v>3.0780000000000003</v>
          </cell>
          <cell r="K337" t="str">
            <v>SqM.</v>
          </cell>
        </row>
        <row r="338">
          <cell r="C338">
            <v>0</v>
          </cell>
          <cell r="E338">
            <v>2</v>
          </cell>
          <cell r="F338">
            <v>1.96</v>
          </cell>
          <cell r="H338">
            <v>0.45</v>
          </cell>
          <cell r="I338">
            <v>1.764</v>
          </cell>
        </row>
        <row r="339">
          <cell r="C339">
            <v>0</v>
          </cell>
          <cell r="E339">
            <v>2</v>
          </cell>
          <cell r="F339">
            <v>1.46</v>
          </cell>
          <cell r="H339">
            <v>0.45</v>
          </cell>
          <cell r="I339">
            <v>1.3140000000000001</v>
          </cell>
        </row>
        <row r="340">
          <cell r="C340">
            <v>0</v>
          </cell>
        </row>
        <row r="341">
          <cell r="C341">
            <v>0</v>
          </cell>
          <cell r="I341">
            <v>3.0780000000000003</v>
          </cell>
        </row>
        <row r="342">
          <cell r="C342">
            <v>0</v>
          </cell>
        </row>
        <row r="343">
          <cell r="C343">
            <v>0</v>
          </cell>
        </row>
        <row r="344">
          <cell r="C344">
            <v>0</v>
          </cell>
        </row>
        <row r="345">
          <cell r="C345">
            <v>0</v>
          </cell>
        </row>
        <row r="346">
          <cell r="C346">
            <v>0</v>
          </cell>
        </row>
        <row r="347">
          <cell r="C347">
            <v>0</v>
          </cell>
        </row>
        <row r="348">
          <cell r="C348">
            <v>0</v>
          </cell>
        </row>
        <row r="349">
          <cell r="C349">
            <v>0</v>
          </cell>
        </row>
        <row r="350">
          <cell r="B350">
            <v>26</v>
          </cell>
          <cell r="C350" t="str">
            <v>9/300</v>
          </cell>
          <cell r="D350" t="str">
            <v>Providing internal cement plaster 20mm thick in a single coat in cement mortar 1:3 without neeru finish to concrete, brick surfacesin all positions including scaffolding and curing. Providing groove at joint of B.B.Masonry and concrete members complete.</v>
          </cell>
          <cell r="E350" t="str">
            <v>IN SIDE SEPTIC TANK</v>
          </cell>
          <cell r="J350">
            <v>9.125</v>
          </cell>
          <cell r="K350" t="str">
            <v>SqM.</v>
          </cell>
        </row>
        <row r="351">
          <cell r="C351">
            <v>0</v>
          </cell>
          <cell r="E351" t="str">
            <v xml:space="preserve">  L / WALLS</v>
          </cell>
        </row>
        <row r="352">
          <cell r="C352">
            <v>0</v>
          </cell>
          <cell r="E352">
            <v>2</v>
          </cell>
          <cell r="F352">
            <v>1.5</v>
          </cell>
          <cell r="H352">
            <v>1.6</v>
          </cell>
          <cell r="I352">
            <v>4.8000000000000007</v>
          </cell>
        </row>
        <row r="353">
          <cell r="C353">
            <v>0</v>
          </cell>
          <cell r="E353" t="str">
            <v>.X / WALLS</v>
          </cell>
        </row>
        <row r="354">
          <cell r="C354">
            <v>0</v>
          </cell>
          <cell r="E354">
            <v>2</v>
          </cell>
          <cell r="F354">
            <v>1</v>
          </cell>
          <cell r="H354">
            <v>1.6</v>
          </cell>
          <cell r="I354">
            <v>3.2</v>
          </cell>
        </row>
        <row r="355">
          <cell r="C355">
            <v>0</v>
          </cell>
          <cell r="E355" t="str">
            <v>FOR STEPS</v>
          </cell>
        </row>
        <row r="356">
          <cell r="C356">
            <v>0</v>
          </cell>
          <cell r="E356">
            <v>2</v>
          </cell>
          <cell r="F356">
            <v>0.75</v>
          </cell>
          <cell r="G356">
            <v>0.15</v>
          </cell>
          <cell r="I356">
            <v>0.22499999999999998</v>
          </cell>
        </row>
        <row r="357">
          <cell r="C357">
            <v>0</v>
          </cell>
          <cell r="E357">
            <v>2</v>
          </cell>
          <cell r="F357">
            <v>0.5</v>
          </cell>
          <cell r="G357">
            <v>0.15</v>
          </cell>
          <cell r="I357">
            <v>0.15</v>
          </cell>
        </row>
        <row r="358">
          <cell r="C358">
            <v>0</v>
          </cell>
          <cell r="E358">
            <v>2</v>
          </cell>
          <cell r="F358">
            <v>0.25</v>
          </cell>
          <cell r="G358">
            <v>0.15</v>
          </cell>
          <cell r="I358">
            <v>7.4999999999999997E-2</v>
          </cell>
        </row>
        <row r="359">
          <cell r="C359">
            <v>0</v>
          </cell>
          <cell r="E359" t="str">
            <v xml:space="preserve">FOR STEPS TOP </v>
          </cell>
        </row>
        <row r="360">
          <cell r="C360">
            <v>0</v>
          </cell>
          <cell r="E360">
            <v>1</v>
          </cell>
          <cell r="F360">
            <v>0.9</v>
          </cell>
          <cell r="H360">
            <v>0.75</v>
          </cell>
          <cell r="I360">
            <v>0.67500000000000004</v>
          </cell>
        </row>
        <row r="361">
          <cell r="C361">
            <v>0</v>
          </cell>
          <cell r="I361">
            <v>9.125</v>
          </cell>
        </row>
        <row r="362">
          <cell r="C362">
            <v>0</v>
          </cell>
        </row>
        <row r="363">
          <cell r="B363">
            <v>27</v>
          </cell>
          <cell r="C363" t="str">
            <v>23/331</v>
          </cell>
          <cell r="D363" t="str">
            <v>Providing and applying three coats of water proof cement paint of approved manufacture and of approved colour to new plastered surfaces including scaffolding if necessary, cleaning and preparing the surface, watering for two days complete. (Sample and bra</v>
          </cell>
          <cell r="E363" t="str">
            <v>QUANTITY OF THIS ITEM = TOTAL OF THE QUANTITIES OF THE ITEM Nos. 21 &amp; 22</v>
          </cell>
          <cell r="J363">
            <v>36.388999999999996</v>
          </cell>
          <cell r="K363" t="str">
            <v>SqM.</v>
          </cell>
        </row>
        <row r="364">
          <cell r="C364">
            <v>0</v>
          </cell>
        </row>
        <row r="365">
          <cell r="C365">
            <v>0</v>
          </cell>
        </row>
        <row r="366">
          <cell r="C366">
            <v>0</v>
          </cell>
          <cell r="G366" t="str">
            <v xml:space="preserve">ITEM No. 21 </v>
          </cell>
          <cell r="I366">
            <v>25.026</v>
          </cell>
        </row>
        <row r="367">
          <cell r="C367">
            <v>0</v>
          </cell>
        </row>
        <row r="368">
          <cell r="C368">
            <v>0</v>
          </cell>
          <cell r="G368" t="str">
            <v>ITEM No. 22</v>
          </cell>
          <cell r="I368">
            <v>11.363</v>
          </cell>
        </row>
        <row r="369">
          <cell r="C369">
            <v>0</v>
          </cell>
        </row>
        <row r="370">
          <cell r="C370">
            <v>0</v>
          </cell>
          <cell r="I370">
            <v>36.388999999999996</v>
          </cell>
        </row>
        <row r="371">
          <cell r="C371">
            <v>0</v>
          </cell>
        </row>
        <row r="372">
          <cell r="C372">
            <v>0</v>
          </cell>
        </row>
        <row r="373">
          <cell r="B373">
            <v>28</v>
          </cell>
          <cell r="C373" t="str">
            <v>11/336</v>
          </cell>
          <cell r="D373" t="str">
            <v>Providing and applying washable oilbound distemper of approved colour and shade to old and new surfaces in two coats including scaffolding, preparing the surfaces (excluding the primer coat) complete.</v>
          </cell>
          <cell r="E373" t="str">
            <v>QUANTITY OF THIS ITEM = TOTAL OF THE QUANTITIES OF THE ITEM Nos. 22 , 23 &amp; 24</v>
          </cell>
          <cell r="J373">
            <v>30.725999999999999</v>
          </cell>
          <cell r="K373" t="str">
            <v>SqM.</v>
          </cell>
        </row>
        <row r="374">
          <cell r="C374">
            <v>0</v>
          </cell>
        </row>
        <row r="375">
          <cell r="C375">
            <v>0</v>
          </cell>
        </row>
        <row r="376">
          <cell r="C376">
            <v>0</v>
          </cell>
          <cell r="G376" t="str">
            <v>ITEM No. 22</v>
          </cell>
          <cell r="I376">
            <v>11.363</v>
          </cell>
        </row>
        <row r="377">
          <cell r="C377">
            <v>0</v>
          </cell>
        </row>
        <row r="378">
          <cell r="C378">
            <v>0</v>
          </cell>
          <cell r="G378" t="str">
            <v>ITEM No. 23</v>
          </cell>
          <cell r="I378">
            <v>14.023</v>
          </cell>
        </row>
        <row r="379">
          <cell r="C379">
            <v>0</v>
          </cell>
        </row>
        <row r="380">
          <cell r="C380">
            <v>0</v>
          </cell>
          <cell r="G380" t="str">
            <v>ITEM No. 24</v>
          </cell>
          <cell r="I380">
            <v>5.34</v>
          </cell>
        </row>
        <row r="381">
          <cell r="C381">
            <v>0</v>
          </cell>
        </row>
        <row r="382">
          <cell r="C382">
            <v>0</v>
          </cell>
          <cell r="I382">
            <v>30.725999999999999</v>
          </cell>
        </row>
        <row r="383">
          <cell r="C383">
            <v>0</v>
          </cell>
        </row>
        <row r="384">
          <cell r="C384">
            <v>0</v>
          </cell>
        </row>
        <row r="385">
          <cell r="B385">
            <v>29</v>
          </cell>
          <cell r="C385" t="str">
            <v>32/462</v>
          </cell>
          <cell r="D385" t="str">
            <v>Providing and fixing 1st class white glazed earthenware "Orissa type" W.C.Pan 600 x 400 mm size including 'P'or 'S'trap UPVC soil and vent pipe upto the outside face of the wall, 1:5:10 cement concrete bedding, 10 litre fibre high level flushing cistern w</v>
          </cell>
          <cell r="E385">
            <v>1</v>
          </cell>
          <cell r="J385">
            <v>1</v>
          </cell>
          <cell r="K385" t="str">
            <v>NO</v>
          </cell>
        </row>
        <row r="386">
          <cell r="C386">
            <v>0</v>
          </cell>
        </row>
        <row r="387">
          <cell r="C387">
            <v>0</v>
          </cell>
        </row>
        <row r="388">
          <cell r="C388">
            <v>0</v>
          </cell>
        </row>
        <row r="389">
          <cell r="C389">
            <v>0</v>
          </cell>
        </row>
        <row r="390">
          <cell r="C390">
            <v>0</v>
          </cell>
        </row>
        <row r="391">
          <cell r="C391">
            <v>0</v>
          </cell>
        </row>
        <row r="392">
          <cell r="C392">
            <v>0</v>
          </cell>
        </row>
        <row r="393">
          <cell r="C393">
            <v>0</v>
          </cell>
        </row>
        <row r="394">
          <cell r="C394">
            <v>0</v>
          </cell>
        </row>
        <row r="395">
          <cell r="C395">
            <v>0</v>
          </cell>
        </row>
        <row r="396">
          <cell r="C396">
            <v>0</v>
          </cell>
        </row>
        <row r="397">
          <cell r="C397">
            <v>0</v>
          </cell>
        </row>
        <row r="398">
          <cell r="C398">
            <v>0</v>
          </cell>
        </row>
        <row r="399">
          <cell r="C399">
            <v>0</v>
          </cell>
        </row>
        <row r="400">
          <cell r="C400">
            <v>0</v>
          </cell>
        </row>
        <row r="401">
          <cell r="C401">
            <v>0</v>
          </cell>
        </row>
        <row r="402">
          <cell r="B402">
            <v>30</v>
          </cell>
          <cell r="C402" t="str">
            <v>48/470</v>
          </cell>
          <cell r="D402" t="str">
            <v xml:space="preserve">Providing and fixing white glazed earthenware Wash Hand Basin of size 45 cm x 30 cm including cold water piller tap/cold and hot water piller tap, brackets, rubber plugs and brass chain, stop tap, chromium plated bottle trap and necessary pipe connection </v>
          </cell>
          <cell r="E402">
            <v>1</v>
          </cell>
          <cell r="J402">
            <v>1</v>
          </cell>
          <cell r="K402" t="str">
            <v>NO</v>
          </cell>
        </row>
        <row r="403">
          <cell r="C403">
            <v>0</v>
          </cell>
        </row>
        <row r="404">
          <cell r="C404">
            <v>0</v>
          </cell>
        </row>
        <row r="405">
          <cell r="C405">
            <v>0</v>
          </cell>
        </row>
        <row r="406">
          <cell r="C406">
            <v>0</v>
          </cell>
        </row>
        <row r="407">
          <cell r="C407">
            <v>0</v>
          </cell>
        </row>
        <row r="408">
          <cell r="C408">
            <v>0</v>
          </cell>
        </row>
        <row r="409">
          <cell r="C409">
            <v>0</v>
          </cell>
        </row>
        <row r="410">
          <cell r="C410">
            <v>0</v>
          </cell>
        </row>
        <row r="411">
          <cell r="C411">
            <v>0</v>
          </cell>
        </row>
        <row r="412">
          <cell r="C412">
            <v>0</v>
          </cell>
        </row>
        <row r="413">
          <cell r="C413">
            <v>0</v>
          </cell>
        </row>
        <row r="414">
          <cell r="C414">
            <v>0</v>
          </cell>
        </row>
        <row r="415">
          <cell r="B415">
            <v>31</v>
          </cell>
          <cell r="C415" t="str">
            <v>60/475</v>
          </cell>
          <cell r="D415" t="str">
            <v>Providing and fixing 10 cm Rigid PVC Nahani Trap including PVC grating, bend, connecting piece of P.V.C.pipe of required diameter, pipe up to the outside face of the wall, making good the holes and repairs, testing etc. complete. (Prior approval of sample</v>
          </cell>
          <cell r="E415">
            <v>1</v>
          </cell>
          <cell r="J415">
            <v>1</v>
          </cell>
          <cell r="K415" t="str">
            <v>NO</v>
          </cell>
        </row>
        <row r="416">
          <cell r="C416">
            <v>0</v>
          </cell>
        </row>
        <row r="417">
          <cell r="C417">
            <v>0</v>
          </cell>
        </row>
        <row r="418">
          <cell r="C418">
            <v>0</v>
          </cell>
        </row>
        <row r="419">
          <cell r="C419">
            <v>0</v>
          </cell>
        </row>
        <row r="420">
          <cell r="C420">
            <v>0</v>
          </cell>
        </row>
        <row r="421">
          <cell r="C421">
            <v>0</v>
          </cell>
        </row>
        <row r="422">
          <cell r="C422">
            <v>0</v>
          </cell>
        </row>
        <row r="423">
          <cell r="C423">
            <v>0</v>
          </cell>
        </row>
        <row r="424">
          <cell r="C424">
            <v>0</v>
          </cell>
        </row>
        <row r="425">
          <cell r="B425">
            <v>32</v>
          </cell>
          <cell r="C425" t="str">
            <v>38/51</v>
          </cell>
          <cell r="D425" t="str">
            <v>Providing and fixing in position mild steel/HYSD bar reinforcement of various diameters for R.C.C. pile caps, footings, foundations, slabs, beams and columns, canopies, staircases, newels, chajjas, lintels, pardies, coping, fins, arches etc. as per detail</v>
          </cell>
          <cell r="J425">
            <v>7.6599999999999988E-2</v>
          </cell>
          <cell r="K425" t="str">
            <v>MT</v>
          </cell>
        </row>
        <row r="426">
          <cell r="C426">
            <v>0</v>
          </cell>
          <cell r="E426" t="str">
            <v xml:space="preserve">RCC FOUNDATION </v>
          </cell>
          <cell r="G426" t="str">
            <v>0.398 `@ 40</v>
          </cell>
          <cell r="I426">
            <v>15.92</v>
          </cell>
          <cell r="J426" t="str">
            <v>KG</v>
          </cell>
        </row>
        <row r="427">
          <cell r="C427">
            <v>0</v>
          </cell>
          <cell r="E427" t="str">
            <v>RCC BEAM</v>
          </cell>
          <cell r="G427" t="str">
            <v>0.378 `@ 100</v>
          </cell>
          <cell r="I427">
            <v>37.799999999999997</v>
          </cell>
          <cell r="J427" t="str">
            <v>KG</v>
          </cell>
        </row>
        <row r="428">
          <cell r="C428">
            <v>0</v>
          </cell>
          <cell r="E428" t="str">
            <v>RCC SLAB</v>
          </cell>
          <cell r="G428" t="str">
            <v>0.286 `@ 80</v>
          </cell>
          <cell r="I428">
            <v>22.88</v>
          </cell>
          <cell r="J428" t="str">
            <v>KG</v>
          </cell>
        </row>
        <row r="429">
          <cell r="C429">
            <v>0</v>
          </cell>
        </row>
        <row r="430">
          <cell r="C430">
            <v>0</v>
          </cell>
        </row>
        <row r="431">
          <cell r="C431">
            <v>0</v>
          </cell>
        </row>
        <row r="432">
          <cell r="C432">
            <v>0</v>
          </cell>
        </row>
        <row r="433">
          <cell r="C433">
            <v>0</v>
          </cell>
        </row>
        <row r="434">
          <cell r="C434">
            <v>0</v>
          </cell>
        </row>
        <row r="435">
          <cell r="C435">
            <v>0</v>
          </cell>
        </row>
        <row r="436">
          <cell r="C436">
            <v>0</v>
          </cell>
        </row>
        <row r="437">
          <cell r="C437">
            <v>0</v>
          </cell>
        </row>
        <row r="438">
          <cell r="C438">
            <v>0</v>
          </cell>
        </row>
        <row r="439">
          <cell r="C439">
            <v>0</v>
          </cell>
        </row>
        <row r="440">
          <cell r="C440">
            <v>0</v>
          </cell>
        </row>
        <row r="441">
          <cell r="C441">
            <v>0</v>
          </cell>
        </row>
        <row r="442">
          <cell r="C442">
            <v>0</v>
          </cell>
        </row>
        <row r="443">
          <cell r="C443">
            <v>0</v>
          </cell>
        </row>
        <row r="444">
          <cell r="C444">
            <v>0</v>
          </cell>
        </row>
        <row r="445">
          <cell r="C445">
            <v>0</v>
          </cell>
        </row>
        <row r="446">
          <cell r="C446">
            <v>0</v>
          </cell>
        </row>
        <row r="447">
          <cell r="C447">
            <v>0</v>
          </cell>
        </row>
        <row r="448">
          <cell r="C448">
            <v>0</v>
          </cell>
        </row>
        <row r="449">
          <cell r="C449">
            <v>0</v>
          </cell>
        </row>
        <row r="450">
          <cell r="C450">
            <v>0</v>
          </cell>
        </row>
        <row r="451">
          <cell r="C451">
            <v>0</v>
          </cell>
        </row>
        <row r="452">
          <cell r="C452">
            <v>0</v>
          </cell>
        </row>
        <row r="453">
          <cell r="C453">
            <v>0</v>
          </cell>
        </row>
        <row r="454">
          <cell r="C454">
            <v>0</v>
          </cell>
        </row>
        <row r="455">
          <cell r="C455">
            <v>0</v>
          </cell>
        </row>
        <row r="456">
          <cell r="C456">
            <v>0</v>
          </cell>
        </row>
        <row r="457">
          <cell r="C457">
            <v>0</v>
          </cell>
        </row>
        <row r="458">
          <cell r="C458">
            <v>0</v>
          </cell>
        </row>
        <row r="459">
          <cell r="C459">
            <v>0</v>
          </cell>
        </row>
        <row r="460">
          <cell r="C460">
            <v>0</v>
          </cell>
        </row>
        <row r="461">
          <cell r="C461">
            <v>0</v>
          </cell>
        </row>
        <row r="462">
          <cell r="C462">
            <v>0</v>
          </cell>
        </row>
        <row r="463">
          <cell r="C463">
            <v>0</v>
          </cell>
        </row>
        <row r="464">
          <cell r="C464">
            <v>0</v>
          </cell>
        </row>
        <row r="465">
          <cell r="C465">
            <v>0</v>
          </cell>
        </row>
        <row r="466">
          <cell r="C466">
            <v>0</v>
          </cell>
        </row>
        <row r="467">
          <cell r="C467">
            <v>0</v>
          </cell>
        </row>
        <row r="468">
          <cell r="C468">
            <v>0</v>
          </cell>
        </row>
        <row r="469">
          <cell r="C469">
            <v>0</v>
          </cell>
        </row>
        <row r="470">
          <cell r="C470">
            <v>0</v>
          </cell>
        </row>
        <row r="471">
          <cell r="C471">
            <v>0</v>
          </cell>
        </row>
        <row r="472">
          <cell r="C472">
            <v>0</v>
          </cell>
        </row>
        <row r="473">
          <cell r="C473">
            <v>0</v>
          </cell>
        </row>
        <row r="474">
          <cell r="C474">
            <v>0</v>
          </cell>
        </row>
        <row r="475">
          <cell r="C475">
            <v>0</v>
          </cell>
        </row>
        <row r="476">
          <cell r="C476">
            <v>0</v>
          </cell>
        </row>
        <row r="477">
          <cell r="C477">
            <v>0</v>
          </cell>
        </row>
        <row r="478">
          <cell r="C478">
            <v>0</v>
          </cell>
        </row>
        <row r="479">
          <cell r="C479">
            <v>0</v>
          </cell>
        </row>
        <row r="480">
          <cell r="C480">
            <v>0</v>
          </cell>
        </row>
        <row r="481">
          <cell r="C481">
            <v>0</v>
          </cell>
        </row>
        <row r="482">
          <cell r="C482">
            <v>0</v>
          </cell>
        </row>
        <row r="483">
          <cell r="C483">
            <v>0</v>
          </cell>
        </row>
        <row r="484">
          <cell r="C484">
            <v>0</v>
          </cell>
        </row>
        <row r="485">
          <cell r="C485">
            <v>0</v>
          </cell>
        </row>
        <row r="486">
          <cell r="C486">
            <v>0</v>
          </cell>
        </row>
        <row r="487">
          <cell r="C487">
            <v>0</v>
          </cell>
        </row>
        <row r="488">
          <cell r="C488">
            <v>0</v>
          </cell>
        </row>
        <row r="489">
          <cell r="C489">
            <v>0</v>
          </cell>
        </row>
        <row r="490">
          <cell r="C490">
            <v>0</v>
          </cell>
        </row>
        <row r="491">
          <cell r="C491">
            <v>0</v>
          </cell>
        </row>
        <row r="492">
          <cell r="C492">
            <v>0</v>
          </cell>
        </row>
        <row r="493">
          <cell r="C493">
            <v>0</v>
          </cell>
        </row>
        <row r="494">
          <cell r="C494">
            <v>0</v>
          </cell>
        </row>
        <row r="495">
          <cell r="C495">
            <v>0</v>
          </cell>
        </row>
        <row r="496">
          <cell r="C496">
            <v>0</v>
          </cell>
        </row>
        <row r="497">
          <cell r="C497">
            <v>0</v>
          </cell>
        </row>
        <row r="498">
          <cell r="C498">
            <v>0</v>
          </cell>
        </row>
        <row r="499">
          <cell r="C499">
            <v>0</v>
          </cell>
        </row>
        <row r="500">
          <cell r="C500">
            <v>0</v>
          </cell>
        </row>
        <row r="501">
          <cell r="C501">
            <v>0</v>
          </cell>
        </row>
        <row r="502">
          <cell r="C502">
            <v>0</v>
          </cell>
        </row>
        <row r="503">
          <cell r="C503">
            <v>0</v>
          </cell>
        </row>
        <row r="504">
          <cell r="C504">
            <v>0</v>
          </cell>
        </row>
        <row r="505">
          <cell r="C505">
            <v>0</v>
          </cell>
        </row>
        <row r="506">
          <cell r="C506">
            <v>0</v>
          </cell>
        </row>
        <row r="507">
          <cell r="C507">
            <v>0</v>
          </cell>
        </row>
        <row r="508">
          <cell r="C508">
            <v>0</v>
          </cell>
        </row>
        <row r="509">
          <cell r="C509">
            <v>0</v>
          </cell>
        </row>
        <row r="510">
          <cell r="C510">
            <v>0</v>
          </cell>
        </row>
        <row r="511">
          <cell r="C511">
            <v>0</v>
          </cell>
        </row>
        <row r="512">
          <cell r="C512">
            <v>0</v>
          </cell>
        </row>
        <row r="513">
          <cell r="C513">
            <v>0</v>
          </cell>
        </row>
        <row r="514">
          <cell r="C514">
            <v>0</v>
          </cell>
        </row>
        <row r="515">
          <cell r="C515">
            <v>0</v>
          </cell>
        </row>
        <row r="516">
          <cell r="C516">
            <v>0</v>
          </cell>
        </row>
        <row r="517">
          <cell r="C517">
            <v>0</v>
          </cell>
        </row>
        <row r="518">
          <cell r="C518">
            <v>0</v>
          </cell>
        </row>
        <row r="519">
          <cell r="C519">
            <v>0</v>
          </cell>
        </row>
        <row r="520">
          <cell r="C520">
            <v>0</v>
          </cell>
        </row>
        <row r="521">
          <cell r="C521">
            <v>0</v>
          </cell>
        </row>
        <row r="522">
          <cell r="C522">
            <v>0</v>
          </cell>
        </row>
        <row r="523">
          <cell r="C523">
            <v>0</v>
          </cell>
        </row>
        <row r="524">
          <cell r="C524">
            <v>0</v>
          </cell>
        </row>
        <row r="525">
          <cell r="C525">
            <v>0</v>
          </cell>
        </row>
        <row r="526">
          <cell r="C526">
            <v>0</v>
          </cell>
        </row>
        <row r="527">
          <cell r="C527">
            <v>0</v>
          </cell>
        </row>
        <row r="528">
          <cell r="C528">
            <v>0</v>
          </cell>
        </row>
        <row r="529">
          <cell r="C529">
            <v>0</v>
          </cell>
        </row>
        <row r="530">
          <cell r="C530">
            <v>0</v>
          </cell>
        </row>
        <row r="531">
          <cell r="C531">
            <v>0</v>
          </cell>
        </row>
        <row r="532">
          <cell r="C532">
            <v>0</v>
          </cell>
        </row>
        <row r="533">
          <cell r="C533">
            <v>0</v>
          </cell>
        </row>
        <row r="534">
          <cell r="C534">
            <v>0</v>
          </cell>
        </row>
        <row r="535">
          <cell r="C535">
            <v>0</v>
          </cell>
        </row>
        <row r="536">
          <cell r="C536">
            <v>0</v>
          </cell>
        </row>
        <row r="537">
          <cell r="C537">
            <v>0</v>
          </cell>
        </row>
        <row r="538">
          <cell r="C538">
            <v>0</v>
          </cell>
        </row>
        <row r="539">
          <cell r="C539">
            <v>0</v>
          </cell>
        </row>
        <row r="540">
          <cell r="C540">
            <v>0</v>
          </cell>
        </row>
        <row r="541">
          <cell r="C541">
            <v>0</v>
          </cell>
        </row>
        <row r="542">
          <cell r="C542">
            <v>0</v>
          </cell>
        </row>
        <row r="543">
          <cell r="C543">
            <v>0</v>
          </cell>
        </row>
        <row r="544">
          <cell r="C544">
            <v>0</v>
          </cell>
        </row>
        <row r="545">
          <cell r="C545">
            <v>0</v>
          </cell>
        </row>
        <row r="546">
          <cell r="C546">
            <v>0</v>
          </cell>
        </row>
        <row r="547">
          <cell r="C547">
            <v>0</v>
          </cell>
        </row>
        <row r="548">
          <cell r="C548">
            <v>0</v>
          </cell>
        </row>
        <row r="549">
          <cell r="C549">
            <v>0</v>
          </cell>
        </row>
        <row r="550">
          <cell r="C550">
            <v>0</v>
          </cell>
        </row>
        <row r="551">
          <cell r="C551">
            <v>0</v>
          </cell>
        </row>
        <row r="552">
          <cell r="C552">
            <v>0</v>
          </cell>
        </row>
        <row r="553">
          <cell r="C553">
            <v>0</v>
          </cell>
        </row>
        <row r="554">
          <cell r="C554">
            <v>0</v>
          </cell>
        </row>
        <row r="555">
          <cell r="C555">
            <v>0</v>
          </cell>
        </row>
        <row r="556">
          <cell r="C556">
            <v>0</v>
          </cell>
        </row>
        <row r="557">
          <cell r="C557">
            <v>0</v>
          </cell>
        </row>
        <row r="558">
          <cell r="C558">
            <v>0</v>
          </cell>
        </row>
        <row r="559">
          <cell r="C559">
            <v>0</v>
          </cell>
        </row>
        <row r="560">
          <cell r="C560">
            <v>0</v>
          </cell>
        </row>
        <row r="561">
          <cell r="C561">
            <v>0</v>
          </cell>
        </row>
        <row r="562">
          <cell r="C562">
            <v>0</v>
          </cell>
        </row>
        <row r="563">
          <cell r="C563">
            <v>0</v>
          </cell>
        </row>
        <row r="564">
          <cell r="C564">
            <v>0</v>
          </cell>
        </row>
        <row r="565">
          <cell r="C565">
            <v>0</v>
          </cell>
        </row>
        <row r="566">
          <cell r="C566">
            <v>0</v>
          </cell>
        </row>
        <row r="567">
          <cell r="C567">
            <v>0</v>
          </cell>
        </row>
        <row r="568">
          <cell r="C568">
            <v>0</v>
          </cell>
        </row>
        <row r="569">
          <cell r="C569">
            <v>0</v>
          </cell>
        </row>
        <row r="570">
          <cell r="C570">
            <v>0</v>
          </cell>
        </row>
        <row r="571">
          <cell r="C571">
            <v>0</v>
          </cell>
        </row>
        <row r="572">
          <cell r="C572">
            <v>0</v>
          </cell>
        </row>
        <row r="573">
          <cell r="C573">
            <v>0</v>
          </cell>
        </row>
        <row r="574">
          <cell r="C574">
            <v>0</v>
          </cell>
        </row>
        <row r="575">
          <cell r="C575">
            <v>0</v>
          </cell>
        </row>
        <row r="576">
          <cell r="C576">
            <v>0</v>
          </cell>
        </row>
        <row r="577">
          <cell r="C577">
            <v>0</v>
          </cell>
        </row>
        <row r="578">
          <cell r="C578">
            <v>0</v>
          </cell>
        </row>
        <row r="579">
          <cell r="C579">
            <v>0</v>
          </cell>
        </row>
        <row r="580">
          <cell r="C580">
            <v>0</v>
          </cell>
        </row>
        <row r="581">
          <cell r="C581">
            <v>0</v>
          </cell>
        </row>
        <row r="582">
          <cell r="C582">
            <v>0</v>
          </cell>
        </row>
        <row r="583">
          <cell r="C583">
            <v>0</v>
          </cell>
        </row>
        <row r="584">
          <cell r="C584">
            <v>0</v>
          </cell>
        </row>
        <row r="585">
          <cell r="C585">
            <v>0</v>
          </cell>
        </row>
        <row r="586">
          <cell r="C586">
            <v>0</v>
          </cell>
        </row>
        <row r="587">
          <cell r="C587">
            <v>0</v>
          </cell>
        </row>
        <row r="588">
          <cell r="C588">
            <v>0</v>
          </cell>
        </row>
        <row r="589">
          <cell r="C589">
            <v>0</v>
          </cell>
        </row>
        <row r="590">
          <cell r="C590">
            <v>0</v>
          </cell>
        </row>
        <row r="591">
          <cell r="C591">
            <v>0</v>
          </cell>
        </row>
        <row r="592">
          <cell r="C592">
            <v>0</v>
          </cell>
        </row>
        <row r="593">
          <cell r="C593">
            <v>0</v>
          </cell>
        </row>
        <row r="594">
          <cell r="C594">
            <v>0</v>
          </cell>
        </row>
        <row r="595">
          <cell r="C595">
            <v>0</v>
          </cell>
        </row>
        <row r="596">
          <cell r="C596">
            <v>0</v>
          </cell>
        </row>
        <row r="597">
          <cell r="C597">
            <v>0</v>
          </cell>
        </row>
        <row r="598">
          <cell r="C598">
            <v>0</v>
          </cell>
        </row>
        <row r="599">
          <cell r="C599">
            <v>0</v>
          </cell>
        </row>
        <row r="600">
          <cell r="C600">
            <v>0</v>
          </cell>
        </row>
        <row r="601">
          <cell r="C601">
            <v>0</v>
          </cell>
        </row>
        <row r="602">
          <cell r="C602">
            <v>0</v>
          </cell>
        </row>
        <row r="603">
          <cell r="C603">
            <v>0</v>
          </cell>
        </row>
        <row r="604">
          <cell r="C604">
            <v>0</v>
          </cell>
        </row>
        <row r="605">
          <cell r="C605">
            <v>0</v>
          </cell>
        </row>
        <row r="606">
          <cell r="C606">
            <v>0</v>
          </cell>
        </row>
        <row r="607">
          <cell r="C607">
            <v>0</v>
          </cell>
        </row>
        <row r="608">
          <cell r="C608">
            <v>0</v>
          </cell>
        </row>
        <row r="609">
          <cell r="C609">
            <v>0</v>
          </cell>
        </row>
        <row r="610">
          <cell r="C610">
            <v>0</v>
          </cell>
        </row>
        <row r="611">
          <cell r="C611">
            <v>0</v>
          </cell>
        </row>
        <row r="612">
          <cell r="C612">
            <v>0</v>
          </cell>
        </row>
        <row r="613">
          <cell r="C613">
            <v>0</v>
          </cell>
        </row>
        <row r="614">
          <cell r="C614">
            <v>0</v>
          </cell>
        </row>
        <row r="615">
          <cell r="C615">
            <v>0</v>
          </cell>
        </row>
        <row r="616">
          <cell r="C616">
            <v>0</v>
          </cell>
        </row>
        <row r="617">
          <cell r="C617">
            <v>0</v>
          </cell>
        </row>
        <row r="618">
          <cell r="C618">
            <v>0</v>
          </cell>
        </row>
        <row r="619">
          <cell r="C619">
            <v>0</v>
          </cell>
        </row>
        <row r="620">
          <cell r="C620">
            <v>0</v>
          </cell>
        </row>
        <row r="621">
          <cell r="C621">
            <v>0</v>
          </cell>
        </row>
        <row r="622">
          <cell r="C622">
            <v>0</v>
          </cell>
        </row>
        <row r="623">
          <cell r="C623">
            <v>0</v>
          </cell>
        </row>
        <row r="624">
          <cell r="C624">
            <v>0</v>
          </cell>
        </row>
        <row r="625">
          <cell r="C625">
            <v>0</v>
          </cell>
        </row>
        <row r="626">
          <cell r="C626">
            <v>0</v>
          </cell>
        </row>
        <row r="627">
          <cell r="C627">
            <v>0</v>
          </cell>
        </row>
        <row r="628">
          <cell r="C628">
            <v>0</v>
          </cell>
        </row>
        <row r="629">
          <cell r="C629">
            <v>0</v>
          </cell>
        </row>
        <row r="630">
          <cell r="C630">
            <v>0</v>
          </cell>
        </row>
        <row r="631">
          <cell r="C631">
            <v>0</v>
          </cell>
        </row>
        <row r="632">
          <cell r="C632">
            <v>0</v>
          </cell>
        </row>
        <row r="633">
          <cell r="C633">
            <v>0</v>
          </cell>
        </row>
        <row r="634">
          <cell r="C634">
            <v>0</v>
          </cell>
        </row>
        <row r="635">
          <cell r="C635">
            <v>0</v>
          </cell>
        </row>
        <row r="636">
          <cell r="C636">
            <v>0</v>
          </cell>
        </row>
        <row r="637">
          <cell r="C637">
            <v>0</v>
          </cell>
        </row>
        <row r="638">
          <cell r="C638">
            <v>0</v>
          </cell>
        </row>
        <row r="639">
          <cell r="C639">
            <v>0</v>
          </cell>
        </row>
        <row r="640">
          <cell r="C640">
            <v>0</v>
          </cell>
        </row>
        <row r="641">
          <cell r="C641">
            <v>0</v>
          </cell>
        </row>
        <row r="642">
          <cell r="C642">
            <v>0</v>
          </cell>
        </row>
        <row r="643">
          <cell r="C643">
            <v>0</v>
          </cell>
        </row>
        <row r="644">
          <cell r="C644">
            <v>0</v>
          </cell>
        </row>
        <row r="645">
          <cell r="C645">
            <v>0</v>
          </cell>
        </row>
        <row r="646">
          <cell r="C646">
            <v>0</v>
          </cell>
        </row>
        <row r="647">
          <cell r="C647">
            <v>0</v>
          </cell>
        </row>
        <row r="648">
          <cell r="C648">
            <v>0</v>
          </cell>
        </row>
        <row r="649">
          <cell r="C649">
            <v>0</v>
          </cell>
        </row>
        <row r="650">
          <cell r="C650">
            <v>0</v>
          </cell>
        </row>
        <row r="651">
          <cell r="C651">
            <v>0</v>
          </cell>
        </row>
        <row r="652">
          <cell r="C652">
            <v>0</v>
          </cell>
        </row>
        <row r="653">
          <cell r="C653">
            <v>0</v>
          </cell>
        </row>
        <row r="654">
          <cell r="C654">
            <v>0</v>
          </cell>
        </row>
        <row r="655">
          <cell r="C655">
            <v>0</v>
          </cell>
        </row>
        <row r="656">
          <cell r="C656">
            <v>0</v>
          </cell>
        </row>
        <row r="657">
          <cell r="C657">
            <v>0</v>
          </cell>
        </row>
        <row r="658">
          <cell r="C658">
            <v>0</v>
          </cell>
        </row>
        <row r="659">
          <cell r="C659">
            <v>0</v>
          </cell>
        </row>
        <row r="660">
          <cell r="C660">
            <v>0</v>
          </cell>
        </row>
        <row r="661">
          <cell r="C661">
            <v>0</v>
          </cell>
        </row>
        <row r="662">
          <cell r="C662">
            <v>0</v>
          </cell>
        </row>
        <row r="663">
          <cell r="C663">
            <v>0</v>
          </cell>
        </row>
        <row r="664">
          <cell r="C664">
            <v>0</v>
          </cell>
        </row>
        <row r="665">
          <cell r="C665">
            <v>0</v>
          </cell>
        </row>
        <row r="666">
          <cell r="C666">
            <v>0</v>
          </cell>
        </row>
        <row r="667">
          <cell r="C667">
            <v>0</v>
          </cell>
        </row>
        <row r="668">
          <cell r="C668">
            <v>0</v>
          </cell>
        </row>
        <row r="669">
          <cell r="C669">
            <v>0</v>
          </cell>
        </row>
        <row r="670">
          <cell r="C670">
            <v>0</v>
          </cell>
        </row>
        <row r="671">
          <cell r="C671">
            <v>0</v>
          </cell>
        </row>
        <row r="672">
          <cell r="C672">
            <v>0</v>
          </cell>
        </row>
        <row r="673">
          <cell r="C673">
            <v>0</v>
          </cell>
        </row>
        <row r="674">
          <cell r="C674">
            <v>0</v>
          </cell>
        </row>
        <row r="675">
          <cell r="C675">
            <v>0</v>
          </cell>
        </row>
        <row r="676">
          <cell r="C676">
            <v>0</v>
          </cell>
        </row>
        <row r="677">
          <cell r="C677">
            <v>0</v>
          </cell>
        </row>
        <row r="678">
          <cell r="C678">
            <v>0</v>
          </cell>
        </row>
        <row r="679">
          <cell r="C679">
            <v>0</v>
          </cell>
        </row>
        <row r="680">
          <cell r="C680">
            <v>0</v>
          </cell>
        </row>
        <row r="681">
          <cell r="C681">
            <v>0</v>
          </cell>
        </row>
        <row r="682">
          <cell r="C682">
            <v>0</v>
          </cell>
        </row>
        <row r="683">
          <cell r="C683">
            <v>0</v>
          </cell>
        </row>
        <row r="684">
          <cell r="C684">
            <v>0</v>
          </cell>
        </row>
        <row r="685">
          <cell r="C685">
            <v>0</v>
          </cell>
        </row>
        <row r="686">
          <cell r="C686">
            <v>0</v>
          </cell>
        </row>
        <row r="687">
          <cell r="C687">
            <v>0</v>
          </cell>
        </row>
        <row r="688">
          <cell r="C688">
            <v>0</v>
          </cell>
        </row>
        <row r="689">
          <cell r="C689">
            <v>0</v>
          </cell>
        </row>
        <row r="690">
          <cell r="C690">
            <v>0</v>
          </cell>
        </row>
        <row r="691">
          <cell r="C691">
            <v>0</v>
          </cell>
        </row>
        <row r="692">
          <cell r="C692">
            <v>0</v>
          </cell>
        </row>
        <row r="693">
          <cell r="C693">
            <v>0</v>
          </cell>
        </row>
        <row r="694">
          <cell r="C694">
            <v>0</v>
          </cell>
        </row>
        <row r="695">
          <cell r="C695">
            <v>0</v>
          </cell>
        </row>
        <row r="696">
          <cell r="C696">
            <v>0</v>
          </cell>
        </row>
        <row r="697">
          <cell r="C697">
            <v>0</v>
          </cell>
        </row>
        <row r="698">
          <cell r="C698">
            <v>0</v>
          </cell>
        </row>
        <row r="699">
          <cell r="C699">
            <v>0</v>
          </cell>
        </row>
        <row r="700">
          <cell r="C700">
            <v>0</v>
          </cell>
        </row>
        <row r="701">
          <cell r="C701">
            <v>0</v>
          </cell>
        </row>
        <row r="702">
          <cell r="C702">
            <v>0</v>
          </cell>
        </row>
        <row r="703">
          <cell r="C703">
            <v>0</v>
          </cell>
        </row>
        <row r="704">
          <cell r="C704">
            <v>0</v>
          </cell>
        </row>
        <row r="705">
          <cell r="C705">
            <v>0</v>
          </cell>
        </row>
        <row r="706">
          <cell r="C706">
            <v>0</v>
          </cell>
        </row>
        <row r="707">
          <cell r="C707">
            <v>0</v>
          </cell>
        </row>
        <row r="708">
          <cell r="C708">
            <v>0</v>
          </cell>
        </row>
        <row r="709">
          <cell r="C709">
            <v>0</v>
          </cell>
        </row>
        <row r="710">
          <cell r="C710">
            <v>0</v>
          </cell>
        </row>
        <row r="711">
          <cell r="C711">
            <v>0</v>
          </cell>
        </row>
        <row r="712">
          <cell r="C712">
            <v>0</v>
          </cell>
        </row>
        <row r="713">
          <cell r="C713">
            <v>0</v>
          </cell>
        </row>
        <row r="714">
          <cell r="C714">
            <v>0</v>
          </cell>
        </row>
        <row r="715">
          <cell r="C715">
            <v>0</v>
          </cell>
        </row>
        <row r="716">
          <cell r="C716">
            <v>0</v>
          </cell>
        </row>
        <row r="717">
          <cell r="C717">
            <v>0</v>
          </cell>
        </row>
        <row r="718">
          <cell r="C718">
            <v>0</v>
          </cell>
        </row>
        <row r="719">
          <cell r="C719">
            <v>0</v>
          </cell>
        </row>
        <row r="720">
          <cell r="C720">
            <v>0</v>
          </cell>
        </row>
        <row r="721">
          <cell r="C721">
            <v>0</v>
          </cell>
        </row>
        <row r="722">
          <cell r="C722">
            <v>0</v>
          </cell>
        </row>
        <row r="723">
          <cell r="C723">
            <v>0</v>
          </cell>
        </row>
        <row r="724">
          <cell r="C724">
            <v>0</v>
          </cell>
        </row>
        <row r="725">
          <cell r="C725">
            <v>0</v>
          </cell>
        </row>
        <row r="726">
          <cell r="C726">
            <v>0</v>
          </cell>
        </row>
        <row r="727">
          <cell r="C727">
            <v>0</v>
          </cell>
        </row>
        <row r="728">
          <cell r="C728">
            <v>0</v>
          </cell>
        </row>
        <row r="729">
          <cell r="C729">
            <v>0</v>
          </cell>
        </row>
        <row r="730">
          <cell r="C730">
            <v>0</v>
          </cell>
        </row>
        <row r="731">
          <cell r="C731">
            <v>0</v>
          </cell>
        </row>
        <row r="732">
          <cell r="C732">
            <v>0</v>
          </cell>
        </row>
        <row r="733">
          <cell r="C733">
            <v>0</v>
          </cell>
        </row>
        <row r="734">
          <cell r="C734">
            <v>0</v>
          </cell>
        </row>
        <row r="735">
          <cell r="C735">
            <v>0</v>
          </cell>
        </row>
        <row r="736">
          <cell r="C736">
            <v>0</v>
          </cell>
        </row>
        <row r="737">
          <cell r="C737">
            <v>0</v>
          </cell>
        </row>
        <row r="738">
          <cell r="C738">
            <v>0</v>
          </cell>
        </row>
        <row r="739">
          <cell r="C739">
            <v>0</v>
          </cell>
        </row>
        <row r="740">
          <cell r="C740">
            <v>0</v>
          </cell>
        </row>
        <row r="741">
          <cell r="C741">
            <v>0</v>
          </cell>
        </row>
        <row r="742">
          <cell r="C742">
            <v>0</v>
          </cell>
        </row>
        <row r="743">
          <cell r="C743">
            <v>0</v>
          </cell>
        </row>
        <row r="744">
          <cell r="C744">
            <v>0</v>
          </cell>
        </row>
        <row r="745">
          <cell r="C745">
            <v>0</v>
          </cell>
        </row>
        <row r="746">
          <cell r="C746">
            <v>0</v>
          </cell>
        </row>
        <row r="747">
          <cell r="C747">
            <v>0</v>
          </cell>
        </row>
        <row r="748">
          <cell r="C748">
            <v>0</v>
          </cell>
        </row>
        <row r="749">
          <cell r="C749">
            <v>0</v>
          </cell>
        </row>
        <row r="750">
          <cell r="C750">
            <v>0</v>
          </cell>
        </row>
        <row r="751">
          <cell r="C751">
            <v>0</v>
          </cell>
        </row>
        <row r="752">
          <cell r="C752">
            <v>0</v>
          </cell>
        </row>
        <row r="753">
          <cell r="C753">
            <v>0</v>
          </cell>
        </row>
        <row r="754">
          <cell r="C754">
            <v>0</v>
          </cell>
        </row>
        <row r="755">
          <cell r="C755">
            <v>0</v>
          </cell>
        </row>
        <row r="756">
          <cell r="C756">
            <v>0</v>
          </cell>
        </row>
        <row r="757">
          <cell r="C757">
            <v>0</v>
          </cell>
        </row>
        <row r="758">
          <cell r="C758">
            <v>0</v>
          </cell>
        </row>
        <row r="759">
          <cell r="C759">
            <v>0</v>
          </cell>
        </row>
        <row r="760">
          <cell r="C760">
            <v>0</v>
          </cell>
        </row>
        <row r="761">
          <cell r="C761">
            <v>0</v>
          </cell>
        </row>
        <row r="762">
          <cell r="C762">
            <v>0</v>
          </cell>
        </row>
      </sheetData>
      <sheetData sheetId="7" refreshError="1"/>
      <sheetData sheetId="8" refreshError="1"/>
      <sheetData sheetId="9"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tter (2)"/>
      <sheetName val="Facesheet-I to III Booklet"/>
      <sheetName val="I(R)"/>
      <sheetName val="I(B)"/>
      <sheetName val="II(R)"/>
      <sheetName val="II(B)"/>
      <sheetName val="II(BE)"/>
      <sheetName val="III(R)"/>
      <sheetName val="III(B)"/>
      <sheetName val="IV(R)"/>
      <sheetName val="IV(B)"/>
      <sheetName val="V(B)"/>
      <sheetName val="V(R)"/>
      <sheetName val="VI(R)"/>
      <sheetName val="VI(B)"/>
      <sheetName val="VII(R)"/>
      <sheetName val="VII(B)"/>
      <sheetName val="VIII(B)"/>
      <sheetName val="VIII(R) "/>
      <sheetName val="REASONS_EXCESS "/>
      <sheetName val="Lead"/>
      <sheetName val="RCC,Ret. Wall"/>
      <sheetName val="iNDEX"/>
      <sheetName val="Boq"/>
      <sheetName val="RT Short"/>
      <sheetName val="MS1"/>
      <sheetName val="bASICDATA"/>
      <sheetName val="Sheet1"/>
    </sheetNames>
    <sheetDataSet>
      <sheetData sheetId="0" refreshError="1"/>
      <sheetData sheetId="1" refreshError="1"/>
      <sheetData sheetId="2"/>
      <sheetData sheetId="3" refreshError="1"/>
      <sheetData sheetId="4"/>
      <sheetData sheetId="5" refreshError="1"/>
      <sheetData sheetId="6" refreshError="1"/>
      <sheetData sheetId="7"/>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mp;C (2)"/>
      <sheetName val="ABS"/>
      <sheetName val="COVER"/>
      <sheetName val="F.S."/>
      <sheetName val="Gen Rep"/>
      <sheetName val="Gen Abs"/>
      <sheetName val="MS Short"/>
      <sheetName val="RT Short"/>
      <sheetName val="LD"/>
      <sheetName val="MAP"/>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sheetData sheetId="9"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S"/>
      <sheetName val="Plan"/>
      <sheetName val="Sent NHO"/>
      <sheetName val="PBFF"/>
      <sheetName val="sanctions"/>
      <sheetName val="Sheet2"/>
      <sheetName val="Sheet3"/>
      <sheetName val="Sheet1"/>
      <sheetName val="Plan 2006-07"/>
      <sheetName val="RT Short"/>
    </sheetNames>
    <sheetDataSet>
      <sheetData sheetId="0"/>
      <sheetData sheetId="1"/>
      <sheetData sheetId="2"/>
      <sheetData sheetId="3"/>
      <sheetData sheetId="4"/>
      <sheetData sheetId="5"/>
      <sheetData sheetId="6"/>
      <sheetData sheetId="7"/>
      <sheetData sheetId="8"/>
      <sheetData sheetId="9"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0000000"/>
      <sheetName val="1000000000000"/>
      <sheetName val="coverpage"/>
      <sheetName val="TS memo"/>
      <sheetName val="Spn report"/>
      <sheetName val="BTR"/>
      <sheetName val="RMR"/>
      <sheetName val="Road data"/>
      <sheetName val="road est"/>
      <sheetName val="abs road"/>
      <sheetName val="4V800"/>
      <sheetName val="3V800"/>
      <sheetName val="1vof Obul800"/>
      <sheetName val="1V800"/>
      <sheetName val="1V600"/>
      <sheetName val="2V600"/>
      <sheetName val="2V1000"/>
      <sheetName val="HP abs"/>
      <sheetName val="Det. CC"/>
      <sheetName val="Drt Slab"/>
      <sheetName val="Abs_CD_2"/>
      <sheetName val="certificate"/>
      <sheetName val="CBR"/>
      <sheetName val="Gen abs"/>
      <sheetName val="mlead"/>
      <sheetName val="ECV"/>
      <sheetName val="1rX1000"/>
    </sheetNames>
    <sheetDataSet>
      <sheetData sheetId="0"/>
      <sheetData sheetId="1"/>
      <sheetData sheetId="2">
        <row r="27">
          <cell r="E27" t="str">
            <v>Karimnagar</v>
          </cell>
        </row>
      </sheetData>
      <sheetData sheetId="3"/>
      <sheetData sheetId="4"/>
      <sheetData sheetId="5"/>
      <sheetData sheetId="6">
        <row r="5">
          <cell r="L5">
            <v>485.70400000000006</v>
          </cell>
        </row>
      </sheetData>
      <sheetData sheetId="7">
        <row r="3">
          <cell r="C3" t="str">
            <v>Earthwork excavation by mechanical means and depositing on bank with initial  lead and lift in all soils upto SDR and laying earth in layers including breaking clods, sectioning and rolling with Power Road Roller 8 to 10 Tonnes capacity  @ FMC including a</v>
          </cell>
        </row>
      </sheetData>
      <sheetData sheetId="8">
        <row r="7">
          <cell r="H7">
            <v>11200</v>
          </cell>
        </row>
      </sheetData>
      <sheetData sheetId="9">
        <row r="6">
          <cell r="J6">
            <v>1133240</v>
          </cell>
        </row>
      </sheetData>
      <sheetData sheetId="10"/>
      <sheetData sheetId="11"/>
      <sheetData sheetId="12"/>
      <sheetData sheetId="13"/>
      <sheetData sheetId="14"/>
      <sheetData sheetId="15"/>
      <sheetData sheetId="16"/>
      <sheetData sheetId="17"/>
      <sheetData sheetId="18"/>
      <sheetData sheetId="19"/>
      <sheetData sheetId="20">
        <row r="7">
          <cell r="C7">
            <v>1</v>
          </cell>
        </row>
      </sheetData>
      <sheetData sheetId="21"/>
      <sheetData sheetId="22"/>
      <sheetData sheetId="23"/>
      <sheetData sheetId="24">
        <row r="10">
          <cell r="C10">
            <v>82.9</v>
          </cell>
        </row>
      </sheetData>
      <sheetData sheetId="25">
        <row r="10">
          <cell r="B10" t="e">
            <v>#REF!</v>
          </cell>
        </row>
      </sheetData>
      <sheetData sheetId="26"/>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tter-space-5(13)"/>
      <sheetName val="Improve"/>
      <sheetName val="Letter-space-5(12)"/>
    </sheetNames>
    <sheetDataSet>
      <sheetData sheetId="0"/>
      <sheetData sheetId="1"/>
      <sheetData sheetId="2"/>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1"/>
      <sheetName val="DATA2"/>
      <sheetName val="Cvr"/>
      <sheetName val="ESTIMATE"/>
      <sheetName val="GENERAL REPORT"/>
      <sheetName val="GENERAL ABSTRACT"/>
      <sheetName val="MEASUREMENT"/>
      <sheetName val="ABSTRACT "/>
      <sheetName val="RATE."/>
      <sheetName val="SSR 2022-23 (w.e.f.25-07-023)"/>
      <sheetName val=" Testing (5 class rm)"/>
      <sheetName val="Royalty(05 class rm) "/>
      <sheetName val="LEAD "/>
      <sheetName val="TRA22-23"/>
      <sheetName val=" Testing Charges 2023-24"/>
      <sheetName val="Sheet1 (2)"/>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1">
          <cell r="A1" t="str">
            <v>One Square
Metre</v>
          </cell>
          <cell r="B1" t="str">
            <v>Sqm</v>
          </cell>
        </row>
        <row r="2">
          <cell r="A2" t="str">
            <v>Number</v>
          </cell>
          <cell r="B2" t="str">
            <v>No.</v>
          </cell>
        </row>
        <row r="3">
          <cell r="A3" t="str">
            <v>One Running Metre</v>
          </cell>
          <cell r="B3" t="str">
            <v>Rmt.</v>
          </cell>
        </row>
        <row r="4">
          <cell r="A4" t="str">
            <v>One Cubic Metre</v>
          </cell>
          <cell r="B4" t="str">
            <v>Cum</v>
          </cell>
        </row>
        <row r="5">
          <cell r="A5" t="str">
            <v>Kilogram</v>
          </cell>
          <cell r="B5" t="str">
            <v>kg</v>
          </cell>
        </row>
        <row r="6">
          <cell r="A6" t="str">
            <v>Pouch</v>
          </cell>
          <cell r="B6" t="str">
            <v>Pouch</v>
          </cell>
        </row>
        <row r="7">
          <cell r="A7" t="str">
            <v>RMT</v>
          </cell>
          <cell r="B7" t="str">
            <v>Rmt.</v>
          </cell>
        </row>
        <row r="8">
          <cell r="A8" t="str">
            <v>SQM</v>
          </cell>
          <cell r="B8" t="str">
            <v>Sqm</v>
          </cell>
        </row>
        <row r="9">
          <cell r="A9" t="str">
            <v>M.T.</v>
          </cell>
          <cell r="B9" t="str">
            <v>M.T.</v>
          </cell>
        </row>
        <row r="10">
          <cell r="A10" t="str">
            <v>Kg</v>
          </cell>
          <cell r="B10" t="str">
            <v>Kg</v>
          </cell>
        </row>
        <row r="11">
          <cell r="A11" t="str">
            <v>One Number</v>
          </cell>
          <cell r="B11" t="str">
            <v>No.</v>
          </cell>
        </row>
        <row r="12">
          <cell r="A12" t="str">
            <v>Cum.</v>
          </cell>
          <cell r="B12" t="str">
            <v>Cum</v>
          </cell>
        </row>
        <row r="13">
          <cell r="A13" t="str">
            <v>CUM.</v>
          </cell>
          <cell r="B13" t="str">
            <v>Cum</v>
          </cell>
        </row>
        <row r="14">
          <cell r="A14" t="str">
            <v>Rmt</v>
          </cell>
          <cell r="B14" t="str">
            <v>Rmt.</v>
          </cell>
        </row>
        <row r="15">
          <cell r="A15" t="str">
            <v>Sqm</v>
          </cell>
          <cell r="B15" t="str">
            <v>Sqm</v>
          </cell>
        </row>
        <row r="16">
          <cell r="A16" t="str">
            <v>Span</v>
          </cell>
          <cell r="B16" t="str">
            <v>Span</v>
          </cell>
        </row>
        <row r="17">
          <cell r="A17" t="str">
            <v>MT</v>
          </cell>
          <cell r="B17" t="str">
            <v>M.T.</v>
          </cell>
        </row>
        <row r="18">
          <cell r="A18" t="str">
            <v>1000 Litre</v>
          </cell>
          <cell r="B18" t="str">
            <v>1000 Litre</v>
          </cell>
        </row>
        <row r="19">
          <cell r="A19" t="str">
            <v>One  Kilometre</v>
          </cell>
          <cell r="B19" t="str">
            <v>Km</v>
          </cell>
        </row>
        <row r="20">
          <cell r="A20" t="str">
            <v>One Acre</v>
          </cell>
          <cell r="B20" t="str">
            <v>One Acre</v>
          </cell>
        </row>
        <row r="21">
          <cell r="A21" t="str">
            <v>Metric Tonne</v>
          </cell>
          <cell r="B21" t="str">
            <v>M.T.</v>
          </cell>
        </row>
        <row r="22">
          <cell r="A22" t="str">
            <v>Square Meter</v>
          </cell>
          <cell r="B22" t="str">
            <v>Sqm</v>
          </cell>
        </row>
        <row r="23">
          <cell r="A23" t="str">
            <v>Running Meter</v>
          </cell>
          <cell r="B23" t="str">
            <v>Rmt.</v>
          </cell>
        </row>
        <row r="24">
          <cell r="A24" t="str">
            <v>Cubic
Metre</v>
          </cell>
          <cell r="B24" t="str">
            <v>Cum</v>
          </cell>
        </row>
        <row r="25">
          <cell r="A25" t="str">
            <v>Square
Metre</v>
          </cell>
          <cell r="B25" t="str">
            <v>Sqm</v>
          </cell>
        </row>
        <row r="26">
          <cell r="A26" t="str">
            <v>Cubic Meter</v>
          </cell>
          <cell r="B26" t="str">
            <v>Cum</v>
          </cell>
        </row>
        <row r="27">
          <cell r="A27" t="str">
            <v>Running
metre</v>
          </cell>
          <cell r="B27" t="str">
            <v>Rmt.</v>
          </cell>
        </row>
        <row r="28">
          <cell r="A28" t="str">
            <v>Litre</v>
          </cell>
          <cell r="B28" t="str">
            <v>Ltr.</v>
          </cell>
        </row>
        <row r="29">
          <cell r="A29" t="str">
            <v>Kilo Gram</v>
          </cell>
          <cell r="B29" t="str">
            <v>Kg.</v>
          </cell>
        </row>
        <row r="30">
          <cell r="A30" t="str">
            <v>Per No</v>
          </cell>
          <cell r="B30" t="str">
            <v>No.</v>
          </cell>
        </row>
        <row r="31">
          <cell r="A31" t="str">
            <v>Cum</v>
          </cell>
          <cell r="B31" t="str">
            <v>Cum</v>
          </cell>
        </row>
        <row r="32">
          <cell r="A32" t="str">
            <v>Per Site</v>
          </cell>
          <cell r="B32" t="str">
            <v>Per Site</v>
          </cell>
        </row>
        <row r="33">
          <cell r="A33" t="str">
            <v>Square kilometre</v>
          </cell>
          <cell r="B33" t="str">
            <v>Sqkm</v>
          </cell>
        </row>
        <row r="34">
          <cell r="A34" t="str">
            <v>running kilometre</v>
          </cell>
          <cell r="B34" t="str">
            <v>Rkm</v>
          </cell>
        </row>
        <row r="35">
          <cell r="A35" t="str">
            <v>Cubic M.</v>
          </cell>
          <cell r="B35" t="str">
            <v>Cum</v>
          </cell>
        </row>
        <row r="36">
          <cell r="A36" t="str">
            <v>Per bearing</v>
          </cell>
          <cell r="B36" t="str">
            <v>Per bearing</v>
          </cell>
        </row>
        <row r="37">
          <cell r="A37" t="str">
            <v>Square  Metre</v>
          </cell>
          <cell r="B37" t="str">
            <v>Sqm</v>
          </cell>
        </row>
        <row r="38">
          <cell r="A38" t="str">
            <v>Per Day</v>
          </cell>
          <cell r="B38" t="str">
            <v>Per Day</v>
          </cell>
        </row>
        <row r="39">
          <cell r="A39" t="str">
            <v>Shift</v>
          </cell>
          <cell r="B39" t="str">
            <v>Shift</v>
          </cell>
        </row>
        <row r="40">
          <cell r="A40" t="str">
            <v>Nos.</v>
          </cell>
          <cell r="B40" t="str">
            <v>Nos.</v>
          </cell>
        </row>
        <row r="41">
          <cell r="A41" t="str">
            <v>One Litre</v>
          </cell>
          <cell r="B41" t="str">
            <v>One Litre</v>
          </cell>
        </row>
        <row r="42">
          <cell r="A42" t="str">
            <v>One Kilogram.</v>
          </cell>
          <cell r="B42" t="str">
            <v>kg</v>
          </cell>
        </row>
        <row r="43">
          <cell r="A43" t="str">
            <v>One Pouch</v>
          </cell>
          <cell r="B43" t="str">
            <v>One Pouch</v>
          </cell>
        </row>
        <row r="44">
          <cell r="A44" t="str">
            <v>One Metric Tonne</v>
          </cell>
          <cell r="B44" t="str">
            <v>M.T.</v>
          </cell>
        </row>
        <row r="45">
          <cell r="A45" t="str">
            <v>Running One Kilometre</v>
          </cell>
          <cell r="B45" t="str">
            <v>Running One Km</v>
          </cell>
        </row>
        <row r="46">
          <cell r="A46" t="str">
            <v>Square One Kilometre</v>
          </cell>
          <cell r="B46" t="str">
            <v>Square One Km</v>
          </cell>
        </row>
        <row r="47">
          <cell r="A47" t="str">
            <v>Job</v>
          </cell>
          <cell r="B47" t="str">
            <v>Job</v>
          </cell>
        </row>
        <row r="48">
          <cell r="A48" t="str">
            <v>One Square
Meter</v>
          </cell>
          <cell r="B48" t="str">
            <v>Sqm</v>
          </cell>
        </row>
        <row r="49">
          <cell r="A49" t="str">
            <v>One Square Meter</v>
          </cell>
          <cell r="B49" t="str">
            <v>Sqm</v>
          </cell>
        </row>
        <row r="50">
          <cell r="A50" t="str">
            <v>One Square Metre</v>
          </cell>
          <cell r="B50" t="str">
            <v>Sqm</v>
          </cell>
        </row>
        <row r="51">
          <cell r="A51" t="str">
            <v>One Hour</v>
          </cell>
          <cell r="B51" t="str">
            <v>Hour</v>
          </cell>
        </row>
      </sheetData>
      <sheetData sheetId="16"/>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1"/>
      <sheetName val="DATA2"/>
      <sheetName val="CSR16-17(1-9-2016)"/>
      <sheetName val="carting2016-17"/>
      <sheetName val="Trans- Buildg"/>
      <sheetName val="Trans-Road"/>
      <sheetName val="Cvr"/>
      <sheetName val="FC"/>
      <sheetName val="Gnrl Rprt"/>
      <sheetName val="G.ABS."/>
      <sheetName val="MMT "/>
      <sheetName val="ABS "/>
      <sheetName val="RATE.)"/>
      <sheetName val=" Testing )"/>
      <sheetName val="Royalty "/>
      <sheetName val="LEAD "/>
      <sheetName val=" Testing Charges 2020-21"/>
      <sheetName val="SSR-INDEX"/>
      <sheetName val="SSR 2020-21 (w.e.f.1-10-2020)"/>
      <sheetName val="TRA20-21"/>
      <sheetName val="Words"/>
      <sheetName val="ScheduleB"/>
      <sheetName val="Bitumen rate"/>
      <sheetName val="Frequencies Of Test"/>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row r="1">
          <cell r="A1" t="str">
            <v>Square Metre</v>
          </cell>
          <cell r="B1" t="str">
            <v>Sqm</v>
          </cell>
        </row>
        <row r="2">
          <cell r="A2" t="str">
            <v>Number</v>
          </cell>
          <cell r="B2" t="str">
            <v>No.</v>
          </cell>
        </row>
        <row r="3">
          <cell r="A3" t="str">
            <v>Running metre</v>
          </cell>
          <cell r="B3" t="str">
            <v>Rmt.</v>
          </cell>
        </row>
        <row r="4">
          <cell r="A4" t="str">
            <v>Cubic Metre</v>
          </cell>
          <cell r="B4" t="str">
            <v>Cum</v>
          </cell>
        </row>
        <row r="5">
          <cell r="A5" t="str">
            <v>Kilogram</v>
          </cell>
          <cell r="B5" t="str">
            <v>kg</v>
          </cell>
        </row>
        <row r="6">
          <cell r="A6" t="str">
            <v>Pouch</v>
          </cell>
          <cell r="B6" t="str">
            <v>Pouch</v>
          </cell>
        </row>
        <row r="7">
          <cell r="A7" t="str">
            <v>RMT</v>
          </cell>
          <cell r="B7" t="str">
            <v>Rmt.</v>
          </cell>
        </row>
        <row r="8">
          <cell r="A8" t="str">
            <v>SQM</v>
          </cell>
          <cell r="B8" t="str">
            <v>Sqm</v>
          </cell>
        </row>
        <row r="9">
          <cell r="A9" t="str">
            <v>M.T.</v>
          </cell>
          <cell r="B9" t="str">
            <v>M.T.</v>
          </cell>
        </row>
        <row r="10">
          <cell r="A10" t="str">
            <v>Kg</v>
          </cell>
          <cell r="B10" t="str">
            <v>Kg</v>
          </cell>
        </row>
        <row r="11">
          <cell r="A11" t="str">
            <v>No.</v>
          </cell>
          <cell r="B11" t="str">
            <v>No.</v>
          </cell>
        </row>
        <row r="12">
          <cell r="A12" t="str">
            <v>Cum.</v>
          </cell>
          <cell r="B12" t="str">
            <v>Cum</v>
          </cell>
        </row>
        <row r="13">
          <cell r="A13" t="str">
            <v>CUM.</v>
          </cell>
          <cell r="B13" t="str">
            <v>Cum</v>
          </cell>
        </row>
        <row r="14">
          <cell r="A14" t="str">
            <v>Rmt</v>
          </cell>
          <cell r="B14" t="str">
            <v>Rmt.</v>
          </cell>
        </row>
        <row r="15">
          <cell r="A15" t="str">
            <v>Sqm</v>
          </cell>
          <cell r="B15" t="str">
            <v>Sqm</v>
          </cell>
        </row>
        <row r="16">
          <cell r="A16" t="str">
            <v>Span</v>
          </cell>
          <cell r="B16" t="str">
            <v>Span</v>
          </cell>
        </row>
        <row r="17">
          <cell r="A17" t="str">
            <v>MT</v>
          </cell>
          <cell r="B17" t="str">
            <v>M.T.</v>
          </cell>
        </row>
        <row r="18">
          <cell r="A18" t="str">
            <v>1000 Litre</v>
          </cell>
          <cell r="B18" t="str">
            <v>1000 Litre</v>
          </cell>
        </row>
        <row r="19">
          <cell r="A19" t="str">
            <v>Kilometre</v>
          </cell>
          <cell r="B19" t="str">
            <v>Km</v>
          </cell>
        </row>
        <row r="20">
          <cell r="A20" t="str">
            <v>Acre</v>
          </cell>
          <cell r="B20" t="str">
            <v>Acre</v>
          </cell>
        </row>
        <row r="21">
          <cell r="A21" t="str">
            <v>Metric Tonne</v>
          </cell>
          <cell r="B21" t="str">
            <v>M.T.</v>
          </cell>
        </row>
        <row r="22">
          <cell r="A22" t="str">
            <v>Square Meter</v>
          </cell>
          <cell r="B22" t="str">
            <v>Sqm</v>
          </cell>
        </row>
        <row r="23">
          <cell r="A23" t="str">
            <v>Running Meter</v>
          </cell>
          <cell r="B23" t="str">
            <v>Rmt.</v>
          </cell>
        </row>
        <row r="24">
          <cell r="A24" t="str">
            <v>Cubic
Metre</v>
          </cell>
          <cell r="B24" t="str">
            <v>Cum</v>
          </cell>
        </row>
        <row r="25">
          <cell r="A25" t="str">
            <v>Square
Metre</v>
          </cell>
          <cell r="B25" t="str">
            <v>Sqm</v>
          </cell>
        </row>
        <row r="26">
          <cell r="A26" t="str">
            <v>Litre</v>
          </cell>
          <cell r="B26" t="str">
            <v>Ltr</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sheetPr>
  <dimension ref="A1:AO2479"/>
  <sheetViews>
    <sheetView tabSelected="1" zoomScale="85" zoomScaleNormal="85" workbookViewId="0">
      <pane xSplit="9" ySplit="3" topLeftCell="J870" activePane="bottomRight" state="frozen"/>
      <selection sqref="A1:XFD1048576"/>
      <selection pane="topRight" sqref="A1:XFD1048576"/>
      <selection pane="bottomLeft" sqref="A1:XFD1048576"/>
      <selection pane="bottomRight" activeCell="E871" sqref="E871"/>
    </sheetView>
  </sheetViews>
  <sheetFormatPr defaultColWidth="9.1796875" defaultRowHeight="14" x14ac:dyDescent="0.25"/>
  <cols>
    <col min="1" max="1" width="5" style="2" customWidth="1"/>
    <col min="2" max="2" width="13.7265625" style="2" customWidth="1"/>
    <col min="3" max="3" width="7.54296875" style="325" customWidth="1"/>
    <col min="4" max="4" width="15.26953125" style="2" customWidth="1"/>
    <col min="5" max="5" width="54.26953125" style="2" customWidth="1"/>
    <col min="6" max="6" width="10.81640625" style="300" customWidth="1"/>
    <col min="7" max="7" width="9.36328125" style="305" customWidth="1"/>
    <col min="8" max="8" width="11.26953125" style="2" customWidth="1"/>
    <col min="9" max="9" width="9.54296875" style="2" customWidth="1"/>
    <col min="10" max="10" width="6.81640625" style="2" customWidth="1"/>
    <col min="11" max="17" width="4.1796875" style="2" customWidth="1"/>
    <col min="18" max="18" width="4.54296875" style="2" customWidth="1"/>
    <col min="19" max="25" width="4.1796875" style="2" customWidth="1"/>
    <col min="26" max="26" width="5.36328125" style="2" customWidth="1"/>
    <col min="27" max="27" width="5" style="2" customWidth="1"/>
    <col min="28" max="32" width="4.1796875" style="2" customWidth="1"/>
    <col min="33" max="33" width="5.1796875" style="2" customWidth="1"/>
    <col min="34" max="34" width="4.1796875" style="2" customWidth="1"/>
    <col min="35" max="35" width="5.26953125" style="2" customWidth="1"/>
    <col min="36" max="37" width="4.1796875" style="2" customWidth="1"/>
    <col min="38" max="38" width="5" style="2" customWidth="1"/>
    <col min="39" max="39" width="4.1796875" style="3" customWidth="1"/>
    <col min="40" max="41" width="4.1796875" style="2" customWidth="1"/>
    <col min="42" max="16384" width="9.1796875" style="2"/>
  </cols>
  <sheetData>
    <row r="1" spans="1:41" x14ac:dyDescent="0.25">
      <c r="A1" s="328" t="s">
        <v>0</v>
      </c>
      <c r="B1" s="328"/>
      <c r="C1" s="329" t="s">
        <v>1</v>
      </c>
      <c r="D1" s="329"/>
      <c r="E1" s="329"/>
      <c r="F1" s="329"/>
      <c r="G1" s="329"/>
      <c r="H1" s="329"/>
      <c r="I1" s="330"/>
      <c r="J1" s="1"/>
      <c r="K1" s="1"/>
    </row>
    <row r="2" spans="1:41" ht="56.25" customHeight="1" x14ac:dyDescent="0.25">
      <c r="A2" s="4" t="s">
        <v>2</v>
      </c>
      <c r="B2" s="4" t="s">
        <v>3</v>
      </c>
      <c r="C2" s="5" t="s">
        <v>4</v>
      </c>
      <c r="D2" s="4" t="s">
        <v>5</v>
      </c>
      <c r="E2" s="4" t="s">
        <v>6</v>
      </c>
      <c r="F2" s="6" t="s">
        <v>7</v>
      </c>
      <c r="G2" s="7" t="s">
        <v>8</v>
      </c>
      <c r="H2" s="8" t="s">
        <v>9</v>
      </c>
      <c r="I2" s="8" t="s">
        <v>10</v>
      </c>
      <c r="J2" s="9" t="s">
        <v>11</v>
      </c>
      <c r="K2" s="9" t="s">
        <v>12</v>
      </c>
      <c r="L2" s="10" t="s">
        <v>13</v>
      </c>
      <c r="M2" s="10" t="s">
        <v>14</v>
      </c>
      <c r="N2" s="10" t="s">
        <v>15</v>
      </c>
      <c r="O2" s="11" t="s">
        <v>16</v>
      </c>
      <c r="P2" s="12" t="s">
        <v>17</v>
      </c>
      <c r="Q2" s="12" t="s">
        <v>18</v>
      </c>
      <c r="R2" s="12" t="s">
        <v>19</v>
      </c>
      <c r="S2" s="12" t="s">
        <v>20</v>
      </c>
      <c r="T2" s="9" t="s">
        <v>21</v>
      </c>
      <c r="U2" s="10" t="s">
        <v>22</v>
      </c>
      <c r="V2" s="11" t="s">
        <v>23</v>
      </c>
      <c r="W2" s="10" t="s">
        <v>24</v>
      </c>
      <c r="X2" s="10" t="s">
        <v>25</v>
      </c>
      <c r="Y2" s="12" t="s">
        <v>26</v>
      </c>
      <c r="Z2" s="11" t="s">
        <v>27</v>
      </c>
      <c r="AA2" s="11" t="s">
        <v>28</v>
      </c>
      <c r="AB2" s="11" t="s">
        <v>29</v>
      </c>
      <c r="AC2" s="11" t="s">
        <v>30</v>
      </c>
      <c r="AD2" s="11" t="s">
        <v>31</v>
      </c>
      <c r="AE2" s="11" t="s">
        <v>32</v>
      </c>
      <c r="AF2" s="11" t="s">
        <v>33</v>
      </c>
      <c r="AG2" s="11" t="s">
        <v>34</v>
      </c>
      <c r="AH2" s="11" t="s">
        <v>35</v>
      </c>
      <c r="AI2" s="11" t="s">
        <v>36</v>
      </c>
      <c r="AJ2" s="13" t="s">
        <v>37</v>
      </c>
      <c r="AK2" s="11" t="s">
        <v>38</v>
      </c>
      <c r="AL2" s="11" t="s">
        <v>39</v>
      </c>
      <c r="AM2" s="13" t="s">
        <v>40</v>
      </c>
      <c r="AN2" s="14"/>
      <c r="AO2" s="11"/>
    </row>
    <row r="3" spans="1:41" ht="17.25" customHeight="1" x14ac:dyDescent="0.25">
      <c r="A3" s="15"/>
      <c r="B3" s="16"/>
      <c r="C3" s="15">
        <v>1</v>
      </c>
      <c r="D3" s="16">
        <v>2</v>
      </c>
      <c r="E3" s="15">
        <v>3</v>
      </c>
      <c r="F3" s="17">
        <v>4</v>
      </c>
      <c r="G3" s="17">
        <v>5</v>
      </c>
      <c r="H3" s="16">
        <v>6</v>
      </c>
      <c r="I3" s="15">
        <v>7</v>
      </c>
      <c r="J3" s="16">
        <v>8</v>
      </c>
      <c r="K3" s="15">
        <v>9</v>
      </c>
      <c r="L3" s="16">
        <v>10</v>
      </c>
      <c r="M3" s="15">
        <v>11</v>
      </c>
      <c r="N3" s="16">
        <v>12</v>
      </c>
      <c r="O3" s="15">
        <v>13</v>
      </c>
      <c r="P3" s="16">
        <v>14</v>
      </c>
      <c r="Q3" s="15">
        <v>15</v>
      </c>
      <c r="R3" s="16">
        <v>16</v>
      </c>
      <c r="S3" s="15">
        <v>17</v>
      </c>
      <c r="T3" s="16">
        <v>18</v>
      </c>
      <c r="U3" s="15">
        <v>19</v>
      </c>
      <c r="V3" s="16">
        <v>20</v>
      </c>
      <c r="W3" s="15">
        <v>21</v>
      </c>
      <c r="X3" s="16">
        <v>22</v>
      </c>
      <c r="Y3" s="15">
        <v>23</v>
      </c>
      <c r="Z3" s="16">
        <v>24</v>
      </c>
      <c r="AA3" s="15">
        <v>25</v>
      </c>
      <c r="AB3" s="16">
        <v>26</v>
      </c>
      <c r="AC3" s="15">
        <v>27</v>
      </c>
      <c r="AD3" s="16">
        <v>28</v>
      </c>
      <c r="AE3" s="15">
        <v>29</v>
      </c>
      <c r="AF3" s="16">
        <v>30</v>
      </c>
      <c r="AG3" s="15">
        <v>31</v>
      </c>
      <c r="AH3" s="16">
        <v>32</v>
      </c>
      <c r="AI3" s="15">
        <v>33</v>
      </c>
      <c r="AJ3" s="16">
        <v>34</v>
      </c>
      <c r="AK3" s="15">
        <v>35</v>
      </c>
      <c r="AL3" s="16">
        <v>36</v>
      </c>
      <c r="AM3" s="16">
        <v>37</v>
      </c>
      <c r="AN3" s="16">
        <v>38</v>
      </c>
      <c r="AO3" s="15">
        <v>39</v>
      </c>
    </row>
    <row r="4" spans="1:41" x14ac:dyDescent="0.25">
      <c r="A4" s="331" t="s">
        <v>41</v>
      </c>
      <c r="B4" s="332"/>
      <c r="C4" s="332"/>
      <c r="D4" s="332"/>
      <c r="E4" s="332"/>
      <c r="F4" s="332"/>
      <c r="G4" s="332"/>
      <c r="H4" s="332"/>
      <c r="I4" s="332"/>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9"/>
      <c r="AN4" s="18"/>
      <c r="AO4" s="18"/>
    </row>
    <row r="5" spans="1:41" ht="56" x14ac:dyDescent="0.25">
      <c r="A5" s="20">
        <v>1</v>
      </c>
      <c r="B5" s="21" t="s">
        <v>42</v>
      </c>
      <c r="C5" s="22">
        <v>1.01</v>
      </c>
      <c r="D5" s="23"/>
      <c r="E5" s="24" t="s">
        <v>43</v>
      </c>
      <c r="F5" s="25" t="s">
        <v>44</v>
      </c>
      <c r="G5" s="21" t="s">
        <v>45</v>
      </c>
      <c r="H5" s="26">
        <v>189</v>
      </c>
      <c r="I5" s="26">
        <v>189</v>
      </c>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8" t="str">
        <f>VLOOKUP($G5,'[42]Sheet1 (2)'!$A$1:$B$1048440,2,FALSE)</f>
        <v>No.</v>
      </c>
      <c r="AM5" s="28"/>
      <c r="AN5" s="27"/>
      <c r="AO5" s="29"/>
    </row>
    <row r="6" spans="1:41" ht="56" x14ac:dyDescent="0.25">
      <c r="A6" s="20">
        <v>2</v>
      </c>
      <c r="B6" s="21" t="s">
        <v>42</v>
      </c>
      <c r="C6" s="22">
        <v>1.02</v>
      </c>
      <c r="D6" s="23"/>
      <c r="E6" s="24" t="s">
        <v>46</v>
      </c>
      <c r="F6" s="24" t="s">
        <v>44</v>
      </c>
      <c r="G6" s="30" t="s">
        <v>47</v>
      </c>
      <c r="H6" s="26">
        <v>482</v>
      </c>
      <c r="I6" s="26">
        <v>482</v>
      </c>
      <c r="J6" s="31"/>
      <c r="K6" s="31"/>
      <c r="L6" s="31"/>
      <c r="M6" s="31"/>
      <c r="N6" s="31"/>
      <c r="O6" s="31"/>
      <c r="P6" s="31"/>
      <c r="Q6" s="31"/>
      <c r="R6" s="31"/>
      <c r="S6" s="31"/>
      <c r="T6" s="31"/>
      <c r="U6" s="31"/>
      <c r="V6" s="31"/>
      <c r="W6" s="31"/>
      <c r="X6" s="31"/>
      <c r="Y6" s="31"/>
      <c r="Z6" s="31"/>
      <c r="AA6" s="31"/>
      <c r="AB6" s="31"/>
      <c r="AC6" s="31"/>
      <c r="AD6" s="31"/>
      <c r="AE6" s="31"/>
      <c r="AF6" s="31"/>
      <c r="AG6" s="31"/>
      <c r="AH6" s="31"/>
      <c r="AI6" s="31"/>
      <c r="AJ6" s="31"/>
      <c r="AK6" s="31"/>
      <c r="AL6" s="28" t="str">
        <f>VLOOKUP($G6,'[42]Sheet1 (2)'!$A$1:$B$1048440,2,FALSE)</f>
        <v>Cum</v>
      </c>
      <c r="AM6" s="32"/>
      <c r="AN6" s="31"/>
      <c r="AO6" s="33"/>
    </row>
    <row r="7" spans="1:41" ht="56" x14ac:dyDescent="0.25">
      <c r="A7" s="20">
        <v>3</v>
      </c>
      <c r="B7" s="21" t="s">
        <v>42</v>
      </c>
      <c r="C7" s="22">
        <v>1.03</v>
      </c>
      <c r="D7" s="23"/>
      <c r="E7" s="24" t="s">
        <v>48</v>
      </c>
      <c r="F7" s="24" t="s">
        <v>44</v>
      </c>
      <c r="G7" s="30" t="s">
        <v>47</v>
      </c>
      <c r="H7" s="26">
        <v>520</v>
      </c>
      <c r="I7" s="26">
        <v>520</v>
      </c>
      <c r="J7" s="31"/>
      <c r="K7" s="31"/>
      <c r="L7" s="31"/>
      <c r="M7" s="31"/>
      <c r="N7" s="31"/>
      <c r="O7" s="31"/>
      <c r="P7" s="31"/>
      <c r="Q7" s="31"/>
      <c r="R7" s="31"/>
      <c r="S7" s="31"/>
      <c r="T7" s="31"/>
      <c r="U7" s="31"/>
      <c r="V7" s="31"/>
      <c r="W7" s="31"/>
      <c r="X7" s="31"/>
      <c r="Y7" s="31"/>
      <c r="Z7" s="31"/>
      <c r="AA7" s="31"/>
      <c r="AB7" s="31"/>
      <c r="AC7" s="31"/>
      <c r="AD7" s="31"/>
      <c r="AE7" s="31"/>
      <c r="AF7" s="31"/>
      <c r="AG7" s="31"/>
      <c r="AH7" s="31"/>
      <c r="AI7" s="31"/>
      <c r="AJ7" s="31"/>
      <c r="AK7" s="31"/>
      <c r="AL7" s="28" t="str">
        <f>VLOOKUP($G7,'[42]Sheet1 (2)'!$A$1:$B$1048440,2,FALSE)</f>
        <v>Cum</v>
      </c>
      <c r="AM7" s="32"/>
      <c r="AN7" s="31"/>
      <c r="AO7" s="33"/>
    </row>
    <row r="8" spans="1:41" ht="42" x14ac:dyDescent="0.25">
      <c r="A8" s="20">
        <v>4</v>
      </c>
      <c r="B8" s="21" t="s">
        <v>42</v>
      </c>
      <c r="C8" s="22">
        <v>1.04</v>
      </c>
      <c r="D8" s="23"/>
      <c r="E8" s="24" t="s">
        <v>49</v>
      </c>
      <c r="F8" s="24" t="s">
        <v>44</v>
      </c>
      <c r="G8" s="30" t="s">
        <v>47</v>
      </c>
      <c r="H8" s="26">
        <v>631</v>
      </c>
      <c r="I8" s="26">
        <v>631</v>
      </c>
      <c r="J8" s="31"/>
      <c r="K8" s="31"/>
      <c r="L8" s="31"/>
      <c r="M8" s="31"/>
      <c r="N8" s="31"/>
      <c r="O8" s="31"/>
      <c r="P8" s="31"/>
      <c r="Q8" s="31"/>
      <c r="R8" s="31"/>
      <c r="S8" s="31"/>
      <c r="T8" s="31"/>
      <c r="U8" s="31"/>
      <c r="V8" s="31"/>
      <c r="W8" s="31"/>
      <c r="X8" s="31"/>
      <c r="Y8" s="31"/>
      <c r="Z8" s="31"/>
      <c r="AA8" s="31"/>
      <c r="AB8" s="31"/>
      <c r="AC8" s="31"/>
      <c r="AD8" s="31"/>
      <c r="AE8" s="31"/>
      <c r="AF8" s="31"/>
      <c r="AG8" s="31"/>
      <c r="AH8" s="31"/>
      <c r="AI8" s="31"/>
      <c r="AJ8" s="31"/>
      <c r="AK8" s="31"/>
      <c r="AL8" s="28" t="str">
        <f>VLOOKUP($G8,'[42]Sheet1 (2)'!$A$1:$B$1048440,2,FALSE)</f>
        <v>Cum</v>
      </c>
      <c r="AM8" s="32"/>
      <c r="AN8" s="31"/>
      <c r="AO8" s="33"/>
    </row>
    <row r="9" spans="1:41" ht="42" x14ac:dyDescent="0.25">
      <c r="A9" s="20">
        <v>5</v>
      </c>
      <c r="B9" s="21" t="s">
        <v>42</v>
      </c>
      <c r="C9" s="22">
        <v>1.05</v>
      </c>
      <c r="D9" s="23"/>
      <c r="E9" s="24" t="s">
        <v>50</v>
      </c>
      <c r="F9" s="24" t="s">
        <v>44</v>
      </c>
      <c r="G9" s="30" t="s">
        <v>47</v>
      </c>
      <c r="H9" s="26">
        <v>706</v>
      </c>
      <c r="I9" s="26">
        <v>706</v>
      </c>
      <c r="J9" s="31"/>
      <c r="K9" s="31"/>
      <c r="L9" s="31"/>
      <c r="M9" s="31"/>
      <c r="N9" s="31"/>
      <c r="O9" s="31"/>
      <c r="P9" s="31"/>
      <c r="Q9" s="31"/>
      <c r="R9" s="31"/>
      <c r="S9" s="31"/>
      <c r="T9" s="31"/>
      <c r="U9" s="31"/>
      <c r="V9" s="31"/>
      <c r="W9" s="31"/>
      <c r="X9" s="31"/>
      <c r="Y9" s="31"/>
      <c r="Z9" s="31"/>
      <c r="AA9" s="31"/>
      <c r="AB9" s="31"/>
      <c r="AC9" s="31"/>
      <c r="AD9" s="31"/>
      <c r="AE9" s="31"/>
      <c r="AF9" s="31"/>
      <c r="AG9" s="31"/>
      <c r="AH9" s="31"/>
      <c r="AI9" s="31"/>
      <c r="AJ9" s="31"/>
      <c r="AK9" s="31"/>
      <c r="AL9" s="28" t="str">
        <f>VLOOKUP($G9,'[42]Sheet1 (2)'!$A$1:$B$1048440,2,FALSE)</f>
        <v>Cum</v>
      </c>
      <c r="AM9" s="32"/>
      <c r="AN9" s="31"/>
      <c r="AO9" s="33"/>
    </row>
    <row r="10" spans="1:41" ht="56" x14ac:dyDescent="0.25">
      <c r="A10" s="20">
        <v>6</v>
      </c>
      <c r="B10" s="21" t="s">
        <v>42</v>
      </c>
      <c r="C10" s="22">
        <v>1.06</v>
      </c>
      <c r="D10" s="23"/>
      <c r="E10" s="23" t="s">
        <v>51</v>
      </c>
      <c r="F10" s="24" t="s">
        <v>44</v>
      </c>
      <c r="G10" s="30" t="s">
        <v>47</v>
      </c>
      <c r="H10" s="26">
        <v>780</v>
      </c>
      <c r="I10" s="26">
        <v>780</v>
      </c>
      <c r="J10" s="31"/>
      <c r="K10" s="31"/>
      <c r="L10" s="31"/>
      <c r="M10" s="31"/>
      <c r="N10" s="31"/>
      <c r="O10" s="31"/>
      <c r="P10" s="31"/>
      <c r="Q10" s="31"/>
      <c r="R10" s="31"/>
      <c r="S10" s="31"/>
      <c r="T10" s="31"/>
      <c r="U10" s="31"/>
      <c r="V10" s="31"/>
      <c r="W10" s="31"/>
      <c r="X10" s="31"/>
      <c r="Y10" s="31"/>
      <c r="Z10" s="31"/>
      <c r="AA10" s="31"/>
      <c r="AB10" s="31"/>
      <c r="AC10" s="31"/>
      <c r="AD10" s="31"/>
      <c r="AE10" s="31"/>
      <c r="AF10" s="31"/>
      <c r="AG10" s="31"/>
      <c r="AH10" s="31"/>
      <c r="AI10" s="31"/>
      <c r="AJ10" s="31"/>
      <c r="AK10" s="31"/>
      <c r="AL10" s="28" t="str">
        <f>VLOOKUP($G10,'[42]Sheet1 (2)'!$A$1:$B$1048440,2,FALSE)</f>
        <v>Cum</v>
      </c>
      <c r="AM10" s="32"/>
      <c r="AN10" s="31"/>
      <c r="AO10" s="33"/>
    </row>
    <row r="11" spans="1:41" ht="56" x14ac:dyDescent="0.25">
      <c r="A11" s="20">
        <v>7</v>
      </c>
      <c r="B11" s="21" t="s">
        <v>42</v>
      </c>
      <c r="C11" s="22">
        <v>1.07</v>
      </c>
      <c r="D11" s="23"/>
      <c r="E11" s="24" t="s">
        <v>52</v>
      </c>
      <c r="F11" s="24" t="s">
        <v>44</v>
      </c>
      <c r="G11" s="30" t="s">
        <v>47</v>
      </c>
      <c r="H11" s="26">
        <v>984</v>
      </c>
      <c r="I11" s="26">
        <v>984</v>
      </c>
      <c r="J11" s="31"/>
      <c r="K11" s="31"/>
      <c r="L11" s="31"/>
      <c r="M11" s="31"/>
      <c r="N11" s="31"/>
      <c r="O11" s="31"/>
      <c r="P11" s="31"/>
      <c r="Q11" s="31"/>
      <c r="R11" s="31"/>
      <c r="S11" s="31"/>
      <c r="T11" s="31"/>
      <c r="U11" s="31"/>
      <c r="V11" s="31"/>
      <c r="W11" s="31"/>
      <c r="X11" s="31"/>
      <c r="Y11" s="31"/>
      <c r="Z11" s="31"/>
      <c r="AA11" s="31"/>
      <c r="AB11" s="31"/>
      <c r="AC11" s="31"/>
      <c r="AD11" s="31"/>
      <c r="AE11" s="31"/>
      <c r="AF11" s="31"/>
      <c r="AG11" s="31"/>
      <c r="AH11" s="31"/>
      <c r="AI11" s="31"/>
      <c r="AJ11" s="31"/>
      <c r="AK11" s="31"/>
      <c r="AL11" s="28" t="str">
        <f>VLOOKUP($G11,'[42]Sheet1 (2)'!$A$1:$B$1048440,2,FALSE)</f>
        <v>Cum</v>
      </c>
      <c r="AM11" s="32"/>
      <c r="AN11" s="31"/>
      <c r="AO11" s="33"/>
    </row>
    <row r="12" spans="1:41" ht="42" x14ac:dyDescent="0.25">
      <c r="A12" s="20">
        <v>8</v>
      </c>
      <c r="B12" s="21" t="s">
        <v>42</v>
      </c>
      <c r="C12" s="22">
        <v>1.08</v>
      </c>
      <c r="D12" s="34"/>
      <c r="E12" s="24" t="s">
        <v>53</v>
      </c>
      <c r="F12" s="24" t="s">
        <v>44</v>
      </c>
      <c r="G12" s="21" t="s">
        <v>45</v>
      </c>
      <c r="H12" s="26">
        <v>12</v>
      </c>
      <c r="I12" s="26">
        <v>12</v>
      </c>
      <c r="J12" s="31"/>
      <c r="K12" s="31"/>
      <c r="L12" s="31"/>
      <c r="M12" s="31"/>
      <c r="N12" s="31"/>
      <c r="O12" s="31"/>
      <c r="P12" s="31"/>
      <c r="Q12" s="31"/>
      <c r="R12" s="31"/>
      <c r="S12" s="31"/>
      <c r="T12" s="31"/>
      <c r="U12" s="31"/>
      <c r="V12" s="31"/>
      <c r="W12" s="31"/>
      <c r="X12" s="31"/>
      <c r="Y12" s="31"/>
      <c r="Z12" s="31"/>
      <c r="AA12" s="31"/>
      <c r="AB12" s="31"/>
      <c r="AC12" s="31"/>
      <c r="AD12" s="31"/>
      <c r="AE12" s="31"/>
      <c r="AF12" s="31"/>
      <c r="AG12" s="31"/>
      <c r="AH12" s="31"/>
      <c r="AI12" s="31"/>
      <c r="AJ12" s="31"/>
      <c r="AK12" s="31"/>
      <c r="AL12" s="28" t="str">
        <f>VLOOKUP($G12,'[42]Sheet1 (2)'!$A$1:$B$1048440,2,FALSE)</f>
        <v>No.</v>
      </c>
      <c r="AM12" s="32"/>
      <c r="AN12" s="31"/>
      <c r="AO12" s="33"/>
    </row>
    <row r="13" spans="1:41" ht="56" x14ac:dyDescent="0.25">
      <c r="A13" s="20">
        <v>9</v>
      </c>
      <c r="B13" s="21" t="s">
        <v>42</v>
      </c>
      <c r="C13" s="22">
        <v>1.0900000000000001</v>
      </c>
      <c r="D13" s="23"/>
      <c r="E13" s="23" t="s">
        <v>54</v>
      </c>
      <c r="F13" s="24" t="s">
        <v>44</v>
      </c>
      <c r="G13" s="30" t="s">
        <v>55</v>
      </c>
      <c r="H13" s="26">
        <v>2121</v>
      </c>
      <c r="I13" s="26">
        <v>1998</v>
      </c>
      <c r="J13" s="31"/>
      <c r="K13" s="31"/>
      <c r="L13" s="31"/>
      <c r="M13" s="31"/>
      <c r="N13" s="31"/>
      <c r="O13" s="31"/>
      <c r="P13" s="31"/>
      <c r="Q13" s="31"/>
      <c r="R13" s="31"/>
      <c r="S13" s="31"/>
      <c r="T13" s="31"/>
      <c r="U13" s="31"/>
      <c r="V13" s="31"/>
      <c r="W13" s="31"/>
      <c r="X13" s="31"/>
      <c r="Y13" s="31"/>
      <c r="Z13" s="31"/>
      <c r="AA13" s="31"/>
      <c r="AB13" s="31"/>
      <c r="AC13" s="31"/>
      <c r="AD13" s="31"/>
      <c r="AE13" s="31"/>
      <c r="AF13" s="31"/>
      <c r="AG13" s="31"/>
      <c r="AH13" s="31"/>
      <c r="AI13" s="31"/>
      <c r="AJ13" s="31"/>
      <c r="AK13" s="31"/>
      <c r="AL13" s="28" t="str">
        <f>VLOOKUP($G13,'[42]Sheet1 (2)'!$A$1:$B$1048440,2,FALSE)</f>
        <v>Km</v>
      </c>
      <c r="AM13" s="32"/>
      <c r="AN13" s="31"/>
      <c r="AO13" s="33"/>
    </row>
    <row r="14" spans="1:41" ht="56" x14ac:dyDescent="0.25">
      <c r="A14" s="20">
        <v>10</v>
      </c>
      <c r="B14" s="21" t="s">
        <v>42</v>
      </c>
      <c r="C14" s="22">
        <v>1.1000000000000001</v>
      </c>
      <c r="D14" s="23"/>
      <c r="E14" s="24" t="s">
        <v>56</v>
      </c>
      <c r="F14" s="24" t="s">
        <v>44</v>
      </c>
      <c r="G14" s="30" t="s">
        <v>55</v>
      </c>
      <c r="H14" s="26">
        <v>5414</v>
      </c>
      <c r="I14" s="26">
        <v>4801</v>
      </c>
      <c r="J14" s="31"/>
      <c r="K14" s="31"/>
      <c r="L14" s="31"/>
      <c r="M14" s="31"/>
      <c r="N14" s="31"/>
      <c r="O14" s="31"/>
      <c r="P14" s="31"/>
      <c r="Q14" s="31"/>
      <c r="R14" s="31"/>
      <c r="S14" s="31"/>
      <c r="T14" s="31"/>
      <c r="U14" s="31"/>
      <c r="V14" s="31"/>
      <c r="W14" s="31"/>
      <c r="X14" s="31"/>
      <c r="Y14" s="31"/>
      <c r="Z14" s="31"/>
      <c r="AA14" s="31"/>
      <c r="AB14" s="31"/>
      <c r="AC14" s="31"/>
      <c r="AD14" s="31"/>
      <c r="AE14" s="31"/>
      <c r="AF14" s="31"/>
      <c r="AG14" s="31"/>
      <c r="AH14" s="31"/>
      <c r="AI14" s="31"/>
      <c r="AJ14" s="31"/>
      <c r="AK14" s="31"/>
      <c r="AL14" s="28" t="str">
        <f>VLOOKUP($G14,'[42]Sheet1 (2)'!$A$1:$B$1048440,2,FALSE)</f>
        <v>Km</v>
      </c>
      <c r="AM14" s="32"/>
      <c r="AN14" s="31"/>
      <c r="AO14" s="33"/>
    </row>
    <row r="15" spans="1:41" ht="56" x14ac:dyDescent="0.25">
      <c r="A15" s="20">
        <v>11</v>
      </c>
      <c r="B15" s="21" t="s">
        <v>42</v>
      </c>
      <c r="C15" s="22">
        <v>1.1100000000000001</v>
      </c>
      <c r="D15" s="23"/>
      <c r="E15" s="24" t="s">
        <v>57</v>
      </c>
      <c r="F15" s="24" t="s">
        <v>44</v>
      </c>
      <c r="G15" s="30" t="s">
        <v>58</v>
      </c>
      <c r="H15" s="26">
        <v>5711</v>
      </c>
      <c r="I15" s="26">
        <v>4848</v>
      </c>
      <c r="J15" s="31"/>
      <c r="K15" s="31"/>
      <c r="L15" s="31"/>
      <c r="M15" s="31"/>
      <c r="N15" s="31"/>
      <c r="O15" s="31"/>
      <c r="P15" s="31"/>
      <c r="Q15" s="31"/>
      <c r="R15" s="31"/>
      <c r="S15" s="31"/>
      <c r="T15" s="31"/>
      <c r="U15" s="31"/>
      <c r="V15" s="31"/>
      <c r="W15" s="31"/>
      <c r="X15" s="31"/>
      <c r="Y15" s="31"/>
      <c r="Z15" s="31"/>
      <c r="AA15" s="31"/>
      <c r="AB15" s="31"/>
      <c r="AC15" s="31"/>
      <c r="AD15" s="31"/>
      <c r="AE15" s="31"/>
      <c r="AF15" s="31"/>
      <c r="AG15" s="31"/>
      <c r="AH15" s="31"/>
      <c r="AI15" s="31"/>
      <c r="AJ15" s="31"/>
      <c r="AK15" s="31"/>
      <c r="AL15" s="28" t="e">
        <f>VLOOKUP($G15,'[42]Sheet1 (2)'!$A$1:$B$1048440,2,FALSE)</f>
        <v>#N/A</v>
      </c>
      <c r="AM15" s="32"/>
      <c r="AN15" s="31"/>
      <c r="AO15" s="33"/>
    </row>
    <row r="16" spans="1:41" ht="56" x14ac:dyDescent="0.25">
      <c r="A16" s="20">
        <v>12</v>
      </c>
      <c r="B16" s="21" t="s">
        <v>42</v>
      </c>
      <c r="C16" s="22">
        <v>1.1200000000000001</v>
      </c>
      <c r="D16" s="23"/>
      <c r="E16" s="24" t="s">
        <v>59</v>
      </c>
      <c r="F16" s="24" t="s">
        <v>44</v>
      </c>
      <c r="G16" s="30" t="s">
        <v>55</v>
      </c>
      <c r="H16" s="26">
        <v>5516</v>
      </c>
      <c r="I16" s="26">
        <v>4717</v>
      </c>
      <c r="J16" s="31"/>
      <c r="K16" s="31"/>
      <c r="L16" s="31"/>
      <c r="M16" s="31"/>
      <c r="N16" s="31"/>
      <c r="O16" s="31"/>
      <c r="P16" s="31"/>
      <c r="Q16" s="31"/>
      <c r="R16" s="31"/>
      <c r="S16" s="31"/>
      <c r="T16" s="31"/>
      <c r="U16" s="31"/>
      <c r="V16" s="31"/>
      <c r="W16" s="31"/>
      <c r="X16" s="31"/>
      <c r="Y16" s="31"/>
      <c r="Z16" s="31"/>
      <c r="AA16" s="31"/>
      <c r="AB16" s="31"/>
      <c r="AC16" s="31"/>
      <c r="AD16" s="31"/>
      <c r="AE16" s="31"/>
      <c r="AF16" s="31"/>
      <c r="AG16" s="31"/>
      <c r="AH16" s="31"/>
      <c r="AI16" s="31"/>
      <c r="AJ16" s="31"/>
      <c r="AK16" s="31"/>
      <c r="AL16" s="28" t="str">
        <f>VLOOKUP($G16,'[42]Sheet1 (2)'!$A$1:$B$1048440,2,FALSE)</f>
        <v>Km</v>
      </c>
      <c r="AM16" s="32"/>
      <c r="AN16" s="31"/>
      <c r="AO16" s="33"/>
    </row>
    <row r="17" spans="1:41" ht="70" x14ac:dyDescent="0.25">
      <c r="A17" s="20">
        <v>13</v>
      </c>
      <c r="B17" s="21" t="s">
        <v>42</v>
      </c>
      <c r="C17" s="22">
        <v>1.1299999999999999</v>
      </c>
      <c r="D17" s="23"/>
      <c r="E17" s="24" t="s">
        <v>60</v>
      </c>
      <c r="F17" s="24" t="s">
        <v>44</v>
      </c>
      <c r="G17" s="30" t="s">
        <v>55</v>
      </c>
      <c r="H17" s="26">
        <v>3017</v>
      </c>
      <c r="I17" s="26">
        <v>2370</v>
      </c>
      <c r="J17" s="31"/>
      <c r="K17" s="31"/>
      <c r="L17" s="31"/>
      <c r="M17" s="31"/>
      <c r="N17" s="31"/>
      <c r="O17" s="31"/>
      <c r="P17" s="31"/>
      <c r="Q17" s="31"/>
      <c r="R17" s="31"/>
      <c r="S17" s="31"/>
      <c r="T17" s="31"/>
      <c r="U17" s="31"/>
      <c r="V17" s="31"/>
      <c r="W17" s="31"/>
      <c r="X17" s="31"/>
      <c r="Y17" s="31"/>
      <c r="Z17" s="31"/>
      <c r="AA17" s="31"/>
      <c r="AB17" s="31"/>
      <c r="AC17" s="31"/>
      <c r="AD17" s="31"/>
      <c r="AE17" s="31"/>
      <c r="AF17" s="31"/>
      <c r="AG17" s="31"/>
      <c r="AH17" s="31"/>
      <c r="AI17" s="31"/>
      <c r="AJ17" s="31"/>
      <c r="AK17" s="31"/>
      <c r="AL17" s="28" t="str">
        <f>VLOOKUP($G17,'[42]Sheet1 (2)'!$A$1:$B$1048440,2,FALSE)</f>
        <v>Km</v>
      </c>
      <c r="AM17" s="32"/>
      <c r="AN17" s="31"/>
      <c r="AO17" s="33"/>
    </row>
    <row r="18" spans="1:41" ht="56" x14ac:dyDescent="0.25">
      <c r="A18" s="20">
        <v>14</v>
      </c>
      <c r="B18" s="21" t="s">
        <v>42</v>
      </c>
      <c r="C18" s="22">
        <v>1.1399999999999999</v>
      </c>
      <c r="D18" s="23"/>
      <c r="E18" s="24" t="s">
        <v>61</v>
      </c>
      <c r="F18" s="24" t="s">
        <v>44</v>
      </c>
      <c r="G18" s="30" t="s">
        <v>55</v>
      </c>
      <c r="H18" s="26">
        <v>5888</v>
      </c>
      <c r="I18" s="26">
        <v>5089</v>
      </c>
      <c r="J18" s="31"/>
      <c r="K18" s="31"/>
      <c r="L18" s="31"/>
      <c r="M18" s="31"/>
      <c r="N18" s="31"/>
      <c r="O18" s="31"/>
      <c r="P18" s="31"/>
      <c r="Q18" s="31"/>
      <c r="R18" s="31"/>
      <c r="S18" s="31"/>
      <c r="T18" s="31"/>
      <c r="U18" s="31"/>
      <c r="V18" s="31"/>
      <c r="W18" s="31"/>
      <c r="X18" s="31"/>
      <c r="Y18" s="31"/>
      <c r="Z18" s="31"/>
      <c r="AA18" s="31"/>
      <c r="AB18" s="31"/>
      <c r="AC18" s="31"/>
      <c r="AD18" s="31"/>
      <c r="AE18" s="31"/>
      <c r="AF18" s="31"/>
      <c r="AG18" s="31"/>
      <c r="AH18" s="31"/>
      <c r="AI18" s="31"/>
      <c r="AJ18" s="31"/>
      <c r="AK18" s="31"/>
      <c r="AL18" s="28" t="str">
        <f>VLOOKUP($G18,'[42]Sheet1 (2)'!$A$1:$B$1048440,2,FALSE)</f>
        <v>Km</v>
      </c>
      <c r="AM18" s="32"/>
      <c r="AN18" s="31"/>
      <c r="AO18" s="33"/>
    </row>
    <row r="19" spans="1:41" ht="56" x14ac:dyDescent="0.25">
      <c r="A19" s="20">
        <v>15</v>
      </c>
      <c r="B19" s="35" t="s">
        <v>62</v>
      </c>
      <c r="C19" s="22">
        <v>1.1499999999999999</v>
      </c>
      <c r="D19" s="34"/>
      <c r="E19" s="23" t="s">
        <v>63</v>
      </c>
      <c r="F19" s="35" t="s">
        <v>64</v>
      </c>
      <c r="G19" s="30" t="s">
        <v>55</v>
      </c>
      <c r="H19" s="26">
        <v>6505</v>
      </c>
      <c r="I19" s="26">
        <v>4310</v>
      </c>
      <c r="J19" s="31"/>
      <c r="K19" s="31"/>
      <c r="L19" s="31"/>
      <c r="M19" s="31"/>
      <c r="N19" s="31"/>
      <c r="O19" s="31"/>
      <c r="P19" s="31"/>
      <c r="Q19" s="31"/>
      <c r="R19" s="31"/>
      <c r="S19" s="31"/>
      <c r="T19" s="31"/>
      <c r="U19" s="31"/>
      <c r="V19" s="31"/>
      <c r="W19" s="31"/>
      <c r="X19" s="31"/>
      <c r="Y19" s="31"/>
      <c r="Z19" s="31"/>
      <c r="AA19" s="31"/>
      <c r="AB19" s="31"/>
      <c r="AC19" s="31"/>
      <c r="AD19" s="31"/>
      <c r="AE19" s="31"/>
      <c r="AF19" s="31"/>
      <c r="AG19" s="31"/>
      <c r="AH19" s="31"/>
      <c r="AI19" s="31"/>
      <c r="AJ19" s="31"/>
      <c r="AK19" s="31"/>
      <c r="AL19" s="28" t="str">
        <f>VLOOKUP($G19,'[42]Sheet1 (2)'!$A$1:$B$1048440,2,FALSE)</f>
        <v>Km</v>
      </c>
      <c r="AM19" s="32"/>
      <c r="AN19" s="31"/>
      <c r="AO19" s="33"/>
    </row>
    <row r="20" spans="1:41" ht="42" x14ac:dyDescent="0.25">
      <c r="A20" s="20">
        <v>16</v>
      </c>
      <c r="B20" s="21" t="s">
        <v>42</v>
      </c>
      <c r="C20" s="22">
        <v>1.1599999999999999</v>
      </c>
      <c r="D20" s="23"/>
      <c r="E20" s="24" t="s">
        <v>65</v>
      </c>
      <c r="F20" s="24" t="s">
        <v>44</v>
      </c>
      <c r="G20" s="30" t="s">
        <v>55</v>
      </c>
      <c r="H20" s="26">
        <v>6094</v>
      </c>
      <c r="I20" s="26">
        <v>3526</v>
      </c>
      <c r="J20" s="31"/>
      <c r="K20" s="31"/>
      <c r="L20" s="31"/>
      <c r="M20" s="31"/>
      <c r="N20" s="31"/>
      <c r="O20" s="31"/>
      <c r="P20" s="31"/>
      <c r="Q20" s="31"/>
      <c r="R20" s="31"/>
      <c r="S20" s="31"/>
      <c r="T20" s="31"/>
      <c r="U20" s="31"/>
      <c r="V20" s="31"/>
      <c r="W20" s="31"/>
      <c r="X20" s="31"/>
      <c r="Y20" s="31"/>
      <c r="Z20" s="31"/>
      <c r="AA20" s="31"/>
      <c r="AB20" s="31"/>
      <c r="AC20" s="31"/>
      <c r="AD20" s="31"/>
      <c r="AE20" s="31"/>
      <c r="AF20" s="31"/>
      <c r="AG20" s="31"/>
      <c r="AH20" s="31"/>
      <c r="AI20" s="31"/>
      <c r="AJ20" s="31"/>
      <c r="AK20" s="31"/>
      <c r="AL20" s="28" t="str">
        <f>VLOOKUP($G20,'[42]Sheet1 (2)'!$A$1:$B$1048440,2,FALSE)</f>
        <v>Km</v>
      </c>
      <c r="AM20" s="32"/>
      <c r="AN20" s="31"/>
      <c r="AO20" s="33"/>
    </row>
    <row r="21" spans="1:41" ht="42" x14ac:dyDescent="0.25">
      <c r="A21" s="20">
        <v>17</v>
      </c>
      <c r="B21" s="21" t="s">
        <v>42</v>
      </c>
      <c r="C21" s="22">
        <v>1.17</v>
      </c>
      <c r="D21" s="34"/>
      <c r="E21" s="24" t="s">
        <v>66</v>
      </c>
      <c r="F21" s="24" t="s">
        <v>44</v>
      </c>
      <c r="G21" s="30" t="s">
        <v>55</v>
      </c>
      <c r="H21" s="26">
        <v>9722</v>
      </c>
      <c r="I21" s="26">
        <v>5693</v>
      </c>
      <c r="J21" s="31"/>
      <c r="K21" s="31"/>
      <c r="L21" s="31"/>
      <c r="M21" s="31"/>
      <c r="N21" s="31"/>
      <c r="O21" s="31"/>
      <c r="P21" s="31"/>
      <c r="Q21" s="31"/>
      <c r="R21" s="31"/>
      <c r="S21" s="31"/>
      <c r="T21" s="31"/>
      <c r="U21" s="31"/>
      <c r="V21" s="31"/>
      <c r="W21" s="31"/>
      <c r="X21" s="31"/>
      <c r="Y21" s="31"/>
      <c r="Z21" s="31"/>
      <c r="AA21" s="31"/>
      <c r="AB21" s="31"/>
      <c r="AC21" s="31"/>
      <c r="AD21" s="31"/>
      <c r="AE21" s="31"/>
      <c r="AF21" s="31"/>
      <c r="AG21" s="31"/>
      <c r="AH21" s="31"/>
      <c r="AI21" s="31"/>
      <c r="AJ21" s="31"/>
      <c r="AK21" s="31"/>
      <c r="AL21" s="28" t="str">
        <f>VLOOKUP($G21,'[42]Sheet1 (2)'!$A$1:$B$1048440,2,FALSE)</f>
        <v>Km</v>
      </c>
      <c r="AM21" s="32"/>
      <c r="AN21" s="31"/>
      <c r="AO21" s="33"/>
    </row>
    <row r="22" spans="1:41" ht="56" x14ac:dyDescent="0.25">
      <c r="A22" s="20">
        <v>18</v>
      </c>
      <c r="B22" s="21" t="s">
        <v>42</v>
      </c>
      <c r="C22" s="22">
        <v>1.18</v>
      </c>
      <c r="D22" s="23"/>
      <c r="E22" s="23" t="s">
        <v>67</v>
      </c>
      <c r="F22" s="24" t="s">
        <v>44</v>
      </c>
      <c r="G22" s="30" t="s">
        <v>55</v>
      </c>
      <c r="H22" s="26">
        <v>7775</v>
      </c>
      <c r="I22" s="26">
        <v>5197</v>
      </c>
      <c r="J22" s="31"/>
      <c r="K22" s="31"/>
      <c r="L22" s="31"/>
      <c r="M22" s="31"/>
      <c r="N22" s="31"/>
      <c r="O22" s="31"/>
      <c r="P22" s="31"/>
      <c r="Q22" s="31"/>
      <c r="R22" s="31"/>
      <c r="S22" s="31"/>
      <c r="T22" s="31"/>
      <c r="U22" s="31"/>
      <c r="V22" s="31"/>
      <c r="W22" s="31"/>
      <c r="X22" s="31"/>
      <c r="Y22" s="31"/>
      <c r="Z22" s="31"/>
      <c r="AA22" s="31"/>
      <c r="AB22" s="31"/>
      <c r="AC22" s="31"/>
      <c r="AD22" s="31"/>
      <c r="AE22" s="31"/>
      <c r="AF22" s="31"/>
      <c r="AG22" s="31"/>
      <c r="AH22" s="31"/>
      <c r="AI22" s="31"/>
      <c r="AJ22" s="31"/>
      <c r="AK22" s="31"/>
      <c r="AL22" s="28" t="str">
        <f>VLOOKUP($G22,'[42]Sheet1 (2)'!$A$1:$B$1048440,2,FALSE)</f>
        <v>Km</v>
      </c>
      <c r="AM22" s="32"/>
      <c r="AN22" s="31"/>
      <c r="AO22" s="33"/>
    </row>
    <row r="23" spans="1:41" ht="56" x14ac:dyDescent="0.25">
      <c r="A23" s="20">
        <v>19</v>
      </c>
      <c r="B23" s="35" t="s">
        <v>62</v>
      </c>
      <c r="C23" s="22">
        <v>1.19</v>
      </c>
      <c r="D23" s="34"/>
      <c r="E23" s="24" t="s">
        <v>68</v>
      </c>
      <c r="F23" s="35" t="s">
        <v>64</v>
      </c>
      <c r="G23" s="21" t="s">
        <v>45</v>
      </c>
      <c r="H23" s="26">
        <v>52</v>
      </c>
      <c r="I23" s="26">
        <v>33</v>
      </c>
      <c r="J23" s="31"/>
      <c r="K23" s="31"/>
      <c r="L23" s="31"/>
      <c r="M23" s="31"/>
      <c r="N23" s="31"/>
      <c r="O23" s="31"/>
      <c r="P23" s="31"/>
      <c r="Q23" s="31"/>
      <c r="R23" s="31"/>
      <c r="S23" s="31"/>
      <c r="T23" s="31"/>
      <c r="U23" s="31"/>
      <c r="V23" s="31"/>
      <c r="W23" s="31"/>
      <c r="X23" s="31"/>
      <c r="Y23" s="31"/>
      <c r="Z23" s="31"/>
      <c r="AA23" s="31"/>
      <c r="AB23" s="31"/>
      <c r="AC23" s="31"/>
      <c r="AD23" s="31"/>
      <c r="AE23" s="31"/>
      <c r="AF23" s="31"/>
      <c r="AG23" s="31"/>
      <c r="AH23" s="31"/>
      <c r="AI23" s="31"/>
      <c r="AJ23" s="31"/>
      <c r="AK23" s="31"/>
      <c r="AL23" s="28" t="str">
        <f>VLOOKUP($G23,'[42]Sheet1 (2)'!$A$1:$B$1048440,2,FALSE)</f>
        <v>No.</v>
      </c>
      <c r="AM23" s="32"/>
      <c r="AN23" s="31"/>
      <c r="AO23" s="33"/>
    </row>
    <row r="24" spans="1:41" ht="56" x14ac:dyDescent="0.25">
      <c r="A24" s="20">
        <v>20</v>
      </c>
      <c r="B24" s="35" t="s">
        <v>62</v>
      </c>
      <c r="C24" s="22">
        <v>1.2</v>
      </c>
      <c r="D24" s="34"/>
      <c r="E24" s="23" t="s">
        <v>69</v>
      </c>
      <c r="F24" s="35" t="s">
        <v>64</v>
      </c>
      <c r="G24" s="30" t="s">
        <v>55</v>
      </c>
      <c r="H24" s="26">
        <v>3460</v>
      </c>
      <c r="I24" s="26">
        <v>2030</v>
      </c>
      <c r="J24" s="31"/>
      <c r="K24" s="31"/>
      <c r="L24" s="31"/>
      <c r="M24" s="31"/>
      <c r="N24" s="31"/>
      <c r="O24" s="31"/>
      <c r="P24" s="31"/>
      <c r="Q24" s="31"/>
      <c r="R24" s="31"/>
      <c r="S24" s="31"/>
      <c r="T24" s="31"/>
      <c r="U24" s="31"/>
      <c r="V24" s="31"/>
      <c r="W24" s="31"/>
      <c r="X24" s="31"/>
      <c r="Y24" s="31"/>
      <c r="Z24" s="31"/>
      <c r="AA24" s="31"/>
      <c r="AB24" s="31"/>
      <c r="AC24" s="31"/>
      <c r="AD24" s="31"/>
      <c r="AE24" s="31"/>
      <c r="AF24" s="31"/>
      <c r="AG24" s="31"/>
      <c r="AH24" s="31"/>
      <c r="AI24" s="31"/>
      <c r="AJ24" s="31"/>
      <c r="AK24" s="31"/>
      <c r="AL24" s="28" t="str">
        <f>VLOOKUP($G24,'[42]Sheet1 (2)'!$A$1:$B$1048440,2,FALSE)</f>
        <v>Km</v>
      </c>
      <c r="AM24" s="32"/>
      <c r="AN24" s="31"/>
      <c r="AO24" s="33"/>
    </row>
    <row r="25" spans="1:41" ht="56" x14ac:dyDescent="0.25">
      <c r="A25" s="20">
        <v>21</v>
      </c>
      <c r="B25" s="35" t="s">
        <v>62</v>
      </c>
      <c r="C25" s="22">
        <v>1.21</v>
      </c>
      <c r="D25" s="34"/>
      <c r="E25" s="23" t="s">
        <v>70</v>
      </c>
      <c r="F25" s="35" t="s">
        <v>64</v>
      </c>
      <c r="G25" s="30" t="s">
        <v>55</v>
      </c>
      <c r="H25" s="26">
        <v>8116</v>
      </c>
      <c r="I25" s="26">
        <v>8116</v>
      </c>
      <c r="J25" s="31"/>
      <c r="K25" s="31"/>
      <c r="L25" s="31"/>
      <c r="M25" s="31"/>
      <c r="N25" s="31"/>
      <c r="O25" s="31"/>
      <c r="P25" s="31"/>
      <c r="Q25" s="31"/>
      <c r="R25" s="31"/>
      <c r="S25" s="31"/>
      <c r="T25" s="31"/>
      <c r="U25" s="31"/>
      <c r="V25" s="31"/>
      <c r="W25" s="31"/>
      <c r="X25" s="31"/>
      <c r="Y25" s="31"/>
      <c r="Z25" s="31"/>
      <c r="AA25" s="31"/>
      <c r="AB25" s="31"/>
      <c r="AC25" s="31"/>
      <c r="AD25" s="31"/>
      <c r="AE25" s="31"/>
      <c r="AF25" s="31"/>
      <c r="AG25" s="31"/>
      <c r="AH25" s="31"/>
      <c r="AI25" s="31"/>
      <c r="AJ25" s="31"/>
      <c r="AK25" s="31"/>
      <c r="AL25" s="28" t="str">
        <f>VLOOKUP($G25,'[42]Sheet1 (2)'!$A$1:$B$1048440,2,FALSE)</f>
        <v>Km</v>
      </c>
      <c r="AM25" s="32"/>
      <c r="AN25" s="31"/>
      <c r="AO25" s="33"/>
    </row>
    <row r="26" spans="1:41" ht="252" x14ac:dyDescent="0.25">
      <c r="A26" s="36">
        <v>22</v>
      </c>
      <c r="B26" s="21" t="s">
        <v>42</v>
      </c>
      <c r="C26" s="37">
        <v>1.22</v>
      </c>
      <c r="D26" s="38"/>
      <c r="E26" s="38" t="s">
        <v>71</v>
      </c>
      <c r="F26" s="39" t="s">
        <v>72</v>
      </c>
      <c r="G26" s="25" t="s">
        <v>73</v>
      </c>
      <c r="H26" s="40">
        <v>9076</v>
      </c>
      <c r="I26" s="40">
        <v>7389</v>
      </c>
      <c r="J26" s="31"/>
      <c r="K26" s="31"/>
      <c r="L26" s="31"/>
      <c r="M26" s="31"/>
      <c r="N26" s="31"/>
      <c r="O26" s="31"/>
      <c r="P26" s="31"/>
      <c r="Q26" s="31"/>
      <c r="R26" s="31"/>
      <c r="S26" s="31"/>
      <c r="T26" s="31"/>
      <c r="U26" s="31"/>
      <c r="V26" s="31"/>
      <c r="W26" s="31"/>
      <c r="X26" s="31"/>
      <c r="Y26" s="31"/>
      <c r="Z26" s="31"/>
      <c r="AA26" s="31"/>
      <c r="AB26" s="31"/>
      <c r="AC26" s="31"/>
      <c r="AD26" s="31"/>
      <c r="AE26" s="31"/>
      <c r="AF26" s="31"/>
      <c r="AG26" s="31"/>
      <c r="AH26" s="31"/>
      <c r="AI26" s="31"/>
      <c r="AJ26" s="31"/>
      <c r="AK26" s="31"/>
      <c r="AL26" s="41" t="str">
        <f>VLOOKUP($G26,'[42]Sheet1 (2)'!$A$1:$B$1048440,2,FALSE)</f>
        <v>One Acre</v>
      </c>
      <c r="AM26" s="32"/>
      <c r="AN26" s="31"/>
      <c r="AO26" s="33"/>
    </row>
    <row r="27" spans="1:41" ht="238" x14ac:dyDescent="0.25">
      <c r="A27" s="36">
        <v>23</v>
      </c>
      <c r="B27" s="21" t="s">
        <v>42</v>
      </c>
      <c r="C27" s="37">
        <v>1.23</v>
      </c>
      <c r="D27" s="38"/>
      <c r="E27" s="38" t="s">
        <v>74</v>
      </c>
      <c r="F27" s="24" t="s">
        <v>44</v>
      </c>
      <c r="G27" s="25" t="s">
        <v>73</v>
      </c>
      <c r="H27" s="40">
        <v>9076</v>
      </c>
      <c r="I27" s="40">
        <v>7389</v>
      </c>
      <c r="J27" s="31"/>
      <c r="K27" s="31"/>
      <c r="L27" s="31"/>
      <c r="M27" s="31"/>
      <c r="N27" s="31"/>
      <c r="O27" s="31"/>
      <c r="P27" s="31"/>
      <c r="Q27" s="31"/>
      <c r="R27" s="31"/>
      <c r="S27" s="31"/>
      <c r="T27" s="31"/>
      <c r="U27" s="31"/>
      <c r="V27" s="31"/>
      <c r="W27" s="31"/>
      <c r="X27" s="31"/>
      <c r="Y27" s="31"/>
      <c r="Z27" s="31"/>
      <c r="AA27" s="31"/>
      <c r="AB27" s="31"/>
      <c r="AC27" s="31"/>
      <c r="AD27" s="31"/>
      <c r="AE27" s="31"/>
      <c r="AF27" s="31"/>
      <c r="AG27" s="31"/>
      <c r="AH27" s="31"/>
      <c r="AI27" s="31"/>
      <c r="AJ27" s="31"/>
      <c r="AK27" s="31"/>
      <c r="AL27" s="41" t="str">
        <f>VLOOKUP($G27,'[42]Sheet1 (2)'!$A$1:$B$1048440,2,FALSE)</f>
        <v>One Acre</v>
      </c>
      <c r="AM27" s="32"/>
      <c r="AN27" s="31"/>
      <c r="AO27" s="33"/>
    </row>
    <row r="28" spans="1:41" ht="126" x14ac:dyDescent="0.25">
      <c r="A28" s="36">
        <v>24</v>
      </c>
      <c r="B28" s="21" t="s">
        <v>42</v>
      </c>
      <c r="C28" s="37">
        <v>1.24</v>
      </c>
      <c r="D28" s="38"/>
      <c r="E28" s="24" t="s">
        <v>75</v>
      </c>
      <c r="F28" s="24" t="s">
        <v>44</v>
      </c>
      <c r="G28" s="25" t="s">
        <v>58</v>
      </c>
      <c r="H28" s="40">
        <v>29252</v>
      </c>
      <c r="I28" s="40">
        <v>14936</v>
      </c>
      <c r="J28" s="31"/>
      <c r="K28" s="31"/>
      <c r="L28" s="31"/>
      <c r="M28" s="31"/>
      <c r="N28" s="31"/>
      <c r="O28" s="31"/>
      <c r="P28" s="31"/>
      <c r="Q28" s="31"/>
      <c r="R28" s="31"/>
      <c r="S28" s="31"/>
      <c r="T28" s="31"/>
      <c r="U28" s="31"/>
      <c r="V28" s="31"/>
      <c r="W28" s="31"/>
      <c r="X28" s="31"/>
      <c r="Y28" s="31"/>
      <c r="Z28" s="31"/>
      <c r="AA28" s="31"/>
      <c r="AB28" s="31"/>
      <c r="AC28" s="31"/>
      <c r="AD28" s="31"/>
      <c r="AE28" s="31"/>
      <c r="AF28" s="31"/>
      <c r="AG28" s="31"/>
      <c r="AH28" s="31"/>
      <c r="AI28" s="31"/>
      <c r="AJ28" s="31"/>
      <c r="AK28" s="31"/>
      <c r="AL28" s="41" t="e">
        <f>VLOOKUP($G28,'[42]Sheet1 (2)'!$A$1:$B$1048440,2,FALSE)</f>
        <v>#N/A</v>
      </c>
      <c r="AM28" s="32"/>
      <c r="AN28" s="31"/>
      <c r="AO28" s="33"/>
    </row>
    <row r="29" spans="1:41" ht="56" x14ac:dyDescent="0.25">
      <c r="A29" s="36">
        <v>25</v>
      </c>
      <c r="B29" s="21" t="s">
        <v>42</v>
      </c>
      <c r="C29" s="37">
        <v>1.25</v>
      </c>
      <c r="D29" s="38"/>
      <c r="E29" s="24" t="s">
        <v>76</v>
      </c>
      <c r="F29" s="24" t="s">
        <v>44</v>
      </c>
      <c r="G29" s="30" t="s">
        <v>55</v>
      </c>
      <c r="H29" s="40">
        <v>16961</v>
      </c>
      <c r="I29" s="40">
        <v>15570</v>
      </c>
      <c r="J29" s="31"/>
      <c r="K29" s="31"/>
      <c r="L29" s="31"/>
      <c r="M29" s="31"/>
      <c r="N29" s="31"/>
      <c r="O29" s="31"/>
      <c r="P29" s="31"/>
      <c r="Q29" s="31"/>
      <c r="R29" s="31"/>
      <c r="S29" s="31"/>
      <c r="T29" s="31"/>
      <c r="U29" s="31"/>
      <c r="V29" s="31"/>
      <c r="W29" s="31"/>
      <c r="X29" s="31"/>
      <c r="Y29" s="31"/>
      <c r="Z29" s="31"/>
      <c r="AA29" s="31"/>
      <c r="AB29" s="31"/>
      <c r="AC29" s="31"/>
      <c r="AD29" s="31"/>
      <c r="AE29" s="31"/>
      <c r="AF29" s="31"/>
      <c r="AG29" s="31"/>
      <c r="AH29" s="31"/>
      <c r="AI29" s="31"/>
      <c r="AJ29" s="31"/>
      <c r="AK29" s="31"/>
      <c r="AL29" s="41" t="str">
        <f>VLOOKUP($G29,'[42]Sheet1 (2)'!$A$1:$B$1048440,2,FALSE)</f>
        <v>Km</v>
      </c>
      <c r="AM29" s="32"/>
      <c r="AN29" s="31"/>
      <c r="AO29" s="33"/>
    </row>
    <row r="30" spans="1:41" ht="84" x14ac:dyDescent="0.25">
      <c r="A30" s="36">
        <v>26</v>
      </c>
      <c r="B30" s="42" t="s">
        <v>42</v>
      </c>
      <c r="C30" s="37">
        <v>1.26</v>
      </c>
      <c r="D30" s="43"/>
      <c r="E30" s="43" t="s">
        <v>77</v>
      </c>
      <c r="F30" s="44" t="s">
        <v>44</v>
      </c>
      <c r="G30" s="45" t="s">
        <v>45</v>
      </c>
      <c r="H30" s="40">
        <v>16334</v>
      </c>
      <c r="I30" s="40">
        <v>12135</v>
      </c>
      <c r="J30" s="31"/>
      <c r="K30" s="31"/>
      <c r="L30" s="31"/>
      <c r="M30" s="31"/>
      <c r="N30" s="31"/>
      <c r="O30" s="31"/>
      <c r="P30" s="31"/>
      <c r="Q30" s="31"/>
      <c r="R30" s="31"/>
      <c r="S30" s="31"/>
      <c r="T30" s="31"/>
      <c r="U30" s="31"/>
      <c r="V30" s="31"/>
      <c r="W30" s="31"/>
      <c r="X30" s="31"/>
      <c r="Y30" s="31"/>
      <c r="Z30" s="31"/>
      <c r="AA30" s="31"/>
      <c r="AB30" s="31"/>
      <c r="AC30" s="31"/>
      <c r="AD30" s="31"/>
      <c r="AE30" s="31"/>
      <c r="AF30" s="31"/>
      <c r="AG30" s="31"/>
      <c r="AH30" s="31"/>
      <c r="AI30" s="31"/>
      <c r="AJ30" s="31"/>
      <c r="AK30" s="31"/>
      <c r="AL30" s="28" t="str">
        <f>VLOOKUP($G30,'[42]Sheet1 (2)'!$A$1:$B$1048440,2,FALSE)</f>
        <v>No.</v>
      </c>
      <c r="AM30" s="32"/>
      <c r="AN30" s="31"/>
      <c r="AO30" s="33"/>
    </row>
    <row r="31" spans="1:41" ht="182" x14ac:dyDescent="0.25">
      <c r="A31" s="36">
        <v>27</v>
      </c>
      <c r="B31" s="42" t="s">
        <v>42</v>
      </c>
      <c r="C31" s="37">
        <v>1.27</v>
      </c>
      <c r="D31" s="43"/>
      <c r="E31" s="43" t="s">
        <v>78</v>
      </c>
      <c r="F31" s="44" t="s">
        <v>44</v>
      </c>
      <c r="G31" s="45" t="s">
        <v>45</v>
      </c>
      <c r="H31" s="40">
        <v>61343</v>
      </c>
      <c r="I31" s="40">
        <v>36036</v>
      </c>
      <c r="J31" s="31"/>
      <c r="K31" s="31"/>
      <c r="L31" s="31"/>
      <c r="M31" s="31"/>
      <c r="N31" s="31"/>
      <c r="O31" s="31"/>
      <c r="P31" s="31"/>
      <c r="Q31" s="31"/>
      <c r="R31" s="31"/>
      <c r="S31" s="31"/>
      <c r="T31" s="31"/>
      <c r="U31" s="31"/>
      <c r="V31" s="31"/>
      <c r="W31" s="31"/>
      <c r="X31" s="31"/>
      <c r="Y31" s="31"/>
      <c r="Z31" s="31"/>
      <c r="AA31" s="31"/>
      <c r="AB31" s="31"/>
      <c r="AC31" s="31"/>
      <c r="AD31" s="31"/>
      <c r="AE31" s="31"/>
      <c r="AF31" s="31"/>
      <c r="AG31" s="31"/>
      <c r="AH31" s="31"/>
      <c r="AI31" s="31"/>
      <c r="AJ31" s="31"/>
      <c r="AK31" s="31"/>
      <c r="AL31" s="28" t="str">
        <f>VLOOKUP($G31,'[42]Sheet1 (2)'!$A$1:$B$1048440,2,FALSE)</f>
        <v>No.</v>
      </c>
      <c r="AM31" s="32"/>
      <c r="AN31" s="31"/>
      <c r="AO31" s="33"/>
    </row>
    <row r="32" spans="1:41" ht="182" x14ac:dyDescent="0.25">
      <c r="A32" s="36">
        <v>28</v>
      </c>
      <c r="B32" s="42" t="s">
        <v>42</v>
      </c>
      <c r="C32" s="37">
        <v>1.28</v>
      </c>
      <c r="D32" s="43"/>
      <c r="E32" s="44" t="s">
        <v>79</v>
      </c>
      <c r="F32" s="44" t="s">
        <v>44</v>
      </c>
      <c r="G32" s="42" t="s">
        <v>80</v>
      </c>
      <c r="H32" s="40">
        <v>1890</v>
      </c>
      <c r="I32" s="40">
        <v>1172</v>
      </c>
      <c r="J32" s="31"/>
      <c r="K32" s="31"/>
      <c r="L32" s="31"/>
      <c r="M32" s="31"/>
      <c r="N32" s="31"/>
      <c r="O32" s="31"/>
      <c r="P32" s="31"/>
      <c r="Q32" s="31"/>
      <c r="R32" s="31"/>
      <c r="S32" s="31"/>
      <c r="T32" s="31"/>
      <c r="U32" s="31"/>
      <c r="V32" s="31"/>
      <c r="W32" s="31"/>
      <c r="X32" s="31"/>
      <c r="Y32" s="31"/>
      <c r="Z32" s="31"/>
      <c r="AA32" s="31"/>
      <c r="AB32" s="31"/>
      <c r="AC32" s="31"/>
      <c r="AD32" s="31"/>
      <c r="AE32" s="31"/>
      <c r="AF32" s="31"/>
      <c r="AG32" s="31"/>
      <c r="AH32" s="31"/>
      <c r="AI32" s="31"/>
      <c r="AJ32" s="31"/>
      <c r="AK32" s="31"/>
      <c r="AL32" s="28" t="str">
        <f>VLOOKUP($G32,'[42]Sheet1 (2)'!$A$1:$B$1048440,2,FALSE)</f>
        <v>Rmt.</v>
      </c>
      <c r="AM32" s="32"/>
      <c r="AN32" s="31"/>
      <c r="AO32" s="33"/>
    </row>
    <row r="33" spans="1:41" ht="28" x14ac:dyDescent="0.25">
      <c r="A33" s="46"/>
      <c r="B33" s="47" t="s">
        <v>81</v>
      </c>
      <c r="C33" s="37">
        <v>1.29</v>
      </c>
      <c r="D33" s="46"/>
      <c r="E33" s="44" t="s">
        <v>82</v>
      </c>
      <c r="F33" s="46"/>
      <c r="G33" s="46"/>
      <c r="H33" s="40">
        <v>0</v>
      </c>
      <c r="I33" s="40">
        <v>0</v>
      </c>
      <c r="J33" s="31"/>
      <c r="K33" s="31"/>
      <c r="L33" s="31"/>
      <c r="M33" s="31"/>
      <c r="N33" s="31"/>
      <c r="O33" s="31"/>
      <c r="P33" s="31"/>
      <c r="Q33" s="31"/>
      <c r="R33" s="31"/>
      <c r="S33" s="31"/>
      <c r="T33" s="31"/>
      <c r="U33" s="31"/>
      <c r="V33" s="31"/>
      <c r="W33" s="31"/>
      <c r="X33" s="31"/>
      <c r="Y33" s="31"/>
      <c r="Z33" s="31"/>
      <c r="AA33" s="31"/>
      <c r="AB33" s="31"/>
      <c r="AC33" s="31"/>
      <c r="AD33" s="31"/>
      <c r="AE33" s="31"/>
      <c r="AF33" s="31"/>
      <c r="AG33" s="31"/>
      <c r="AH33" s="31"/>
      <c r="AI33" s="31"/>
      <c r="AJ33" s="31"/>
      <c r="AK33" s="31"/>
      <c r="AL33" s="28" t="e">
        <f>VLOOKUP($G33,'[42]Sheet1 (2)'!$A$1:$B$1048440,2,FALSE)</f>
        <v>#N/A</v>
      </c>
      <c r="AM33" s="32"/>
      <c r="AN33" s="31"/>
      <c r="AO33" s="33"/>
    </row>
    <row r="34" spans="1:41" ht="112" x14ac:dyDescent="0.25">
      <c r="A34" s="36">
        <v>29</v>
      </c>
      <c r="B34" s="42" t="s">
        <v>42</v>
      </c>
      <c r="C34" s="37">
        <v>1.3</v>
      </c>
      <c r="D34" s="43"/>
      <c r="E34" s="44" t="s">
        <v>83</v>
      </c>
      <c r="F34" s="44" t="s">
        <v>44</v>
      </c>
      <c r="G34" s="45" t="s">
        <v>45</v>
      </c>
      <c r="H34" s="40">
        <v>41465</v>
      </c>
      <c r="I34" s="40">
        <v>24670</v>
      </c>
      <c r="J34" s="31"/>
      <c r="K34" s="31"/>
      <c r="L34" s="31"/>
      <c r="M34" s="31"/>
      <c r="N34" s="31"/>
      <c r="O34" s="31"/>
      <c r="P34" s="31"/>
      <c r="Q34" s="31"/>
      <c r="R34" s="31"/>
      <c r="S34" s="31"/>
      <c r="T34" s="31"/>
      <c r="U34" s="31"/>
      <c r="V34" s="31"/>
      <c r="W34" s="31"/>
      <c r="X34" s="31"/>
      <c r="Y34" s="31"/>
      <c r="Z34" s="31"/>
      <c r="AA34" s="31"/>
      <c r="AB34" s="31"/>
      <c r="AC34" s="31"/>
      <c r="AD34" s="31"/>
      <c r="AE34" s="31"/>
      <c r="AF34" s="31"/>
      <c r="AG34" s="31"/>
      <c r="AH34" s="31"/>
      <c r="AI34" s="31"/>
      <c r="AJ34" s="31"/>
      <c r="AK34" s="31"/>
      <c r="AL34" s="28" t="str">
        <f>VLOOKUP($G34,'[42]Sheet1 (2)'!$A$1:$B$1048440,2,FALSE)</f>
        <v>No.</v>
      </c>
      <c r="AM34" s="32"/>
      <c r="AN34" s="31"/>
      <c r="AO34" s="33"/>
    </row>
    <row r="35" spans="1:41" ht="84" x14ac:dyDescent="0.25">
      <c r="A35" s="36">
        <v>30</v>
      </c>
      <c r="B35" s="42" t="s">
        <v>42</v>
      </c>
      <c r="C35" s="37">
        <v>1.31</v>
      </c>
      <c r="D35" s="43"/>
      <c r="E35" s="44" t="s">
        <v>84</v>
      </c>
      <c r="F35" s="44" t="s">
        <v>44</v>
      </c>
      <c r="G35" s="45" t="s">
        <v>45</v>
      </c>
      <c r="H35" s="40">
        <v>10461</v>
      </c>
      <c r="I35" s="40">
        <v>9257</v>
      </c>
      <c r="J35" s="31"/>
      <c r="K35" s="31"/>
      <c r="L35" s="31"/>
      <c r="M35" s="31"/>
      <c r="N35" s="31"/>
      <c r="O35" s="31"/>
      <c r="P35" s="31"/>
      <c r="Q35" s="31"/>
      <c r="R35" s="31"/>
      <c r="S35" s="31"/>
      <c r="T35" s="31"/>
      <c r="U35" s="31"/>
      <c r="V35" s="31"/>
      <c r="W35" s="31"/>
      <c r="X35" s="31"/>
      <c r="Y35" s="31"/>
      <c r="Z35" s="31"/>
      <c r="AA35" s="31"/>
      <c r="AB35" s="31"/>
      <c r="AC35" s="31"/>
      <c r="AD35" s="31"/>
      <c r="AE35" s="31"/>
      <c r="AF35" s="31"/>
      <c r="AG35" s="31"/>
      <c r="AH35" s="31"/>
      <c r="AI35" s="31"/>
      <c r="AJ35" s="31"/>
      <c r="AK35" s="31"/>
      <c r="AL35" s="28" t="str">
        <f>VLOOKUP($G35,'[42]Sheet1 (2)'!$A$1:$B$1048440,2,FALSE)</f>
        <v>No.</v>
      </c>
      <c r="AM35" s="32"/>
      <c r="AN35" s="31"/>
      <c r="AO35" s="33"/>
    </row>
    <row r="36" spans="1:41" ht="56" x14ac:dyDescent="0.25">
      <c r="A36" s="36">
        <v>31</v>
      </c>
      <c r="B36" s="47" t="s">
        <v>81</v>
      </c>
      <c r="C36" s="37">
        <v>1.32</v>
      </c>
      <c r="D36" s="46"/>
      <c r="E36" s="43" t="s">
        <v>85</v>
      </c>
      <c r="F36" s="47" t="s">
        <v>86</v>
      </c>
      <c r="G36" s="45" t="s">
        <v>45</v>
      </c>
      <c r="H36" s="40">
        <v>8866</v>
      </c>
      <c r="I36" s="40">
        <v>4680</v>
      </c>
      <c r="J36" s="31"/>
      <c r="K36" s="31"/>
      <c r="L36" s="31"/>
      <c r="M36" s="31"/>
      <c r="N36" s="31"/>
      <c r="O36" s="31"/>
      <c r="P36" s="31"/>
      <c r="Q36" s="31"/>
      <c r="R36" s="31"/>
      <c r="S36" s="31"/>
      <c r="T36" s="31"/>
      <c r="U36" s="31"/>
      <c r="V36" s="31"/>
      <c r="W36" s="31"/>
      <c r="X36" s="31"/>
      <c r="Y36" s="31"/>
      <c r="Z36" s="31"/>
      <c r="AA36" s="31"/>
      <c r="AB36" s="31"/>
      <c r="AC36" s="31"/>
      <c r="AD36" s="31"/>
      <c r="AE36" s="31"/>
      <c r="AF36" s="31"/>
      <c r="AG36" s="31"/>
      <c r="AH36" s="31"/>
      <c r="AI36" s="31"/>
      <c r="AJ36" s="31"/>
      <c r="AK36" s="31"/>
      <c r="AL36" s="28" t="str">
        <f>VLOOKUP($G36,'[42]Sheet1 (2)'!$A$1:$B$1048440,2,FALSE)</f>
        <v>No.</v>
      </c>
      <c r="AM36" s="32"/>
      <c r="AN36" s="31"/>
      <c r="AO36" s="33"/>
    </row>
    <row r="37" spans="1:41" ht="56" x14ac:dyDescent="0.25">
      <c r="A37" s="36">
        <v>32</v>
      </c>
      <c r="B37" s="47" t="s">
        <v>81</v>
      </c>
      <c r="C37" s="37">
        <v>1.33</v>
      </c>
      <c r="D37" s="46"/>
      <c r="E37" s="43" t="s">
        <v>87</v>
      </c>
      <c r="F37" s="47" t="s">
        <v>86</v>
      </c>
      <c r="G37" s="45" t="s">
        <v>45</v>
      </c>
      <c r="H37" s="40">
        <v>18724</v>
      </c>
      <c r="I37" s="40">
        <v>13079</v>
      </c>
      <c r="J37" s="31"/>
      <c r="K37" s="31"/>
      <c r="L37" s="31"/>
      <c r="M37" s="31"/>
      <c r="N37" s="31"/>
      <c r="O37" s="31"/>
      <c r="P37" s="31"/>
      <c r="Q37" s="31"/>
      <c r="R37" s="31"/>
      <c r="S37" s="31"/>
      <c r="T37" s="31"/>
      <c r="U37" s="31"/>
      <c r="V37" s="31"/>
      <c r="W37" s="31"/>
      <c r="X37" s="31"/>
      <c r="Y37" s="31"/>
      <c r="Z37" s="31"/>
      <c r="AA37" s="31"/>
      <c r="AB37" s="31"/>
      <c r="AC37" s="31"/>
      <c r="AD37" s="31"/>
      <c r="AE37" s="31"/>
      <c r="AF37" s="31"/>
      <c r="AG37" s="31"/>
      <c r="AH37" s="31"/>
      <c r="AI37" s="31"/>
      <c r="AJ37" s="31"/>
      <c r="AK37" s="31"/>
      <c r="AL37" s="28" t="str">
        <f>VLOOKUP($G37,'[42]Sheet1 (2)'!$A$1:$B$1048440,2,FALSE)</f>
        <v>No.</v>
      </c>
      <c r="AM37" s="32"/>
      <c r="AN37" s="31"/>
      <c r="AO37" s="33"/>
    </row>
    <row r="38" spans="1:41" ht="56" x14ac:dyDescent="0.25">
      <c r="A38" s="36">
        <v>33</v>
      </c>
      <c r="B38" s="47" t="s">
        <v>81</v>
      </c>
      <c r="C38" s="37">
        <v>1.34</v>
      </c>
      <c r="D38" s="46"/>
      <c r="E38" s="43" t="s">
        <v>88</v>
      </c>
      <c r="F38" s="47" t="s">
        <v>86</v>
      </c>
      <c r="G38" s="30" t="s">
        <v>55</v>
      </c>
      <c r="H38" s="40">
        <v>2255</v>
      </c>
      <c r="I38" s="40">
        <v>1791</v>
      </c>
      <c r="J38" s="31"/>
      <c r="K38" s="31"/>
      <c r="L38" s="31"/>
      <c r="M38" s="31"/>
      <c r="N38" s="31"/>
      <c r="O38" s="31"/>
      <c r="P38" s="31"/>
      <c r="Q38" s="31"/>
      <c r="R38" s="31"/>
      <c r="S38" s="31"/>
      <c r="T38" s="31"/>
      <c r="U38" s="31"/>
      <c r="V38" s="31"/>
      <c r="W38" s="31"/>
      <c r="X38" s="31"/>
      <c r="Y38" s="31"/>
      <c r="Z38" s="31"/>
      <c r="AA38" s="31"/>
      <c r="AB38" s="31"/>
      <c r="AC38" s="31"/>
      <c r="AD38" s="31"/>
      <c r="AE38" s="31"/>
      <c r="AF38" s="31"/>
      <c r="AG38" s="31"/>
      <c r="AH38" s="31"/>
      <c r="AI38" s="31"/>
      <c r="AJ38" s="31"/>
      <c r="AK38" s="31"/>
      <c r="AL38" s="28" t="str">
        <f>VLOOKUP($G38,'[42]Sheet1 (2)'!$A$1:$B$1048440,2,FALSE)</f>
        <v>Km</v>
      </c>
      <c r="AM38" s="32"/>
      <c r="AN38" s="31"/>
      <c r="AO38" s="33"/>
    </row>
    <row r="39" spans="1:41" ht="56" x14ac:dyDescent="0.25">
      <c r="A39" s="36">
        <v>34</v>
      </c>
      <c r="B39" s="47" t="s">
        <v>81</v>
      </c>
      <c r="C39" s="37">
        <v>1.35</v>
      </c>
      <c r="D39" s="46"/>
      <c r="E39" s="44" t="s">
        <v>89</v>
      </c>
      <c r="F39" s="47" t="s">
        <v>86</v>
      </c>
      <c r="G39" s="30" t="s">
        <v>55</v>
      </c>
      <c r="H39" s="40">
        <v>1812</v>
      </c>
      <c r="I39" s="40">
        <v>1217</v>
      </c>
      <c r="J39" s="31"/>
      <c r="K39" s="31"/>
      <c r="L39" s="31"/>
      <c r="M39" s="31"/>
      <c r="N39" s="31"/>
      <c r="O39" s="31"/>
      <c r="P39" s="31"/>
      <c r="Q39" s="31"/>
      <c r="R39" s="31"/>
      <c r="S39" s="31"/>
      <c r="T39" s="31"/>
      <c r="U39" s="31"/>
      <c r="V39" s="31"/>
      <c r="W39" s="31"/>
      <c r="X39" s="31"/>
      <c r="Y39" s="31"/>
      <c r="Z39" s="31"/>
      <c r="AA39" s="31"/>
      <c r="AB39" s="31"/>
      <c r="AC39" s="31"/>
      <c r="AD39" s="31"/>
      <c r="AE39" s="31"/>
      <c r="AF39" s="31"/>
      <c r="AG39" s="31"/>
      <c r="AH39" s="31"/>
      <c r="AI39" s="31"/>
      <c r="AJ39" s="31"/>
      <c r="AK39" s="31"/>
      <c r="AL39" s="28" t="str">
        <f>VLOOKUP($G39,'[42]Sheet1 (2)'!$A$1:$B$1048440,2,FALSE)</f>
        <v>Km</v>
      </c>
      <c r="AM39" s="32"/>
      <c r="AN39" s="31"/>
      <c r="AO39" s="33"/>
    </row>
    <row r="40" spans="1:41" ht="56" x14ac:dyDescent="0.25">
      <c r="A40" s="36">
        <v>35</v>
      </c>
      <c r="B40" s="47" t="s">
        <v>81</v>
      </c>
      <c r="C40" s="37">
        <v>1.36</v>
      </c>
      <c r="D40" s="46"/>
      <c r="E40" s="43" t="s">
        <v>90</v>
      </c>
      <c r="F40" s="47" t="s">
        <v>86</v>
      </c>
      <c r="G40" s="30" t="s">
        <v>55</v>
      </c>
      <c r="H40" s="40">
        <v>4663</v>
      </c>
      <c r="I40" s="40">
        <v>3273</v>
      </c>
      <c r="J40" s="31"/>
      <c r="K40" s="31"/>
      <c r="L40" s="31"/>
      <c r="M40" s="31"/>
      <c r="N40" s="31"/>
      <c r="O40" s="31"/>
      <c r="P40" s="31"/>
      <c r="Q40" s="31"/>
      <c r="R40" s="31"/>
      <c r="S40" s="31"/>
      <c r="T40" s="31"/>
      <c r="U40" s="31"/>
      <c r="V40" s="31"/>
      <c r="W40" s="31"/>
      <c r="X40" s="31"/>
      <c r="Y40" s="31"/>
      <c r="Z40" s="31"/>
      <c r="AA40" s="31"/>
      <c r="AB40" s="31"/>
      <c r="AC40" s="31"/>
      <c r="AD40" s="31"/>
      <c r="AE40" s="31"/>
      <c r="AF40" s="31"/>
      <c r="AG40" s="31"/>
      <c r="AH40" s="31"/>
      <c r="AI40" s="31"/>
      <c r="AJ40" s="31"/>
      <c r="AK40" s="31"/>
      <c r="AL40" s="28" t="str">
        <f>VLOOKUP($G40,'[42]Sheet1 (2)'!$A$1:$B$1048440,2,FALSE)</f>
        <v>Km</v>
      </c>
      <c r="AM40" s="32"/>
      <c r="AN40" s="31"/>
      <c r="AO40" s="33"/>
    </row>
    <row r="41" spans="1:41" ht="84" x14ac:dyDescent="0.25">
      <c r="A41" s="36">
        <v>36</v>
      </c>
      <c r="B41" s="42" t="s">
        <v>42</v>
      </c>
      <c r="C41" s="37">
        <v>1.37</v>
      </c>
      <c r="D41" s="43"/>
      <c r="E41" s="43" t="s">
        <v>91</v>
      </c>
      <c r="F41" s="44" t="s">
        <v>44</v>
      </c>
      <c r="G41" s="30" t="s">
        <v>55</v>
      </c>
      <c r="H41" s="40">
        <v>5655</v>
      </c>
      <c r="I41" s="40">
        <v>4265</v>
      </c>
      <c r="J41" s="31"/>
      <c r="K41" s="31"/>
      <c r="L41" s="31"/>
      <c r="M41" s="31"/>
      <c r="N41" s="31"/>
      <c r="O41" s="31"/>
      <c r="P41" s="31"/>
      <c r="Q41" s="31"/>
      <c r="R41" s="31"/>
      <c r="S41" s="31"/>
      <c r="T41" s="31"/>
      <c r="U41" s="31"/>
      <c r="V41" s="31"/>
      <c r="W41" s="31"/>
      <c r="X41" s="31"/>
      <c r="Y41" s="31"/>
      <c r="Z41" s="31"/>
      <c r="AA41" s="31"/>
      <c r="AB41" s="31"/>
      <c r="AC41" s="31"/>
      <c r="AD41" s="31"/>
      <c r="AE41" s="31"/>
      <c r="AF41" s="31"/>
      <c r="AG41" s="31"/>
      <c r="AH41" s="31"/>
      <c r="AI41" s="31"/>
      <c r="AJ41" s="31"/>
      <c r="AK41" s="31"/>
      <c r="AL41" s="28" t="str">
        <f>VLOOKUP($G41,'[42]Sheet1 (2)'!$A$1:$B$1048440,2,FALSE)</f>
        <v>Km</v>
      </c>
      <c r="AM41" s="32"/>
      <c r="AN41" s="31"/>
      <c r="AO41" s="33"/>
    </row>
    <row r="42" spans="1:41" ht="42" x14ac:dyDescent="0.25">
      <c r="A42" s="36">
        <v>37</v>
      </c>
      <c r="B42" s="42" t="s">
        <v>42</v>
      </c>
      <c r="C42" s="37">
        <v>1.38</v>
      </c>
      <c r="D42" s="43"/>
      <c r="E42" s="44" t="s">
        <v>92</v>
      </c>
      <c r="F42" s="44" t="s">
        <v>44</v>
      </c>
      <c r="G42" s="30" t="s">
        <v>55</v>
      </c>
      <c r="H42" s="40">
        <v>9877</v>
      </c>
      <c r="I42" s="40">
        <v>5318</v>
      </c>
      <c r="J42" s="31"/>
      <c r="K42" s="31"/>
      <c r="L42" s="31"/>
      <c r="M42" s="31"/>
      <c r="N42" s="31"/>
      <c r="O42" s="31"/>
      <c r="P42" s="31"/>
      <c r="Q42" s="31"/>
      <c r="R42" s="31"/>
      <c r="S42" s="31"/>
      <c r="T42" s="31"/>
      <c r="U42" s="31"/>
      <c r="V42" s="31"/>
      <c r="W42" s="31"/>
      <c r="X42" s="31"/>
      <c r="Y42" s="31"/>
      <c r="Z42" s="31"/>
      <c r="AA42" s="31"/>
      <c r="AB42" s="31"/>
      <c r="AC42" s="31"/>
      <c r="AD42" s="31"/>
      <c r="AE42" s="31"/>
      <c r="AF42" s="31"/>
      <c r="AG42" s="31"/>
      <c r="AH42" s="31"/>
      <c r="AI42" s="31"/>
      <c r="AJ42" s="31"/>
      <c r="AK42" s="31"/>
      <c r="AL42" s="28" t="str">
        <f>VLOOKUP($G42,'[42]Sheet1 (2)'!$A$1:$B$1048440,2,FALSE)</f>
        <v>Km</v>
      </c>
      <c r="AM42" s="32"/>
      <c r="AN42" s="31"/>
      <c r="AO42" s="33"/>
    </row>
    <row r="43" spans="1:41" ht="98" x14ac:dyDescent="0.25">
      <c r="A43" s="36">
        <v>38</v>
      </c>
      <c r="B43" s="42" t="s">
        <v>42</v>
      </c>
      <c r="C43" s="37">
        <v>1.39</v>
      </c>
      <c r="D43" s="43"/>
      <c r="E43" s="44" t="s">
        <v>93</v>
      </c>
      <c r="F43" s="44" t="s">
        <v>44</v>
      </c>
      <c r="G43" s="30" t="s">
        <v>55</v>
      </c>
      <c r="H43" s="40">
        <v>27486</v>
      </c>
      <c r="I43" s="40">
        <v>15507</v>
      </c>
      <c r="J43" s="31"/>
      <c r="K43" s="31"/>
      <c r="L43" s="31"/>
      <c r="M43" s="31"/>
      <c r="N43" s="31"/>
      <c r="O43" s="31"/>
      <c r="P43" s="31"/>
      <c r="Q43" s="31"/>
      <c r="R43" s="31"/>
      <c r="S43" s="31"/>
      <c r="T43" s="31"/>
      <c r="U43" s="31"/>
      <c r="V43" s="31"/>
      <c r="W43" s="31"/>
      <c r="X43" s="31"/>
      <c r="Y43" s="31"/>
      <c r="Z43" s="31"/>
      <c r="AA43" s="31"/>
      <c r="AB43" s="31"/>
      <c r="AC43" s="31"/>
      <c r="AD43" s="31"/>
      <c r="AE43" s="31"/>
      <c r="AF43" s="31"/>
      <c r="AG43" s="31"/>
      <c r="AH43" s="31"/>
      <c r="AI43" s="31"/>
      <c r="AJ43" s="31"/>
      <c r="AK43" s="31"/>
      <c r="AL43" s="28" t="str">
        <f>VLOOKUP($G43,'[42]Sheet1 (2)'!$A$1:$B$1048440,2,FALSE)</f>
        <v>Km</v>
      </c>
      <c r="AM43" s="32"/>
      <c r="AN43" s="31"/>
      <c r="AO43" s="33"/>
    </row>
    <row r="44" spans="1:41" ht="98" x14ac:dyDescent="0.25">
      <c r="A44" s="36">
        <v>39</v>
      </c>
      <c r="B44" s="42" t="s">
        <v>42</v>
      </c>
      <c r="C44" s="37">
        <v>1.4</v>
      </c>
      <c r="D44" s="43"/>
      <c r="E44" s="44" t="s">
        <v>94</v>
      </c>
      <c r="F44" s="44" t="s">
        <v>44</v>
      </c>
      <c r="G44" s="30" t="s">
        <v>55</v>
      </c>
      <c r="H44" s="40">
        <v>20343</v>
      </c>
      <c r="I44" s="40">
        <v>10760</v>
      </c>
      <c r="J44" s="31"/>
      <c r="K44" s="31"/>
      <c r="L44" s="31"/>
      <c r="M44" s="31"/>
      <c r="N44" s="31"/>
      <c r="O44" s="31"/>
      <c r="P44" s="31"/>
      <c r="Q44" s="31"/>
      <c r="R44" s="31"/>
      <c r="S44" s="31"/>
      <c r="T44" s="31"/>
      <c r="U44" s="31"/>
      <c r="V44" s="31"/>
      <c r="W44" s="31"/>
      <c r="X44" s="31"/>
      <c r="Y44" s="31"/>
      <c r="Z44" s="31"/>
      <c r="AA44" s="31"/>
      <c r="AB44" s="31"/>
      <c r="AC44" s="31"/>
      <c r="AD44" s="31"/>
      <c r="AE44" s="31"/>
      <c r="AF44" s="31"/>
      <c r="AG44" s="31"/>
      <c r="AH44" s="31"/>
      <c r="AI44" s="31"/>
      <c r="AJ44" s="31"/>
      <c r="AK44" s="31"/>
      <c r="AL44" s="28" t="str">
        <f>VLOOKUP($G44,'[42]Sheet1 (2)'!$A$1:$B$1048440,2,FALSE)</f>
        <v>Km</v>
      </c>
      <c r="AM44" s="32"/>
      <c r="AN44" s="31"/>
      <c r="AO44" s="33"/>
    </row>
    <row r="45" spans="1:41" ht="168" x14ac:dyDescent="0.25">
      <c r="A45" s="36">
        <v>40</v>
      </c>
      <c r="B45" s="42" t="s">
        <v>42</v>
      </c>
      <c r="C45" s="37">
        <v>1.41</v>
      </c>
      <c r="D45" s="43"/>
      <c r="E45" s="44" t="s">
        <v>95</v>
      </c>
      <c r="F45" s="44" t="s">
        <v>44</v>
      </c>
      <c r="G45" s="30" t="s">
        <v>55</v>
      </c>
      <c r="H45" s="40">
        <v>46615</v>
      </c>
      <c r="I45" s="40">
        <v>22965</v>
      </c>
      <c r="J45" s="31"/>
      <c r="K45" s="31"/>
      <c r="L45" s="31"/>
      <c r="M45" s="31"/>
      <c r="N45" s="31"/>
      <c r="O45" s="31"/>
      <c r="P45" s="31"/>
      <c r="Q45" s="31"/>
      <c r="R45" s="31"/>
      <c r="S45" s="31"/>
      <c r="T45" s="31"/>
      <c r="U45" s="31"/>
      <c r="V45" s="31"/>
      <c r="W45" s="31"/>
      <c r="X45" s="31"/>
      <c r="Y45" s="31"/>
      <c r="Z45" s="31"/>
      <c r="AA45" s="31"/>
      <c r="AB45" s="31"/>
      <c r="AC45" s="31"/>
      <c r="AD45" s="31"/>
      <c r="AE45" s="31"/>
      <c r="AF45" s="31"/>
      <c r="AG45" s="31"/>
      <c r="AH45" s="31"/>
      <c r="AI45" s="31"/>
      <c r="AJ45" s="31"/>
      <c r="AK45" s="31"/>
      <c r="AL45" s="28" t="str">
        <f>VLOOKUP($G45,'[42]Sheet1 (2)'!$A$1:$B$1048440,2,FALSE)</f>
        <v>Km</v>
      </c>
      <c r="AM45" s="32"/>
      <c r="AN45" s="31"/>
      <c r="AO45" s="33"/>
    </row>
    <row r="46" spans="1:41" ht="182" x14ac:dyDescent="0.25">
      <c r="A46" s="36">
        <v>41</v>
      </c>
      <c r="B46" s="42" t="s">
        <v>42</v>
      </c>
      <c r="C46" s="37">
        <v>1.42</v>
      </c>
      <c r="D46" s="43"/>
      <c r="E46" s="43" t="s">
        <v>96</v>
      </c>
      <c r="F46" s="44" t="s">
        <v>44</v>
      </c>
      <c r="G46" s="30" t="s">
        <v>55</v>
      </c>
      <c r="H46" s="40">
        <v>43301</v>
      </c>
      <c r="I46" s="48">
        <v>19410</v>
      </c>
      <c r="J46" s="31"/>
      <c r="K46" s="31"/>
      <c r="L46" s="31"/>
      <c r="M46" s="31"/>
      <c r="N46" s="31"/>
      <c r="O46" s="31"/>
      <c r="P46" s="31"/>
      <c r="Q46" s="31"/>
      <c r="R46" s="31"/>
      <c r="S46" s="31"/>
      <c r="T46" s="31"/>
      <c r="U46" s="31"/>
      <c r="V46" s="31"/>
      <c r="W46" s="31"/>
      <c r="X46" s="31"/>
      <c r="Y46" s="31"/>
      <c r="Z46" s="31"/>
      <c r="AA46" s="31"/>
      <c r="AB46" s="31"/>
      <c r="AC46" s="31"/>
      <c r="AD46" s="31"/>
      <c r="AE46" s="31"/>
      <c r="AF46" s="31"/>
      <c r="AG46" s="31"/>
      <c r="AH46" s="31"/>
      <c r="AI46" s="31"/>
      <c r="AJ46" s="31"/>
      <c r="AK46" s="31"/>
      <c r="AL46" s="28" t="str">
        <f>VLOOKUP($G46,'[42]Sheet1 (2)'!$A$1:$B$1048440,2,FALSE)</f>
        <v>Km</v>
      </c>
      <c r="AM46" s="32"/>
      <c r="AN46" s="31"/>
      <c r="AO46" s="33"/>
    </row>
    <row r="47" spans="1:41" ht="168" x14ac:dyDescent="0.25">
      <c r="A47" s="36">
        <v>42</v>
      </c>
      <c r="B47" s="42" t="s">
        <v>42</v>
      </c>
      <c r="C47" s="37">
        <v>1.43</v>
      </c>
      <c r="D47" s="43"/>
      <c r="E47" s="44" t="s">
        <v>97</v>
      </c>
      <c r="F47" s="44" t="s">
        <v>44</v>
      </c>
      <c r="G47" s="30" t="s">
        <v>55</v>
      </c>
      <c r="H47" s="40">
        <v>59200</v>
      </c>
      <c r="I47" s="48">
        <v>30221</v>
      </c>
      <c r="J47" s="31"/>
      <c r="K47" s="31"/>
      <c r="L47" s="31"/>
      <c r="M47" s="31"/>
      <c r="N47" s="31"/>
      <c r="O47" s="31"/>
      <c r="P47" s="31"/>
      <c r="Q47" s="31"/>
      <c r="R47" s="31"/>
      <c r="S47" s="31"/>
      <c r="T47" s="31"/>
      <c r="U47" s="31"/>
      <c r="V47" s="31"/>
      <c r="W47" s="31"/>
      <c r="X47" s="31"/>
      <c r="Y47" s="31"/>
      <c r="Z47" s="31"/>
      <c r="AA47" s="31"/>
      <c r="AB47" s="31"/>
      <c r="AC47" s="31"/>
      <c r="AD47" s="31"/>
      <c r="AE47" s="31"/>
      <c r="AF47" s="31"/>
      <c r="AG47" s="31"/>
      <c r="AH47" s="31"/>
      <c r="AI47" s="31"/>
      <c r="AJ47" s="31"/>
      <c r="AK47" s="31"/>
      <c r="AL47" s="28" t="str">
        <f>VLOOKUP($G47,'[42]Sheet1 (2)'!$A$1:$B$1048440,2,FALSE)</f>
        <v>Km</v>
      </c>
      <c r="AM47" s="32"/>
      <c r="AN47" s="31"/>
      <c r="AO47" s="33"/>
    </row>
    <row r="48" spans="1:41" ht="56" x14ac:dyDescent="0.25">
      <c r="A48" s="36">
        <v>43</v>
      </c>
      <c r="B48" s="42" t="s">
        <v>42</v>
      </c>
      <c r="C48" s="37">
        <v>1.44</v>
      </c>
      <c r="D48" s="43"/>
      <c r="E48" s="43" t="s">
        <v>98</v>
      </c>
      <c r="F48" s="44" t="s">
        <v>44</v>
      </c>
      <c r="G48" s="30" t="s">
        <v>55</v>
      </c>
      <c r="H48" s="40">
        <v>41261</v>
      </c>
      <c r="I48" s="48">
        <v>10987</v>
      </c>
      <c r="J48" s="31"/>
      <c r="K48" s="31"/>
      <c r="L48" s="31"/>
      <c r="M48" s="31"/>
      <c r="N48" s="31"/>
      <c r="O48" s="31"/>
      <c r="P48" s="31"/>
      <c r="Q48" s="31"/>
      <c r="R48" s="31"/>
      <c r="S48" s="31"/>
      <c r="T48" s="31"/>
      <c r="U48" s="31"/>
      <c r="V48" s="31"/>
      <c r="W48" s="31"/>
      <c r="X48" s="31"/>
      <c r="Y48" s="31"/>
      <c r="Z48" s="31"/>
      <c r="AA48" s="31"/>
      <c r="AB48" s="31"/>
      <c r="AC48" s="31"/>
      <c r="AD48" s="31"/>
      <c r="AE48" s="31"/>
      <c r="AF48" s="31"/>
      <c r="AG48" s="31"/>
      <c r="AH48" s="31"/>
      <c r="AI48" s="31"/>
      <c r="AJ48" s="31"/>
      <c r="AK48" s="31"/>
      <c r="AL48" s="28" t="str">
        <f>VLOOKUP($G48,'[42]Sheet1 (2)'!$A$1:$B$1048440,2,FALSE)</f>
        <v>Km</v>
      </c>
      <c r="AM48" s="32"/>
      <c r="AN48" s="31"/>
      <c r="AO48" s="33"/>
    </row>
    <row r="49" spans="1:41" ht="140" x14ac:dyDescent="0.25">
      <c r="A49" s="36">
        <v>44</v>
      </c>
      <c r="B49" s="42" t="s">
        <v>42</v>
      </c>
      <c r="C49" s="37">
        <v>1.45</v>
      </c>
      <c r="D49" s="43"/>
      <c r="E49" s="43" t="s">
        <v>99</v>
      </c>
      <c r="F49" s="44" t="s">
        <v>44</v>
      </c>
      <c r="G49" s="42" t="s">
        <v>80</v>
      </c>
      <c r="H49" s="40">
        <v>2110</v>
      </c>
      <c r="I49" s="49">
        <v>447</v>
      </c>
      <c r="J49" s="31"/>
      <c r="K49" s="31"/>
      <c r="L49" s="31"/>
      <c r="M49" s="31"/>
      <c r="N49" s="31"/>
      <c r="O49" s="31"/>
      <c r="P49" s="31"/>
      <c r="Q49" s="31"/>
      <c r="R49" s="31"/>
      <c r="S49" s="31"/>
      <c r="T49" s="31"/>
      <c r="U49" s="31"/>
      <c r="V49" s="31"/>
      <c r="W49" s="31"/>
      <c r="X49" s="31"/>
      <c r="Y49" s="31"/>
      <c r="Z49" s="31"/>
      <c r="AA49" s="31"/>
      <c r="AB49" s="31"/>
      <c r="AC49" s="31"/>
      <c r="AD49" s="31"/>
      <c r="AE49" s="31"/>
      <c r="AF49" s="31"/>
      <c r="AG49" s="31"/>
      <c r="AH49" s="31"/>
      <c r="AI49" s="31"/>
      <c r="AJ49" s="31"/>
      <c r="AK49" s="31"/>
      <c r="AL49" s="28" t="str">
        <f>VLOOKUP($G49,'[42]Sheet1 (2)'!$A$1:$B$1048440,2,FALSE)</f>
        <v>Rmt.</v>
      </c>
      <c r="AM49" s="32"/>
      <c r="AN49" s="31"/>
      <c r="AO49" s="33"/>
    </row>
    <row r="50" spans="1:41" ht="98" x14ac:dyDescent="0.25">
      <c r="A50" s="36">
        <v>45</v>
      </c>
      <c r="B50" s="42" t="s">
        <v>42</v>
      </c>
      <c r="C50" s="37">
        <v>1.46</v>
      </c>
      <c r="D50" s="43"/>
      <c r="E50" s="44" t="s">
        <v>100</v>
      </c>
      <c r="F50" s="44" t="s">
        <v>44</v>
      </c>
      <c r="G50" s="42" t="s">
        <v>80</v>
      </c>
      <c r="H50" s="40">
        <v>6814</v>
      </c>
      <c r="I50" s="49">
        <v>522</v>
      </c>
      <c r="J50" s="31"/>
      <c r="K50" s="31"/>
      <c r="L50" s="31"/>
      <c r="M50" s="31"/>
      <c r="N50" s="31"/>
      <c r="O50" s="31"/>
      <c r="P50" s="31"/>
      <c r="Q50" s="31"/>
      <c r="R50" s="31"/>
      <c r="S50" s="31"/>
      <c r="T50" s="31"/>
      <c r="U50" s="31"/>
      <c r="V50" s="31"/>
      <c r="W50" s="31"/>
      <c r="X50" s="31"/>
      <c r="Y50" s="31"/>
      <c r="Z50" s="31"/>
      <c r="AA50" s="31"/>
      <c r="AB50" s="31"/>
      <c r="AC50" s="31"/>
      <c r="AD50" s="31"/>
      <c r="AE50" s="31"/>
      <c r="AF50" s="31"/>
      <c r="AG50" s="31"/>
      <c r="AH50" s="31"/>
      <c r="AI50" s="31"/>
      <c r="AJ50" s="31"/>
      <c r="AK50" s="31"/>
      <c r="AL50" s="28" t="str">
        <f>VLOOKUP($G50,'[42]Sheet1 (2)'!$A$1:$B$1048440,2,FALSE)</f>
        <v>Rmt.</v>
      </c>
      <c r="AM50" s="32"/>
      <c r="AN50" s="31"/>
      <c r="AO50" s="33"/>
    </row>
    <row r="51" spans="1:41" ht="98" x14ac:dyDescent="0.25">
      <c r="A51" s="36">
        <v>46</v>
      </c>
      <c r="B51" s="42" t="s">
        <v>42</v>
      </c>
      <c r="C51" s="37">
        <v>1.47</v>
      </c>
      <c r="D51" s="43"/>
      <c r="E51" s="44" t="s">
        <v>101</v>
      </c>
      <c r="F51" s="44" t="s">
        <v>44</v>
      </c>
      <c r="G51" s="42" t="s">
        <v>80</v>
      </c>
      <c r="H51" s="40">
        <v>4133</v>
      </c>
      <c r="I51" s="49">
        <v>745</v>
      </c>
      <c r="J51" s="31"/>
      <c r="K51" s="31"/>
      <c r="L51" s="31"/>
      <c r="M51" s="31"/>
      <c r="N51" s="31"/>
      <c r="O51" s="31"/>
      <c r="P51" s="31"/>
      <c r="Q51" s="31"/>
      <c r="R51" s="31"/>
      <c r="S51" s="31"/>
      <c r="T51" s="31"/>
      <c r="U51" s="31"/>
      <c r="V51" s="31"/>
      <c r="W51" s="31"/>
      <c r="X51" s="31"/>
      <c r="Y51" s="31"/>
      <c r="Z51" s="31"/>
      <c r="AA51" s="31"/>
      <c r="AB51" s="31"/>
      <c r="AC51" s="31"/>
      <c r="AD51" s="31"/>
      <c r="AE51" s="31"/>
      <c r="AF51" s="31"/>
      <c r="AG51" s="31"/>
      <c r="AH51" s="31"/>
      <c r="AI51" s="31"/>
      <c r="AJ51" s="31"/>
      <c r="AK51" s="31"/>
      <c r="AL51" s="28" t="str">
        <f>VLOOKUP($G51,'[42]Sheet1 (2)'!$A$1:$B$1048440,2,FALSE)</f>
        <v>Rmt.</v>
      </c>
      <c r="AM51" s="32"/>
      <c r="AN51" s="31"/>
      <c r="AO51" s="33"/>
    </row>
    <row r="52" spans="1:41" ht="98" x14ac:dyDescent="0.25">
      <c r="A52" s="36">
        <v>47</v>
      </c>
      <c r="B52" s="42" t="s">
        <v>42</v>
      </c>
      <c r="C52" s="37">
        <v>1.48</v>
      </c>
      <c r="D52" s="43"/>
      <c r="E52" s="44" t="s">
        <v>102</v>
      </c>
      <c r="F52" s="44" t="s">
        <v>44</v>
      </c>
      <c r="G52" s="42" t="s">
        <v>80</v>
      </c>
      <c r="H52" s="40">
        <v>3910</v>
      </c>
      <c r="I52" s="49">
        <v>522</v>
      </c>
      <c r="J52" s="31"/>
      <c r="K52" s="31"/>
      <c r="L52" s="31"/>
      <c r="M52" s="31"/>
      <c r="N52" s="31"/>
      <c r="O52" s="31"/>
      <c r="P52" s="31"/>
      <c r="Q52" s="31"/>
      <c r="R52" s="31"/>
      <c r="S52" s="31"/>
      <c r="T52" s="31"/>
      <c r="U52" s="31"/>
      <c r="V52" s="31"/>
      <c r="W52" s="31"/>
      <c r="X52" s="31"/>
      <c r="Y52" s="31"/>
      <c r="Z52" s="31"/>
      <c r="AA52" s="31"/>
      <c r="AB52" s="31"/>
      <c r="AC52" s="31"/>
      <c r="AD52" s="31"/>
      <c r="AE52" s="31"/>
      <c r="AF52" s="31"/>
      <c r="AG52" s="31"/>
      <c r="AH52" s="31"/>
      <c r="AI52" s="31"/>
      <c r="AJ52" s="31"/>
      <c r="AK52" s="31"/>
      <c r="AL52" s="28" t="str">
        <f>VLOOKUP($G52,'[42]Sheet1 (2)'!$A$1:$B$1048440,2,FALSE)</f>
        <v>Rmt.</v>
      </c>
      <c r="AM52" s="32"/>
      <c r="AN52" s="31"/>
      <c r="AO52" s="33"/>
    </row>
    <row r="53" spans="1:41" ht="56" x14ac:dyDescent="0.25">
      <c r="A53" s="36">
        <v>48</v>
      </c>
      <c r="B53" s="42" t="s">
        <v>42</v>
      </c>
      <c r="C53" s="37">
        <v>1.49</v>
      </c>
      <c r="D53" s="43"/>
      <c r="E53" s="43" t="s">
        <v>103</v>
      </c>
      <c r="F53" s="44" t="s">
        <v>44</v>
      </c>
      <c r="G53" s="45" t="s">
        <v>45</v>
      </c>
      <c r="H53" s="40">
        <v>5665</v>
      </c>
      <c r="I53" s="48">
        <v>1760</v>
      </c>
      <c r="J53" s="31"/>
      <c r="K53" s="31"/>
      <c r="L53" s="31"/>
      <c r="M53" s="31"/>
      <c r="N53" s="31"/>
      <c r="O53" s="31"/>
      <c r="P53" s="31"/>
      <c r="Q53" s="31"/>
      <c r="R53" s="31"/>
      <c r="S53" s="31"/>
      <c r="T53" s="31"/>
      <c r="U53" s="31"/>
      <c r="V53" s="31"/>
      <c r="W53" s="31"/>
      <c r="X53" s="31"/>
      <c r="Y53" s="31"/>
      <c r="Z53" s="31"/>
      <c r="AA53" s="31"/>
      <c r="AB53" s="31"/>
      <c r="AC53" s="31"/>
      <c r="AD53" s="31"/>
      <c r="AE53" s="31"/>
      <c r="AF53" s="31"/>
      <c r="AG53" s="31"/>
      <c r="AH53" s="31"/>
      <c r="AI53" s="31"/>
      <c r="AJ53" s="31"/>
      <c r="AK53" s="31"/>
      <c r="AL53" s="28" t="str">
        <f>VLOOKUP($G53,'[42]Sheet1 (2)'!$A$1:$B$1048440,2,FALSE)</f>
        <v>No.</v>
      </c>
      <c r="AM53" s="32"/>
      <c r="AN53" s="31"/>
      <c r="AO53" s="33"/>
    </row>
    <row r="54" spans="1:41" ht="56" x14ac:dyDescent="0.25">
      <c r="A54" s="36">
        <v>49</v>
      </c>
      <c r="B54" s="42" t="s">
        <v>42</v>
      </c>
      <c r="C54" s="37">
        <v>1.5</v>
      </c>
      <c r="D54" s="43"/>
      <c r="E54" s="43" t="s">
        <v>104</v>
      </c>
      <c r="F54" s="44" t="s">
        <v>44</v>
      </c>
      <c r="G54" s="45" t="s">
        <v>45</v>
      </c>
      <c r="H54" s="40">
        <v>13882</v>
      </c>
      <c r="I54" s="48">
        <v>7372</v>
      </c>
      <c r="J54" s="31"/>
      <c r="K54" s="31"/>
      <c r="L54" s="31"/>
      <c r="M54" s="31"/>
      <c r="N54" s="31"/>
      <c r="O54" s="31"/>
      <c r="P54" s="31"/>
      <c r="Q54" s="31"/>
      <c r="R54" s="31"/>
      <c r="S54" s="31"/>
      <c r="T54" s="31"/>
      <c r="U54" s="31"/>
      <c r="V54" s="31"/>
      <c r="W54" s="31"/>
      <c r="X54" s="31"/>
      <c r="Y54" s="31"/>
      <c r="Z54" s="31"/>
      <c r="AA54" s="31"/>
      <c r="AB54" s="31"/>
      <c r="AC54" s="31"/>
      <c r="AD54" s="31"/>
      <c r="AE54" s="31"/>
      <c r="AF54" s="31"/>
      <c r="AG54" s="31"/>
      <c r="AH54" s="31"/>
      <c r="AI54" s="31"/>
      <c r="AJ54" s="31"/>
      <c r="AK54" s="31"/>
      <c r="AL54" s="28" t="str">
        <f>VLOOKUP($G54,'[42]Sheet1 (2)'!$A$1:$B$1048440,2,FALSE)</f>
        <v>No.</v>
      </c>
      <c r="AM54" s="32"/>
      <c r="AN54" s="31"/>
      <c r="AO54" s="33"/>
    </row>
    <row r="55" spans="1:41" ht="126" x14ac:dyDescent="0.25">
      <c r="A55" s="36">
        <v>50</v>
      </c>
      <c r="B55" s="42" t="s">
        <v>42</v>
      </c>
      <c r="C55" s="37">
        <v>1.51</v>
      </c>
      <c r="D55" s="43"/>
      <c r="E55" s="43" t="s">
        <v>105</v>
      </c>
      <c r="F55" s="44" t="s">
        <v>44</v>
      </c>
      <c r="G55" s="45" t="s">
        <v>45</v>
      </c>
      <c r="H55" s="40">
        <v>21267</v>
      </c>
      <c r="I55" s="48">
        <v>7372</v>
      </c>
      <c r="J55" s="31"/>
      <c r="K55" s="31"/>
      <c r="L55" s="31"/>
      <c r="M55" s="31"/>
      <c r="N55" s="31"/>
      <c r="O55" s="31"/>
      <c r="P55" s="31"/>
      <c r="Q55" s="31"/>
      <c r="R55" s="31"/>
      <c r="S55" s="31"/>
      <c r="T55" s="31"/>
      <c r="U55" s="31"/>
      <c r="V55" s="31"/>
      <c r="W55" s="31"/>
      <c r="X55" s="31"/>
      <c r="Y55" s="31"/>
      <c r="Z55" s="31"/>
      <c r="AA55" s="31"/>
      <c r="AB55" s="31"/>
      <c r="AC55" s="31"/>
      <c r="AD55" s="31"/>
      <c r="AE55" s="31"/>
      <c r="AF55" s="31"/>
      <c r="AG55" s="31"/>
      <c r="AH55" s="31"/>
      <c r="AI55" s="31"/>
      <c r="AJ55" s="31"/>
      <c r="AK55" s="31"/>
      <c r="AL55" s="28" t="str">
        <f>VLOOKUP($G55,'[42]Sheet1 (2)'!$A$1:$B$1048440,2,FALSE)</f>
        <v>No.</v>
      </c>
      <c r="AM55" s="32"/>
      <c r="AN55" s="31"/>
      <c r="AO55" s="33"/>
    </row>
    <row r="56" spans="1:41" ht="126" x14ac:dyDescent="0.25">
      <c r="A56" s="36">
        <v>51</v>
      </c>
      <c r="B56" s="42" t="s">
        <v>42</v>
      </c>
      <c r="C56" s="37">
        <v>1.52</v>
      </c>
      <c r="D56" s="43"/>
      <c r="E56" s="44" t="s">
        <v>106</v>
      </c>
      <c r="F56" s="44" t="s">
        <v>44</v>
      </c>
      <c r="G56" s="45" t="s">
        <v>45</v>
      </c>
      <c r="H56" s="40">
        <v>21810</v>
      </c>
      <c r="I56" s="48">
        <v>7372</v>
      </c>
      <c r="J56" s="31"/>
      <c r="K56" s="31"/>
      <c r="L56" s="31"/>
      <c r="M56" s="31"/>
      <c r="N56" s="31"/>
      <c r="O56" s="31"/>
      <c r="P56" s="31"/>
      <c r="Q56" s="31"/>
      <c r="R56" s="31"/>
      <c r="S56" s="31"/>
      <c r="T56" s="31"/>
      <c r="U56" s="31"/>
      <c r="V56" s="31"/>
      <c r="W56" s="31"/>
      <c r="X56" s="31"/>
      <c r="Y56" s="31"/>
      <c r="Z56" s="31"/>
      <c r="AA56" s="31"/>
      <c r="AB56" s="31"/>
      <c r="AC56" s="31"/>
      <c r="AD56" s="31"/>
      <c r="AE56" s="31"/>
      <c r="AF56" s="31"/>
      <c r="AG56" s="31"/>
      <c r="AH56" s="31"/>
      <c r="AI56" s="31"/>
      <c r="AJ56" s="31"/>
      <c r="AK56" s="31"/>
      <c r="AL56" s="28" t="str">
        <f>VLOOKUP($G56,'[42]Sheet1 (2)'!$A$1:$B$1048440,2,FALSE)</f>
        <v>No.</v>
      </c>
      <c r="AM56" s="32"/>
      <c r="AN56" s="31"/>
      <c r="AO56" s="33"/>
    </row>
    <row r="57" spans="1:41" ht="112" x14ac:dyDescent="0.25">
      <c r="A57" s="36">
        <v>52</v>
      </c>
      <c r="B57" s="42" t="s">
        <v>42</v>
      </c>
      <c r="C57" s="37">
        <v>1.53</v>
      </c>
      <c r="D57" s="43"/>
      <c r="E57" s="44" t="s">
        <v>107</v>
      </c>
      <c r="F57" s="44" t="s">
        <v>44</v>
      </c>
      <c r="G57" s="45" t="s">
        <v>45</v>
      </c>
      <c r="H57" s="40">
        <v>20033</v>
      </c>
      <c r="I57" s="48">
        <v>11093</v>
      </c>
      <c r="J57" s="31"/>
      <c r="K57" s="31"/>
      <c r="L57" s="31"/>
      <c r="M57" s="31"/>
      <c r="N57" s="31"/>
      <c r="O57" s="31"/>
      <c r="P57" s="31"/>
      <c r="Q57" s="31"/>
      <c r="R57" s="31"/>
      <c r="S57" s="31"/>
      <c r="T57" s="31"/>
      <c r="U57" s="31"/>
      <c r="V57" s="31"/>
      <c r="W57" s="31"/>
      <c r="X57" s="31"/>
      <c r="Y57" s="31"/>
      <c r="Z57" s="31"/>
      <c r="AA57" s="31"/>
      <c r="AB57" s="31"/>
      <c r="AC57" s="31"/>
      <c r="AD57" s="31"/>
      <c r="AE57" s="31"/>
      <c r="AF57" s="31"/>
      <c r="AG57" s="31"/>
      <c r="AH57" s="31"/>
      <c r="AI57" s="31"/>
      <c r="AJ57" s="31"/>
      <c r="AK57" s="31"/>
      <c r="AL57" s="28" t="str">
        <f>VLOOKUP($G57,'[42]Sheet1 (2)'!$A$1:$B$1048440,2,FALSE)</f>
        <v>No.</v>
      </c>
      <c r="AM57" s="32"/>
      <c r="AN57" s="31"/>
      <c r="AO57" s="33"/>
    </row>
    <row r="58" spans="1:41" ht="84" x14ac:dyDescent="0.25">
      <c r="A58" s="36">
        <v>53</v>
      </c>
      <c r="B58" s="42" t="s">
        <v>42</v>
      </c>
      <c r="C58" s="37">
        <v>1.54</v>
      </c>
      <c r="D58" s="43"/>
      <c r="E58" s="43" t="s">
        <v>108</v>
      </c>
      <c r="F58" s="44" t="s">
        <v>44</v>
      </c>
      <c r="G58" s="30" t="s">
        <v>55</v>
      </c>
      <c r="H58" s="40">
        <v>68</v>
      </c>
      <c r="I58" s="40">
        <v>15</v>
      </c>
      <c r="J58" s="31"/>
      <c r="K58" s="31"/>
      <c r="L58" s="31"/>
      <c r="M58" s="31"/>
      <c r="N58" s="31"/>
      <c r="O58" s="31"/>
      <c r="P58" s="31"/>
      <c r="Q58" s="31"/>
      <c r="R58" s="31"/>
      <c r="S58" s="31"/>
      <c r="T58" s="31"/>
      <c r="U58" s="31"/>
      <c r="V58" s="31"/>
      <c r="W58" s="31"/>
      <c r="X58" s="31"/>
      <c r="Y58" s="31"/>
      <c r="Z58" s="31"/>
      <c r="AA58" s="31"/>
      <c r="AB58" s="31"/>
      <c r="AC58" s="31"/>
      <c r="AD58" s="31"/>
      <c r="AE58" s="31"/>
      <c r="AF58" s="31"/>
      <c r="AG58" s="31"/>
      <c r="AH58" s="31"/>
      <c r="AI58" s="31"/>
      <c r="AJ58" s="31"/>
      <c r="AK58" s="31"/>
      <c r="AL58" s="28" t="str">
        <f>VLOOKUP($G58,'[42]Sheet1 (2)'!$A$1:$B$1048440,2,FALSE)</f>
        <v>Km</v>
      </c>
      <c r="AM58" s="32"/>
      <c r="AN58" s="31"/>
      <c r="AO58" s="33"/>
    </row>
    <row r="59" spans="1:41" ht="56" x14ac:dyDescent="0.25">
      <c r="A59" s="36">
        <v>54</v>
      </c>
      <c r="B59" s="47" t="s">
        <v>81</v>
      </c>
      <c r="C59" s="37">
        <v>1.55</v>
      </c>
      <c r="D59" s="46"/>
      <c r="E59" s="43" t="s">
        <v>109</v>
      </c>
      <c r="F59" s="47" t="s">
        <v>86</v>
      </c>
      <c r="G59" s="45" t="s">
        <v>110</v>
      </c>
      <c r="H59" s="40">
        <v>9067</v>
      </c>
      <c r="I59" s="40">
        <v>8411</v>
      </c>
      <c r="J59" s="31"/>
      <c r="K59" s="31"/>
      <c r="L59" s="31"/>
      <c r="M59" s="31"/>
      <c r="N59" s="31"/>
      <c r="O59" s="31"/>
      <c r="P59" s="31"/>
      <c r="Q59" s="31"/>
      <c r="R59" s="31"/>
      <c r="S59" s="31"/>
      <c r="T59" s="31"/>
      <c r="U59" s="31"/>
      <c r="V59" s="31"/>
      <c r="W59" s="31"/>
      <c r="X59" s="31"/>
      <c r="Y59" s="31"/>
      <c r="Z59" s="31"/>
      <c r="AA59" s="31"/>
      <c r="AB59" s="31"/>
      <c r="AC59" s="31"/>
      <c r="AD59" s="31"/>
      <c r="AE59" s="31"/>
      <c r="AF59" s="31"/>
      <c r="AG59" s="31"/>
      <c r="AH59" s="31"/>
      <c r="AI59" s="31"/>
      <c r="AJ59" s="31"/>
      <c r="AK59" s="31"/>
      <c r="AL59" s="28" t="str">
        <f>VLOOKUP($G59,'[42]Sheet1 (2)'!$A$1:$B$1048440,2,FALSE)</f>
        <v>Shift</v>
      </c>
      <c r="AM59" s="32"/>
      <c r="AN59" s="31"/>
      <c r="AO59" s="33"/>
    </row>
    <row r="60" spans="1:41" ht="70" x14ac:dyDescent="0.25">
      <c r="A60" s="36">
        <v>55</v>
      </c>
      <c r="B60" s="42" t="s">
        <v>42</v>
      </c>
      <c r="C60" s="37">
        <v>1.56</v>
      </c>
      <c r="D60" s="43"/>
      <c r="E60" s="43" t="s">
        <v>111</v>
      </c>
      <c r="F60" s="44" t="s">
        <v>44</v>
      </c>
      <c r="G60" s="45" t="s">
        <v>45</v>
      </c>
      <c r="H60" s="40">
        <v>9680</v>
      </c>
      <c r="I60" s="40">
        <v>0</v>
      </c>
      <c r="J60" s="31"/>
      <c r="K60" s="31"/>
      <c r="L60" s="31"/>
      <c r="M60" s="31"/>
      <c r="N60" s="31"/>
      <c r="O60" s="31"/>
      <c r="P60" s="31"/>
      <c r="Q60" s="31"/>
      <c r="R60" s="31"/>
      <c r="S60" s="31"/>
      <c r="T60" s="31"/>
      <c r="U60" s="31"/>
      <c r="V60" s="31"/>
      <c r="W60" s="31"/>
      <c r="X60" s="31"/>
      <c r="Y60" s="31"/>
      <c r="Z60" s="31"/>
      <c r="AA60" s="31"/>
      <c r="AB60" s="31"/>
      <c r="AC60" s="31"/>
      <c r="AD60" s="31"/>
      <c r="AE60" s="31"/>
      <c r="AF60" s="31"/>
      <c r="AG60" s="31"/>
      <c r="AH60" s="31"/>
      <c r="AI60" s="31"/>
      <c r="AJ60" s="31"/>
      <c r="AK60" s="31"/>
      <c r="AL60" s="28" t="str">
        <f>VLOOKUP($G60,'[42]Sheet1 (2)'!$A$1:$B$1048440,2,FALSE)</f>
        <v>No.</v>
      </c>
      <c r="AM60" s="32"/>
      <c r="AN60" s="31"/>
      <c r="AO60" s="33"/>
    </row>
    <row r="61" spans="1:41" ht="98" x14ac:dyDescent="0.25">
      <c r="A61" s="36">
        <v>56</v>
      </c>
      <c r="B61" s="42" t="s">
        <v>42</v>
      </c>
      <c r="C61" s="37">
        <v>1.57</v>
      </c>
      <c r="D61" s="43"/>
      <c r="E61" s="43" t="s">
        <v>112</v>
      </c>
      <c r="F61" s="44" t="s">
        <v>44</v>
      </c>
      <c r="G61" s="45" t="s">
        <v>113</v>
      </c>
      <c r="H61" s="40">
        <v>38720</v>
      </c>
      <c r="I61" s="40">
        <v>0</v>
      </c>
      <c r="J61" s="31"/>
      <c r="K61" s="31"/>
      <c r="L61" s="31"/>
      <c r="M61" s="31"/>
      <c r="N61" s="31"/>
      <c r="O61" s="31"/>
      <c r="P61" s="31"/>
      <c r="Q61" s="31"/>
      <c r="R61" s="31"/>
      <c r="S61" s="31"/>
      <c r="T61" s="31"/>
      <c r="U61" s="31"/>
      <c r="V61" s="31"/>
      <c r="W61" s="31"/>
      <c r="X61" s="31"/>
      <c r="Y61" s="31"/>
      <c r="Z61" s="31"/>
      <c r="AA61" s="31"/>
      <c r="AB61" s="31"/>
      <c r="AC61" s="31"/>
      <c r="AD61" s="31"/>
      <c r="AE61" s="31"/>
      <c r="AF61" s="31"/>
      <c r="AG61" s="31"/>
      <c r="AH61" s="31"/>
      <c r="AI61" s="31"/>
      <c r="AJ61" s="31"/>
      <c r="AK61" s="31"/>
      <c r="AL61" s="28" t="e">
        <f>VLOOKUP($G61,'[42]Sheet1 (2)'!$A$1:$B$1048440,2,FALSE)</f>
        <v>#N/A</v>
      </c>
      <c r="AM61" s="32"/>
      <c r="AN61" s="31"/>
      <c r="AO61" s="33"/>
    </row>
    <row r="62" spans="1:41" ht="238" x14ac:dyDescent="0.25">
      <c r="A62" s="36">
        <v>57</v>
      </c>
      <c r="B62" s="42" t="s">
        <v>42</v>
      </c>
      <c r="C62" s="37">
        <v>1.58</v>
      </c>
      <c r="D62" s="43"/>
      <c r="E62" s="44" t="s">
        <v>114</v>
      </c>
      <c r="F62" s="44" t="s">
        <v>44</v>
      </c>
      <c r="G62" s="30" t="s">
        <v>55</v>
      </c>
      <c r="H62" s="40">
        <v>42184</v>
      </c>
      <c r="I62" s="40">
        <v>15312</v>
      </c>
      <c r="J62" s="31"/>
      <c r="K62" s="31"/>
      <c r="L62" s="31"/>
      <c r="M62" s="31"/>
      <c r="N62" s="31"/>
      <c r="O62" s="31"/>
      <c r="P62" s="31"/>
      <c r="Q62" s="31"/>
      <c r="R62" s="31"/>
      <c r="S62" s="31"/>
      <c r="T62" s="31"/>
      <c r="U62" s="31"/>
      <c r="V62" s="31"/>
      <c r="W62" s="31"/>
      <c r="X62" s="31"/>
      <c r="Y62" s="31"/>
      <c r="Z62" s="31"/>
      <c r="AA62" s="31"/>
      <c r="AB62" s="31"/>
      <c r="AC62" s="31"/>
      <c r="AD62" s="31"/>
      <c r="AE62" s="31"/>
      <c r="AF62" s="31"/>
      <c r="AG62" s="31"/>
      <c r="AH62" s="31"/>
      <c r="AI62" s="31"/>
      <c r="AJ62" s="31"/>
      <c r="AK62" s="31"/>
      <c r="AL62" s="28" t="str">
        <f>VLOOKUP($G62,'[42]Sheet1 (2)'!$A$1:$B$1048440,2,FALSE)</f>
        <v>Km</v>
      </c>
      <c r="AM62" s="32"/>
      <c r="AN62" s="31"/>
      <c r="AO62" s="33"/>
    </row>
    <row r="63" spans="1:41" ht="98" x14ac:dyDescent="0.25">
      <c r="A63" s="36">
        <v>58</v>
      </c>
      <c r="B63" s="42" t="s">
        <v>42</v>
      </c>
      <c r="C63" s="37">
        <v>1.59</v>
      </c>
      <c r="D63" s="43"/>
      <c r="E63" s="44" t="s">
        <v>115</v>
      </c>
      <c r="F63" s="44" t="s">
        <v>44</v>
      </c>
      <c r="G63" s="30" t="s">
        <v>55</v>
      </c>
      <c r="H63" s="40">
        <v>12738</v>
      </c>
      <c r="I63" s="40">
        <v>4461</v>
      </c>
      <c r="J63" s="31"/>
      <c r="K63" s="31"/>
      <c r="L63" s="31"/>
      <c r="M63" s="31"/>
      <c r="N63" s="31"/>
      <c r="O63" s="31"/>
      <c r="P63" s="31"/>
      <c r="Q63" s="31"/>
      <c r="R63" s="31"/>
      <c r="S63" s="31"/>
      <c r="T63" s="31"/>
      <c r="U63" s="31"/>
      <c r="V63" s="31"/>
      <c r="W63" s="31"/>
      <c r="X63" s="31"/>
      <c r="Y63" s="31"/>
      <c r="Z63" s="31"/>
      <c r="AA63" s="31"/>
      <c r="AB63" s="31"/>
      <c r="AC63" s="31"/>
      <c r="AD63" s="31"/>
      <c r="AE63" s="31"/>
      <c r="AF63" s="31"/>
      <c r="AG63" s="31"/>
      <c r="AH63" s="31"/>
      <c r="AI63" s="31"/>
      <c r="AJ63" s="31"/>
      <c r="AK63" s="31"/>
      <c r="AL63" s="28" t="str">
        <f>VLOOKUP($G63,'[42]Sheet1 (2)'!$A$1:$B$1048440,2,FALSE)</f>
        <v>Km</v>
      </c>
      <c r="AM63" s="32"/>
      <c r="AN63" s="31"/>
      <c r="AO63" s="33"/>
    </row>
    <row r="64" spans="1:41" ht="84" x14ac:dyDescent="0.25">
      <c r="A64" s="36">
        <v>59</v>
      </c>
      <c r="B64" s="42" t="s">
        <v>42</v>
      </c>
      <c r="C64" s="37">
        <v>1.6</v>
      </c>
      <c r="D64" s="43"/>
      <c r="E64" s="44" t="s">
        <v>116</v>
      </c>
      <c r="F64" s="44" t="s">
        <v>44</v>
      </c>
      <c r="G64" s="30" t="s">
        <v>55</v>
      </c>
      <c r="H64" s="40">
        <v>13115</v>
      </c>
      <c r="I64" s="40">
        <v>7111</v>
      </c>
      <c r="J64" s="31"/>
      <c r="K64" s="31"/>
      <c r="L64" s="31"/>
      <c r="M64" s="31"/>
      <c r="N64" s="31"/>
      <c r="O64" s="31"/>
      <c r="P64" s="31"/>
      <c r="Q64" s="31"/>
      <c r="R64" s="31"/>
      <c r="S64" s="31"/>
      <c r="T64" s="31"/>
      <c r="U64" s="31"/>
      <c r="V64" s="31"/>
      <c r="W64" s="31"/>
      <c r="X64" s="31"/>
      <c r="Y64" s="31"/>
      <c r="Z64" s="31"/>
      <c r="AA64" s="31"/>
      <c r="AB64" s="31"/>
      <c r="AC64" s="31"/>
      <c r="AD64" s="31"/>
      <c r="AE64" s="31"/>
      <c r="AF64" s="31"/>
      <c r="AG64" s="31"/>
      <c r="AH64" s="31"/>
      <c r="AI64" s="31"/>
      <c r="AJ64" s="31"/>
      <c r="AK64" s="31"/>
      <c r="AL64" s="28" t="str">
        <f>VLOOKUP($G64,'[42]Sheet1 (2)'!$A$1:$B$1048440,2,FALSE)</f>
        <v>Km</v>
      </c>
      <c r="AM64" s="32"/>
      <c r="AN64" s="31"/>
      <c r="AO64" s="33"/>
    </row>
    <row r="65" spans="1:41" ht="98" x14ac:dyDescent="0.25">
      <c r="A65" s="36">
        <v>60</v>
      </c>
      <c r="B65" s="42" t="s">
        <v>42</v>
      </c>
      <c r="C65" s="37">
        <v>1.61</v>
      </c>
      <c r="D65" s="43"/>
      <c r="E65" s="43" t="s">
        <v>117</v>
      </c>
      <c r="F65" s="44" t="s">
        <v>44</v>
      </c>
      <c r="G65" s="30" t="s">
        <v>55</v>
      </c>
      <c r="H65" s="40">
        <v>11201</v>
      </c>
      <c r="I65" s="40">
        <v>8364</v>
      </c>
      <c r="J65" s="31"/>
      <c r="K65" s="31"/>
      <c r="L65" s="31"/>
      <c r="M65" s="31"/>
      <c r="N65" s="31"/>
      <c r="O65" s="31"/>
      <c r="P65" s="31"/>
      <c r="Q65" s="31"/>
      <c r="R65" s="31"/>
      <c r="S65" s="31"/>
      <c r="T65" s="31"/>
      <c r="U65" s="31"/>
      <c r="V65" s="31"/>
      <c r="W65" s="31"/>
      <c r="X65" s="31"/>
      <c r="Y65" s="31"/>
      <c r="Z65" s="31"/>
      <c r="AA65" s="31"/>
      <c r="AB65" s="31"/>
      <c r="AC65" s="31"/>
      <c r="AD65" s="31"/>
      <c r="AE65" s="31"/>
      <c r="AF65" s="31"/>
      <c r="AG65" s="31"/>
      <c r="AH65" s="31"/>
      <c r="AI65" s="31"/>
      <c r="AJ65" s="31"/>
      <c r="AK65" s="31"/>
      <c r="AL65" s="28" t="str">
        <f>VLOOKUP($G65,'[42]Sheet1 (2)'!$A$1:$B$1048440,2,FALSE)</f>
        <v>Km</v>
      </c>
      <c r="AM65" s="32"/>
      <c r="AN65" s="31"/>
      <c r="AO65" s="33"/>
    </row>
    <row r="66" spans="1:41" ht="84" x14ac:dyDescent="0.25">
      <c r="A66" s="36">
        <v>61</v>
      </c>
      <c r="B66" s="42" t="s">
        <v>42</v>
      </c>
      <c r="C66" s="37">
        <v>1.62</v>
      </c>
      <c r="D66" s="43"/>
      <c r="E66" s="43" t="s">
        <v>118</v>
      </c>
      <c r="F66" s="44" t="s">
        <v>44</v>
      </c>
      <c r="G66" s="30" t="s">
        <v>55</v>
      </c>
      <c r="H66" s="40">
        <v>9982</v>
      </c>
      <c r="I66" s="40">
        <v>7145</v>
      </c>
      <c r="J66" s="31"/>
      <c r="K66" s="31"/>
      <c r="L66" s="31"/>
      <c r="M66" s="31"/>
      <c r="N66" s="31"/>
      <c r="O66" s="31"/>
      <c r="P66" s="31"/>
      <c r="Q66" s="31"/>
      <c r="R66" s="31"/>
      <c r="S66" s="31"/>
      <c r="T66" s="31"/>
      <c r="U66" s="31"/>
      <c r="V66" s="31"/>
      <c r="W66" s="31"/>
      <c r="X66" s="31"/>
      <c r="Y66" s="31"/>
      <c r="Z66" s="31"/>
      <c r="AA66" s="31"/>
      <c r="AB66" s="31"/>
      <c r="AC66" s="31"/>
      <c r="AD66" s="31"/>
      <c r="AE66" s="31"/>
      <c r="AF66" s="31"/>
      <c r="AG66" s="31"/>
      <c r="AH66" s="31"/>
      <c r="AI66" s="31"/>
      <c r="AJ66" s="31"/>
      <c r="AK66" s="31"/>
      <c r="AL66" s="28" t="str">
        <f>VLOOKUP($G66,'[42]Sheet1 (2)'!$A$1:$B$1048440,2,FALSE)</f>
        <v>Km</v>
      </c>
      <c r="AM66" s="32"/>
      <c r="AN66" s="31"/>
      <c r="AO66" s="33"/>
    </row>
    <row r="67" spans="1:41" ht="84" x14ac:dyDescent="0.25">
      <c r="A67" s="36">
        <v>62</v>
      </c>
      <c r="B67" s="42" t="s">
        <v>42</v>
      </c>
      <c r="C67" s="37">
        <v>1.63</v>
      </c>
      <c r="D67" s="43"/>
      <c r="E67" s="43" t="s">
        <v>119</v>
      </c>
      <c r="F67" s="44" t="s">
        <v>44</v>
      </c>
      <c r="G67" s="45" t="s">
        <v>45</v>
      </c>
      <c r="H67" s="40">
        <v>10047</v>
      </c>
      <c r="I67" s="40">
        <v>7366</v>
      </c>
      <c r="J67" s="31"/>
      <c r="K67" s="31"/>
      <c r="L67" s="31"/>
      <c r="M67" s="31"/>
      <c r="N67" s="31"/>
      <c r="O67" s="31"/>
      <c r="P67" s="31"/>
      <c r="Q67" s="31"/>
      <c r="R67" s="31"/>
      <c r="S67" s="31"/>
      <c r="T67" s="31"/>
      <c r="U67" s="31"/>
      <c r="V67" s="31"/>
      <c r="W67" s="31"/>
      <c r="X67" s="31"/>
      <c r="Y67" s="31"/>
      <c r="Z67" s="31"/>
      <c r="AA67" s="31"/>
      <c r="AB67" s="31"/>
      <c r="AC67" s="31"/>
      <c r="AD67" s="31"/>
      <c r="AE67" s="31"/>
      <c r="AF67" s="31"/>
      <c r="AG67" s="31"/>
      <c r="AH67" s="31"/>
      <c r="AI67" s="31"/>
      <c r="AJ67" s="31"/>
      <c r="AK67" s="31"/>
      <c r="AL67" s="28" t="str">
        <f>VLOOKUP($G67,'[42]Sheet1 (2)'!$A$1:$B$1048440,2,FALSE)</f>
        <v>No.</v>
      </c>
      <c r="AM67" s="32"/>
      <c r="AN67" s="31"/>
      <c r="AO67" s="33"/>
    </row>
    <row r="68" spans="1:41" ht="56" x14ac:dyDescent="0.25">
      <c r="A68" s="36">
        <v>63</v>
      </c>
      <c r="B68" s="42" t="s">
        <v>42</v>
      </c>
      <c r="C68" s="37">
        <v>1.64</v>
      </c>
      <c r="D68" s="43"/>
      <c r="E68" s="44" t="s">
        <v>120</v>
      </c>
      <c r="F68" s="44" t="s">
        <v>44</v>
      </c>
      <c r="G68" s="45" t="s">
        <v>45</v>
      </c>
      <c r="H68" s="40">
        <v>29951</v>
      </c>
      <c r="I68" s="40">
        <v>20102</v>
      </c>
      <c r="J68" s="31"/>
      <c r="K68" s="31"/>
      <c r="L68" s="31"/>
      <c r="M68" s="31"/>
      <c r="N68" s="31"/>
      <c r="O68" s="31"/>
      <c r="P68" s="31"/>
      <c r="Q68" s="31"/>
      <c r="R68" s="31"/>
      <c r="S68" s="31"/>
      <c r="T68" s="31"/>
      <c r="U68" s="31"/>
      <c r="V68" s="31"/>
      <c r="W68" s="31"/>
      <c r="X68" s="31"/>
      <c r="Y68" s="31"/>
      <c r="Z68" s="31"/>
      <c r="AA68" s="31"/>
      <c r="AB68" s="31"/>
      <c r="AC68" s="31"/>
      <c r="AD68" s="31"/>
      <c r="AE68" s="31"/>
      <c r="AF68" s="31"/>
      <c r="AG68" s="31"/>
      <c r="AH68" s="31"/>
      <c r="AI68" s="31"/>
      <c r="AJ68" s="31"/>
      <c r="AK68" s="31"/>
      <c r="AL68" s="28" t="str">
        <f>VLOOKUP($G68,'[42]Sheet1 (2)'!$A$1:$B$1048440,2,FALSE)</f>
        <v>No.</v>
      </c>
      <c r="AM68" s="32"/>
      <c r="AN68" s="31"/>
      <c r="AO68" s="33"/>
    </row>
    <row r="69" spans="1:41" ht="56" x14ac:dyDescent="0.25">
      <c r="A69" s="36">
        <v>64</v>
      </c>
      <c r="B69" s="42" t="s">
        <v>42</v>
      </c>
      <c r="C69" s="37">
        <v>1.65</v>
      </c>
      <c r="D69" s="43"/>
      <c r="E69" s="44" t="s">
        <v>121</v>
      </c>
      <c r="F69" s="44" t="s">
        <v>44</v>
      </c>
      <c r="G69" s="45" t="s">
        <v>45</v>
      </c>
      <c r="H69" s="40">
        <v>16939</v>
      </c>
      <c r="I69" s="40">
        <v>9767</v>
      </c>
      <c r="J69" s="31"/>
      <c r="K69" s="31"/>
      <c r="L69" s="31"/>
      <c r="M69" s="31"/>
      <c r="N69" s="31"/>
      <c r="O69" s="31"/>
      <c r="P69" s="31"/>
      <c r="Q69" s="31"/>
      <c r="R69" s="31"/>
      <c r="S69" s="31"/>
      <c r="T69" s="31"/>
      <c r="U69" s="31"/>
      <c r="V69" s="31"/>
      <c r="W69" s="31"/>
      <c r="X69" s="31"/>
      <c r="Y69" s="31"/>
      <c r="Z69" s="31"/>
      <c r="AA69" s="31"/>
      <c r="AB69" s="31"/>
      <c r="AC69" s="31"/>
      <c r="AD69" s="31"/>
      <c r="AE69" s="31"/>
      <c r="AF69" s="31"/>
      <c r="AG69" s="31"/>
      <c r="AH69" s="31"/>
      <c r="AI69" s="31"/>
      <c r="AJ69" s="31"/>
      <c r="AK69" s="31"/>
      <c r="AL69" s="28" t="str">
        <f>VLOOKUP($G69,'[42]Sheet1 (2)'!$A$1:$B$1048440,2,FALSE)</f>
        <v>No.</v>
      </c>
      <c r="AM69" s="32"/>
      <c r="AN69" s="31"/>
      <c r="AO69" s="33"/>
    </row>
    <row r="70" spans="1:41" ht="84" x14ac:dyDescent="0.25">
      <c r="A70" s="36">
        <v>65</v>
      </c>
      <c r="B70" s="42" t="s">
        <v>42</v>
      </c>
      <c r="C70" s="37">
        <v>1.66</v>
      </c>
      <c r="D70" s="43"/>
      <c r="E70" s="44" t="s">
        <v>122</v>
      </c>
      <c r="F70" s="44" t="s">
        <v>44</v>
      </c>
      <c r="G70" s="42" t="s">
        <v>80</v>
      </c>
      <c r="H70" s="40">
        <v>881</v>
      </c>
      <c r="I70" s="40">
        <v>151</v>
      </c>
      <c r="J70" s="31"/>
      <c r="K70" s="31"/>
      <c r="L70" s="31"/>
      <c r="M70" s="31"/>
      <c r="N70" s="31"/>
      <c r="O70" s="31"/>
      <c r="P70" s="31"/>
      <c r="Q70" s="31"/>
      <c r="R70" s="31"/>
      <c r="S70" s="31"/>
      <c r="T70" s="31"/>
      <c r="U70" s="31"/>
      <c r="V70" s="31"/>
      <c r="W70" s="31"/>
      <c r="X70" s="31"/>
      <c r="Y70" s="31"/>
      <c r="Z70" s="31"/>
      <c r="AA70" s="31"/>
      <c r="AB70" s="31"/>
      <c r="AC70" s="31"/>
      <c r="AD70" s="31"/>
      <c r="AE70" s="31"/>
      <c r="AF70" s="31"/>
      <c r="AG70" s="31"/>
      <c r="AH70" s="31"/>
      <c r="AI70" s="31"/>
      <c r="AJ70" s="31"/>
      <c r="AK70" s="31"/>
      <c r="AL70" s="28" t="str">
        <f>VLOOKUP($G70,'[42]Sheet1 (2)'!$A$1:$B$1048440,2,FALSE)</f>
        <v>Rmt.</v>
      </c>
      <c r="AM70" s="32"/>
      <c r="AN70" s="31"/>
      <c r="AO70" s="33"/>
    </row>
    <row r="71" spans="1:41" ht="140" x14ac:dyDescent="0.25">
      <c r="A71" s="36">
        <v>66</v>
      </c>
      <c r="B71" s="42" t="s">
        <v>42</v>
      </c>
      <c r="C71" s="37">
        <v>1.67</v>
      </c>
      <c r="D71" s="43"/>
      <c r="E71" s="44" t="s">
        <v>123</v>
      </c>
      <c r="F71" s="44" t="s">
        <v>44</v>
      </c>
      <c r="G71" s="45" t="s">
        <v>45</v>
      </c>
      <c r="H71" s="40">
        <v>293450</v>
      </c>
      <c r="I71" s="40">
        <v>217946</v>
      </c>
      <c r="J71" s="31"/>
      <c r="K71" s="31"/>
      <c r="L71" s="31"/>
      <c r="M71" s="31"/>
      <c r="N71" s="31"/>
      <c r="O71" s="31"/>
      <c r="P71" s="31"/>
      <c r="Q71" s="31"/>
      <c r="R71" s="31"/>
      <c r="S71" s="31"/>
      <c r="T71" s="31"/>
      <c r="U71" s="31"/>
      <c r="V71" s="31"/>
      <c r="W71" s="31"/>
      <c r="X71" s="31"/>
      <c r="Y71" s="31"/>
      <c r="Z71" s="31"/>
      <c r="AA71" s="31"/>
      <c r="AB71" s="31"/>
      <c r="AC71" s="31"/>
      <c r="AD71" s="31"/>
      <c r="AE71" s="31"/>
      <c r="AF71" s="31"/>
      <c r="AG71" s="31"/>
      <c r="AH71" s="31"/>
      <c r="AI71" s="31"/>
      <c r="AJ71" s="31"/>
      <c r="AK71" s="31"/>
      <c r="AL71" s="28" t="str">
        <f>VLOOKUP($G71,'[42]Sheet1 (2)'!$A$1:$B$1048440,2,FALSE)</f>
        <v>No.</v>
      </c>
      <c r="AM71" s="32"/>
      <c r="AN71" s="31"/>
      <c r="AO71" s="33"/>
    </row>
    <row r="72" spans="1:41" ht="42" x14ac:dyDescent="0.25">
      <c r="A72" s="36">
        <v>67</v>
      </c>
      <c r="B72" s="42" t="s">
        <v>42</v>
      </c>
      <c r="C72" s="37">
        <v>1.68</v>
      </c>
      <c r="D72" s="46"/>
      <c r="E72" s="44" t="s">
        <v>124</v>
      </c>
      <c r="F72" s="44" t="s">
        <v>44</v>
      </c>
      <c r="G72" s="45" t="s">
        <v>45</v>
      </c>
      <c r="H72" s="40">
        <v>9895</v>
      </c>
      <c r="I72" s="40">
        <v>9169</v>
      </c>
      <c r="J72" s="31"/>
      <c r="K72" s="31"/>
      <c r="L72" s="31"/>
      <c r="M72" s="31"/>
      <c r="N72" s="31"/>
      <c r="O72" s="31"/>
      <c r="P72" s="31"/>
      <c r="Q72" s="31"/>
      <c r="R72" s="31"/>
      <c r="S72" s="31"/>
      <c r="T72" s="31"/>
      <c r="U72" s="31"/>
      <c r="V72" s="31"/>
      <c r="W72" s="31"/>
      <c r="X72" s="31"/>
      <c r="Y72" s="31"/>
      <c r="Z72" s="31"/>
      <c r="AA72" s="31"/>
      <c r="AB72" s="31"/>
      <c r="AC72" s="31"/>
      <c r="AD72" s="31"/>
      <c r="AE72" s="31"/>
      <c r="AF72" s="31"/>
      <c r="AG72" s="31"/>
      <c r="AH72" s="31"/>
      <c r="AI72" s="31"/>
      <c r="AJ72" s="31"/>
      <c r="AK72" s="31"/>
      <c r="AL72" s="28" t="str">
        <f>VLOOKUP($G72,'[42]Sheet1 (2)'!$A$1:$B$1048440,2,FALSE)</f>
        <v>No.</v>
      </c>
      <c r="AM72" s="32"/>
      <c r="AN72" s="31"/>
      <c r="AO72" s="33"/>
    </row>
    <row r="73" spans="1:41" ht="42" x14ac:dyDescent="0.25">
      <c r="A73" s="36">
        <v>68</v>
      </c>
      <c r="B73" s="42" t="s">
        <v>42</v>
      </c>
      <c r="C73" s="37">
        <v>1.69</v>
      </c>
      <c r="D73" s="46"/>
      <c r="E73" s="44" t="s">
        <v>125</v>
      </c>
      <c r="F73" s="44" t="s">
        <v>44</v>
      </c>
      <c r="G73" s="45" t="s">
        <v>45</v>
      </c>
      <c r="H73" s="40">
        <v>6097</v>
      </c>
      <c r="I73" s="40">
        <v>5613</v>
      </c>
      <c r="J73" s="31"/>
      <c r="K73" s="31"/>
      <c r="L73" s="31"/>
      <c r="M73" s="31"/>
      <c r="N73" s="31"/>
      <c r="O73" s="31"/>
      <c r="P73" s="31"/>
      <c r="Q73" s="31"/>
      <c r="R73" s="31"/>
      <c r="S73" s="31"/>
      <c r="T73" s="31"/>
      <c r="U73" s="31"/>
      <c r="V73" s="31"/>
      <c r="W73" s="31"/>
      <c r="X73" s="31"/>
      <c r="Y73" s="31"/>
      <c r="Z73" s="31"/>
      <c r="AA73" s="31"/>
      <c r="AB73" s="31"/>
      <c r="AC73" s="31"/>
      <c r="AD73" s="31"/>
      <c r="AE73" s="31"/>
      <c r="AF73" s="31"/>
      <c r="AG73" s="31"/>
      <c r="AH73" s="31"/>
      <c r="AI73" s="31"/>
      <c r="AJ73" s="31"/>
      <c r="AK73" s="31"/>
      <c r="AL73" s="28" t="str">
        <f>VLOOKUP($G73,'[42]Sheet1 (2)'!$A$1:$B$1048440,2,FALSE)</f>
        <v>No.</v>
      </c>
      <c r="AM73" s="32"/>
      <c r="AN73" s="31"/>
      <c r="AO73" s="33"/>
    </row>
    <row r="74" spans="1:41" ht="20" x14ac:dyDescent="0.25">
      <c r="A74" s="50">
        <v>69</v>
      </c>
      <c r="B74" s="51" t="s">
        <v>126</v>
      </c>
      <c r="C74" s="52">
        <v>1.7</v>
      </c>
      <c r="D74" s="53"/>
      <c r="E74" s="54" t="s">
        <v>127</v>
      </c>
      <c r="F74" s="54" t="s">
        <v>128</v>
      </c>
      <c r="G74" s="55" t="s">
        <v>129</v>
      </c>
      <c r="H74" s="56">
        <v>4668</v>
      </c>
      <c r="I74" s="56">
        <v>4305</v>
      </c>
      <c r="J74" s="31"/>
      <c r="K74" s="31"/>
      <c r="L74" s="31"/>
      <c r="M74" s="31"/>
      <c r="N74" s="31"/>
      <c r="O74" s="31"/>
      <c r="P74" s="31"/>
      <c r="Q74" s="31"/>
      <c r="R74" s="31"/>
      <c r="S74" s="31"/>
      <c r="T74" s="31"/>
      <c r="U74" s="31"/>
      <c r="V74" s="31"/>
      <c r="W74" s="31"/>
      <c r="X74" s="31"/>
      <c r="Y74" s="31"/>
      <c r="Z74" s="31"/>
      <c r="AA74" s="31"/>
      <c r="AB74" s="31"/>
      <c r="AC74" s="31"/>
      <c r="AD74" s="31"/>
      <c r="AE74" s="31"/>
      <c r="AF74" s="31"/>
      <c r="AG74" s="31"/>
      <c r="AH74" s="31"/>
      <c r="AI74" s="31"/>
      <c r="AJ74" s="31"/>
      <c r="AK74" s="31"/>
      <c r="AL74" s="28" t="str">
        <f>VLOOKUP($G74,'[42]Sheet1 (2)'!$A$1:$B$1048440,2,FALSE)</f>
        <v>No.</v>
      </c>
      <c r="AM74" s="32"/>
      <c r="AN74" s="31"/>
      <c r="AO74" s="33"/>
    </row>
    <row r="75" spans="1:41" ht="20" x14ac:dyDescent="0.25">
      <c r="A75" s="50">
        <v>70</v>
      </c>
      <c r="B75" s="51" t="s">
        <v>126</v>
      </c>
      <c r="C75" s="52">
        <v>1.71</v>
      </c>
      <c r="D75" s="53"/>
      <c r="E75" s="54" t="s">
        <v>130</v>
      </c>
      <c r="F75" s="54" t="s">
        <v>128</v>
      </c>
      <c r="G75" s="55" t="s">
        <v>129</v>
      </c>
      <c r="H75" s="56">
        <v>146</v>
      </c>
      <c r="I75" s="56">
        <v>0</v>
      </c>
      <c r="J75" s="31"/>
      <c r="K75" s="31"/>
      <c r="L75" s="31"/>
      <c r="M75" s="31"/>
      <c r="N75" s="31"/>
      <c r="O75" s="31"/>
      <c r="P75" s="31"/>
      <c r="Q75" s="31"/>
      <c r="R75" s="31"/>
      <c r="S75" s="31"/>
      <c r="T75" s="31"/>
      <c r="U75" s="31"/>
      <c r="V75" s="31"/>
      <c r="W75" s="31"/>
      <c r="X75" s="31"/>
      <c r="Y75" s="31"/>
      <c r="Z75" s="31"/>
      <c r="AA75" s="31"/>
      <c r="AB75" s="31"/>
      <c r="AC75" s="31"/>
      <c r="AD75" s="31"/>
      <c r="AE75" s="31"/>
      <c r="AF75" s="31"/>
      <c r="AG75" s="31"/>
      <c r="AH75" s="31"/>
      <c r="AI75" s="31"/>
      <c r="AJ75" s="31"/>
      <c r="AK75" s="31"/>
      <c r="AL75" s="28" t="str">
        <f>VLOOKUP($G75,'[42]Sheet1 (2)'!$A$1:$B$1048440,2,FALSE)</f>
        <v>No.</v>
      </c>
      <c r="AM75" s="32"/>
      <c r="AN75" s="31"/>
      <c r="AO75" s="33"/>
    </row>
    <row r="76" spans="1:41" ht="20" x14ac:dyDescent="0.25">
      <c r="A76" s="50">
        <v>71</v>
      </c>
      <c r="B76" s="51" t="s">
        <v>126</v>
      </c>
      <c r="C76" s="52">
        <v>1.72</v>
      </c>
      <c r="D76" s="53"/>
      <c r="E76" s="54" t="s">
        <v>131</v>
      </c>
      <c r="F76" s="54" t="s">
        <v>128</v>
      </c>
      <c r="G76" s="55" t="s">
        <v>129</v>
      </c>
      <c r="H76" s="56">
        <v>97</v>
      </c>
      <c r="I76" s="56">
        <v>0</v>
      </c>
      <c r="J76" s="31"/>
      <c r="K76" s="31"/>
      <c r="L76" s="31"/>
      <c r="M76" s="31"/>
      <c r="N76" s="31"/>
      <c r="O76" s="31"/>
      <c r="P76" s="31"/>
      <c r="Q76" s="31"/>
      <c r="R76" s="31"/>
      <c r="S76" s="31"/>
      <c r="T76" s="31"/>
      <c r="U76" s="31"/>
      <c r="V76" s="31"/>
      <c r="W76" s="31"/>
      <c r="X76" s="31"/>
      <c r="Y76" s="31"/>
      <c r="Z76" s="31"/>
      <c r="AA76" s="31"/>
      <c r="AB76" s="31"/>
      <c r="AC76" s="31"/>
      <c r="AD76" s="31"/>
      <c r="AE76" s="31"/>
      <c r="AF76" s="31"/>
      <c r="AG76" s="31"/>
      <c r="AH76" s="31"/>
      <c r="AI76" s="31"/>
      <c r="AJ76" s="31"/>
      <c r="AK76" s="31"/>
      <c r="AL76" s="28" t="str">
        <f>VLOOKUP($G76,'[42]Sheet1 (2)'!$A$1:$B$1048440,2,FALSE)</f>
        <v>No.</v>
      </c>
      <c r="AM76" s="32"/>
      <c r="AN76" s="31"/>
      <c r="AO76" s="33"/>
    </row>
    <row r="77" spans="1:41" ht="20" x14ac:dyDescent="0.25">
      <c r="A77" s="50">
        <v>72</v>
      </c>
      <c r="B77" s="51" t="s">
        <v>126</v>
      </c>
      <c r="C77" s="52">
        <v>1.73</v>
      </c>
      <c r="D77" s="53"/>
      <c r="E77" s="54" t="s">
        <v>132</v>
      </c>
      <c r="F77" s="54" t="s">
        <v>128</v>
      </c>
      <c r="G77" s="55" t="s">
        <v>129</v>
      </c>
      <c r="H77" s="56">
        <v>73</v>
      </c>
      <c r="I77" s="56">
        <v>0</v>
      </c>
      <c r="J77" s="31"/>
      <c r="K77" s="31"/>
      <c r="L77" s="31"/>
      <c r="M77" s="31"/>
      <c r="N77" s="31"/>
      <c r="O77" s="31"/>
      <c r="P77" s="31"/>
      <c r="Q77" s="31"/>
      <c r="R77" s="31"/>
      <c r="S77" s="31"/>
      <c r="T77" s="31"/>
      <c r="U77" s="31"/>
      <c r="V77" s="31"/>
      <c r="W77" s="31"/>
      <c r="X77" s="31"/>
      <c r="Y77" s="31"/>
      <c r="Z77" s="31"/>
      <c r="AA77" s="31"/>
      <c r="AB77" s="31"/>
      <c r="AC77" s="31"/>
      <c r="AD77" s="31"/>
      <c r="AE77" s="31"/>
      <c r="AF77" s="31"/>
      <c r="AG77" s="31"/>
      <c r="AH77" s="31"/>
      <c r="AI77" s="31"/>
      <c r="AJ77" s="31"/>
      <c r="AK77" s="31"/>
      <c r="AL77" s="28" t="str">
        <f>VLOOKUP($G77,'[42]Sheet1 (2)'!$A$1:$B$1048440,2,FALSE)</f>
        <v>No.</v>
      </c>
      <c r="AM77" s="32"/>
      <c r="AN77" s="31"/>
      <c r="AO77" s="33"/>
    </row>
    <row r="78" spans="1:41" ht="20" x14ac:dyDescent="0.25">
      <c r="A78" s="50">
        <v>73</v>
      </c>
      <c r="B78" s="51" t="s">
        <v>126</v>
      </c>
      <c r="C78" s="52">
        <v>1.74</v>
      </c>
      <c r="D78" s="53"/>
      <c r="E78" s="54" t="s">
        <v>133</v>
      </c>
      <c r="F78" s="54" t="s">
        <v>128</v>
      </c>
      <c r="G78" s="55" t="s">
        <v>129</v>
      </c>
      <c r="H78" s="56">
        <v>19</v>
      </c>
      <c r="I78" s="56">
        <v>0</v>
      </c>
      <c r="J78" s="31"/>
      <c r="K78" s="31"/>
      <c r="L78" s="31"/>
      <c r="M78" s="31"/>
      <c r="N78" s="31"/>
      <c r="O78" s="31"/>
      <c r="P78" s="31"/>
      <c r="Q78" s="31"/>
      <c r="R78" s="31"/>
      <c r="S78" s="31"/>
      <c r="T78" s="31"/>
      <c r="U78" s="31"/>
      <c r="V78" s="31"/>
      <c r="W78" s="31"/>
      <c r="X78" s="31"/>
      <c r="Y78" s="31"/>
      <c r="Z78" s="31"/>
      <c r="AA78" s="31"/>
      <c r="AB78" s="31"/>
      <c r="AC78" s="31"/>
      <c r="AD78" s="31"/>
      <c r="AE78" s="31"/>
      <c r="AF78" s="31"/>
      <c r="AG78" s="31"/>
      <c r="AH78" s="31"/>
      <c r="AI78" s="31"/>
      <c r="AJ78" s="31"/>
      <c r="AK78" s="31"/>
      <c r="AL78" s="28" t="str">
        <f>VLOOKUP($G78,'[42]Sheet1 (2)'!$A$1:$B$1048440,2,FALSE)</f>
        <v>No.</v>
      </c>
      <c r="AM78" s="32"/>
      <c r="AN78" s="31"/>
      <c r="AO78" s="33"/>
    </row>
    <row r="79" spans="1:41" ht="20" x14ac:dyDescent="0.25">
      <c r="A79" s="50">
        <v>74</v>
      </c>
      <c r="B79" s="51" t="s">
        <v>126</v>
      </c>
      <c r="C79" s="52">
        <v>1.75</v>
      </c>
      <c r="D79" s="53"/>
      <c r="E79" s="54" t="s">
        <v>134</v>
      </c>
      <c r="F79" s="54" t="s">
        <v>128</v>
      </c>
      <c r="G79" s="55" t="s">
        <v>129</v>
      </c>
      <c r="H79" s="56">
        <v>13</v>
      </c>
      <c r="I79" s="56">
        <v>0</v>
      </c>
      <c r="J79" s="31"/>
      <c r="K79" s="31"/>
      <c r="L79" s="31"/>
      <c r="M79" s="31"/>
      <c r="N79" s="31"/>
      <c r="O79" s="31"/>
      <c r="P79" s="31"/>
      <c r="Q79" s="31"/>
      <c r="R79" s="31"/>
      <c r="S79" s="31"/>
      <c r="T79" s="31"/>
      <c r="U79" s="31"/>
      <c r="V79" s="31"/>
      <c r="W79" s="31"/>
      <c r="X79" s="31"/>
      <c r="Y79" s="31"/>
      <c r="Z79" s="31"/>
      <c r="AA79" s="31"/>
      <c r="AB79" s="31"/>
      <c r="AC79" s="31"/>
      <c r="AD79" s="31"/>
      <c r="AE79" s="31"/>
      <c r="AF79" s="31"/>
      <c r="AG79" s="31"/>
      <c r="AH79" s="31"/>
      <c r="AI79" s="31"/>
      <c r="AJ79" s="31"/>
      <c r="AK79" s="31"/>
      <c r="AL79" s="28" t="str">
        <f>VLOOKUP($G79,'[42]Sheet1 (2)'!$A$1:$B$1048440,2,FALSE)</f>
        <v>No.</v>
      </c>
      <c r="AM79" s="32"/>
      <c r="AN79" s="31"/>
      <c r="AO79" s="33"/>
    </row>
    <row r="80" spans="1:41" ht="80" x14ac:dyDescent="0.25">
      <c r="A80" s="50">
        <v>75</v>
      </c>
      <c r="B80" s="51" t="s">
        <v>126</v>
      </c>
      <c r="C80" s="52">
        <v>1.76</v>
      </c>
      <c r="D80" s="57"/>
      <c r="E80" s="57" t="s">
        <v>135</v>
      </c>
      <c r="F80" s="54" t="s">
        <v>128</v>
      </c>
      <c r="G80" s="55" t="s">
        <v>136</v>
      </c>
      <c r="H80" s="56">
        <v>34487</v>
      </c>
      <c r="I80" s="56">
        <v>15153</v>
      </c>
      <c r="J80" s="31"/>
      <c r="K80" s="31"/>
      <c r="L80" s="31"/>
      <c r="M80" s="31"/>
      <c r="N80" s="31"/>
      <c r="O80" s="31"/>
      <c r="P80" s="31"/>
      <c r="Q80" s="31"/>
      <c r="R80" s="31"/>
      <c r="S80" s="31"/>
      <c r="T80" s="31"/>
      <c r="U80" s="31"/>
      <c r="V80" s="31"/>
      <c r="W80" s="31"/>
      <c r="X80" s="31"/>
      <c r="Y80" s="31"/>
      <c r="Z80" s="31"/>
      <c r="AA80" s="31"/>
      <c r="AB80" s="31"/>
      <c r="AC80" s="31"/>
      <c r="AD80" s="31"/>
      <c r="AE80" s="31"/>
      <c r="AF80" s="31"/>
      <c r="AG80" s="31"/>
      <c r="AH80" s="31"/>
      <c r="AI80" s="31"/>
      <c r="AJ80" s="31"/>
      <c r="AK80" s="31"/>
      <c r="AL80" s="28" t="str">
        <f>VLOOKUP($G80,'[42]Sheet1 (2)'!$A$1:$B$1048440,2,FALSE)</f>
        <v>Per Day</v>
      </c>
      <c r="AM80" s="32"/>
      <c r="AN80" s="31"/>
      <c r="AO80" s="33"/>
    </row>
    <row r="81" spans="1:41" ht="80" x14ac:dyDescent="0.25">
      <c r="A81" s="50">
        <v>76</v>
      </c>
      <c r="B81" s="51" t="s">
        <v>126</v>
      </c>
      <c r="C81" s="52">
        <v>1.77</v>
      </c>
      <c r="D81" s="57"/>
      <c r="E81" s="57" t="s">
        <v>137</v>
      </c>
      <c r="F81" s="54" t="s">
        <v>128</v>
      </c>
      <c r="G81" s="55" t="s">
        <v>136</v>
      </c>
      <c r="H81" s="56">
        <v>26955</v>
      </c>
      <c r="I81" s="56">
        <v>13505</v>
      </c>
      <c r="J81" s="31"/>
      <c r="K81" s="31"/>
      <c r="L81" s="31"/>
      <c r="M81" s="31"/>
      <c r="N81" s="31"/>
      <c r="O81" s="31"/>
      <c r="P81" s="31"/>
      <c r="Q81" s="31"/>
      <c r="R81" s="31"/>
      <c r="S81" s="31"/>
      <c r="T81" s="31"/>
      <c r="U81" s="31"/>
      <c r="V81" s="31"/>
      <c r="W81" s="31"/>
      <c r="X81" s="31"/>
      <c r="Y81" s="31"/>
      <c r="Z81" s="31"/>
      <c r="AA81" s="31"/>
      <c r="AB81" s="31"/>
      <c r="AC81" s="31"/>
      <c r="AD81" s="31"/>
      <c r="AE81" s="31"/>
      <c r="AF81" s="31"/>
      <c r="AG81" s="31"/>
      <c r="AH81" s="31"/>
      <c r="AI81" s="31"/>
      <c r="AJ81" s="31"/>
      <c r="AK81" s="31"/>
      <c r="AL81" s="28" t="str">
        <f>VLOOKUP($G81,'[42]Sheet1 (2)'!$A$1:$B$1048440,2,FALSE)</f>
        <v>Per Day</v>
      </c>
      <c r="AM81" s="32"/>
      <c r="AN81" s="31"/>
      <c r="AO81" s="33"/>
    </row>
    <row r="82" spans="1:41" ht="25" x14ac:dyDescent="0.25">
      <c r="A82" s="50">
        <v>77</v>
      </c>
      <c r="B82" s="58" t="s">
        <v>138</v>
      </c>
      <c r="C82" s="52">
        <v>1.78</v>
      </c>
      <c r="D82" s="58" t="s">
        <v>139</v>
      </c>
      <c r="E82" s="54" t="s">
        <v>140</v>
      </c>
      <c r="F82" s="58" t="s">
        <v>139</v>
      </c>
      <c r="G82" s="55" t="s">
        <v>136</v>
      </c>
      <c r="H82" s="56">
        <v>3630</v>
      </c>
      <c r="I82" s="56">
        <v>0</v>
      </c>
      <c r="J82" s="31"/>
      <c r="K82" s="31"/>
      <c r="L82" s="31"/>
      <c r="M82" s="31"/>
      <c r="N82" s="31"/>
      <c r="O82" s="31"/>
      <c r="P82" s="31"/>
      <c r="Q82" s="31"/>
      <c r="R82" s="31"/>
      <c r="S82" s="31"/>
      <c r="T82" s="31"/>
      <c r="U82" s="31"/>
      <c r="V82" s="31"/>
      <c r="W82" s="31"/>
      <c r="X82" s="31"/>
      <c r="Y82" s="31"/>
      <c r="Z82" s="31"/>
      <c r="AA82" s="31"/>
      <c r="AB82" s="31"/>
      <c r="AC82" s="31"/>
      <c r="AD82" s="31"/>
      <c r="AE82" s="31"/>
      <c r="AF82" s="31"/>
      <c r="AG82" s="31"/>
      <c r="AH82" s="31"/>
      <c r="AI82" s="31"/>
      <c r="AJ82" s="31"/>
      <c r="AK82" s="31"/>
      <c r="AL82" s="28" t="str">
        <f>VLOOKUP($G82,'[42]Sheet1 (2)'!$A$1:$B$1048440,2,FALSE)</f>
        <v>Per Day</v>
      </c>
      <c r="AM82" s="32"/>
      <c r="AN82" s="31"/>
      <c r="AO82" s="33"/>
    </row>
    <row r="83" spans="1:41" ht="17.5" x14ac:dyDescent="0.25">
      <c r="A83" s="59"/>
      <c r="B83" s="60"/>
      <c r="C83" s="61"/>
      <c r="D83" s="62"/>
      <c r="E83" s="63" t="s">
        <v>141</v>
      </c>
      <c r="F83" s="64"/>
      <c r="G83" s="65"/>
      <c r="H83" s="66"/>
      <c r="I83" s="66"/>
      <c r="J83" s="31"/>
      <c r="K83" s="31"/>
      <c r="L83" s="31"/>
      <c r="M83" s="31"/>
      <c r="N83" s="31"/>
      <c r="O83" s="31"/>
      <c r="P83" s="31"/>
      <c r="Q83" s="31"/>
      <c r="R83" s="31"/>
      <c r="S83" s="31"/>
      <c r="T83" s="31"/>
      <c r="U83" s="31"/>
      <c r="V83" s="31"/>
      <c r="W83" s="31"/>
      <c r="X83" s="31"/>
      <c r="Y83" s="31"/>
      <c r="Z83" s="31"/>
      <c r="AA83" s="31"/>
      <c r="AB83" s="31"/>
      <c r="AC83" s="31"/>
      <c r="AD83" s="31"/>
      <c r="AE83" s="31"/>
      <c r="AF83" s="31"/>
      <c r="AG83" s="31"/>
      <c r="AH83" s="31"/>
      <c r="AI83" s="31"/>
      <c r="AJ83" s="31"/>
      <c r="AK83" s="31"/>
      <c r="AL83" s="28" t="e">
        <f>VLOOKUP($G83,'[42]Sheet1 (2)'!$A$1:$B$1048440,2,FALSE)</f>
        <v>#N/A</v>
      </c>
      <c r="AM83" s="32"/>
      <c r="AN83" s="31"/>
      <c r="AO83" s="33"/>
    </row>
    <row r="84" spans="1:41" ht="56" x14ac:dyDescent="0.25">
      <c r="A84" s="36">
        <v>78</v>
      </c>
      <c r="B84" s="25" t="s">
        <v>142</v>
      </c>
      <c r="C84" s="37">
        <v>2.0099999999999998</v>
      </c>
      <c r="D84" s="25" t="s">
        <v>143</v>
      </c>
      <c r="E84" s="57" t="s">
        <v>144</v>
      </c>
      <c r="F84" s="39" t="s">
        <v>145</v>
      </c>
      <c r="G84" s="25" t="s">
        <v>45</v>
      </c>
      <c r="H84" s="40">
        <v>511</v>
      </c>
      <c r="I84" s="40">
        <v>463</v>
      </c>
      <c r="J84" s="31"/>
      <c r="K84" s="31"/>
      <c r="L84" s="31"/>
      <c r="M84" s="31"/>
      <c r="N84" s="31"/>
      <c r="O84" s="31"/>
      <c r="P84" s="31"/>
      <c r="Q84" s="31"/>
      <c r="R84" s="31"/>
      <c r="S84" s="31"/>
      <c r="T84" s="31"/>
      <c r="U84" s="31"/>
      <c r="V84" s="31"/>
      <c r="W84" s="31"/>
      <c r="X84" s="31"/>
      <c r="Y84" s="31"/>
      <c r="Z84" s="31"/>
      <c r="AA84" s="31"/>
      <c r="AB84" s="31"/>
      <c r="AC84" s="31"/>
      <c r="AD84" s="31"/>
      <c r="AE84" s="31"/>
      <c r="AF84" s="31"/>
      <c r="AG84" s="31"/>
      <c r="AH84" s="31"/>
      <c r="AI84" s="31"/>
      <c r="AJ84" s="31"/>
      <c r="AK84" s="31"/>
      <c r="AL84" s="28" t="str">
        <f>VLOOKUP($G84,'[42]Sheet1 (2)'!$A$1:$B$1048440,2,FALSE)</f>
        <v>No.</v>
      </c>
      <c r="AM84" s="32"/>
      <c r="AN84" s="31"/>
      <c r="AO84" s="33"/>
    </row>
    <row r="85" spans="1:41" ht="56" x14ac:dyDescent="0.25">
      <c r="A85" s="36">
        <v>79</v>
      </c>
      <c r="B85" s="25" t="s">
        <v>142</v>
      </c>
      <c r="C85" s="37">
        <v>2.02</v>
      </c>
      <c r="D85" s="25" t="s">
        <v>143</v>
      </c>
      <c r="E85" s="57" t="s">
        <v>146</v>
      </c>
      <c r="F85" s="39" t="s">
        <v>145</v>
      </c>
      <c r="G85" s="25" t="s">
        <v>45</v>
      </c>
      <c r="H85" s="40">
        <v>847</v>
      </c>
      <c r="I85" s="40">
        <v>703</v>
      </c>
      <c r="J85" s="31"/>
      <c r="K85" s="31"/>
      <c r="L85" s="31"/>
      <c r="M85" s="31"/>
      <c r="N85" s="31"/>
      <c r="O85" s="31"/>
      <c r="P85" s="31"/>
      <c r="Q85" s="31"/>
      <c r="R85" s="31"/>
      <c r="S85" s="31"/>
      <c r="T85" s="31"/>
      <c r="U85" s="31"/>
      <c r="V85" s="31"/>
      <c r="W85" s="31"/>
      <c r="X85" s="31"/>
      <c r="Y85" s="31"/>
      <c r="Z85" s="31"/>
      <c r="AA85" s="31"/>
      <c r="AB85" s="31"/>
      <c r="AC85" s="31"/>
      <c r="AD85" s="31"/>
      <c r="AE85" s="31"/>
      <c r="AF85" s="31"/>
      <c r="AG85" s="31"/>
      <c r="AH85" s="31"/>
      <c r="AI85" s="31"/>
      <c r="AJ85" s="31"/>
      <c r="AK85" s="31"/>
      <c r="AL85" s="28" t="str">
        <f>VLOOKUP($G85,'[42]Sheet1 (2)'!$A$1:$B$1048440,2,FALSE)</f>
        <v>No.</v>
      </c>
      <c r="AM85" s="32"/>
      <c r="AN85" s="31"/>
      <c r="AO85" s="33"/>
    </row>
    <row r="86" spans="1:41" ht="56" x14ac:dyDescent="0.25">
      <c r="A86" s="36">
        <v>80</v>
      </c>
      <c r="B86" s="25" t="s">
        <v>142</v>
      </c>
      <c r="C86" s="37">
        <v>2.0299999999999998</v>
      </c>
      <c r="D86" s="25" t="s">
        <v>143</v>
      </c>
      <c r="E86" s="57" t="s">
        <v>147</v>
      </c>
      <c r="F86" s="39" t="s">
        <v>145</v>
      </c>
      <c r="G86" s="25" t="s">
        <v>45</v>
      </c>
      <c r="H86" s="40">
        <v>1746</v>
      </c>
      <c r="I86" s="40">
        <v>1554</v>
      </c>
      <c r="J86" s="31"/>
      <c r="K86" s="31"/>
      <c r="L86" s="31"/>
      <c r="M86" s="31"/>
      <c r="N86" s="31"/>
      <c r="O86" s="31"/>
      <c r="P86" s="31"/>
      <c r="Q86" s="31"/>
      <c r="R86" s="31"/>
      <c r="S86" s="31"/>
      <c r="T86" s="31"/>
      <c r="U86" s="31"/>
      <c r="V86" s="31"/>
      <c r="W86" s="31"/>
      <c r="X86" s="31"/>
      <c r="Y86" s="31"/>
      <c r="Z86" s="31"/>
      <c r="AA86" s="31"/>
      <c r="AB86" s="31"/>
      <c r="AC86" s="31"/>
      <c r="AD86" s="31"/>
      <c r="AE86" s="31"/>
      <c r="AF86" s="31"/>
      <c r="AG86" s="31"/>
      <c r="AH86" s="31"/>
      <c r="AI86" s="31"/>
      <c r="AJ86" s="31"/>
      <c r="AK86" s="31"/>
      <c r="AL86" s="28" t="str">
        <f>VLOOKUP($G86,'[42]Sheet1 (2)'!$A$1:$B$1048440,2,FALSE)</f>
        <v>No.</v>
      </c>
      <c r="AM86" s="32"/>
      <c r="AN86" s="31"/>
      <c r="AO86" s="33"/>
    </row>
    <row r="87" spans="1:41" ht="56" x14ac:dyDescent="0.25">
      <c r="A87" s="36">
        <v>81</v>
      </c>
      <c r="B87" s="25" t="s">
        <v>142</v>
      </c>
      <c r="C87" s="37">
        <v>2.04</v>
      </c>
      <c r="D87" s="25" t="s">
        <v>143</v>
      </c>
      <c r="E87" s="57" t="s">
        <v>148</v>
      </c>
      <c r="F87" s="39" t="s">
        <v>145</v>
      </c>
      <c r="G87" s="25" t="s">
        <v>45</v>
      </c>
      <c r="H87" s="40">
        <v>2992</v>
      </c>
      <c r="I87" s="40">
        <v>2703</v>
      </c>
      <c r="J87" s="31"/>
      <c r="K87" s="31"/>
      <c r="L87" s="31"/>
      <c r="M87" s="31"/>
      <c r="N87" s="31"/>
      <c r="O87" s="31"/>
      <c r="P87" s="31"/>
      <c r="Q87" s="31"/>
      <c r="R87" s="31"/>
      <c r="S87" s="31"/>
      <c r="T87" s="31"/>
      <c r="U87" s="31"/>
      <c r="V87" s="31"/>
      <c r="W87" s="31"/>
      <c r="X87" s="31"/>
      <c r="Y87" s="31"/>
      <c r="Z87" s="31"/>
      <c r="AA87" s="31"/>
      <c r="AB87" s="31"/>
      <c r="AC87" s="31"/>
      <c r="AD87" s="31"/>
      <c r="AE87" s="31"/>
      <c r="AF87" s="31"/>
      <c r="AG87" s="31"/>
      <c r="AH87" s="31"/>
      <c r="AI87" s="31"/>
      <c r="AJ87" s="31"/>
      <c r="AK87" s="31"/>
      <c r="AL87" s="28" t="str">
        <f>VLOOKUP($G87,'[42]Sheet1 (2)'!$A$1:$B$1048440,2,FALSE)</f>
        <v>No.</v>
      </c>
      <c r="AM87" s="32"/>
      <c r="AN87" s="31"/>
      <c r="AO87" s="33"/>
    </row>
    <row r="88" spans="1:41" ht="56" x14ac:dyDescent="0.25">
      <c r="A88" s="36">
        <v>82</v>
      </c>
      <c r="B88" s="25" t="s">
        <v>142</v>
      </c>
      <c r="C88" s="37">
        <v>2.0499999999999998</v>
      </c>
      <c r="D88" s="25" t="s">
        <v>143</v>
      </c>
      <c r="E88" s="57" t="s">
        <v>149</v>
      </c>
      <c r="F88" s="39" t="s">
        <v>145</v>
      </c>
      <c r="G88" s="25" t="s">
        <v>45</v>
      </c>
      <c r="H88" s="40">
        <v>3094</v>
      </c>
      <c r="I88" s="40">
        <v>2914</v>
      </c>
      <c r="J88" s="31"/>
      <c r="K88" s="31"/>
      <c r="L88" s="31"/>
      <c r="M88" s="31"/>
      <c r="N88" s="31"/>
      <c r="O88" s="31"/>
      <c r="P88" s="31"/>
      <c r="Q88" s="31"/>
      <c r="R88" s="31"/>
      <c r="S88" s="31"/>
      <c r="T88" s="31"/>
      <c r="U88" s="31"/>
      <c r="V88" s="31"/>
      <c r="W88" s="31"/>
      <c r="X88" s="31"/>
      <c r="Y88" s="31"/>
      <c r="Z88" s="31"/>
      <c r="AA88" s="31"/>
      <c r="AB88" s="31"/>
      <c r="AC88" s="31"/>
      <c r="AD88" s="31"/>
      <c r="AE88" s="31"/>
      <c r="AF88" s="31"/>
      <c r="AG88" s="31"/>
      <c r="AH88" s="31"/>
      <c r="AI88" s="31"/>
      <c r="AJ88" s="31"/>
      <c r="AK88" s="31"/>
      <c r="AL88" s="28" t="str">
        <f>VLOOKUP($G88,'[42]Sheet1 (2)'!$A$1:$B$1048440,2,FALSE)</f>
        <v>No.</v>
      </c>
      <c r="AM88" s="32"/>
      <c r="AN88" s="31"/>
      <c r="AO88" s="33"/>
    </row>
    <row r="89" spans="1:41" ht="56" x14ac:dyDescent="0.25">
      <c r="A89" s="36">
        <v>83</v>
      </c>
      <c r="B89" s="25" t="s">
        <v>142</v>
      </c>
      <c r="C89" s="37">
        <v>2.06</v>
      </c>
      <c r="D89" s="25" t="s">
        <v>143</v>
      </c>
      <c r="E89" s="57" t="s">
        <v>150</v>
      </c>
      <c r="F89" s="39" t="s">
        <v>145</v>
      </c>
      <c r="G89" s="25" t="s">
        <v>45</v>
      </c>
      <c r="H89" s="40">
        <v>3387</v>
      </c>
      <c r="I89" s="40">
        <v>3190</v>
      </c>
      <c r="J89" s="31"/>
      <c r="K89" s="31"/>
      <c r="L89" s="31"/>
      <c r="M89" s="31"/>
      <c r="N89" s="31"/>
      <c r="O89" s="31"/>
      <c r="P89" s="31"/>
      <c r="Q89" s="31"/>
      <c r="R89" s="31"/>
      <c r="S89" s="31"/>
      <c r="T89" s="31"/>
      <c r="U89" s="31"/>
      <c r="V89" s="31"/>
      <c r="W89" s="31"/>
      <c r="X89" s="31"/>
      <c r="Y89" s="31"/>
      <c r="Z89" s="31"/>
      <c r="AA89" s="31"/>
      <c r="AB89" s="31"/>
      <c r="AC89" s="31"/>
      <c r="AD89" s="31"/>
      <c r="AE89" s="31"/>
      <c r="AF89" s="31"/>
      <c r="AG89" s="31"/>
      <c r="AH89" s="31"/>
      <c r="AI89" s="31"/>
      <c r="AJ89" s="31"/>
      <c r="AK89" s="31"/>
      <c r="AL89" s="28" t="str">
        <f>VLOOKUP($G89,'[42]Sheet1 (2)'!$A$1:$B$1048440,2,FALSE)</f>
        <v>No.</v>
      </c>
      <c r="AM89" s="32"/>
      <c r="AN89" s="31"/>
      <c r="AO89" s="33"/>
    </row>
    <row r="90" spans="1:41" ht="42" x14ac:dyDescent="0.25">
      <c r="A90" s="36">
        <v>84</v>
      </c>
      <c r="B90" s="25" t="s">
        <v>142</v>
      </c>
      <c r="C90" s="37">
        <v>2.0699999999999998</v>
      </c>
      <c r="D90" s="25" t="s">
        <v>143</v>
      </c>
      <c r="E90" s="24" t="s">
        <v>3783</v>
      </c>
      <c r="F90" s="39" t="s">
        <v>145</v>
      </c>
      <c r="G90" s="58" t="s">
        <v>151</v>
      </c>
      <c r="H90" s="40">
        <v>4</v>
      </c>
      <c r="I90" s="40">
        <v>4</v>
      </c>
      <c r="J90" s="31"/>
      <c r="K90" s="31"/>
      <c r="L90" s="31"/>
      <c r="M90" s="31"/>
      <c r="N90" s="31"/>
      <c r="O90" s="31"/>
      <c r="P90" s="31"/>
      <c r="Q90" s="31"/>
      <c r="R90" s="31"/>
      <c r="S90" s="31"/>
      <c r="T90" s="31"/>
      <c r="U90" s="31"/>
      <c r="V90" s="31"/>
      <c r="W90" s="31"/>
      <c r="X90" s="31"/>
      <c r="Y90" s="31"/>
      <c r="Z90" s="31"/>
      <c r="AA90" s="31"/>
      <c r="AB90" s="31"/>
      <c r="AC90" s="31"/>
      <c r="AD90" s="31"/>
      <c r="AE90" s="31"/>
      <c r="AF90" s="31"/>
      <c r="AG90" s="31"/>
      <c r="AH90" s="31"/>
      <c r="AI90" s="31"/>
      <c r="AJ90" s="31"/>
      <c r="AK90" s="31"/>
      <c r="AL90" s="28" t="str">
        <f>VLOOKUP($G90,'[42]Sheet1 (2)'!$A$1:$B$1048440,2,FALSE)</f>
        <v>Sqm</v>
      </c>
      <c r="AM90" s="32"/>
      <c r="AN90" s="31"/>
      <c r="AO90" s="33"/>
    </row>
    <row r="91" spans="1:41" ht="98" x14ac:dyDescent="0.25">
      <c r="A91" s="36">
        <v>85</v>
      </c>
      <c r="B91" s="25" t="s">
        <v>142</v>
      </c>
      <c r="C91" s="37">
        <v>2.09</v>
      </c>
      <c r="D91" s="25" t="s">
        <v>143</v>
      </c>
      <c r="E91" s="24" t="s">
        <v>152</v>
      </c>
      <c r="F91" s="39" t="s">
        <v>143</v>
      </c>
      <c r="G91" s="58" t="s">
        <v>151</v>
      </c>
      <c r="H91" s="40">
        <v>12</v>
      </c>
      <c r="I91" s="40">
        <v>12</v>
      </c>
      <c r="J91" s="31"/>
      <c r="K91" s="31"/>
      <c r="L91" s="31"/>
      <c r="M91" s="31"/>
      <c r="N91" s="31"/>
      <c r="O91" s="31"/>
      <c r="P91" s="31"/>
      <c r="Q91" s="31"/>
      <c r="R91" s="31"/>
      <c r="S91" s="31"/>
      <c r="T91" s="31"/>
      <c r="U91" s="31"/>
      <c r="V91" s="31"/>
      <c r="W91" s="31"/>
      <c r="X91" s="31"/>
      <c r="Y91" s="31"/>
      <c r="Z91" s="31"/>
      <c r="AA91" s="31"/>
      <c r="AB91" s="31"/>
      <c r="AC91" s="31"/>
      <c r="AD91" s="31"/>
      <c r="AE91" s="31"/>
      <c r="AF91" s="31"/>
      <c r="AG91" s="31"/>
      <c r="AH91" s="31"/>
      <c r="AI91" s="31"/>
      <c r="AJ91" s="31"/>
      <c r="AK91" s="31"/>
      <c r="AL91" s="28" t="str">
        <f>VLOOKUP($G91,'[42]Sheet1 (2)'!$A$1:$B$1048440,2,FALSE)</f>
        <v>Sqm</v>
      </c>
      <c r="AM91" s="32"/>
      <c r="AN91" s="31"/>
      <c r="AO91" s="33"/>
    </row>
    <row r="92" spans="1:41" ht="98" x14ac:dyDescent="0.25">
      <c r="A92" s="36">
        <v>86</v>
      </c>
      <c r="B92" s="25" t="s">
        <v>142</v>
      </c>
      <c r="C92" s="37">
        <v>2.1</v>
      </c>
      <c r="D92" s="25" t="s">
        <v>153</v>
      </c>
      <c r="E92" s="57" t="s">
        <v>154</v>
      </c>
      <c r="F92" s="39" t="s">
        <v>155</v>
      </c>
      <c r="G92" s="25" t="s">
        <v>47</v>
      </c>
      <c r="H92" s="40">
        <v>300</v>
      </c>
      <c r="I92" s="40">
        <v>300</v>
      </c>
      <c r="J92" s="31"/>
      <c r="K92" s="31"/>
      <c r="L92" s="31"/>
      <c r="M92" s="31"/>
      <c r="N92" s="31"/>
      <c r="O92" s="31"/>
      <c r="P92" s="31"/>
      <c r="Q92" s="31"/>
      <c r="R92" s="31"/>
      <c r="S92" s="31"/>
      <c r="T92" s="31"/>
      <c r="U92" s="31"/>
      <c r="V92" s="31"/>
      <c r="W92" s="31"/>
      <c r="X92" s="31"/>
      <c r="Y92" s="31"/>
      <c r="Z92" s="31"/>
      <c r="AA92" s="31"/>
      <c r="AB92" s="31"/>
      <c r="AC92" s="31"/>
      <c r="AD92" s="31"/>
      <c r="AE92" s="31"/>
      <c r="AF92" s="31"/>
      <c r="AG92" s="31"/>
      <c r="AH92" s="31"/>
      <c r="AI92" s="31"/>
      <c r="AJ92" s="31"/>
      <c r="AK92" s="31"/>
      <c r="AL92" s="28" t="str">
        <f>VLOOKUP($G92,'[42]Sheet1 (2)'!$A$1:$B$1048440,2,FALSE)</f>
        <v>Cum</v>
      </c>
      <c r="AM92" s="32"/>
      <c r="AN92" s="31"/>
      <c r="AO92" s="33"/>
    </row>
    <row r="93" spans="1:41" ht="84" x14ac:dyDescent="0.25">
      <c r="A93" s="36">
        <v>87</v>
      </c>
      <c r="B93" s="25" t="s">
        <v>142</v>
      </c>
      <c r="C93" s="37">
        <v>2.11</v>
      </c>
      <c r="D93" s="25" t="s">
        <v>153</v>
      </c>
      <c r="E93" s="57" t="s">
        <v>156</v>
      </c>
      <c r="F93" s="39" t="s">
        <v>155</v>
      </c>
      <c r="G93" s="25" t="s">
        <v>47</v>
      </c>
      <c r="H93" s="40">
        <v>119</v>
      </c>
      <c r="I93" s="40">
        <v>7</v>
      </c>
      <c r="J93" s="31"/>
      <c r="K93" s="31"/>
      <c r="L93" s="31"/>
      <c r="M93" s="31"/>
      <c r="N93" s="31"/>
      <c r="O93" s="31"/>
      <c r="P93" s="31"/>
      <c r="Q93" s="31"/>
      <c r="R93" s="31"/>
      <c r="S93" s="31"/>
      <c r="T93" s="31"/>
      <c r="U93" s="31"/>
      <c r="V93" s="31"/>
      <c r="W93" s="31"/>
      <c r="X93" s="31"/>
      <c r="Y93" s="31"/>
      <c r="Z93" s="31"/>
      <c r="AA93" s="31"/>
      <c r="AB93" s="31"/>
      <c r="AC93" s="31"/>
      <c r="AD93" s="31"/>
      <c r="AE93" s="31"/>
      <c r="AF93" s="31"/>
      <c r="AG93" s="31"/>
      <c r="AH93" s="31"/>
      <c r="AI93" s="31"/>
      <c r="AJ93" s="31"/>
      <c r="AK93" s="31"/>
      <c r="AL93" s="28" t="str">
        <f>VLOOKUP($G93,'[42]Sheet1 (2)'!$A$1:$B$1048440,2,FALSE)</f>
        <v>Cum</v>
      </c>
      <c r="AM93" s="32"/>
      <c r="AN93" s="31"/>
      <c r="AO93" s="33"/>
    </row>
    <row r="94" spans="1:41" ht="68.25" customHeight="1" x14ac:dyDescent="0.25">
      <c r="A94" s="36">
        <v>88</v>
      </c>
      <c r="B94" s="25" t="s">
        <v>142</v>
      </c>
      <c r="C94" s="37">
        <v>2.13</v>
      </c>
      <c r="D94" s="25" t="s">
        <v>153</v>
      </c>
      <c r="E94" s="24" t="s">
        <v>157</v>
      </c>
      <c r="F94" s="39" t="s">
        <v>153</v>
      </c>
      <c r="G94" s="25" t="s">
        <v>47</v>
      </c>
      <c r="H94" s="40">
        <v>139</v>
      </c>
      <c r="I94" s="40">
        <v>7</v>
      </c>
      <c r="J94" s="31"/>
      <c r="K94" s="31"/>
      <c r="L94" s="31"/>
      <c r="M94" s="31"/>
      <c r="N94" s="31"/>
      <c r="O94" s="31"/>
      <c r="P94" s="31"/>
      <c r="Q94" s="31"/>
      <c r="R94" s="31"/>
      <c r="S94" s="31"/>
      <c r="T94" s="31"/>
      <c r="U94" s="31"/>
      <c r="V94" s="31"/>
      <c r="W94" s="31"/>
      <c r="X94" s="31"/>
      <c r="Y94" s="31"/>
      <c r="Z94" s="31"/>
      <c r="AA94" s="31"/>
      <c r="AB94" s="31"/>
      <c r="AC94" s="31"/>
      <c r="AD94" s="31"/>
      <c r="AE94" s="31"/>
      <c r="AF94" s="31"/>
      <c r="AG94" s="31"/>
      <c r="AH94" s="31"/>
      <c r="AI94" s="31"/>
      <c r="AJ94" s="31"/>
      <c r="AK94" s="31"/>
      <c r="AL94" s="28" t="str">
        <f>VLOOKUP($G94,'[42]Sheet1 (2)'!$A$1:$B$1048440,2,FALSE)</f>
        <v>Cum</v>
      </c>
      <c r="AM94" s="32"/>
      <c r="AN94" s="31"/>
      <c r="AO94" s="33"/>
    </row>
    <row r="95" spans="1:41" ht="56" x14ac:dyDescent="0.25">
      <c r="A95" s="36">
        <v>89</v>
      </c>
      <c r="B95" s="25" t="s">
        <v>142</v>
      </c>
      <c r="C95" s="37">
        <v>2.14</v>
      </c>
      <c r="D95" s="25" t="s">
        <v>153</v>
      </c>
      <c r="E95" s="24" t="s">
        <v>158</v>
      </c>
      <c r="F95" s="39" t="s">
        <v>153</v>
      </c>
      <c r="G95" s="25" t="s">
        <v>47</v>
      </c>
      <c r="H95" s="40">
        <v>177</v>
      </c>
      <c r="I95" s="40">
        <v>22</v>
      </c>
      <c r="J95" s="31"/>
      <c r="K95" s="31"/>
      <c r="L95" s="31"/>
      <c r="M95" s="31"/>
      <c r="N95" s="31"/>
      <c r="O95" s="31"/>
      <c r="P95" s="31"/>
      <c r="Q95" s="31"/>
      <c r="R95" s="31"/>
      <c r="S95" s="31"/>
      <c r="T95" s="31"/>
      <c r="U95" s="31"/>
      <c r="V95" s="31"/>
      <c r="W95" s="31"/>
      <c r="X95" s="31"/>
      <c r="Y95" s="31"/>
      <c r="Z95" s="31"/>
      <c r="AA95" s="31"/>
      <c r="AB95" s="31"/>
      <c r="AC95" s="31"/>
      <c r="AD95" s="31"/>
      <c r="AE95" s="31"/>
      <c r="AF95" s="31"/>
      <c r="AG95" s="31"/>
      <c r="AH95" s="31"/>
      <c r="AI95" s="31"/>
      <c r="AJ95" s="31"/>
      <c r="AK95" s="31"/>
      <c r="AL95" s="28" t="str">
        <f>VLOOKUP($G95,'[42]Sheet1 (2)'!$A$1:$B$1048440,2,FALSE)</f>
        <v>Cum</v>
      </c>
      <c r="AM95" s="32"/>
      <c r="AN95" s="31"/>
      <c r="AO95" s="33"/>
    </row>
    <row r="96" spans="1:41" ht="84" x14ac:dyDescent="0.25">
      <c r="A96" s="36">
        <v>90</v>
      </c>
      <c r="B96" s="25" t="s">
        <v>142</v>
      </c>
      <c r="C96" s="37">
        <v>2.15</v>
      </c>
      <c r="D96" s="25" t="s">
        <v>153</v>
      </c>
      <c r="E96" s="24" t="s">
        <v>159</v>
      </c>
      <c r="F96" s="39" t="s">
        <v>153</v>
      </c>
      <c r="G96" s="25" t="s">
        <v>47</v>
      </c>
      <c r="H96" s="40">
        <v>250</v>
      </c>
      <c r="I96" s="40">
        <v>25</v>
      </c>
      <c r="J96" s="31"/>
      <c r="K96" s="31"/>
      <c r="L96" s="31"/>
      <c r="M96" s="31"/>
      <c r="N96" s="31"/>
      <c r="O96" s="31"/>
      <c r="P96" s="31"/>
      <c r="Q96" s="31"/>
      <c r="R96" s="31"/>
      <c r="S96" s="31"/>
      <c r="T96" s="31"/>
      <c r="U96" s="31"/>
      <c r="V96" s="31"/>
      <c r="W96" s="31"/>
      <c r="X96" s="31"/>
      <c r="Y96" s="31"/>
      <c r="Z96" s="31"/>
      <c r="AA96" s="31"/>
      <c r="AB96" s="31"/>
      <c r="AC96" s="31"/>
      <c r="AD96" s="31"/>
      <c r="AE96" s="31"/>
      <c r="AF96" s="31"/>
      <c r="AG96" s="31"/>
      <c r="AH96" s="31"/>
      <c r="AI96" s="31"/>
      <c r="AJ96" s="31"/>
      <c r="AK96" s="31"/>
      <c r="AL96" s="28" t="str">
        <f>VLOOKUP($G96,'[42]Sheet1 (2)'!$A$1:$B$1048440,2,FALSE)</f>
        <v>Cum</v>
      </c>
      <c r="AM96" s="32"/>
      <c r="AN96" s="31"/>
      <c r="AO96" s="33"/>
    </row>
    <row r="97" spans="1:41" ht="84" x14ac:dyDescent="0.25">
      <c r="A97" s="36">
        <v>91</v>
      </c>
      <c r="B97" s="25" t="s">
        <v>142</v>
      </c>
      <c r="C97" s="37">
        <v>2.16</v>
      </c>
      <c r="D97" s="25" t="s">
        <v>153</v>
      </c>
      <c r="E97" s="57" t="s">
        <v>160</v>
      </c>
      <c r="F97" s="39" t="s">
        <v>155</v>
      </c>
      <c r="G97" s="25" t="s">
        <v>47</v>
      </c>
      <c r="H97" s="40">
        <v>1419</v>
      </c>
      <c r="I97" s="40">
        <v>400</v>
      </c>
      <c r="J97" s="31"/>
      <c r="K97" s="31"/>
      <c r="L97" s="31"/>
      <c r="M97" s="31"/>
      <c r="N97" s="31"/>
      <c r="O97" s="31"/>
      <c r="P97" s="31"/>
      <c r="Q97" s="31"/>
      <c r="R97" s="31"/>
      <c r="S97" s="31"/>
      <c r="T97" s="31"/>
      <c r="U97" s="31"/>
      <c r="V97" s="31"/>
      <c r="W97" s="31"/>
      <c r="X97" s="31"/>
      <c r="Y97" s="31"/>
      <c r="Z97" s="31"/>
      <c r="AA97" s="31"/>
      <c r="AB97" s="31"/>
      <c r="AC97" s="31"/>
      <c r="AD97" s="31"/>
      <c r="AE97" s="31"/>
      <c r="AF97" s="31"/>
      <c r="AG97" s="31"/>
      <c r="AH97" s="31"/>
      <c r="AI97" s="31"/>
      <c r="AJ97" s="31"/>
      <c r="AK97" s="31"/>
      <c r="AL97" s="28" t="str">
        <f>VLOOKUP($G97,'[42]Sheet1 (2)'!$A$1:$B$1048440,2,FALSE)</f>
        <v>Cum</v>
      </c>
      <c r="AM97" s="32"/>
      <c r="AN97" s="31"/>
      <c r="AO97" s="33"/>
    </row>
    <row r="98" spans="1:41" ht="70" x14ac:dyDescent="0.25">
      <c r="A98" s="36">
        <v>92</v>
      </c>
      <c r="B98" s="25" t="s">
        <v>142</v>
      </c>
      <c r="C98" s="37">
        <v>2.1800000000000002</v>
      </c>
      <c r="D98" s="25" t="s">
        <v>161</v>
      </c>
      <c r="E98" s="57" t="s">
        <v>162</v>
      </c>
      <c r="F98" s="39" t="s">
        <v>163</v>
      </c>
      <c r="G98" s="25" t="s">
        <v>47</v>
      </c>
      <c r="H98" s="40">
        <v>119</v>
      </c>
      <c r="I98" s="40">
        <v>7</v>
      </c>
      <c r="J98" s="31"/>
      <c r="K98" s="31"/>
      <c r="L98" s="31"/>
      <c r="M98" s="31"/>
      <c r="N98" s="31"/>
      <c r="O98" s="31"/>
      <c r="P98" s="31"/>
      <c r="Q98" s="31"/>
      <c r="R98" s="31"/>
      <c r="S98" s="31"/>
      <c r="T98" s="31"/>
      <c r="U98" s="31"/>
      <c r="V98" s="31"/>
      <c r="W98" s="31"/>
      <c r="X98" s="31"/>
      <c r="Y98" s="31"/>
      <c r="Z98" s="31"/>
      <c r="AA98" s="31"/>
      <c r="AB98" s="31"/>
      <c r="AC98" s="31"/>
      <c r="AD98" s="31"/>
      <c r="AE98" s="31"/>
      <c r="AF98" s="31"/>
      <c r="AG98" s="31"/>
      <c r="AH98" s="31"/>
      <c r="AI98" s="31"/>
      <c r="AJ98" s="31"/>
      <c r="AK98" s="31"/>
      <c r="AL98" s="28" t="str">
        <f>VLOOKUP($G98,'[42]Sheet1 (2)'!$A$1:$B$1048440,2,FALSE)</f>
        <v>Cum</v>
      </c>
      <c r="AM98" s="32"/>
      <c r="AN98" s="31"/>
      <c r="AO98" s="33"/>
    </row>
    <row r="99" spans="1:41" ht="56" x14ac:dyDescent="0.25">
      <c r="A99" s="36">
        <v>93</v>
      </c>
      <c r="B99" s="25" t="s">
        <v>142</v>
      </c>
      <c r="C99" s="37">
        <v>2.2000000000000002</v>
      </c>
      <c r="D99" s="25" t="s">
        <v>161</v>
      </c>
      <c r="E99" s="57" t="s">
        <v>164</v>
      </c>
      <c r="F99" s="39" t="s">
        <v>163</v>
      </c>
      <c r="G99" s="25" t="s">
        <v>47</v>
      </c>
      <c r="H99" s="40">
        <v>139</v>
      </c>
      <c r="I99" s="40">
        <v>7</v>
      </c>
      <c r="J99" s="31"/>
      <c r="K99" s="31"/>
      <c r="L99" s="31"/>
      <c r="M99" s="31"/>
      <c r="N99" s="31"/>
      <c r="O99" s="31"/>
      <c r="P99" s="31"/>
      <c r="Q99" s="31"/>
      <c r="R99" s="31"/>
      <c r="S99" s="31"/>
      <c r="T99" s="31"/>
      <c r="U99" s="31"/>
      <c r="V99" s="31"/>
      <c r="W99" s="31"/>
      <c r="X99" s="31"/>
      <c r="Y99" s="31"/>
      <c r="Z99" s="31"/>
      <c r="AA99" s="31"/>
      <c r="AB99" s="31"/>
      <c r="AC99" s="31"/>
      <c r="AD99" s="31"/>
      <c r="AE99" s="31"/>
      <c r="AF99" s="31"/>
      <c r="AG99" s="31"/>
      <c r="AH99" s="31"/>
      <c r="AI99" s="31"/>
      <c r="AJ99" s="31"/>
      <c r="AK99" s="31"/>
      <c r="AL99" s="28" t="str">
        <f>VLOOKUP($G99,'[42]Sheet1 (2)'!$A$1:$B$1048440,2,FALSE)</f>
        <v>Cum</v>
      </c>
      <c r="AM99" s="32"/>
      <c r="AN99" s="31"/>
      <c r="AO99" s="33"/>
    </row>
    <row r="100" spans="1:41" ht="56" x14ac:dyDescent="0.25">
      <c r="A100" s="36">
        <v>94</v>
      </c>
      <c r="B100" s="25" t="s">
        <v>142</v>
      </c>
      <c r="C100" s="37">
        <v>2.21</v>
      </c>
      <c r="D100" s="25" t="s">
        <v>161</v>
      </c>
      <c r="E100" s="57" t="s">
        <v>165</v>
      </c>
      <c r="F100" s="39" t="s">
        <v>163</v>
      </c>
      <c r="G100" s="25" t="s">
        <v>47</v>
      </c>
      <c r="H100" s="40">
        <v>208</v>
      </c>
      <c r="I100" s="40">
        <v>22</v>
      </c>
      <c r="J100" s="31"/>
      <c r="K100" s="31"/>
      <c r="L100" s="31"/>
      <c r="M100" s="31"/>
      <c r="N100" s="31"/>
      <c r="O100" s="31"/>
      <c r="P100" s="31"/>
      <c r="Q100" s="31"/>
      <c r="R100" s="31"/>
      <c r="S100" s="31"/>
      <c r="T100" s="31"/>
      <c r="U100" s="31"/>
      <c r="V100" s="31"/>
      <c r="W100" s="31"/>
      <c r="X100" s="31"/>
      <c r="Y100" s="31"/>
      <c r="Z100" s="31"/>
      <c r="AA100" s="31"/>
      <c r="AB100" s="31"/>
      <c r="AC100" s="31"/>
      <c r="AD100" s="31"/>
      <c r="AE100" s="31"/>
      <c r="AF100" s="31"/>
      <c r="AG100" s="31"/>
      <c r="AH100" s="31"/>
      <c r="AI100" s="31"/>
      <c r="AJ100" s="31"/>
      <c r="AK100" s="31"/>
      <c r="AL100" s="28" t="str">
        <f>VLOOKUP($G100,'[42]Sheet1 (2)'!$A$1:$B$1048440,2,FALSE)</f>
        <v>Cum</v>
      </c>
      <c r="AM100" s="32"/>
      <c r="AN100" s="31"/>
      <c r="AO100" s="33"/>
    </row>
    <row r="101" spans="1:41" ht="56" x14ac:dyDescent="0.25">
      <c r="A101" s="36">
        <v>95</v>
      </c>
      <c r="B101" s="25" t="s">
        <v>142</v>
      </c>
      <c r="C101" s="37">
        <v>2.2200000000000002</v>
      </c>
      <c r="D101" s="25" t="s">
        <v>161</v>
      </c>
      <c r="E101" s="57" t="s">
        <v>166</v>
      </c>
      <c r="F101" s="39" t="s">
        <v>163</v>
      </c>
      <c r="G101" s="25" t="s">
        <v>47</v>
      </c>
      <c r="H101" s="40">
        <v>1419</v>
      </c>
      <c r="I101" s="40">
        <v>400</v>
      </c>
      <c r="J101" s="31"/>
      <c r="K101" s="31"/>
      <c r="L101" s="31"/>
      <c r="M101" s="31"/>
      <c r="N101" s="31"/>
      <c r="O101" s="31"/>
      <c r="P101" s="31"/>
      <c r="Q101" s="31"/>
      <c r="R101" s="31"/>
      <c r="S101" s="31"/>
      <c r="T101" s="31"/>
      <c r="U101" s="31"/>
      <c r="V101" s="31"/>
      <c r="W101" s="31"/>
      <c r="X101" s="31"/>
      <c r="Y101" s="31"/>
      <c r="Z101" s="31"/>
      <c r="AA101" s="31"/>
      <c r="AB101" s="31"/>
      <c r="AC101" s="31"/>
      <c r="AD101" s="31"/>
      <c r="AE101" s="31"/>
      <c r="AF101" s="31"/>
      <c r="AG101" s="31"/>
      <c r="AH101" s="31"/>
      <c r="AI101" s="31"/>
      <c r="AJ101" s="31"/>
      <c r="AK101" s="31"/>
      <c r="AL101" s="28" t="str">
        <f>VLOOKUP($G101,'[42]Sheet1 (2)'!$A$1:$B$1048440,2,FALSE)</f>
        <v>Cum</v>
      </c>
      <c r="AM101" s="32"/>
      <c r="AN101" s="31"/>
      <c r="AO101" s="33"/>
    </row>
    <row r="102" spans="1:41" ht="70" x14ac:dyDescent="0.25">
      <c r="A102" s="36">
        <v>96</v>
      </c>
      <c r="B102" s="25" t="s">
        <v>142</v>
      </c>
      <c r="C102" s="37">
        <v>2.23</v>
      </c>
      <c r="D102" s="25" t="s">
        <v>167</v>
      </c>
      <c r="E102" s="57" t="s">
        <v>168</v>
      </c>
      <c r="F102" s="39" t="s">
        <v>169</v>
      </c>
      <c r="G102" s="25" t="s">
        <v>47</v>
      </c>
      <c r="H102" s="40">
        <v>91</v>
      </c>
      <c r="I102" s="40">
        <v>4</v>
      </c>
      <c r="J102" s="31"/>
      <c r="K102" s="31"/>
      <c r="L102" s="31"/>
      <c r="M102" s="31"/>
      <c r="N102" s="31"/>
      <c r="O102" s="31"/>
      <c r="P102" s="31"/>
      <c r="Q102" s="31"/>
      <c r="R102" s="31"/>
      <c r="S102" s="31"/>
      <c r="T102" s="31"/>
      <c r="U102" s="31"/>
      <c r="V102" s="31"/>
      <c r="W102" s="31"/>
      <c r="X102" s="31"/>
      <c r="Y102" s="31"/>
      <c r="Z102" s="31"/>
      <c r="AA102" s="31"/>
      <c r="AB102" s="31"/>
      <c r="AC102" s="31"/>
      <c r="AD102" s="31"/>
      <c r="AE102" s="31"/>
      <c r="AF102" s="31"/>
      <c r="AG102" s="31"/>
      <c r="AH102" s="31"/>
      <c r="AI102" s="31"/>
      <c r="AJ102" s="31"/>
      <c r="AK102" s="31"/>
      <c r="AL102" s="28" t="str">
        <f>VLOOKUP($G102,'[42]Sheet1 (2)'!$A$1:$B$1048440,2,FALSE)</f>
        <v>Cum</v>
      </c>
      <c r="AM102" s="32"/>
      <c r="AN102" s="31"/>
      <c r="AO102" s="33"/>
    </row>
    <row r="103" spans="1:41" ht="56" x14ac:dyDescent="0.25">
      <c r="A103" s="36">
        <v>97</v>
      </c>
      <c r="B103" s="25" t="s">
        <v>142</v>
      </c>
      <c r="C103" s="37">
        <v>2.2400000000000002</v>
      </c>
      <c r="D103" s="25" t="s">
        <v>167</v>
      </c>
      <c r="E103" s="57" t="s">
        <v>170</v>
      </c>
      <c r="F103" s="39" t="s">
        <v>169</v>
      </c>
      <c r="G103" s="25" t="s">
        <v>47</v>
      </c>
      <c r="H103" s="40">
        <v>79</v>
      </c>
      <c r="I103" s="40">
        <v>4</v>
      </c>
      <c r="J103" s="31"/>
      <c r="K103" s="31"/>
      <c r="L103" s="31"/>
      <c r="M103" s="31"/>
      <c r="N103" s="31"/>
      <c r="O103" s="31"/>
      <c r="P103" s="31"/>
      <c r="Q103" s="31"/>
      <c r="R103" s="31"/>
      <c r="S103" s="31"/>
      <c r="T103" s="31"/>
      <c r="U103" s="31"/>
      <c r="V103" s="31"/>
      <c r="W103" s="31"/>
      <c r="X103" s="31"/>
      <c r="Y103" s="31"/>
      <c r="Z103" s="31"/>
      <c r="AA103" s="31"/>
      <c r="AB103" s="31"/>
      <c r="AC103" s="31"/>
      <c r="AD103" s="31"/>
      <c r="AE103" s="31"/>
      <c r="AF103" s="31"/>
      <c r="AG103" s="31"/>
      <c r="AH103" s="31"/>
      <c r="AI103" s="31"/>
      <c r="AJ103" s="31"/>
      <c r="AK103" s="31"/>
      <c r="AL103" s="28" t="str">
        <f>VLOOKUP($G103,'[42]Sheet1 (2)'!$A$1:$B$1048440,2,FALSE)</f>
        <v>Cum</v>
      </c>
      <c r="AM103" s="32"/>
      <c r="AN103" s="31"/>
      <c r="AO103" s="33"/>
    </row>
    <row r="104" spans="1:41" ht="98" x14ac:dyDescent="0.25">
      <c r="A104" s="36">
        <v>98</v>
      </c>
      <c r="B104" s="25" t="s">
        <v>142</v>
      </c>
      <c r="C104" s="37">
        <v>2.25</v>
      </c>
      <c r="D104" s="25" t="s">
        <v>167</v>
      </c>
      <c r="E104" s="57" t="s">
        <v>171</v>
      </c>
      <c r="F104" s="39" t="s">
        <v>169</v>
      </c>
      <c r="G104" s="25" t="s">
        <v>47</v>
      </c>
      <c r="H104" s="40">
        <v>195</v>
      </c>
      <c r="I104" s="40">
        <v>89</v>
      </c>
      <c r="J104" s="31"/>
      <c r="K104" s="31"/>
      <c r="L104" s="31"/>
      <c r="M104" s="31"/>
      <c r="N104" s="31"/>
      <c r="O104" s="31"/>
      <c r="P104" s="31"/>
      <c r="Q104" s="31"/>
      <c r="R104" s="31"/>
      <c r="S104" s="31"/>
      <c r="T104" s="31"/>
      <c r="U104" s="31"/>
      <c r="V104" s="31"/>
      <c r="W104" s="31"/>
      <c r="X104" s="31"/>
      <c r="Y104" s="31"/>
      <c r="Z104" s="31"/>
      <c r="AA104" s="31"/>
      <c r="AB104" s="31"/>
      <c r="AC104" s="31"/>
      <c r="AD104" s="31"/>
      <c r="AE104" s="31"/>
      <c r="AF104" s="31"/>
      <c r="AG104" s="31"/>
      <c r="AH104" s="31"/>
      <c r="AI104" s="31"/>
      <c r="AJ104" s="31"/>
      <c r="AK104" s="31"/>
      <c r="AL104" s="28" t="str">
        <f>VLOOKUP($G104,'[42]Sheet1 (2)'!$A$1:$B$1048440,2,FALSE)</f>
        <v>Cum</v>
      </c>
      <c r="AM104" s="32"/>
      <c r="AN104" s="31"/>
      <c r="AO104" s="33"/>
    </row>
    <row r="105" spans="1:41" ht="84" x14ac:dyDescent="0.25">
      <c r="A105" s="36">
        <v>99</v>
      </c>
      <c r="B105" s="25" t="s">
        <v>142</v>
      </c>
      <c r="C105" s="37">
        <v>2.2599999999999998</v>
      </c>
      <c r="D105" s="25" t="s">
        <v>167</v>
      </c>
      <c r="E105" s="24" t="s">
        <v>172</v>
      </c>
      <c r="F105" s="39" t="s">
        <v>167</v>
      </c>
      <c r="G105" s="25" t="s">
        <v>47</v>
      </c>
      <c r="H105" s="40">
        <v>393</v>
      </c>
      <c r="I105" s="40">
        <v>208</v>
      </c>
      <c r="J105" s="31"/>
      <c r="K105" s="31"/>
      <c r="L105" s="31"/>
      <c r="M105" s="31"/>
      <c r="N105" s="31"/>
      <c r="O105" s="31"/>
      <c r="P105" s="31"/>
      <c r="Q105" s="31"/>
      <c r="R105" s="31"/>
      <c r="S105" s="31"/>
      <c r="T105" s="31"/>
      <c r="U105" s="31"/>
      <c r="V105" s="31"/>
      <c r="W105" s="31"/>
      <c r="X105" s="31"/>
      <c r="Y105" s="31"/>
      <c r="Z105" s="31"/>
      <c r="AA105" s="31"/>
      <c r="AB105" s="31"/>
      <c r="AC105" s="31"/>
      <c r="AD105" s="31"/>
      <c r="AE105" s="31"/>
      <c r="AF105" s="31"/>
      <c r="AG105" s="31"/>
      <c r="AH105" s="31"/>
      <c r="AI105" s="31"/>
      <c r="AJ105" s="31"/>
      <c r="AK105" s="31"/>
      <c r="AL105" s="28" t="str">
        <f>VLOOKUP($G105,'[42]Sheet1 (2)'!$A$1:$B$1048440,2,FALSE)</f>
        <v>Cum</v>
      </c>
      <c r="AM105" s="32"/>
      <c r="AN105" s="31"/>
      <c r="AO105" s="33"/>
    </row>
    <row r="106" spans="1:41" ht="98" x14ac:dyDescent="0.25">
      <c r="A106" s="36">
        <v>100</v>
      </c>
      <c r="B106" s="25" t="s">
        <v>142</v>
      </c>
      <c r="C106" s="37">
        <v>2.27</v>
      </c>
      <c r="D106" s="25" t="s">
        <v>167</v>
      </c>
      <c r="E106" s="24" t="s">
        <v>173</v>
      </c>
      <c r="F106" s="39" t="s">
        <v>167</v>
      </c>
      <c r="G106" s="25" t="s">
        <v>47</v>
      </c>
      <c r="H106" s="40">
        <v>225</v>
      </c>
      <c r="I106" s="40">
        <v>8</v>
      </c>
      <c r="J106" s="31"/>
      <c r="K106" s="31"/>
      <c r="L106" s="31"/>
      <c r="M106" s="31"/>
      <c r="N106" s="31"/>
      <c r="O106" s="31"/>
      <c r="P106" s="31"/>
      <c r="Q106" s="31"/>
      <c r="R106" s="31"/>
      <c r="S106" s="31"/>
      <c r="T106" s="31"/>
      <c r="U106" s="31"/>
      <c r="V106" s="31"/>
      <c r="W106" s="31"/>
      <c r="X106" s="31"/>
      <c r="Y106" s="31"/>
      <c r="Z106" s="31"/>
      <c r="AA106" s="31"/>
      <c r="AB106" s="31"/>
      <c r="AC106" s="31"/>
      <c r="AD106" s="31"/>
      <c r="AE106" s="31"/>
      <c r="AF106" s="31"/>
      <c r="AG106" s="31"/>
      <c r="AH106" s="31"/>
      <c r="AI106" s="31"/>
      <c r="AJ106" s="31"/>
      <c r="AK106" s="31"/>
      <c r="AL106" s="28" t="str">
        <f>VLOOKUP($G106,'[42]Sheet1 (2)'!$A$1:$B$1048440,2,FALSE)</f>
        <v>Cum</v>
      </c>
      <c r="AM106" s="32"/>
      <c r="AN106" s="31"/>
      <c r="AO106" s="33"/>
    </row>
    <row r="107" spans="1:41" ht="112" x14ac:dyDescent="0.25">
      <c r="A107" s="36">
        <v>101</v>
      </c>
      <c r="B107" s="25" t="s">
        <v>142</v>
      </c>
      <c r="C107" s="37">
        <v>2.2799999999999998</v>
      </c>
      <c r="D107" s="25" t="s">
        <v>167</v>
      </c>
      <c r="E107" s="24" t="s">
        <v>174</v>
      </c>
      <c r="F107" s="39" t="s">
        <v>167</v>
      </c>
      <c r="G107" s="25" t="s">
        <v>47</v>
      </c>
      <c r="H107" s="40">
        <v>757</v>
      </c>
      <c r="I107" s="40">
        <v>8</v>
      </c>
      <c r="J107" s="31"/>
      <c r="K107" s="31"/>
      <c r="L107" s="31"/>
      <c r="M107" s="31"/>
      <c r="N107" s="31"/>
      <c r="O107" s="31"/>
      <c r="P107" s="31"/>
      <c r="Q107" s="31"/>
      <c r="R107" s="31">
        <v>1</v>
      </c>
      <c r="S107" s="31"/>
      <c r="T107" s="31"/>
      <c r="U107" s="31"/>
      <c r="V107" s="31"/>
      <c r="W107" s="31"/>
      <c r="X107" s="31"/>
      <c r="Y107" s="31"/>
      <c r="Z107" s="31"/>
      <c r="AA107" s="31"/>
      <c r="AB107" s="31"/>
      <c r="AC107" s="31"/>
      <c r="AD107" s="31"/>
      <c r="AE107" s="31"/>
      <c r="AF107" s="31"/>
      <c r="AG107" s="31"/>
      <c r="AH107" s="31"/>
      <c r="AI107" s="31"/>
      <c r="AJ107" s="31"/>
      <c r="AK107" s="31"/>
      <c r="AL107" s="28" t="str">
        <f>VLOOKUP($G107,'[42]Sheet1 (2)'!$A$1:$B$1048440,2,FALSE)</f>
        <v>Cum</v>
      </c>
      <c r="AM107" s="32" t="s">
        <v>175</v>
      </c>
      <c r="AN107" s="31"/>
      <c r="AO107" s="33"/>
    </row>
    <row r="108" spans="1:41" ht="42" x14ac:dyDescent="0.25">
      <c r="A108" s="36">
        <v>102</v>
      </c>
      <c r="B108" s="25" t="s">
        <v>142</v>
      </c>
      <c r="C108" s="67" t="s">
        <v>176</v>
      </c>
      <c r="D108" s="53"/>
      <c r="E108" s="24" t="s">
        <v>177</v>
      </c>
      <c r="F108" s="53"/>
      <c r="G108" s="25" t="s">
        <v>178</v>
      </c>
      <c r="H108" s="40">
        <v>435</v>
      </c>
      <c r="I108" s="40">
        <v>53</v>
      </c>
      <c r="J108" s="31"/>
      <c r="K108" s="31"/>
      <c r="L108" s="31"/>
      <c r="M108" s="31"/>
      <c r="N108" s="31"/>
      <c r="O108" s="31"/>
      <c r="P108" s="31"/>
      <c r="Q108" s="31"/>
      <c r="R108" s="31">
        <v>1</v>
      </c>
      <c r="S108" s="31"/>
      <c r="T108" s="31"/>
      <c r="U108" s="31"/>
      <c r="V108" s="31"/>
      <c r="W108" s="31"/>
      <c r="X108" s="31"/>
      <c r="Y108" s="31"/>
      <c r="Z108" s="31"/>
      <c r="AA108" s="31"/>
      <c r="AB108" s="31"/>
      <c r="AC108" s="31"/>
      <c r="AD108" s="31"/>
      <c r="AE108" s="31"/>
      <c r="AF108" s="31"/>
      <c r="AG108" s="31"/>
      <c r="AH108" s="31"/>
      <c r="AI108" s="31"/>
      <c r="AJ108" s="31"/>
      <c r="AK108" s="31"/>
      <c r="AL108" s="28" t="str">
        <f>VLOOKUP($G108,'[42]Sheet1 (2)'!$A$1:$B$1048440,2,FALSE)</f>
        <v>Cum</v>
      </c>
      <c r="AM108" s="32" t="s">
        <v>179</v>
      </c>
      <c r="AN108" s="31"/>
      <c r="AO108" s="33"/>
    </row>
    <row r="109" spans="1:41" ht="25" x14ac:dyDescent="0.25">
      <c r="A109" s="36">
        <v>103</v>
      </c>
      <c r="B109" s="25" t="s">
        <v>142</v>
      </c>
      <c r="C109" s="67" t="s">
        <v>180</v>
      </c>
      <c r="D109" s="53"/>
      <c r="E109" s="24" t="s">
        <v>181</v>
      </c>
      <c r="F109" s="53"/>
      <c r="G109" s="25" t="s">
        <v>178</v>
      </c>
      <c r="H109" s="40">
        <v>432</v>
      </c>
      <c r="I109" s="40">
        <v>53</v>
      </c>
      <c r="J109" s="31"/>
      <c r="K109" s="31"/>
      <c r="L109" s="31"/>
      <c r="M109" s="31"/>
      <c r="N109" s="31"/>
      <c r="O109" s="31"/>
      <c r="P109" s="31"/>
      <c r="Q109" s="31"/>
      <c r="R109" s="31">
        <v>1</v>
      </c>
      <c r="S109" s="31"/>
      <c r="T109" s="31"/>
      <c r="U109" s="31"/>
      <c r="V109" s="31"/>
      <c r="W109" s="31"/>
      <c r="X109" s="31"/>
      <c r="Y109" s="31"/>
      <c r="Z109" s="31"/>
      <c r="AA109" s="31"/>
      <c r="AB109" s="31"/>
      <c r="AC109" s="31"/>
      <c r="AD109" s="31"/>
      <c r="AE109" s="31"/>
      <c r="AF109" s="31"/>
      <c r="AG109" s="31"/>
      <c r="AH109" s="31"/>
      <c r="AI109" s="31"/>
      <c r="AJ109" s="31"/>
      <c r="AK109" s="31"/>
      <c r="AL109" s="28" t="str">
        <f>VLOOKUP($G109,'[42]Sheet1 (2)'!$A$1:$B$1048440,2,FALSE)</f>
        <v>Cum</v>
      </c>
      <c r="AM109" s="32" t="s">
        <v>182</v>
      </c>
      <c r="AN109" s="31"/>
      <c r="AO109" s="33"/>
    </row>
    <row r="110" spans="1:41" ht="25" x14ac:dyDescent="0.25">
      <c r="A110" s="36">
        <v>104</v>
      </c>
      <c r="B110" s="25" t="s">
        <v>142</v>
      </c>
      <c r="C110" s="37">
        <v>2.2999999999999998</v>
      </c>
      <c r="D110" s="53"/>
      <c r="E110" s="24" t="s">
        <v>183</v>
      </c>
      <c r="F110" s="53"/>
      <c r="G110" s="25" t="s">
        <v>178</v>
      </c>
      <c r="H110" s="40">
        <v>79</v>
      </c>
      <c r="I110" s="40">
        <v>79</v>
      </c>
      <c r="J110" s="31"/>
      <c r="K110" s="31"/>
      <c r="L110" s="31"/>
      <c r="M110" s="31"/>
      <c r="N110" s="31"/>
      <c r="O110" s="31"/>
      <c r="P110" s="31"/>
      <c r="Q110" s="31"/>
      <c r="R110" s="31"/>
      <c r="S110" s="31"/>
      <c r="T110" s="31"/>
      <c r="U110" s="31"/>
      <c r="V110" s="31"/>
      <c r="W110" s="31"/>
      <c r="X110" s="31"/>
      <c r="Y110" s="31"/>
      <c r="Z110" s="31"/>
      <c r="AA110" s="31"/>
      <c r="AB110" s="31"/>
      <c r="AC110" s="31"/>
      <c r="AD110" s="31"/>
      <c r="AE110" s="31"/>
      <c r="AF110" s="31"/>
      <c r="AG110" s="31"/>
      <c r="AH110" s="31"/>
      <c r="AI110" s="31"/>
      <c r="AJ110" s="31"/>
      <c r="AK110" s="31"/>
      <c r="AL110" s="28" t="str">
        <f>VLOOKUP($G110,'[42]Sheet1 (2)'!$A$1:$B$1048440,2,FALSE)</f>
        <v>Cum</v>
      </c>
      <c r="AM110" s="32"/>
      <c r="AN110" s="31"/>
      <c r="AO110" s="33"/>
    </row>
    <row r="111" spans="1:41" ht="26.25" customHeight="1" x14ac:dyDescent="0.25">
      <c r="A111" s="36">
        <v>105</v>
      </c>
      <c r="B111" s="25" t="s">
        <v>142</v>
      </c>
      <c r="C111" s="37">
        <v>2.31</v>
      </c>
      <c r="D111" s="53"/>
      <c r="E111" s="24" t="s">
        <v>184</v>
      </c>
      <c r="F111" s="53"/>
      <c r="G111" s="58" t="s">
        <v>185</v>
      </c>
      <c r="H111" s="40">
        <v>21</v>
      </c>
      <c r="I111" s="40">
        <v>4</v>
      </c>
      <c r="J111" s="31"/>
      <c r="K111" s="31"/>
      <c r="L111" s="31"/>
      <c r="M111" s="31"/>
      <c r="N111" s="31"/>
      <c r="O111" s="31"/>
      <c r="P111" s="31"/>
      <c r="Q111" s="31"/>
      <c r="R111" s="31"/>
      <c r="S111" s="31"/>
      <c r="T111" s="31"/>
      <c r="U111" s="31"/>
      <c r="V111" s="31"/>
      <c r="W111" s="31"/>
      <c r="X111" s="31"/>
      <c r="Y111" s="31"/>
      <c r="Z111" s="31"/>
      <c r="AA111" s="31"/>
      <c r="AB111" s="31"/>
      <c r="AC111" s="31"/>
      <c r="AD111" s="31"/>
      <c r="AE111" s="31"/>
      <c r="AF111" s="31"/>
      <c r="AG111" s="31"/>
      <c r="AH111" s="31"/>
      <c r="AI111" s="31"/>
      <c r="AJ111" s="31"/>
      <c r="AK111" s="31"/>
      <c r="AL111" s="28" t="str">
        <f>VLOOKUP($G111,'[42]Sheet1 (2)'!$A$1:$B$1048440,2,FALSE)</f>
        <v>Sqm</v>
      </c>
      <c r="AM111" s="32" t="s">
        <v>175</v>
      </c>
      <c r="AN111" s="31"/>
      <c r="AO111" s="33"/>
    </row>
    <row r="112" spans="1:41" ht="40.5" customHeight="1" x14ac:dyDescent="0.25">
      <c r="A112" s="36">
        <v>106</v>
      </c>
      <c r="B112" s="25" t="s">
        <v>142</v>
      </c>
      <c r="C112" s="37">
        <v>2.3199999999999998</v>
      </c>
      <c r="D112" s="53"/>
      <c r="E112" s="24" t="s">
        <v>186</v>
      </c>
      <c r="F112" s="53"/>
      <c r="G112" s="58" t="s">
        <v>185</v>
      </c>
      <c r="H112" s="40">
        <v>31</v>
      </c>
      <c r="I112" s="40">
        <v>13</v>
      </c>
      <c r="J112" s="31"/>
      <c r="K112" s="31"/>
      <c r="L112" s="31"/>
      <c r="M112" s="31"/>
      <c r="N112" s="31"/>
      <c r="O112" s="31"/>
      <c r="P112" s="31"/>
      <c r="Q112" s="31"/>
      <c r="R112" s="31"/>
      <c r="S112" s="31"/>
      <c r="T112" s="31"/>
      <c r="U112" s="31"/>
      <c r="V112" s="31"/>
      <c r="W112" s="31"/>
      <c r="X112" s="31"/>
      <c r="Y112" s="31"/>
      <c r="Z112" s="31"/>
      <c r="AA112" s="31"/>
      <c r="AB112" s="31"/>
      <c r="AC112" s="31"/>
      <c r="AD112" s="31"/>
      <c r="AE112" s="31"/>
      <c r="AF112" s="31"/>
      <c r="AG112" s="31"/>
      <c r="AH112" s="31"/>
      <c r="AI112" s="31"/>
      <c r="AJ112" s="31"/>
      <c r="AK112" s="31"/>
      <c r="AL112" s="28" t="str">
        <f>VLOOKUP($G112,'[42]Sheet1 (2)'!$A$1:$B$1048440,2,FALSE)</f>
        <v>Sqm</v>
      </c>
      <c r="AM112" s="32" t="s">
        <v>175</v>
      </c>
      <c r="AN112" s="31"/>
      <c r="AO112" s="33"/>
    </row>
    <row r="113" spans="1:41" ht="42.75" customHeight="1" x14ac:dyDescent="0.25">
      <c r="A113" s="36">
        <v>107</v>
      </c>
      <c r="B113" s="25" t="s">
        <v>142</v>
      </c>
      <c r="C113" s="37">
        <v>2.33</v>
      </c>
      <c r="D113" s="53"/>
      <c r="E113" s="24" t="s">
        <v>187</v>
      </c>
      <c r="F113" s="53"/>
      <c r="G113" s="58" t="s">
        <v>185</v>
      </c>
      <c r="H113" s="40">
        <v>44</v>
      </c>
      <c r="I113" s="40">
        <v>13</v>
      </c>
      <c r="J113" s="31"/>
      <c r="K113" s="31"/>
      <c r="L113" s="31"/>
      <c r="M113" s="31"/>
      <c r="N113" s="31"/>
      <c r="O113" s="31"/>
      <c r="P113" s="31"/>
      <c r="Q113" s="31"/>
      <c r="R113" s="31"/>
      <c r="S113" s="31"/>
      <c r="T113" s="31"/>
      <c r="U113" s="31"/>
      <c r="V113" s="31"/>
      <c r="W113" s="31"/>
      <c r="X113" s="31"/>
      <c r="Y113" s="31"/>
      <c r="Z113" s="31"/>
      <c r="AA113" s="31"/>
      <c r="AB113" s="31"/>
      <c r="AC113" s="31"/>
      <c r="AD113" s="31"/>
      <c r="AE113" s="31"/>
      <c r="AF113" s="31"/>
      <c r="AG113" s="31"/>
      <c r="AH113" s="31"/>
      <c r="AI113" s="31"/>
      <c r="AJ113" s="31"/>
      <c r="AK113" s="31"/>
      <c r="AL113" s="28" t="str">
        <f>VLOOKUP($G113,'[42]Sheet1 (2)'!$A$1:$B$1048440,2,FALSE)</f>
        <v>Sqm</v>
      </c>
      <c r="AM113" s="32" t="s">
        <v>175</v>
      </c>
      <c r="AN113" s="31"/>
      <c r="AO113" s="33"/>
    </row>
    <row r="114" spans="1:41" ht="42" x14ac:dyDescent="0.25">
      <c r="A114" s="36">
        <v>108</v>
      </c>
      <c r="B114" s="25" t="s">
        <v>142</v>
      </c>
      <c r="C114" s="37">
        <v>2.34</v>
      </c>
      <c r="D114" s="53"/>
      <c r="E114" s="24" t="s">
        <v>188</v>
      </c>
      <c r="F114" s="53"/>
      <c r="G114" s="58" t="s">
        <v>185</v>
      </c>
      <c r="H114" s="40">
        <v>413</v>
      </c>
      <c r="I114" s="40">
        <v>115</v>
      </c>
      <c r="J114" s="31"/>
      <c r="K114" s="31"/>
      <c r="L114" s="31"/>
      <c r="M114" s="31"/>
      <c r="N114" s="31">
        <v>1</v>
      </c>
      <c r="O114" s="31"/>
      <c r="P114" s="31"/>
      <c r="Q114" s="31"/>
      <c r="R114" s="31"/>
      <c r="S114" s="31"/>
      <c r="T114" s="31"/>
      <c r="U114" s="31"/>
      <c r="V114" s="31"/>
      <c r="W114" s="31"/>
      <c r="X114" s="31"/>
      <c r="Y114" s="31"/>
      <c r="Z114" s="31"/>
      <c r="AA114" s="31"/>
      <c r="AB114" s="31"/>
      <c r="AC114" s="31"/>
      <c r="AD114" s="31"/>
      <c r="AE114" s="31"/>
      <c r="AF114" s="31"/>
      <c r="AG114" s="31"/>
      <c r="AH114" s="31"/>
      <c r="AI114" s="31"/>
      <c r="AJ114" s="31"/>
      <c r="AK114" s="31"/>
      <c r="AL114" s="28" t="str">
        <f>VLOOKUP($G114,'[42]Sheet1 (2)'!$A$1:$B$1048440,2,FALSE)</f>
        <v>Sqm</v>
      </c>
      <c r="AM114" s="32"/>
      <c r="AN114" s="31"/>
      <c r="AO114" s="33"/>
    </row>
    <row r="115" spans="1:41" ht="84" x14ac:dyDescent="0.25">
      <c r="A115" s="36">
        <v>109</v>
      </c>
      <c r="B115" s="25" t="s">
        <v>142</v>
      </c>
      <c r="C115" s="37">
        <v>2.35</v>
      </c>
      <c r="D115" s="25" t="s">
        <v>189</v>
      </c>
      <c r="E115" s="24" t="s">
        <v>190</v>
      </c>
      <c r="F115" s="39" t="s">
        <v>189</v>
      </c>
      <c r="G115" s="25" t="s">
        <v>47</v>
      </c>
      <c r="H115" s="40">
        <v>596</v>
      </c>
      <c r="I115" s="40">
        <v>31</v>
      </c>
      <c r="J115" s="31"/>
      <c r="K115" s="31"/>
      <c r="L115" s="31"/>
      <c r="M115" s="31"/>
      <c r="N115" s="31"/>
      <c r="O115" s="31"/>
      <c r="P115" s="31"/>
      <c r="Q115" s="31"/>
      <c r="R115" s="31"/>
      <c r="S115" s="31"/>
      <c r="T115" s="31"/>
      <c r="U115" s="31"/>
      <c r="V115" s="31"/>
      <c r="W115" s="31"/>
      <c r="X115" s="31"/>
      <c r="Y115" s="31"/>
      <c r="Z115" s="31"/>
      <c r="AA115" s="31"/>
      <c r="AB115" s="31"/>
      <c r="AC115" s="31"/>
      <c r="AD115" s="31"/>
      <c r="AE115" s="31"/>
      <c r="AF115" s="31"/>
      <c r="AG115" s="31"/>
      <c r="AH115" s="31"/>
      <c r="AI115" s="31"/>
      <c r="AJ115" s="31"/>
      <c r="AK115" s="31"/>
      <c r="AL115" s="28" t="str">
        <f>VLOOKUP($G115,'[42]Sheet1 (2)'!$A$1:$B$1048440,2,FALSE)</f>
        <v>Cum</v>
      </c>
      <c r="AM115" s="32"/>
      <c r="AN115" s="31"/>
      <c r="AO115" s="33"/>
    </row>
    <row r="116" spans="1:41" ht="84" x14ac:dyDescent="0.25">
      <c r="A116" s="40">
        <v>110</v>
      </c>
      <c r="B116" s="25" t="s">
        <v>142</v>
      </c>
      <c r="C116" s="37">
        <v>2.36</v>
      </c>
      <c r="D116" s="25" t="s">
        <v>189</v>
      </c>
      <c r="E116" s="24" t="s">
        <v>191</v>
      </c>
      <c r="F116" s="39" t="s">
        <v>189</v>
      </c>
      <c r="G116" s="25" t="s">
        <v>47</v>
      </c>
      <c r="H116" s="49">
        <v>818</v>
      </c>
      <c r="I116" s="40">
        <v>31</v>
      </c>
      <c r="J116" s="31"/>
      <c r="K116" s="31"/>
      <c r="L116" s="31"/>
      <c r="M116" s="31"/>
      <c r="N116" s="31"/>
      <c r="O116" s="31"/>
      <c r="P116" s="31"/>
      <c r="Q116" s="31"/>
      <c r="R116" s="31"/>
      <c r="S116" s="31"/>
      <c r="T116" s="31"/>
      <c r="U116" s="31"/>
      <c r="V116" s="31"/>
      <c r="W116" s="31"/>
      <c r="X116" s="31"/>
      <c r="Y116" s="31"/>
      <c r="Z116" s="31"/>
      <c r="AA116" s="31"/>
      <c r="AB116" s="31"/>
      <c r="AC116" s="31"/>
      <c r="AD116" s="31"/>
      <c r="AE116" s="31"/>
      <c r="AF116" s="31"/>
      <c r="AG116" s="31"/>
      <c r="AH116" s="31"/>
      <c r="AI116" s="31"/>
      <c r="AJ116" s="31"/>
      <c r="AK116" s="31"/>
      <c r="AL116" s="28" t="str">
        <f>VLOOKUP($G116,'[42]Sheet1 (2)'!$A$1:$B$1048440,2,FALSE)</f>
        <v>Cum</v>
      </c>
      <c r="AM116" s="32"/>
      <c r="AN116" s="31"/>
      <c r="AO116" s="33"/>
    </row>
    <row r="117" spans="1:41" ht="84" x14ac:dyDescent="0.25">
      <c r="A117" s="40">
        <v>111</v>
      </c>
      <c r="B117" s="25" t="s">
        <v>142</v>
      </c>
      <c r="C117" s="37">
        <v>2.37</v>
      </c>
      <c r="D117" s="25" t="s">
        <v>189</v>
      </c>
      <c r="E117" s="24" t="s">
        <v>192</v>
      </c>
      <c r="F117" s="39" t="s">
        <v>189</v>
      </c>
      <c r="G117" s="25" t="s">
        <v>47</v>
      </c>
      <c r="H117" s="49">
        <v>536</v>
      </c>
      <c r="I117" s="40">
        <v>23</v>
      </c>
      <c r="J117" s="31"/>
      <c r="K117" s="31"/>
      <c r="L117" s="31"/>
      <c r="M117" s="31"/>
      <c r="N117" s="31"/>
      <c r="O117" s="31"/>
      <c r="P117" s="31"/>
      <c r="Q117" s="31"/>
      <c r="R117" s="31"/>
      <c r="S117" s="31"/>
      <c r="T117" s="31"/>
      <c r="U117" s="31"/>
      <c r="V117" s="31"/>
      <c r="W117" s="31"/>
      <c r="X117" s="31"/>
      <c r="Y117" s="31"/>
      <c r="Z117" s="31"/>
      <c r="AA117" s="31"/>
      <c r="AB117" s="31"/>
      <c r="AC117" s="31"/>
      <c r="AD117" s="31"/>
      <c r="AE117" s="31"/>
      <c r="AF117" s="31"/>
      <c r="AG117" s="31"/>
      <c r="AH117" s="31"/>
      <c r="AI117" s="31"/>
      <c r="AJ117" s="31"/>
      <c r="AK117" s="31"/>
      <c r="AL117" s="28" t="str">
        <f>VLOOKUP($G117,'[42]Sheet1 (2)'!$A$1:$B$1048440,2,FALSE)</f>
        <v>Cum</v>
      </c>
      <c r="AM117" s="32"/>
      <c r="AN117" s="31"/>
      <c r="AO117" s="33"/>
    </row>
    <row r="118" spans="1:41" ht="84" x14ac:dyDescent="0.25">
      <c r="A118" s="40">
        <v>112</v>
      </c>
      <c r="B118" s="25" t="s">
        <v>142</v>
      </c>
      <c r="C118" s="37">
        <v>2.39</v>
      </c>
      <c r="D118" s="25" t="s">
        <v>167</v>
      </c>
      <c r="E118" s="57" t="s">
        <v>193</v>
      </c>
      <c r="F118" s="39" t="s">
        <v>169</v>
      </c>
      <c r="G118" s="25" t="s">
        <v>47</v>
      </c>
      <c r="H118" s="49">
        <v>156</v>
      </c>
      <c r="I118" s="40">
        <v>9</v>
      </c>
      <c r="J118" s="31"/>
      <c r="K118" s="31"/>
      <c r="L118" s="31"/>
      <c r="M118" s="31"/>
      <c r="N118" s="31"/>
      <c r="O118" s="31"/>
      <c r="P118" s="31"/>
      <c r="Q118" s="31"/>
      <c r="R118" s="31"/>
      <c r="S118" s="31"/>
      <c r="T118" s="31"/>
      <c r="U118" s="31"/>
      <c r="V118" s="31"/>
      <c r="W118" s="31"/>
      <c r="X118" s="31"/>
      <c r="Y118" s="31"/>
      <c r="Z118" s="31"/>
      <c r="AA118" s="31"/>
      <c r="AB118" s="31"/>
      <c r="AC118" s="31"/>
      <c r="AD118" s="31"/>
      <c r="AE118" s="31"/>
      <c r="AF118" s="31"/>
      <c r="AG118" s="31"/>
      <c r="AH118" s="31"/>
      <c r="AI118" s="31"/>
      <c r="AJ118" s="31"/>
      <c r="AK118" s="31"/>
      <c r="AL118" s="28" t="str">
        <f>VLOOKUP($G118,'[42]Sheet1 (2)'!$A$1:$B$1048440,2,FALSE)</f>
        <v>Cum</v>
      </c>
      <c r="AM118" s="32"/>
      <c r="AN118" s="31"/>
      <c r="AO118" s="33"/>
    </row>
    <row r="119" spans="1:41" x14ac:dyDescent="0.25">
      <c r="A119" s="68"/>
      <c r="B119" s="60"/>
      <c r="C119" s="69"/>
      <c r="D119" s="62"/>
      <c r="E119" s="70" t="s">
        <v>194</v>
      </c>
      <c r="F119" s="64"/>
      <c r="G119" s="65"/>
      <c r="H119" s="66"/>
      <c r="I119" s="66"/>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28" t="e">
        <f>VLOOKUP($G119,'[42]Sheet1 (2)'!$A$1:$B$1048440,2,FALSE)</f>
        <v>#N/A</v>
      </c>
      <c r="AM119" s="71"/>
      <c r="AN119" s="31"/>
      <c r="AO119" s="33"/>
    </row>
    <row r="120" spans="1:41" ht="98" x14ac:dyDescent="0.35">
      <c r="A120" s="40">
        <v>113</v>
      </c>
      <c r="B120" s="24" t="s">
        <v>194</v>
      </c>
      <c r="C120" s="37">
        <v>3.01</v>
      </c>
      <c r="D120" s="25" t="s">
        <v>195</v>
      </c>
      <c r="E120" s="38" t="s">
        <v>196</v>
      </c>
      <c r="F120" s="39" t="s">
        <v>195</v>
      </c>
      <c r="G120" s="25" t="s">
        <v>47</v>
      </c>
      <c r="H120" s="40">
        <v>2039</v>
      </c>
      <c r="I120" s="49">
        <v>36</v>
      </c>
      <c r="J120" s="72"/>
      <c r="K120" s="72"/>
      <c r="L120" s="72"/>
      <c r="M120" s="72"/>
      <c r="N120" s="72"/>
      <c r="O120" s="72">
        <v>0.64</v>
      </c>
      <c r="P120" s="72">
        <v>0.38400000000000001</v>
      </c>
      <c r="Q120" s="72"/>
      <c r="R120" s="72">
        <v>0.253</v>
      </c>
      <c r="S120" s="72"/>
      <c r="T120" s="72"/>
      <c r="U120" s="72"/>
      <c r="V120" s="73"/>
      <c r="W120" s="72"/>
      <c r="X120" s="72"/>
      <c r="Y120" s="74"/>
      <c r="Z120" s="72"/>
      <c r="AA120" s="72"/>
      <c r="AB120" s="72"/>
      <c r="AC120" s="72"/>
      <c r="AD120" s="72"/>
      <c r="AE120" s="72"/>
      <c r="AF120" s="72"/>
      <c r="AG120" s="72"/>
      <c r="AH120" s="72"/>
      <c r="AI120" s="72"/>
      <c r="AJ120" s="75"/>
      <c r="AK120" s="72"/>
      <c r="AL120" s="28" t="str">
        <f>VLOOKUP($G120,'[42]Sheet1 (2)'!$A$1:$B$1048440,2,FALSE)</f>
        <v>Cum</v>
      </c>
      <c r="AM120" s="76" t="s">
        <v>197</v>
      </c>
      <c r="AN120" s="31"/>
      <c r="AO120" s="33"/>
    </row>
    <row r="121" spans="1:41" ht="98" x14ac:dyDescent="0.35">
      <c r="A121" s="40">
        <v>114</v>
      </c>
      <c r="B121" s="24" t="s">
        <v>194</v>
      </c>
      <c r="C121" s="37">
        <v>3.02</v>
      </c>
      <c r="D121" s="25" t="s">
        <v>195</v>
      </c>
      <c r="E121" s="38" t="s">
        <v>198</v>
      </c>
      <c r="F121" s="39" t="s">
        <v>195</v>
      </c>
      <c r="G121" s="25" t="s">
        <v>47</v>
      </c>
      <c r="H121" s="40">
        <v>2039</v>
      </c>
      <c r="I121" s="49">
        <v>36</v>
      </c>
      <c r="J121" s="72"/>
      <c r="K121" s="72"/>
      <c r="L121" s="72">
        <v>0.44800000000000001</v>
      </c>
      <c r="M121" s="72"/>
      <c r="N121" s="72"/>
      <c r="O121" s="72">
        <v>0.51200000000000001</v>
      </c>
      <c r="P121" s="73"/>
      <c r="Q121" s="72"/>
      <c r="R121" s="73"/>
      <c r="S121" s="72">
        <v>0.32</v>
      </c>
      <c r="T121" s="72"/>
      <c r="U121" s="72"/>
      <c r="V121" s="73"/>
      <c r="W121" s="72"/>
      <c r="X121" s="72"/>
      <c r="Y121" s="74"/>
      <c r="Z121" s="72"/>
      <c r="AA121" s="72"/>
      <c r="AB121" s="72"/>
      <c r="AC121" s="72"/>
      <c r="AD121" s="72"/>
      <c r="AE121" s="72"/>
      <c r="AF121" s="72"/>
      <c r="AG121" s="72"/>
      <c r="AH121" s="72"/>
      <c r="AI121" s="72"/>
      <c r="AJ121" s="75"/>
      <c r="AK121" s="72"/>
      <c r="AL121" s="28" t="str">
        <f>VLOOKUP($G121,'[42]Sheet1 (2)'!$A$1:$B$1048440,2,FALSE)</f>
        <v>Cum</v>
      </c>
      <c r="AM121" s="76" t="s">
        <v>199</v>
      </c>
      <c r="AN121" s="31"/>
      <c r="AO121" s="33"/>
    </row>
    <row r="122" spans="1:41" ht="98" x14ac:dyDescent="0.35">
      <c r="A122" s="40">
        <v>115</v>
      </c>
      <c r="B122" s="24" t="s">
        <v>194</v>
      </c>
      <c r="C122" s="37">
        <v>3.03</v>
      </c>
      <c r="D122" s="25" t="s">
        <v>195</v>
      </c>
      <c r="E122" s="38" t="s">
        <v>200</v>
      </c>
      <c r="F122" s="39" t="s">
        <v>195</v>
      </c>
      <c r="G122" s="25" t="s">
        <v>47</v>
      </c>
      <c r="H122" s="40">
        <v>2039</v>
      </c>
      <c r="I122" s="49">
        <v>36</v>
      </c>
      <c r="J122" s="72"/>
      <c r="K122" s="72"/>
      <c r="L122" s="72">
        <v>0.44800000000000001</v>
      </c>
      <c r="M122" s="72"/>
      <c r="N122" s="72"/>
      <c r="O122" s="72">
        <v>0.67200000000000004</v>
      </c>
      <c r="P122" s="73"/>
      <c r="Q122" s="72">
        <v>0.16</v>
      </c>
      <c r="R122" s="73"/>
      <c r="S122" s="72"/>
      <c r="T122" s="72"/>
      <c r="U122" s="72"/>
      <c r="V122" s="73"/>
      <c r="W122" s="72"/>
      <c r="X122" s="72"/>
      <c r="Y122" s="74"/>
      <c r="Z122" s="72"/>
      <c r="AA122" s="72"/>
      <c r="AB122" s="72"/>
      <c r="AC122" s="72"/>
      <c r="AD122" s="72"/>
      <c r="AE122" s="72"/>
      <c r="AF122" s="72"/>
      <c r="AG122" s="72"/>
      <c r="AH122" s="72"/>
      <c r="AI122" s="72"/>
      <c r="AJ122" s="75"/>
      <c r="AK122" s="72"/>
      <c r="AL122" s="28" t="str">
        <f>VLOOKUP($G122,'[42]Sheet1 (2)'!$A$1:$B$1048440,2,FALSE)</f>
        <v>Cum</v>
      </c>
      <c r="AM122" s="76" t="s">
        <v>201</v>
      </c>
      <c r="AN122" s="31"/>
      <c r="AO122" s="33"/>
    </row>
    <row r="123" spans="1:41" ht="98" x14ac:dyDescent="0.35">
      <c r="A123" s="40">
        <v>116</v>
      </c>
      <c r="B123" s="24" t="s">
        <v>194</v>
      </c>
      <c r="C123" s="37">
        <v>3.04</v>
      </c>
      <c r="D123" s="25" t="s">
        <v>195</v>
      </c>
      <c r="E123" s="38" t="s">
        <v>202</v>
      </c>
      <c r="F123" s="39" t="s">
        <v>195</v>
      </c>
      <c r="G123" s="25" t="s">
        <v>47</v>
      </c>
      <c r="H123" s="40">
        <v>1804</v>
      </c>
      <c r="I123" s="49">
        <v>32</v>
      </c>
      <c r="J123" s="72"/>
      <c r="K123" s="72"/>
      <c r="L123" s="77">
        <v>0.64</v>
      </c>
      <c r="M123" s="72"/>
      <c r="N123" s="72"/>
      <c r="O123" s="72">
        <v>0.38400000000000001</v>
      </c>
      <c r="P123" s="73"/>
      <c r="Q123" s="72">
        <v>0.253</v>
      </c>
      <c r="R123" s="73"/>
      <c r="S123" s="72"/>
      <c r="T123" s="72"/>
      <c r="U123" s="72"/>
      <c r="V123" s="73"/>
      <c r="W123" s="72"/>
      <c r="X123" s="72"/>
      <c r="Y123" s="74"/>
      <c r="Z123" s="72"/>
      <c r="AA123" s="72"/>
      <c r="AB123" s="72"/>
      <c r="AC123" s="72"/>
      <c r="AD123" s="72"/>
      <c r="AE123" s="72"/>
      <c r="AF123" s="72"/>
      <c r="AG123" s="72"/>
      <c r="AH123" s="72"/>
      <c r="AI123" s="72"/>
      <c r="AJ123" s="75"/>
      <c r="AK123" s="72"/>
      <c r="AL123" s="28" t="str">
        <f>VLOOKUP($G123,'[42]Sheet1 (2)'!$A$1:$B$1048440,2,FALSE)</f>
        <v>Cum</v>
      </c>
      <c r="AM123" s="76" t="s">
        <v>197</v>
      </c>
      <c r="AN123" s="31"/>
      <c r="AO123" s="33"/>
    </row>
    <row r="124" spans="1:41" ht="98" x14ac:dyDescent="0.35">
      <c r="A124" s="40">
        <v>117</v>
      </c>
      <c r="B124" s="24" t="s">
        <v>194</v>
      </c>
      <c r="C124" s="37">
        <v>3.05</v>
      </c>
      <c r="D124" s="25" t="s">
        <v>195</v>
      </c>
      <c r="E124" s="38" t="s">
        <v>203</v>
      </c>
      <c r="F124" s="39" t="s">
        <v>195</v>
      </c>
      <c r="G124" s="25" t="s">
        <v>47</v>
      </c>
      <c r="H124" s="40">
        <v>1804</v>
      </c>
      <c r="I124" s="49">
        <v>32</v>
      </c>
      <c r="J124" s="72"/>
      <c r="K124" s="72"/>
      <c r="L124" s="72">
        <v>0.4466</v>
      </c>
      <c r="M124" s="72"/>
      <c r="N124" s="72"/>
      <c r="O124" s="72">
        <v>0.51200000000000001</v>
      </c>
      <c r="P124" s="73"/>
      <c r="Q124" s="72">
        <v>0.32</v>
      </c>
      <c r="R124" s="73"/>
      <c r="S124" s="72"/>
      <c r="T124" s="72"/>
      <c r="U124" s="72"/>
      <c r="V124" s="73"/>
      <c r="W124" s="72"/>
      <c r="X124" s="72"/>
      <c r="Y124" s="74"/>
      <c r="Z124" s="72"/>
      <c r="AA124" s="72"/>
      <c r="AB124" s="72"/>
      <c r="AC124" s="72"/>
      <c r="AD124" s="72"/>
      <c r="AE124" s="72"/>
      <c r="AF124" s="72"/>
      <c r="AG124" s="72"/>
      <c r="AH124" s="72"/>
      <c r="AI124" s="72"/>
      <c r="AJ124" s="75"/>
      <c r="AK124" s="72"/>
      <c r="AL124" s="28" t="str">
        <f>VLOOKUP($G124,'[42]Sheet1 (2)'!$A$1:$B$1048440,2,FALSE)</f>
        <v>Cum</v>
      </c>
      <c r="AM124" s="76" t="s">
        <v>199</v>
      </c>
      <c r="AN124" s="31"/>
      <c r="AO124" s="33"/>
    </row>
    <row r="125" spans="1:41" ht="98" x14ac:dyDescent="0.35">
      <c r="A125" s="40">
        <v>118</v>
      </c>
      <c r="B125" s="24" t="s">
        <v>194</v>
      </c>
      <c r="C125" s="37">
        <v>3.06</v>
      </c>
      <c r="D125" s="25" t="s">
        <v>195</v>
      </c>
      <c r="E125" s="38" t="s">
        <v>204</v>
      </c>
      <c r="F125" s="39" t="s">
        <v>195</v>
      </c>
      <c r="G125" s="25" t="s">
        <v>47</v>
      </c>
      <c r="H125" s="40">
        <v>1804</v>
      </c>
      <c r="I125" s="49">
        <v>32</v>
      </c>
      <c r="J125" s="72"/>
      <c r="K125" s="72"/>
      <c r="L125" s="72">
        <v>0.4466</v>
      </c>
      <c r="M125" s="72"/>
      <c r="N125" s="72"/>
      <c r="O125" s="72">
        <v>0.67200000000000004</v>
      </c>
      <c r="P125" s="73"/>
      <c r="Q125" s="72"/>
      <c r="R125" s="73"/>
      <c r="S125" s="72">
        <v>0.16</v>
      </c>
      <c r="T125" s="72"/>
      <c r="U125" s="72"/>
      <c r="V125" s="73"/>
      <c r="W125" s="72"/>
      <c r="X125" s="72"/>
      <c r="Y125" s="74"/>
      <c r="Z125" s="72"/>
      <c r="AA125" s="72"/>
      <c r="AB125" s="72"/>
      <c r="AC125" s="72"/>
      <c r="AD125" s="72"/>
      <c r="AE125" s="72"/>
      <c r="AF125" s="72"/>
      <c r="AG125" s="72"/>
      <c r="AH125" s="72"/>
      <c r="AI125" s="72"/>
      <c r="AJ125" s="75"/>
      <c r="AK125" s="72"/>
      <c r="AL125" s="28" t="str">
        <f>VLOOKUP($G125,'[42]Sheet1 (2)'!$A$1:$B$1048440,2,FALSE)</f>
        <v>Cum</v>
      </c>
      <c r="AM125" s="76" t="s">
        <v>201</v>
      </c>
      <c r="AN125" s="31"/>
      <c r="AO125" s="33"/>
    </row>
    <row r="126" spans="1:41" ht="154" x14ac:dyDescent="0.35">
      <c r="A126" s="26">
        <v>119</v>
      </c>
      <c r="B126" s="24" t="s">
        <v>194</v>
      </c>
      <c r="C126" s="22">
        <v>3.07</v>
      </c>
      <c r="D126" s="25" t="s">
        <v>205</v>
      </c>
      <c r="E126" s="24" t="s">
        <v>206</v>
      </c>
      <c r="F126" s="25" t="s">
        <v>205</v>
      </c>
      <c r="G126" s="25" t="s">
        <v>47</v>
      </c>
      <c r="H126" s="26">
        <v>1403</v>
      </c>
      <c r="I126" s="26">
        <v>11</v>
      </c>
      <c r="J126" s="78"/>
      <c r="K126" s="79"/>
      <c r="L126" s="79"/>
      <c r="M126" s="72"/>
      <c r="N126" s="80"/>
      <c r="O126" s="72"/>
      <c r="P126" s="79"/>
      <c r="Q126" s="79"/>
      <c r="R126" s="79"/>
      <c r="S126" s="80"/>
      <c r="T126" s="80"/>
      <c r="U126" s="80"/>
      <c r="V126" s="73"/>
      <c r="W126" s="80"/>
      <c r="X126" s="80"/>
      <c r="Y126" s="74"/>
      <c r="Z126" s="72"/>
      <c r="AA126" s="72"/>
      <c r="AB126" s="72"/>
      <c r="AC126" s="72"/>
      <c r="AD126" s="72"/>
      <c r="AE126" s="72"/>
      <c r="AF126" s="72"/>
      <c r="AG126" s="72"/>
      <c r="AH126" s="72"/>
      <c r="AI126" s="72"/>
      <c r="AJ126" s="75"/>
      <c r="AK126" s="72"/>
      <c r="AL126" s="28" t="str">
        <f>VLOOKUP($G126,'[42]Sheet1 (2)'!$A$1:$B$1048440,2,FALSE)</f>
        <v>Cum</v>
      </c>
      <c r="AM126" s="76" t="s">
        <v>207</v>
      </c>
      <c r="AN126" s="31"/>
      <c r="AO126" s="33"/>
    </row>
    <row r="127" spans="1:41" ht="112" x14ac:dyDescent="0.35">
      <c r="A127" s="23"/>
      <c r="B127" s="24" t="s">
        <v>194</v>
      </c>
      <c r="C127" s="22">
        <v>3.08</v>
      </c>
      <c r="D127" s="25" t="s">
        <v>208</v>
      </c>
      <c r="E127" s="24" t="s">
        <v>209</v>
      </c>
      <c r="F127" s="25" t="s">
        <v>205</v>
      </c>
      <c r="G127" s="25" t="s">
        <v>47</v>
      </c>
      <c r="H127" s="26">
        <v>0</v>
      </c>
      <c r="I127" s="26">
        <v>0</v>
      </c>
      <c r="J127" s="78"/>
      <c r="K127" s="79"/>
      <c r="L127" s="79"/>
      <c r="M127" s="72"/>
      <c r="N127" s="80"/>
      <c r="O127" s="72"/>
      <c r="P127" s="79"/>
      <c r="Q127" s="79"/>
      <c r="R127" s="79"/>
      <c r="S127" s="80"/>
      <c r="T127" s="80"/>
      <c r="U127" s="80"/>
      <c r="V127" s="73"/>
      <c r="W127" s="80"/>
      <c r="X127" s="80"/>
      <c r="Y127" s="74"/>
      <c r="Z127" s="72"/>
      <c r="AA127" s="72"/>
      <c r="AB127" s="72"/>
      <c r="AC127" s="72"/>
      <c r="AD127" s="72"/>
      <c r="AE127" s="72"/>
      <c r="AF127" s="72"/>
      <c r="AG127" s="72"/>
      <c r="AH127" s="72"/>
      <c r="AI127" s="72"/>
      <c r="AJ127" s="75"/>
      <c r="AK127" s="72"/>
      <c r="AL127" s="28" t="str">
        <f>VLOOKUP($G127,'[42]Sheet1 (2)'!$A$1:$B$1048440,2,FALSE)</f>
        <v>Cum</v>
      </c>
      <c r="AM127" s="76"/>
      <c r="AN127" s="31"/>
      <c r="AO127" s="33"/>
    </row>
    <row r="128" spans="1:41" ht="42" x14ac:dyDescent="0.35">
      <c r="A128" s="26">
        <v>120</v>
      </c>
      <c r="B128" s="24" t="s">
        <v>194</v>
      </c>
      <c r="C128" s="67" t="s">
        <v>210</v>
      </c>
      <c r="D128" s="25" t="s">
        <v>205</v>
      </c>
      <c r="E128" s="24" t="s">
        <v>211</v>
      </c>
      <c r="F128" s="25" t="s">
        <v>205</v>
      </c>
      <c r="G128" s="25" t="s">
        <v>47</v>
      </c>
      <c r="H128" s="26">
        <v>2447</v>
      </c>
      <c r="I128" s="26">
        <v>31</v>
      </c>
      <c r="J128" s="78"/>
      <c r="K128" s="79"/>
      <c r="L128" s="79"/>
      <c r="M128" s="72"/>
      <c r="N128" s="80"/>
      <c r="O128" s="72"/>
      <c r="P128" s="79"/>
      <c r="Q128" s="79"/>
      <c r="R128" s="79"/>
      <c r="S128" s="80"/>
      <c r="T128" s="80"/>
      <c r="U128" s="80"/>
      <c r="V128" s="73"/>
      <c r="W128" s="80"/>
      <c r="X128" s="80"/>
      <c r="Y128" s="74"/>
      <c r="Z128" s="72"/>
      <c r="AA128" s="72"/>
      <c r="AB128" s="72"/>
      <c r="AC128" s="72"/>
      <c r="AD128" s="72"/>
      <c r="AE128" s="72"/>
      <c r="AF128" s="72"/>
      <c r="AG128" s="72"/>
      <c r="AH128" s="72"/>
      <c r="AI128" s="72"/>
      <c r="AJ128" s="75"/>
      <c r="AK128" s="72"/>
      <c r="AL128" s="28" t="str">
        <f>VLOOKUP($G128,'[42]Sheet1 (2)'!$A$1:$B$1048440,2,FALSE)</f>
        <v>Cum</v>
      </c>
      <c r="AM128" s="76"/>
      <c r="AN128" s="31"/>
      <c r="AO128" s="33"/>
    </row>
    <row r="129" spans="1:41" ht="42" x14ac:dyDescent="0.35">
      <c r="A129" s="26">
        <v>121</v>
      </c>
      <c r="B129" s="24" t="s">
        <v>194</v>
      </c>
      <c r="C129" s="67" t="s">
        <v>212</v>
      </c>
      <c r="D129" s="25" t="s">
        <v>205</v>
      </c>
      <c r="E129" s="24" t="s">
        <v>213</v>
      </c>
      <c r="F129" s="25" t="s">
        <v>208</v>
      </c>
      <c r="G129" s="25" t="s">
        <v>47</v>
      </c>
      <c r="H129" s="26">
        <v>2351</v>
      </c>
      <c r="I129" s="26">
        <v>31</v>
      </c>
      <c r="J129" s="78"/>
      <c r="K129" s="79"/>
      <c r="L129" s="79"/>
      <c r="M129" s="72"/>
      <c r="N129" s="80"/>
      <c r="O129" s="72"/>
      <c r="P129" s="79"/>
      <c r="Q129" s="79"/>
      <c r="R129" s="79"/>
      <c r="S129" s="80"/>
      <c r="T129" s="80"/>
      <c r="U129" s="80"/>
      <c r="V129" s="73"/>
      <c r="W129" s="80"/>
      <c r="X129" s="80"/>
      <c r="Y129" s="74"/>
      <c r="Z129" s="72"/>
      <c r="AA129" s="72"/>
      <c r="AB129" s="72"/>
      <c r="AC129" s="72"/>
      <c r="AD129" s="72"/>
      <c r="AE129" s="72"/>
      <c r="AF129" s="72"/>
      <c r="AG129" s="72"/>
      <c r="AH129" s="72"/>
      <c r="AI129" s="72"/>
      <c r="AJ129" s="75"/>
      <c r="AK129" s="72"/>
      <c r="AL129" s="28" t="str">
        <f>VLOOKUP($G129,'[42]Sheet1 (2)'!$A$1:$B$1048440,2,FALSE)</f>
        <v>Cum</v>
      </c>
      <c r="AM129" s="76"/>
      <c r="AN129" s="31"/>
      <c r="AO129" s="33"/>
    </row>
    <row r="130" spans="1:41" ht="42" x14ac:dyDescent="0.35">
      <c r="A130" s="26">
        <v>122</v>
      </c>
      <c r="B130" s="24" t="s">
        <v>194</v>
      </c>
      <c r="C130" s="22">
        <v>3.09</v>
      </c>
      <c r="D130" s="25" t="s">
        <v>214</v>
      </c>
      <c r="E130" s="24" t="s">
        <v>215</v>
      </c>
      <c r="F130" s="25" t="s">
        <v>216</v>
      </c>
      <c r="G130" s="21" t="s">
        <v>217</v>
      </c>
      <c r="H130" s="26">
        <v>47</v>
      </c>
      <c r="I130" s="26">
        <v>39</v>
      </c>
      <c r="J130" s="78"/>
      <c r="K130" s="79"/>
      <c r="L130" s="79"/>
      <c r="M130" s="72"/>
      <c r="N130" s="80"/>
      <c r="O130" s="72"/>
      <c r="P130" s="79"/>
      <c r="Q130" s="79"/>
      <c r="R130" s="79"/>
      <c r="S130" s="80"/>
      <c r="T130" s="80"/>
      <c r="U130" s="80"/>
      <c r="V130" s="73"/>
      <c r="W130" s="80"/>
      <c r="X130" s="80"/>
      <c r="Y130" s="74"/>
      <c r="Z130" s="72"/>
      <c r="AA130" s="72"/>
      <c r="AB130" s="72"/>
      <c r="AC130" s="72"/>
      <c r="AD130" s="72"/>
      <c r="AE130" s="72"/>
      <c r="AF130" s="72"/>
      <c r="AG130" s="72"/>
      <c r="AH130" s="72"/>
      <c r="AI130" s="72"/>
      <c r="AJ130" s="75"/>
      <c r="AK130" s="72"/>
      <c r="AL130" s="28" t="str">
        <f>VLOOKUP($G130,'[42]Sheet1 (2)'!$A$1:$B$1048440,2,FALSE)</f>
        <v>Sqm</v>
      </c>
      <c r="AM130" s="76"/>
      <c r="AN130" s="31"/>
      <c r="AO130" s="33"/>
    </row>
    <row r="131" spans="1:41" ht="42" x14ac:dyDescent="0.35">
      <c r="A131" s="26">
        <v>123</v>
      </c>
      <c r="B131" s="24" t="s">
        <v>194</v>
      </c>
      <c r="C131" s="22">
        <v>3.1</v>
      </c>
      <c r="D131" s="25" t="s">
        <v>218</v>
      </c>
      <c r="E131" s="24" t="s">
        <v>219</v>
      </c>
      <c r="F131" s="25" t="s">
        <v>218</v>
      </c>
      <c r="G131" s="25" t="s">
        <v>47</v>
      </c>
      <c r="H131" s="26">
        <v>430</v>
      </c>
      <c r="I131" s="26">
        <v>231</v>
      </c>
      <c r="J131" s="78"/>
      <c r="K131" s="79"/>
      <c r="L131" s="79"/>
      <c r="M131" s="72"/>
      <c r="N131" s="80"/>
      <c r="O131" s="72"/>
      <c r="P131" s="79"/>
      <c r="Q131" s="79"/>
      <c r="R131" s="79"/>
      <c r="S131" s="80"/>
      <c r="T131" s="80"/>
      <c r="U131" s="80"/>
      <c r="V131" s="73"/>
      <c r="W131" s="80"/>
      <c r="X131" s="80"/>
      <c r="Y131" s="74"/>
      <c r="Z131" s="72"/>
      <c r="AA131" s="72"/>
      <c r="AB131" s="72"/>
      <c r="AC131" s="72"/>
      <c r="AD131" s="72"/>
      <c r="AE131" s="72"/>
      <c r="AF131" s="72"/>
      <c r="AG131" s="72"/>
      <c r="AH131" s="72"/>
      <c r="AI131" s="72"/>
      <c r="AJ131" s="75"/>
      <c r="AK131" s="72"/>
      <c r="AL131" s="28" t="str">
        <f>VLOOKUP($G131,'[42]Sheet1 (2)'!$A$1:$B$1048440,2,FALSE)</f>
        <v>Cum</v>
      </c>
      <c r="AM131" s="76"/>
      <c r="AN131" s="31"/>
      <c r="AO131" s="33"/>
    </row>
    <row r="132" spans="1:41" ht="84" x14ac:dyDescent="0.35">
      <c r="A132" s="26">
        <v>124</v>
      </c>
      <c r="B132" s="24" t="s">
        <v>194</v>
      </c>
      <c r="C132" s="22">
        <v>3.11</v>
      </c>
      <c r="D132" s="25" t="s">
        <v>218</v>
      </c>
      <c r="E132" s="24" t="s">
        <v>220</v>
      </c>
      <c r="F132" s="25" t="s">
        <v>218</v>
      </c>
      <c r="G132" s="25" t="s">
        <v>47</v>
      </c>
      <c r="H132" s="26">
        <v>1385</v>
      </c>
      <c r="I132" s="26">
        <v>173</v>
      </c>
      <c r="J132" s="78"/>
      <c r="K132" s="79"/>
      <c r="L132" s="79"/>
      <c r="M132" s="72"/>
      <c r="N132" s="80"/>
      <c r="O132" s="72"/>
      <c r="P132" s="79"/>
      <c r="Q132" s="79"/>
      <c r="R132" s="79"/>
      <c r="S132" s="80"/>
      <c r="T132" s="80"/>
      <c r="U132" s="80"/>
      <c r="V132" s="73"/>
      <c r="W132" s="80"/>
      <c r="X132" s="80"/>
      <c r="Y132" s="74"/>
      <c r="Z132" s="72"/>
      <c r="AA132" s="72"/>
      <c r="AB132" s="72"/>
      <c r="AC132" s="72"/>
      <c r="AD132" s="72"/>
      <c r="AE132" s="72"/>
      <c r="AF132" s="72"/>
      <c r="AG132" s="72"/>
      <c r="AH132" s="72"/>
      <c r="AI132" s="72"/>
      <c r="AJ132" s="75"/>
      <c r="AK132" s="72"/>
      <c r="AL132" s="28" t="str">
        <f>VLOOKUP($G132,'[42]Sheet1 (2)'!$A$1:$B$1048440,2,FALSE)</f>
        <v>Cum</v>
      </c>
      <c r="AM132" s="76"/>
      <c r="AN132" s="31"/>
      <c r="AO132" s="33"/>
    </row>
    <row r="133" spans="1:41" ht="56" x14ac:dyDescent="0.35">
      <c r="A133" s="26">
        <v>125</v>
      </c>
      <c r="B133" s="24" t="s">
        <v>194</v>
      </c>
      <c r="C133" s="22">
        <v>3.12</v>
      </c>
      <c r="D133" s="25" t="s">
        <v>221</v>
      </c>
      <c r="E133" s="24" t="s">
        <v>222</v>
      </c>
      <c r="F133" s="25" t="s">
        <v>221</v>
      </c>
      <c r="G133" s="21" t="s">
        <v>217</v>
      </c>
      <c r="H133" s="26">
        <v>8</v>
      </c>
      <c r="I133" s="26">
        <v>8</v>
      </c>
      <c r="J133" s="78"/>
      <c r="K133" s="79"/>
      <c r="L133" s="79"/>
      <c r="M133" s="72"/>
      <c r="N133" s="80"/>
      <c r="O133" s="72"/>
      <c r="P133" s="79"/>
      <c r="Q133" s="79"/>
      <c r="R133" s="79"/>
      <c r="S133" s="80"/>
      <c r="T133" s="80"/>
      <c r="U133" s="80"/>
      <c r="V133" s="73"/>
      <c r="W133" s="80"/>
      <c r="X133" s="80"/>
      <c r="Y133" s="74"/>
      <c r="Z133" s="72"/>
      <c r="AA133" s="72"/>
      <c r="AB133" s="72"/>
      <c r="AC133" s="72"/>
      <c r="AD133" s="72"/>
      <c r="AE133" s="72"/>
      <c r="AF133" s="72"/>
      <c r="AG133" s="72"/>
      <c r="AH133" s="72"/>
      <c r="AI133" s="72"/>
      <c r="AJ133" s="75"/>
      <c r="AK133" s="72"/>
      <c r="AL133" s="28" t="str">
        <f>VLOOKUP($G133,'[42]Sheet1 (2)'!$A$1:$B$1048440,2,FALSE)</f>
        <v>Sqm</v>
      </c>
      <c r="AM133" s="76"/>
      <c r="AN133" s="31"/>
      <c r="AO133" s="33"/>
    </row>
    <row r="134" spans="1:41" ht="56" x14ac:dyDescent="0.35">
      <c r="A134" s="26">
        <v>126</v>
      </c>
      <c r="B134" s="24" t="s">
        <v>194</v>
      </c>
      <c r="C134" s="22">
        <v>3.13</v>
      </c>
      <c r="D134" s="25" t="s">
        <v>221</v>
      </c>
      <c r="E134" s="24" t="s">
        <v>223</v>
      </c>
      <c r="F134" s="25" t="s">
        <v>221</v>
      </c>
      <c r="G134" s="21" t="s">
        <v>217</v>
      </c>
      <c r="H134" s="26">
        <v>16</v>
      </c>
      <c r="I134" s="26">
        <v>15</v>
      </c>
      <c r="J134" s="78"/>
      <c r="K134" s="79"/>
      <c r="L134" s="79"/>
      <c r="M134" s="72"/>
      <c r="N134" s="80"/>
      <c r="O134" s="72"/>
      <c r="P134" s="79"/>
      <c r="Q134" s="79"/>
      <c r="R134" s="79"/>
      <c r="S134" s="80"/>
      <c r="T134" s="80"/>
      <c r="U134" s="80"/>
      <c r="V134" s="73"/>
      <c r="W134" s="80"/>
      <c r="X134" s="80"/>
      <c r="Y134" s="74"/>
      <c r="Z134" s="72"/>
      <c r="AA134" s="72"/>
      <c r="AB134" s="72"/>
      <c r="AC134" s="72"/>
      <c r="AD134" s="72"/>
      <c r="AE134" s="72"/>
      <c r="AF134" s="72"/>
      <c r="AG134" s="72"/>
      <c r="AH134" s="72"/>
      <c r="AI134" s="72"/>
      <c r="AJ134" s="75"/>
      <c r="AK134" s="72"/>
      <c r="AL134" s="28" t="str">
        <f>VLOOKUP($G134,'[42]Sheet1 (2)'!$A$1:$B$1048440,2,FALSE)</f>
        <v>Sqm</v>
      </c>
      <c r="AM134" s="76"/>
      <c r="AN134" s="31"/>
      <c r="AO134" s="33"/>
    </row>
    <row r="135" spans="1:41" ht="56" x14ac:dyDescent="0.35">
      <c r="A135" s="26">
        <v>127</v>
      </c>
      <c r="B135" s="24" t="s">
        <v>194</v>
      </c>
      <c r="C135" s="22">
        <v>3.14</v>
      </c>
      <c r="D135" s="23"/>
      <c r="E135" s="23" t="s">
        <v>224</v>
      </c>
      <c r="F135" s="23"/>
      <c r="G135" s="21" t="s">
        <v>217</v>
      </c>
      <c r="H135" s="26">
        <v>18</v>
      </c>
      <c r="I135" s="26">
        <v>18</v>
      </c>
      <c r="J135" s="78"/>
      <c r="K135" s="79"/>
      <c r="L135" s="79"/>
      <c r="M135" s="72"/>
      <c r="N135" s="80"/>
      <c r="O135" s="72"/>
      <c r="P135" s="79"/>
      <c r="Q135" s="79"/>
      <c r="R135" s="79"/>
      <c r="S135" s="80"/>
      <c r="T135" s="80"/>
      <c r="U135" s="80"/>
      <c r="V135" s="73"/>
      <c r="W135" s="80"/>
      <c r="X135" s="80"/>
      <c r="Y135" s="74"/>
      <c r="Z135" s="72"/>
      <c r="AA135" s="72"/>
      <c r="AB135" s="72"/>
      <c r="AC135" s="72"/>
      <c r="AD135" s="72"/>
      <c r="AE135" s="72"/>
      <c r="AF135" s="72"/>
      <c r="AG135" s="72"/>
      <c r="AH135" s="72"/>
      <c r="AI135" s="72"/>
      <c r="AJ135" s="75"/>
      <c r="AK135" s="72"/>
      <c r="AL135" s="28" t="str">
        <f>VLOOKUP($G135,'[42]Sheet1 (2)'!$A$1:$B$1048440,2,FALSE)</f>
        <v>Sqm</v>
      </c>
      <c r="AM135" s="76"/>
      <c r="AN135" s="31"/>
      <c r="AO135" s="33"/>
    </row>
    <row r="136" spans="1:41" ht="25" x14ac:dyDescent="0.35">
      <c r="A136" s="68">
        <v>132</v>
      </c>
      <c r="B136" s="60" t="s">
        <v>194</v>
      </c>
      <c r="C136" s="81">
        <v>3.15</v>
      </c>
      <c r="D136" s="62" t="s">
        <v>208</v>
      </c>
      <c r="E136" s="64" t="s">
        <v>82</v>
      </c>
      <c r="F136" s="64">
        <v>0</v>
      </c>
      <c r="G136" s="65">
        <v>0</v>
      </c>
      <c r="H136" s="66">
        <v>0</v>
      </c>
      <c r="I136" s="66">
        <v>0</v>
      </c>
      <c r="J136" s="82"/>
      <c r="K136" s="83"/>
      <c r="L136" s="72"/>
      <c r="M136" s="72"/>
      <c r="N136" s="80"/>
      <c r="O136" s="72"/>
      <c r="P136" s="79"/>
      <c r="Q136" s="79"/>
      <c r="R136" s="72"/>
      <c r="S136" s="72"/>
      <c r="T136" s="84"/>
      <c r="U136" s="84"/>
      <c r="V136" s="85"/>
      <c r="W136" s="84"/>
      <c r="X136" s="84"/>
      <c r="Y136" s="86"/>
      <c r="Z136" s="87"/>
      <c r="AA136" s="87"/>
      <c r="AB136" s="87"/>
      <c r="AC136" s="87"/>
      <c r="AD136" s="87"/>
      <c r="AE136" s="87"/>
      <c r="AF136" s="87"/>
      <c r="AG136" s="87"/>
      <c r="AH136" s="87"/>
      <c r="AI136" s="87"/>
      <c r="AJ136" s="88"/>
      <c r="AK136" s="87"/>
      <c r="AL136" s="28" t="e">
        <f>VLOOKUP($G136,'[42]Sheet1 (2)'!$A$1:$B$1048440,2,FALSE)</f>
        <v>#N/A</v>
      </c>
      <c r="AM136" s="89"/>
      <c r="AN136" s="31"/>
      <c r="AO136" s="33"/>
    </row>
    <row r="137" spans="1:41" ht="25" x14ac:dyDescent="0.35">
      <c r="A137" s="68">
        <v>133</v>
      </c>
      <c r="B137" s="60" t="s">
        <v>194</v>
      </c>
      <c r="C137" s="81">
        <v>3.16</v>
      </c>
      <c r="D137" s="62" t="s">
        <v>208</v>
      </c>
      <c r="E137" s="64" t="s">
        <v>82</v>
      </c>
      <c r="F137" s="64">
        <v>0</v>
      </c>
      <c r="G137" s="65">
        <v>0</v>
      </c>
      <c r="H137" s="66">
        <v>0</v>
      </c>
      <c r="I137" s="66">
        <v>0</v>
      </c>
      <c r="J137" s="78"/>
      <c r="K137" s="79"/>
      <c r="L137" s="72"/>
      <c r="M137" s="72"/>
      <c r="N137" s="80"/>
      <c r="O137" s="72"/>
      <c r="P137" s="79"/>
      <c r="Q137" s="79"/>
      <c r="R137" s="72"/>
      <c r="S137" s="72"/>
      <c r="T137" s="80"/>
      <c r="U137" s="80"/>
      <c r="V137" s="73"/>
      <c r="W137" s="80"/>
      <c r="X137" s="80"/>
      <c r="Y137" s="74"/>
      <c r="Z137" s="72"/>
      <c r="AA137" s="72"/>
      <c r="AB137" s="72"/>
      <c r="AC137" s="72"/>
      <c r="AD137" s="72"/>
      <c r="AE137" s="72"/>
      <c r="AF137" s="72"/>
      <c r="AG137" s="72"/>
      <c r="AH137" s="72"/>
      <c r="AI137" s="72"/>
      <c r="AJ137" s="75"/>
      <c r="AK137" s="72"/>
      <c r="AL137" s="28" t="e">
        <f>VLOOKUP($G137,'[42]Sheet1 (2)'!$A$1:$B$1048440,2,FALSE)</f>
        <v>#N/A</v>
      </c>
      <c r="AN137" s="31"/>
      <c r="AO137" s="33"/>
    </row>
    <row r="138" spans="1:41" ht="25" x14ac:dyDescent="0.35">
      <c r="A138" s="68">
        <v>134</v>
      </c>
      <c r="B138" s="60" t="s">
        <v>194</v>
      </c>
      <c r="C138" s="81">
        <v>3.17</v>
      </c>
      <c r="D138" s="62" t="s">
        <v>208</v>
      </c>
      <c r="E138" s="64" t="s">
        <v>82</v>
      </c>
      <c r="F138" s="64">
        <v>0</v>
      </c>
      <c r="G138" s="65">
        <v>0</v>
      </c>
      <c r="H138" s="66">
        <v>0</v>
      </c>
      <c r="I138" s="66">
        <v>0</v>
      </c>
      <c r="J138" s="78"/>
      <c r="K138" s="79"/>
      <c r="L138" s="72"/>
      <c r="M138" s="72"/>
      <c r="N138" s="80"/>
      <c r="O138" s="72"/>
      <c r="P138" s="79"/>
      <c r="Q138" s="79"/>
      <c r="R138" s="72"/>
      <c r="S138" s="72"/>
      <c r="T138" s="80"/>
      <c r="U138" s="80"/>
      <c r="V138" s="73"/>
      <c r="W138" s="80"/>
      <c r="X138" s="80"/>
      <c r="Y138" s="74"/>
      <c r="Z138" s="72"/>
      <c r="AA138" s="72"/>
      <c r="AB138" s="72"/>
      <c r="AC138" s="72"/>
      <c r="AD138" s="72"/>
      <c r="AE138" s="72"/>
      <c r="AF138" s="72"/>
      <c r="AG138" s="72"/>
      <c r="AH138" s="72"/>
      <c r="AI138" s="72"/>
      <c r="AJ138" s="75"/>
      <c r="AK138" s="72"/>
      <c r="AL138" s="28" t="e">
        <f>VLOOKUP($G138,'[42]Sheet1 (2)'!$A$1:$B$1048440,2,FALSE)</f>
        <v>#N/A</v>
      </c>
      <c r="AN138" s="31"/>
      <c r="AO138" s="33"/>
    </row>
    <row r="139" spans="1:41" ht="112" x14ac:dyDescent="0.35">
      <c r="A139" s="26">
        <v>128</v>
      </c>
      <c r="B139" s="24" t="s">
        <v>194</v>
      </c>
      <c r="C139" s="22">
        <v>3.18</v>
      </c>
      <c r="D139" s="25" t="s">
        <v>208</v>
      </c>
      <c r="E139" s="24" t="s">
        <v>225</v>
      </c>
      <c r="F139" s="25" t="s">
        <v>208</v>
      </c>
      <c r="G139" s="25" t="s">
        <v>47</v>
      </c>
      <c r="H139" s="26">
        <v>2218</v>
      </c>
      <c r="I139" s="26">
        <v>37</v>
      </c>
      <c r="J139" s="82"/>
      <c r="K139" s="83"/>
      <c r="L139" s="72">
        <v>1.21</v>
      </c>
      <c r="M139" s="72"/>
      <c r="N139" s="80"/>
      <c r="O139" s="72">
        <v>0.27</v>
      </c>
      <c r="P139" s="79"/>
      <c r="Q139" s="79"/>
      <c r="R139" s="72"/>
      <c r="S139" s="72">
        <v>0.08</v>
      </c>
      <c r="T139" s="84"/>
      <c r="U139" s="84"/>
      <c r="V139" s="85"/>
      <c r="W139" s="84"/>
      <c r="X139" s="84"/>
      <c r="Y139" s="86"/>
      <c r="Z139" s="87"/>
      <c r="AA139" s="87"/>
      <c r="AB139" s="87"/>
      <c r="AC139" s="87"/>
      <c r="AD139" s="87"/>
      <c r="AE139" s="87"/>
      <c r="AF139" s="87"/>
      <c r="AG139" s="87"/>
      <c r="AH139" s="87"/>
      <c r="AI139" s="87"/>
      <c r="AJ139" s="88"/>
      <c r="AK139" s="87"/>
      <c r="AL139" s="28" t="str">
        <f>VLOOKUP($G139,'[42]Sheet1 (2)'!$A$1:$B$1048440,2,FALSE)</f>
        <v>Cum</v>
      </c>
      <c r="AM139" s="89"/>
      <c r="AN139" s="31"/>
      <c r="AO139" s="33"/>
    </row>
    <row r="140" spans="1:41" ht="112" x14ac:dyDescent="0.35">
      <c r="A140" s="26">
        <v>129</v>
      </c>
      <c r="B140" s="24" t="s">
        <v>194</v>
      </c>
      <c r="C140" s="22">
        <v>3.19</v>
      </c>
      <c r="D140" s="25" t="s">
        <v>208</v>
      </c>
      <c r="E140" s="24" t="s">
        <v>226</v>
      </c>
      <c r="F140" s="25" t="s">
        <v>208</v>
      </c>
      <c r="G140" s="25" t="s">
        <v>47</v>
      </c>
      <c r="H140" s="26">
        <v>2180</v>
      </c>
      <c r="I140" s="26">
        <v>37</v>
      </c>
      <c r="J140" s="78"/>
      <c r="K140" s="79"/>
      <c r="L140" s="72">
        <v>1.21</v>
      </c>
      <c r="M140" s="72"/>
      <c r="N140" s="80"/>
      <c r="O140" s="72">
        <v>0.27</v>
      </c>
      <c r="P140" s="79"/>
      <c r="Q140" s="79"/>
      <c r="R140" s="72"/>
      <c r="S140" s="72">
        <v>0.08</v>
      </c>
      <c r="T140" s="80"/>
      <c r="U140" s="80"/>
      <c r="V140" s="73"/>
      <c r="W140" s="80"/>
      <c r="X140" s="80"/>
      <c r="Y140" s="74"/>
      <c r="Z140" s="72"/>
      <c r="AA140" s="72"/>
      <c r="AB140" s="72"/>
      <c r="AC140" s="72"/>
      <c r="AD140" s="72"/>
      <c r="AE140" s="72"/>
      <c r="AF140" s="72"/>
      <c r="AG140" s="72"/>
      <c r="AH140" s="72"/>
      <c r="AI140" s="72"/>
      <c r="AJ140" s="75"/>
      <c r="AK140" s="72"/>
      <c r="AL140" s="28" t="str">
        <f>VLOOKUP($G140,'[42]Sheet1 (2)'!$A$1:$B$1048440,2,FALSE)</f>
        <v>Cum</v>
      </c>
      <c r="AM140" s="76" t="s">
        <v>227</v>
      </c>
      <c r="AN140" s="31"/>
      <c r="AO140" s="33"/>
    </row>
    <row r="141" spans="1:41" ht="112" x14ac:dyDescent="0.35">
      <c r="A141" s="26">
        <v>130</v>
      </c>
      <c r="B141" s="24" t="s">
        <v>194</v>
      </c>
      <c r="C141" s="22">
        <v>3.2</v>
      </c>
      <c r="D141" s="25" t="s">
        <v>208</v>
      </c>
      <c r="E141" s="24" t="s">
        <v>228</v>
      </c>
      <c r="F141" s="25" t="s">
        <v>208</v>
      </c>
      <c r="G141" s="25" t="s">
        <v>47</v>
      </c>
      <c r="H141" s="26">
        <v>2180</v>
      </c>
      <c r="I141" s="26">
        <v>37</v>
      </c>
      <c r="J141" s="78"/>
      <c r="K141" s="79"/>
      <c r="L141" s="72">
        <v>1.21</v>
      </c>
      <c r="M141" s="72"/>
      <c r="N141" s="80"/>
      <c r="O141" s="72">
        <v>0.24</v>
      </c>
      <c r="P141" s="79"/>
      <c r="Q141" s="79"/>
      <c r="R141" s="72"/>
      <c r="S141" s="72">
        <v>0.08</v>
      </c>
      <c r="T141" s="80"/>
      <c r="U141" s="80"/>
      <c r="V141" s="73"/>
      <c r="W141" s="80"/>
      <c r="X141" s="80"/>
      <c r="Y141" s="74"/>
      <c r="Z141" s="72"/>
      <c r="AA141" s="72"/>
      <c r="AB141" s="72"/>
      <c r="AC141" s="72"/>
      <c r="AD141" s="72"/>
      <c r="AE141" s="72"/>
      <c r="AF141" s="72"/>
      <c r="AG141" s="72"/>
      <c r="AH141" s="72"/>
      <c r="AI141" s="72"/>
      <c r="AJ141" s="75"/>
      <c r="AK141" s="72"/>
      <c r="AL141" s="28" t="str">
        <f>VLOOKUP($G141,'[42]Sheet1 (2)'!$A$1:$B$1048440,2,FALSE)</f>
        <v>Cum</v>
      </c>
      <c r="AM141" s="76" t="s">
        <v>229</v>
      </c>
      <c r="AN141" s="31"/>
      <c r="AO141" s="33"/>
    </row>
    <row r="142" spans="1:41" ht="112" x14ac:dyDescent="0.35">
      <c r="A142" s="26">
        <v>131</v>
      </c>
      <c r="B142" s="24" t="s">
        <v>194</v>
      </c>
      <c r="C142" s="22">
        <v>3.21</v>
      </c>
      <c r="D142" s="25" t="s">
        <v>230</v>
      </c>
      <c r="E142" s="24" t="s">
        <v>231</v>
      </c>
      <c r="F142" s="25" t="s">
        <v>230</v>
      </c>
      <c r="G142" s="25" t="s">
        <v>47</v>
      </c>
      <c r="H142" s="26">
        <v>414</v>
      </c>
      <c r="I142" s="26">
        <v>225</v>
      </c>
      <c r="J142" s="78"/>
      <c r="K142" s="79"/>
      <c r="L142" s="72">
        <v>1.21</v>
      </c>
      <c r="M142" s="72"/>
      <c r="N142" s="80"/>
      <c r="O142" s="72">
        <v>0.27</v>
      </c>
      <c r="P142" s="79"/>
      <c r="Q142" s="79"/>
      <c r="R142" s="72"/>
      <c r="S142" s="72">
        <v>0.08</v>
      </c>
      <c r="T142" s="80"/>
      <c r="U142" s="80"/>
      <c r="V142" s="73"/>
      <c r="W142" s="80"/>
      <c r="X142" s="80"/>
      <c r="Y142" s="74"/>
      <c r="Z142" s="72"/>
      <c r="AA142" s="72"/>
      <c r="AB142" s="72"/>
      <c r="AC142" s="72"/>
      <c r="AD142" s="72"/>
      <c r="AE142" s="72"/>
      <c r="AF142" s="72"/>
      <c r="AG142" s="72"/>
      <c r="AH142" s="72"/>
      <c r="AI142" s="72"/>
      <c r="AJ142" s="75"/>
      <c r="AK142" s="72"/>
      <c r="AL142" s="28" t="str">
        <f>VLOOKUP($G142,'[42]Sheet1 (2)'!$A$1:$B$1048440,2,FALSE)</f>
        <v>Cum</v>
      </c>
      <c r="AM142" s="76" t="s">
        <v>232</v>
      </c>
      <c r="AN142" s="31"/>
      <c r="AO142" s="33"/>
    </row>
    <row r="143" spans="1:41" ht="84" x14ac:dyDescent="0.35">
      <c r="A143" s="26">
        <v>132</v>
      </c>
      <c r="B143" s="24" t="s">
        <v>194</v>
      </c>
      <c r="C143" s="22">
        <v>3.22</v>
      </c>
      <c r="D143" s="25" t="s">
        <v>233</v>
      </c>
      <c r="E143" s="24" t="s">
        <v>234</v>
      </c>
      <c r="F143" s="25" t="s">
        <v>233</v>
      </c>
      <c r="G143" s="21" t="s">
        <v>217</v>
      </c>
      <c r="H143" s="26">
        <v>25</v>
      </c>
      <c r="I143" s="26">
        <v>2</v>
      </c>
      <c r="J143" s="78"/>
      <c r="K143" s="79"/>
      <c r="L143" s="79"/>
      <c r="M143" s="72"/>
      <c r="N143" s="80"/>
      <c r="O143" s="72"/>
      <c r="P143" s="79"/>
      <c r="Q143" s="79"/>
      <c r="R143" s="79"/>
      <c r="S143" s="80"/>
      <c r="T143" s="80"/>
      <c r="U143" s="80"/>
      <c r="V143" s="73"/>
      <c r="W143" s="80"/>
      <c r="X143" s="80"/>
      <c r="Y143" s="74"/>
      <c r="Z143" s="72"/>
      <c r="AA143" s="72"/>
      <c r="AB143" s="72"/>
      <c r="AC143" s="72"/>
      <c r="AD143" s="72"/>
      <c r="AE143" s="72"/>
      <c r="AF143" s="72"/>
      <c r="AG143" s="72"/>
      <c r="AH143" s="72"/>
      <c r="AI143" s="72"/>
      <c r="AJ143" s="75"/>
      <c r="AK143" s="72"/>
      <c r="AL143" s="28" t="str">
        <f>VLOOKUP($G143,'[42]Sheet1 (2)'!$A$1:$B$1048440,2,FALSE)</f>
        <v>Sqm</v>
      </c>
      <c r="AM143" s="76"/>
      <c r="AN143" s="31"/>
      <c r="AO143" s="33"/>
    </row>
    <row r="144" spans="1:41" ht="112" x14ac:dyDescent="0.35">
      <c r="A144" s="26">
        <v>133</v>
      </c>
      <c r="B144" s="24" t="s">
        <v>194</v>
      </c>
      <c r="C144" s="22">
        <v>3.23</v>
      </c>
      <c r="D144" s="25" t="s">
        <v>235</v>
      </c>
      <c r="E144" s="24" t="s">
        <v>236</v>
      </c>
      <c r="F144" s="39" t="s">
        <v>235</v>
      </c>
      <c r="G144" s="25" t="s">
        <v>47</v>
      </c>
      <c r="H144" s="26">
        <v>2045</v>
      </c>
      <c r="I144" s="26">
        <v>42</v>
      </c>
      <c r="J144" s="78"/>
      <c r="K144" s="79"/>
      <c r="L144" s="79"/>
      <c r="M144" s="72"/>
      <c r="N144" s="80"/>
      <c r="O144" s="72"/>
      <c r="P144" s="79"/>
      <c r="Q144" s="79"/>
      <c r="R144" s="79"/>
      <c r="S144" s="80"/>
      <c r="T144" s="80"/>
      <c r="U144" s="80"/>
      <c r="V144" s="73"/>
      <c r="W144" s="80"/>
      <c r="X144" s="80"/>
      <c r="Y144" s="74"/>
      <c r="Z144" s="72"/>
      <c r="AA144" s="72"/>
      <c r="AB144" s="72"/>
      <c r="AC144" s="72"/>
      <c r="AD144" s="72"/>
      <c r="AE144" s="72"/>
      <c r="AF144" s="72"/>
      <c r="AG144" s="72"/>
      <c r="AH144" s="72"/>
      <c r="AI144" s="72"/>
      <c r="AJ144" s="75"/>
      <c r="AK144" s="72"/>
      <c r="AL144" s="28" t="str">
        <f>VLOOKUP($G144,'[42]Sheet1 (2)'!$A$1:$B$1048440,2,FALSE)</f>
        <v>Cum</v>
      </c>
      <c r="AM144" s="76" t="s">
        <v>237</v>
      </c>
      <c r="AN144" s="31"/>
      <c r="AO144" s="33"/>
    </row>
    <row r="145" spans="1:41" ht="84" x14ac:dyDescent="0.35">
      <c r="A145" s="26">
        <v>134</v>
      </c>
      <c r="B145" s="24" t="s">
        <v>194</v>
      </c>
      <c r="C145" s="22">
        <v>3.24</v>
      </c>
      <c r="D145" s="25" t="s">
        <v>238</v>
      </c>
      <c r="E145" s="23" t="s">
        <v>239</v>
      </c>
      <c r="F145" s="39" t="s">
        <v>238</v>
      </c>
      <c r="G145" s="25" t="s">
        <v>47</v>
      </c>
      <c r="H145" s="26">
        <v>1847</v>
      </c>
      <c r="I145" s="26">
        <v>26</v>
      </c>
      <c r="J145" s="78"/>
      <c r="K145" s="79"/>
      <c r="L145" s="79"/>
      <c r="M145" s="72"/>
      <c r="N145" s="80"/>
      <c r="O145" s="72"/>
      <c r="P145" s="79"/>
      <c r="Q145" s="79"/>
      <c r="R145" s="79"/>
      <c r="S145" s="80"/>
      <c r="T145" s="80"/>
      <c r="U145" s="80"/>
      <c r="V145" s="73"/>
      <c r="W145" s="80"/>
      <c r="X145" s="80"/>
      <c r="Y145" s="74"/>
      <c r="Z145" s="72"/>
      <c r="AA145" s="72"/>
      <c r="AB145" s="72"/>
      <c r="AC145" s="72"/>
      <c r="AD145" s="72"/>
      <c r="AE145" s="72"/>
      <c r="AF145" s="72"/>
      <c r="AG145" s="72"/>
      <c r="AH145" s="72"/>
      <c r="AI145" s="72"/>
      <c r="AJ145" s="75"/>
      <c r="AK145" s="72"/>
      <c r="AL145" s="28" t="str">
        <f>VLOOKUP($G145,'[42]Sheet1 (2)'!$A$1:$B$1048440,2,FALSE)</f>
        <v>Cum</v>
      </c>
      <c r="AN145" s="31"/>
      <c r="AO145" s="33"/>
    </row>
    <row r="146" spans="1:41" ht="84" x14ac:dyDescent="0.35">
      <c r="A146" s="26">
        <v>135</v>
      </c>
      <c r="B146" s="24" t="s">
        <v>194</v>
      </c>
      <c r="C146" s="22">
        <v>3.25</v>
      </c>
      <c r="D146" s="25" t="s">
        <v>238</v>
      </c>
      <c r="E146" s="24" t="s">
        <v>240</v>
      </c>
      <c r="F146" s="39" t="s">
        <v>238</v>
      </c>
      <c r="G146" s="25" t="s">
        <v>47</v>
      </c>
      <c r="H146" s="26">
        <v>1847</v>
      </c>
      <c r="I146" s="26">
        <v>26</v>
      </c>
      <c r="J146" s="78"/>
      <c r="K146" s="79"/>
      <c r="L146" s="79"/>
      <c r="M146" s="72"/>
      <c r="N146" s="80"/>
      <c r="O146" s="72"/>
      <c r="P146" s="79"/>
      <c r="Q146" s="79"/>
      <c r="R146" s="79"/>
      <c r="S146" s="80"/>
      <c r="T146" s="80"/>
      <c r="U146" s="80"/>
      <c r="V146" s="73"/>
      <c r="W146" s="80"/>
      <c r="X146" s="80"/>
      <c r="Y146" s="74"/>
      <c r="Z146" s="72"/>
      <c r="AA146" s="72"/>
      <c r="AB146" s="72"/>
      <c r="AC146" s="72"/>
      <c r="AD146" s="72"/>
      <c r="AE146" s="72"/>
      <c r="AF146" s="72"/>
      <c r="AG146" s="72"/>
      <c r="AH146" s="72"/>
      <c r="AI146" s="72"/>
      <c r="AJ146" s="75"/>
      <c r="AK146" s="72"/>
      <c r="AL146" s="28" t="str">
        <f>VLOOKUP($G146,'[42]Sheet1 (2)'!$A$1:$B$1048440,2,FALSE)</f>
        <v>Cum</v>
      </c>
      <c r="AM146" s="76"/>
      <c r="AN146" s="31"/>
      <c r="AO146" s="33"/>
    </row>
    <row r="147" spans="1:41" ht="84" x14ac:dyDescent="0.35">
      <c r="A147" s="26">
        <v>136</v>
      </c>
      <c r="B147" s="24" t="s">
        <v>194</v>
      </c>
      <c r="C147" s="22">
        <v>3.26</v>
      </c>
      <c r="D147" s="25" t="s">
        <v>238</v>
      </c>
      <c r="E147" s="23" t="s">
        <v>241</v>
      </c>
      <c r="F147" s="39" t="s">
        <v>238</v>
      </c>
      <c r="G147" s="25" t="s">
        <v>47</v>
      </c>
      <c r="H147" s="26">
        <v>2099</v>
      </c>
      <c r="I147" s="26">
        <v>24</v>
      </c>
      <c r="J147" s="78"/>
      <c r="K147" s="79"/>
      <c r="L147" s="79"/>
      <c r="M147" s="72"/>
      <c r="N147" s="80"/>
      <c r="O147" s="72"/>
      <c r="P147" s="79"/>
      <c r="Q147" s="79"/>
      <c r="R147" s="79"/>
      <c r="S147" s="80"/>
      <c r="T147" s="80"/>
      <c r="U147" s="80"/>
      <c r="V147" s="73"/>
      <c r="W147" s="80"/>
      <c r="X147" s="80"/>
      <c r="Y147" s="74"/>
      <c r="Z147" s="72"/>
      <c r="AA147" s="72"/>
      <c r="AB147" s="72"/>
      <c r="AC147" s="72"/>
      <c r="AD147" s="72"/>
      <c r="AE147" s="72"/>
      <c r="AF147" s="72"/>
      <c r="AG147" s="72"/>
      <c r="AH147" s="72"/>
      <c r="AI147" s="72"/>
      <c r="AJ147" s="75"/>
      <c r="AK147" s="72"/>
      <c r="AL147" s="28" t="str">
        <f>VLOOKUP($G147,'[42]Sheet1 (2)'!$A$1:$B$1048440,2,FALSE)</f>
        <v>Cum</v>
      </c>
      <c r="AM147" s="76"/>
      <c r="AN147" s="31"/>
      <c r="AO147" s="33"/>
    </row>
    <row r="148" spans="1:41" ht="84" x14ac:dyDescent="0.35">
      <c r="A148" s="26">
        <v>137</v>
      </c>
      <c r="B148" s="24" t="s">
        <v>194</v>
      </c>
      <c r="C148" s="22">
        <v>3.27</v>
      </c>
      <c r="D148" s="25" t="s">
        <v>238</v>
      </c>
      <c r="E148" s="24" t="s">
        <v>242</v>
      </c>
      <c r="F148" s="39" t="s">
        <v>238</v>
      </c>
      <c r="G148" s="25" t="s">
        <v>47</v>
      </c>
      <c r="H148" s="26">
        <v>2099</v>
      </c>
      <c r="I148" s="26">
        <v>24</v>
      </c>
      <c r="J148" s="78"/>
      <c r="K148" s="79"/>
      <c r="L148" s="79"/>
      <c r="M148" s="72"/>
      <c r="N148" s="80"/>
      <c r="O148" s="72"/>
      <c r="P148" s="79"/>
      <c r="Q148" s="79"/>
      <c r="R148" s="79"/>
      <c r="S148" s="80"/>
      <c r="T148" s="80"/>
      <c r="U148" s="80"/>
      <c r="V148" s="73"/>
      <c r="W148" s="80"/>
      <c r="X148" s="80"/>
      <c r="Y148" s="74"/>
      <c r="Z148" s="72"/>
      <c r="AA148" s="72"/>
      <c r="AB148" s="72"/>
      <c r="AC148" s="72"/>
      <c r="AD148" s="72"/>
      <c r="AE148" s="72"/>
      <c r="AF148" s="72"/>
      <c r="AG148" s="72"/>
      <c r="AH148" s="72"/>
      <c r="AI148" s="72"/>
      <c r="AJ148" s="75"/>
      <c r="AK148" s="72"/>
      <c r="AL148" s="28" t="str">
        <f>VLOOKUP($G148,'[42]Sheet1 (2)'!$A$1:$B$1048440,2,FALSE)</f>
        <v>Cum</v>
      </c>
      <c r="AM148" s="76"/>
      <c r="AN148" s="31"/>
      <c r="AO148" s="33"/>
    </row>
    <row r="149" spans="1:41" ht="42" x14ac:dyDescent="0.35">
      <c r="A149" s="26">
        <v>138</v>
      </c>
      <c r="B149" s="24" t="s">
        <v>194</v>
      </c>
      <c r="C149" s="22">
        <v>3.28</v>
      </c>
      <c r="D149" s="25" t="s">
        <v>218</v>
      </c>
      <c r="E149" s="24" t="s">
        <v>243</v>
      </c>
      <c r="F149" s="39" t="s">
        <v>218</v>
      </c>
      <c r="G149" s="58" t="s">
        <v>151</v>
      </c>
      <c r="H149" s="26">
        <v>28</v>
      </c>
      <c r="I149" s="26">
        <v>23</v>
      </c>
      <c r="J149" s="78"/>
      <c r="K149" s="79"/>
      <c r="L149" s="79"/>
      <c r="M149" s="72"/>
      <c r="N149" s="80"/>
      <c r="O149" s="72"/>
      <c r="P149" s="79"/>
      <c r="Q149" s="79"/>
      <c r="R149" s="79"/>
      <c r="S149" s="80"/>
      <c r="T149" s="80"/>
      <c r="U149" s="80"/>
      <c r="V149" s="73"/>
      <c r="W149" s="80"/>
      <c r="X149" s="80"/>
      <c r="Y149" s="74"/>
      <c r="Z149" s="72"/>
      <c r="AA149" s="72"/>
      <c r="AB149" s="72"/>
      <c r="AC149" s="72"/>
      <c r="AD149" s="72"/>
      <c r="AE149" s="72"/>
      <c r="AF149" s="72"/>
      <c r="AG149" s="72"/>
      <c r="AH149" s="72"/>
      <c r="AI149" s="72"/>
      <c r="AJ149" s="75"/>
      <c r="AK149" s="72"/>
      <c r="AL149" s="28" t="str">
        <f>VLOOKUP($G149,'[42]Sheet1 (2)'!$A$1:$B$1048440,2,FALSE)</f>
        <v>Sqm</v>
      </c>
      <c r="AM149" s="76"/>
      <c r="AN149" s="31"/>
      <c r="AO149" s="33"/>
    </row>
    <row r="150" spans="1:41" ht="56" x14ac:dyDescent="0.35">
      <c r="A150" s="26">
        <v>139</v>
      </c>
      <c r="B150" s="24" t="s">
        <v>194</v>
      </c>
      <c r="C150" s="22">
        <v>3.29</v>
      </c>
      <c r="D150" s="25" t="s">
        <v>244</v>
      </c>
      <c r="E150" s="24" t="s">
        <v>245</v>
      </c>
      <c r="F150" s="39" t="s">
        <v>244</v>
      </c>
      <c r="G150" s="58" t="s">
        <v>151</v>
      </c>
      <c r="H150" s="26">
        <v>33</v>
      </c>
      <c r="I150" s="26">
        <v>1</v>
      </c>
      <c r="J150" s="78"/>
      <c r="K150" s="79"/>
      <c r="L150" s="79"/>
      <c r="M150" s="72"/>
      <c r="N150" s="80"/>
      <c r="O150" s="72"/>
      <c r="P150" s="79"/>
      <c r="Q150" s="79"/>
      <c r="R150" s="79"/>
      <c r="S150" s="80"/>
      <c r="T150" s="80"/>
      <c r="U150" s="80"/>
      <c r="V150" s="73"/>
      <c r="W150" s="80"/>
      <c r="X150" s="80"/>
      <c r="Y150" s="74"/>
      <c r="Z150" s="72"/>
      <c r="AA150" s="72"/>
      <c r="AB150" s="90">
        <f>0.6/1000</f>
        <v>5.9999999999999995E-4</v>
      </c>
      <c r="AC150" s="72"/>
      <c r="AD150" s="72"/>
      <c r="AE150" s="72"/>
      <c r="AF150" s="72"/>
      <c r="AG150" s="72"/>
      <c r="AH150" s="72"/>
      <c r="AI150" s="72"/>
      <c r="AJ150" s="90"/>
      <c r="AK150" s="72"/>
      <c r="AL150" s="28" t="str">
        <f>VLOOKUP($G150,'[42]Sheet1 (2)'!$A$1:$B$1048440,2,FALSE)</f>
        <v>Sqm</v>
      </c>
      <c r="AM150" s="76" t="s">
        <v>246</v>
      </c>
      <c r="AN150" s="31"/>
      <c r="AO150" s="33"/>
    </row>
    <row r="151" spans="1:41" ht="56" x14ac:dyDescent="0.35">
      <c r="A151" s="26">
        <v>140</v>
      </c>
      <c r="B151" s="24" t="s">
        <v>194</v>
      </c>
      <c r="C151" s="22">
        <v>3.3</v>
      </c>
      <c r="D151" s="25" t="s">
        <v>247</v>
      </c>
      <c r="E151" s="24" t="s">
        <v>248</v>
      </c>
      <c r="F151" s="39" t="s">
        <v>247</v>
      </c>
      <c r="G151" s="58" t="s">
        <v>151</v>
      </c>
      <c r="H151" s="26">
        <v>18</v>
      </c>
      <c r="I151" s="26">
        <v>1</v>
      </c>
      <c r="J151" s="78"/>
      <c r="K151" s="79"/>
      <c r="L151" s="79"/>
      <c r="M151" s="72"/>
      <c r="N151" s="80"/>
      <c r="O151" s="72"/>
      <c r="P151" s="79"/>
      <c r="Q151" s="79"/>
      <c r="R151" s="79"/>
      <c r="S151" s="80"/>
      <c r="T151" s="80"/>
      <c r="U151" s="80"/>
      <c r="V151" s="73"/>
      <c r="W151" s="80"/>
      <c r="X151" s="80"/>
      <c r="Y151" s="74"/>
      <c r="Z151" s="72"/>
      <c r="AA151" s="72"/>
      <c r="AB151" s="72">
        <v>0.25</v>
      </c>
      <c r="AC151" s="72"/>
      <c r="AD151" s="72">
        <v>0.25</v>
      </c>
      <c r="AE151" s="72"/>
      <c r="AF151" s="72"/>
      <c r="AG151" s="72"/>
      <c r="AH151" s="72"/>
      <c r="AI151" s="72"/>
      <c r="AJ151" s="75"/>
      <c r="AK151" s="72"/>
      <c r="AL151" s="28" t="str">
        <f>VLOOKUP($G151,'[42]Sheet1 (2)'!$A$1:$B$1048440,2,FALSE)</f>
        <v>Sqm</v>
      </c>
      <c r="AM151" s="76" t="s">
        <v>249</v>
      </c>
      <c r="AN151" s="31"/>
      <c r="AO151" s="33"/>
    </row>
    <row r="152" spans="1:41" ht="56" x14ac:dyDescent="0.35">
      <c r="A152" s="26">
        <v>141</v>
      </c>
      <c r="B152" s="24" t="s">
        <v>194</v>
      </c>
      <c r="C152" s="22">
        <v>3.31</v>
      </c>
      <c r="D152" s="25" t="s">
        <v>247</v>
      </c>
      <c r="E152" s="24" t="s">
        <v>250</v>
      </c>
      <c r="F152" s="39" t="s">
        <v>247</v>
      </c>
      <c r="G152" s="58" t="s">
        <v>151</v>
      </c>
      <c r="H152" s="26">
        <v>21</v>
      </c>
      <c r="I152" s="26">
        <v>1</v>
      </c>
      <c r="J152" s="78"/>
      <c r="K152" s="79"/>
      <c r="L152" s="79"/>
      <c r="M152" s="72"/>
      <c r="N152" s="80"/>
      <c r="O152" s="72"/>
      <c r="P152" s="79"/>
      <c r="Q152" s="79"/>
      <c r="R152" s="79"/>
      <c r="S152" s="80"/>
      <c r="T152" s="80"/>
      <c r="U152" s="80"/>
      <c r="V152" s="73"/>
      <c r="W152" s="80"/>
      <c r="X152" s="80"/>
      <c r="Y152" s="74"/>
      <c r="Z152" s="72"/>
      <c r="AA152" s="72"/>
      <c r="AB152" s="72">
        <v>0.3</v>
      </c>
      <c r="AC152" s="72"/>
      <c r="AD152" s="72">
        <v>0.3</v>
      </c>
      <c r="AE152" s="72"/>
      <c r="AF152" s="72"/>
      <c r="AG152" s="72"/>
      <c r="AH152" s="72"/>
      <c r="AI152" s="72"/>
      <c r="AJ152" s="75"/>
      <c r="AK152" s="72"/>
      <c r="AL152" s="28" t="str">
        <f>VLOOKUP($G152,'[42]Sheet1 (2)'!$A$1:$B$1048440,2,FALSE)</f>
        <v>Sqm</v>
      </c>
      <c r="AM152" s="76" t="s">
        <v>251</v>
      </c>
      <c r="AN152" s="31"/>
      <c r="AO152" s="33"/>
    </row>
    <row r="153" spans="1:41" ht="56" x14ac:dyDescent="0.35">
      <c r="A153" s="26">
        <v>142</v>
      </c>
      <c r="B153" s="24" t="s">
        <v>194</v>
      </c>
      <c r="C153" s="22">
        <v>3.32</v>
      </c>
      <c r="D153" s="25" t="s">
        <v>247</v>
      </c>
      <c r="E153" s="24" t="s">
        <v>252</v>
      </c>
      <c r="F153" s="39" t="s">
        <v>247</v>
      </c>
      <c r="G153" s="58" t="s">
        <v>151</v>
      </c>
      <c r="H153" s="26">
        <v>20</v>
      </c>
      <c r="I153" s="26">
        <v>1</v>
      </c>
      <c r="J153" s="78"/>
      <c r="K153" s="79"/>
      <c r="L153" s="79"/>
      <c r="M153" s="72"/>
      <c r="N153" s="80"/>
      <c r="O153" s="72"/>
      <c r="P153" s="79"/>
      <c r="Q153" s="79"/>
      <c r="R153" s="79"/>
      <c r="S153" s="80"/>
      <c r="T153" s="80"/>
      <c r="U153" s="80"/>
      <c r="V153" s="73"/>
      <c r="W153" s="80"/>
      <c r="X153" s="80"/>
      <c r="Y153" s="74"/>
      <c r="Z153" s="72"/>
      <c r="AA153" s="72"/>
      <c r="AB153" s="72">
        <v>0.27500000000000002</v>
      </c>
      <c r="AC153" s="72"/>
      <c r="AD153" s="72">
        <v>0.27500000000000002</v>
      </c>
      <c r="AE153" s="72"/>
      <c r="AF153" s="72"/>
      <c r="AG153" s="72"/>
      <c r="AH153" s="72"/>
      <c r="AI153" s="72"/>
      <c r="AJ153" s="75"/>
      <c r="AK153" s="72"/>
      <c r="AL153" s="28" t="str">
        <f>VLOOKUP($G153,'[42]Sheet1 (2)'!$A$1:$B$1048440,2,FALSE)</f>
        <v>Sqm</v>
      </c>
      <c r="AM153" s="76" t="s">
        <v>253</v>
      </c>
      <c r="AN153" s="31"/>
      <c r="AO153" s="33"/>
    </row>
    <row r="154" spans="1:41" ht="56" x14ac:dyDescent="0.35">
      <c r="A154" s="26">
        <v>143</v>
      </c>
      <c r="B154" s="24" t="s">
        <v>194</v>
      </c>
      <c r="C154" s="22">
        <v>3.33</v>
      </c>
      <c r="D154" s="25" t="s">
        <v>247</v>
      </c>
      <c r="E154" s="24" t="s">
        <v>254</v>
      </c>
      <c r="F154" s="39" t="s">
        <v>247</v>
      </c>
      <c r="G154" s="58" t="s">
        <v>151</v>
      </c>
      <c r="H154" s="26">
        <v>23</v>
      </c>
      <c r="I154" s="26">
        <v>1</v>
      </c>
      <c r="J154" s="78"/>
      <c r="K154" s="79"/>
      <c r="L154" s="79"/>
      <c r="M154" s="72"/>
      <c r="N154" s="80"/>
      <c r="O154" s="72"/>
      <c r="P154" s="79"/>
      <c r="Q154" s="79"/>
      <c r="R154" s="79"/>
      <c r="S154" s="80"/>
      <c r="T154" s="80"/>
      <c r="U154" s="80"/>
      <c r="V154" s="73"/>
      <c r="W154" s="80"/>
      <c r="X154" s="80"/>
      <c r="Y154" s="74"/>
      <c r="Z154" s="72"/>
      <c r="AA154" s="72"/>
      <c r="AB154" s="72">
        <v>0.32500000000000001</v>
      </c>
      <c r="AC154" s="72"/>
      <c r="AD154" s="72">
        <v>0.32500000000000001</v>
      </c>
      <c r="AE154" s="72"/>
      <c r="AF154" s="72"/>
      <c r="AG154" s="72"/>
      <c r="AH154" s="72"/>
      <c r="AI154" s="72"/>
      <c r="AJ154" s="75"/>
      <c r="AK154" s="72"/>
      <c r="AL154" s="28" t="str">
        <f>VLOOKUP($G154,'[42]Sheet1 (2)'!$A$1:$B$1048440,2,FALSE)</f>
        <v>Sqm</v>
      </c>
      <c r="AM154" s="76" t="s">
        <v>255</v>
      </c>
      <c r="AN154" s="31"/>
      <c r="AO154" s="33"/>
    </row>
    <row r="155" spans="1:41" ht="56" x14ac:dyDescent="0.35">
      <c r="A155" s="26">
        <v>144</v>
      </c>
      <c r="B155" s="24" t="s">
        <v>194</v>
      </c>
      <c r="C155" s="22">
        <v>3.34</v>
      </c>
      <c r="D155" s="25" t="s">
        <v>247</v>
      </c>
      <c r="E155" s="23" t="s">
        <v>256</v>
      </c>
      <c r="F155" s="39" t="s">
        <v>247</v>
      </c>
      <c r="G155" s="58" t="s">
        <v>151</v>
      </c>
      <c r="H155" s="26">
        <v>13</v>
      </c>
      <c r="I155" s="26">
        <v>1</v>
      </c>
      <c r="J155" s="78"/>
      <c r="K155" s="79"/>
      <c r="L155" s="79"/>
      <c r="M155" s="72"/>
      <c r="N155" s="80"/>
      <c r="O155" s="72"/>
      <c r="P155" s="79"/>
      <c r="Q155" s="79"/>
      <c r="R155" s="79"/>
      <c r="S155" s="80"/>
      <c r="T155" s="80"/>
      <c r="U155" s="80"/>
      <c r="V155" s="73"/>
      <c r="W155" s="80"/>
      <c r="X155" s="80"/>
      <c r="Y155" s="74"/>
      <c r="Z155" s="72"/>
      <c r="AA155" s="72"/>
      <c r="AB155" s="72"/>
      <c r="AC155" s="72"/>
      <c r="AD155" s="72"/>
      <c r="AE155" s="72"/>
      <c r="AF155" s="72"/>
      <c r="AG155" s="72"/>
      <c r="AH155" s="72"/>
      <c r="AI155" s="72"/>
      <c r="AJ155" s="91"/>
      <c r="AK155" s="72"/>
      <c r="AL155" s="28" t="str">
        <f>VLOOKUP($G155,'[42]Sheet1 (2)'!$A$1:$B$1048440,2,FALSE)</f>
        <v>Sqm</v>
      </c>
      <c r="AM155" s="76" t="s">
        <v>257</v>
      </c>
      <c r="AN155" s="31"/>
      <c r="AO155" s="33"/>
    </row>
    <row r="156" spans="1:41" ht="154" x14ac:dyDescent="0.25">
      <c r="A156" s="26">
        <v>145</v>
      </c>
      <c r="B156" s="24" t="s">
        <v>194</v>
      </c>
      <c r="C156" s="67" t="s">
        <v>258</v>
      </c>
      <c r="D156" s="25" t="s">
        <v>259</v>
      </c>
      <c r="E156" s="24" t="s">
        <v>260</v>
      </c>
      <c r="F156" s="92" t="s">
        <v>261</v>
      </c>
      <c r="G156" s="58" t="s">
        <v>151</v>
      </c>
      <c r="H156" s="26">
        <v>280</v>
      </c>
      <c r="I156" s="26">
        <v>8</v>
      </c>
      <c r="J156" s="78"/>
      <c r="K156" s="79"/>
      <c r="L156" s="93"/>
      <c r="M156" s="72">
        <v>0.09</v>
      </c>
      <c r="N156" s="94"/>
      <c r="O156" s="95">
        <f t="shared" ref="O156:O163" si="0">0.18/10</f>
        <v>1.7999999999999999E-2</v>
      </c>
      <c r="P156" s="96"/>
      <c r="Q156" s="96"/>
      <c r="R156" s="96"/>
      <c r="S156" s="94"/>
      <c r="T156" s="94"/>
      <c r="U156" s="94"/>
      <c r="V156" s="97"/>
      <c r="W156" s="94"/>
      <c r="X156" s="94"/>
      <c r="Y156" s="98"/>
      <c r="Z156" s="72"/>
      <c r="AA156" s="72"/>
      <c r="AB156" s="72">
        <f>2/1000</f>
        <v>2E-3</v>
      </c>
      <c r="AC156" s="72"/>
      <c r="AD156" s="72">
        <f>2/1000</f>
        <v>2E-3</v>
      </c>
      <c r="AE156" s="99"/>
      <c r="AF156" s="99"/>
      <c r="AG156" s="99"/>
      <c r="AH156" s="99"/>
      <c r="AI156" s="99"/>
      <c r="AJ156" s="75"/>
      <c r="AK156" s="99"/>
      <c r="AL156" s="28" t="str">
        <f>VLOOKUP($G156,'[42]Sheet1 (2)'!$A$1:$B$1048440,2,FALSE)</f>
        <v>Sqm</v>
      </c>
      <c r="AM156" s="76" t="s">
        <v>262</v>
      </c>
      <c r="AN156" s="31"/>
      <c r="AO156" s="33"/>
    </row>
    <row r="157" spans="1:41" ht="168" x14ac:dyDescent="0.25">
      <c r="A157" s="26">
        <v>146</v>
      </c>
      <c r="B157" s="24" t="s">
        <v>194</v>
      </c>
      <c r="C157" s="67" t="s">
        <v>263</v>
      </c>
      <c r="D157" s="25" t="s">
        <v>259</v>
      </c>
      <c r="E157" s="23" t="s">
        <v>264</v>
      </c>
      <c r="F157" s="92" t="s">
        <v>261</v>
      </c>
      <c r="G157" s="58" t="s">
        <v>151</v>
      </c>
      <c r="H157" s="26">
        <v>291</v>
      </c>
      <c r="I157" s="26">
        <v>8</v>
      </c>
      <c r="J157" s="78"/>
      <c r="K157" s="79"/>
      <c r="L157" s="95">
        <f>0.9/10</f>
        <v>0.09</v>
      </c>
      <c r="M157" s="72"/>
      <c r="N157" s="94"/>
      <c r="O157" s="95">
        <f t="shared" si="0"/>
        <v>1.7999999999999999E-2</v>
      </c>
      <c r="P157" s="96"/>
      <c r="Q157" s="96"/>
      <c r="R157" s="96"/>
      <c r="S157" s="94"/>
      <c r="T157" s="94"/>
      <c r="U157" s="94"/>
      <c r="V157" s="97"/>
      <c r="W157" s="94"/>
      <c r="X157" s="94"/>
      <c r="Y157" s="98"/>
      <c r="Z157" s="72"/>
      <c r="AA157" s="72"/>
      <c r="AB157" s="72">
        <f>2/1000</f>
        <v>2E-3</v>
      </c>
      <c r="AC157" s="72"/>
      <c r="AD157" s="72">
        <f>2/1000</f>
        <v>2E-3</v>
      </c>
      <c r="AE157" s="72"/>
      <c r="AF157" s="72"/>
      <c r="AG157" s="72"/>
      <c r="AH157" s="99"/>
      <c r="AI157" s="99"/>
      <c r="AJ157" s="75"/>
      <c r="AK157" s="99"/>
      <c r="AL157" s="28" t="str">
        <f>VLOOKUP($G157,'[42]Sheet1 (2)'!$A$1:$B$1048440,2,FALSE)</f>
        <v>Sqm</v>
      </c>
      <c r="AM157" s="76" t="s">
        <v>262</v>
      </c>
      <c r="AN157" s="31"/>
      <c r="AO157" s="33"/>
    </row>
    <row r="158" spans="1:41" ht="182" x14ac:dyDescent="0.25">
      <c r="A158" s="26">
        <v>147</v>
      </c>
      <c r="B158" s="24" t="s">
        <v>194</v>
      </c>
      <c r="C158" s="67" t="s">
        <v>265</v>
      </c>
      <c r="D158" s="25" t="s">
        <v>259</v>
      </c>
      <c r="E158" s="24" t="s">
        <v>266</v>
      </c>
      <c r="F158" s="92" t="s">
        <v>261</v>
      </c>
      <c r="G158" s="58" t="s">
        <v>151</v>
      </c>
      <c r="H158" s="26">
        <v>277</v>
      </c>
      <c r="I158" s="26">
        <v>3</v>
      </c>
      <c r="J158" s="78"/>
      <c r="K158" s="79"/>
      <c r="L158" s="93"/>
      <c r="M158" s="99">
        <v>0.09</v>
      </c>
      <c r="N158" s="100"/>
      <c r="O158" s="93">
        <f t="shared" si="0"/>
        <v>1.7999999999999999E-2</v>
      </c>
      <c r="P158" s="79"/>
      <c r="Q158" s="79"/>
      <c r="R158" s="79"/>
      <c r="S158" s="100"/>
      <c r="T158" s="100"/>
      <c r="U158" s="100"/>
      <c r="V158" s="101"/>
      <c r="W158" s="100"/>
      <c r="X158" s="100"/>
      <c r="Y158" s="102"/>
      <c r="Z158" s="99"/>
      <c r="AA158" s="99"/>
      <c r="AB158" s="99">
        <f>(2+0.3)/1000</f>
        <v>2.3E-3</v>
      </c>
      <c r="AC158" s="99"/>
      <c r="AD158" s="99">
        <f>(2+0.3)/1000</f>
        <v>2.3E-3</v>
      </c>
      <c r="AE158" s="99"/>
      <c r="AF158" s="99"/>
      <c r="AG158" s="99"/>
      <c r="AH158" s="99"/>
      <c r="AI158" s="99"/>
      <c r="AJ158" s="75"/>
      <c r="AK158" s="99"/>
      <c r="AL158" s="28" t="str">
        <f>VLOOKUP($G158,'[42]Sheet1 (2)'!$A$1:$B$1048440,2,FALSE)</f>
        <v>Sqm</v>
      </c>
      <c r="AM158" s="76" t="s">
        <v>267</v>
      </c>
      <c r="AN158" s="31"/>
      <c r="AO158" s="33"/>
    </row>
    <row r="159" spans="1:41" ht="168" x14ac:dyDescent="0.25">
      <c r="A159" s="26">
        <v>148</v>
      </c>
      <c r="B159" s="24" t="s">
        <v>194</v>
      </c>
      <c r="C159" s="67" t="s">
        <v>268</v>
      </c>
      <c r="D159" s="25" t="s">
        <v>259</v>
      </c>
      <c r="E159" s="24" t="s">
        <v>269</v>
      </c>
      <c r="F159" s="92" t="s">
        <v>261</v>
      </c>
      <c r="G159" s="58" t="s">
        <v>151</v>
      </c>
      <c r="H159" s="103">
        <v>289</v>
      </c>
      <c r="I159" s="26">
        <v>3</v>
      </c>
      <c r="J159" s="78"/>
      <c r="K159" s="79"/>
      <c r="L159" s="93">
        <f>0.9/10</f>
        <v>0.09</v>
      </c>
      <c r="M159" s="99"/>
      <c r="N159" s="100"/>
      <c r="O159" s="93">
        <f t="shared" si="0"/>
        <v>1.7999999999999999E-2</v>
      </c>
      <c r="P159" s="79"/>
      <c r="Q159" s="79"/>
      <c r="R159" s="79"/>
      <c r="S159" s="100"/>
      <c r="T159" s="100"/>
      <c r="U159" s="100"/>
      <c r="V159" s="101"/>
      <c r="W159" s="100"/>
      <c r="X159" s="100"/>
      <c r="Y159" s="102"/>
      <c r="Z159" s="99"/>
      <c r="AA159" s="99"/>
      <c r="AB159" s="99">
        <f>(2+0.3)/1000</f>
        <v>2.3E-3</v>
      </c>
      <c r="AC159" s="99"/>
      <c r="AD159" s="99">
        <f>(2+0.3)/1000</f>
        <v>2.3E-3</v>
      </c>
      <c r="AE159" s="99"/>
      <c r="AF159" s="99"/>
      <c r="AG159" s="99"/>
      <c r="AH159" s="99"/>
      <c r="AI159" s="99"/>
      <c r="AJ159" s="75"/>
      <c r="AK159" s="99"/>
      <c r="AL159" s="28" t="str">
        <f>VLOOKUP($G159,'[42]Sheet1 (2)'!$A$1:$B$1048440,2,FALSE)</f>
        <v>Sqm</v>
      </c>
      <c r="AM159" s="76" t="s">
        <v>267</v>
      </c>
      <c r="AN159" s="31"/>
      <c r="AO159" s="33"/>
    </row>
    <row r="160" spans="1:41" ht="154" x14ac:dyDescent="0.25">
      <c r="A160" s="26">
        <v>149</v>
      </c>
      <c r="B160" s="24" t="s">
        <v>194</v>
      </c>
      <c r="C160" s="67" t="s">
        <v>270</v>
      </c>
      <c r="D160" s="25" t="s">
        <v>259</v>
      </c>
      <c r="E160" s="24" t="s">
        <v>271</v>
      </c>
      <c r="F160" s="92" t="s">
        <v>261</v>
      </c>
      <c r="G160" s="58" t="s">
        <v>151</v>
      </c>
      <c r="H160" s="103">
        <v>210</v>
      </c>
      <c r="I160" s="26">
        <v>9</v>
      </c>
      <c r="J160" s="78"/>
      <c r="K160" s="79"/>
      <c r="L160" s="104"/>
      <c r="M160" s="99">
        <v>0.06</v>
      </c>
      <c r="N160" s="100"/>
      <c r="O160" s="93">
        <f t="shared" si="0"/>
        <v>1.7999999999999999E-2</v>
      </c>
      <c r="P160" s="79"/>
      <c r="Q160" s="79"/>
      <c r="R160" s="79"/>
      <c r="S160" s="100"/>
      <c r="T160" s="100"/>
      <c r="U160" s="100"/>
      <c r="V160" s="101"/>
      <c r="W160" s="100"/>
      <c r="X160" s="100"/>
      <c r="Y160" s="102"/>
      <c r="Z160" s="99"/>
      <c r="AA160" s="99"/>
      <c r="AB160" s="99">
        <f>(1.75)/1000</f>
        <v>1.75E-3</v>
      </c>
      <c r="AC160" s="99"/>
      <c r="AD160" s="99">
        <f>(1.75)/1000</f>
        <v>1.75E-3</v>
      </c>
      <c r="AE160" s="99"/>
      <c r="AF160" s="99"/>
      <c r="AG160" s="99"/>
      <c r="AH160" s="99"/>
      <c r="AI160" s="99"/>
      <c r="AJ160" s="75"/>
      <c r="AK160" s="99"/>
      <c r="AL160" s="28" t="str">
        <f>VLOOKUP($G160,'[42]Sheet1 (2)'!$A$1:$B$1048440,2,FALSE)</f>
        <v>Sqm</v>
      </c>
      <c r="AM160" s="76" t="s">
        <v>272</v>
      </c>
      <c r="AN160" s="31"/>
      <c r="AO160" s="33"/>
    </row>
    <row r="161" spans="1:41" ht="140" x14ac:dyDescent="0.25">
      <c r="A161" s="26">
        <v>150</v>
      </c>
      <c r="B161" s="24" t="s">
        <v>194</v>
      </c>
      <c r="C161" s="67" t="s">
        <v>273</v>
      </c>
      <c r="D161" s="25" t="s">
        <v>259</v>
      </c>
      <c r="E161" s="24" t="s">
        <v>274</v>
      </c>
      <c r="F161" s="92" t="s">
        <v>261</v>
      </c>
      <c r="G161" s="58" t="s">
        <v>151</v>
      </c>
      <c r="H161" s="103">
        <v>218</v>
      </c>
      <c r="I161" s="26">
        <v>9</v>
      </c>
      <c r="J161" s="78"/>
      <c r="K161" s="79"/>
      <c r="L161" s="104">
        <f>0.6/10</f>
        <v>0.06</v>
      </c>
      <c r="M161" s="99"/>
      <c r="N161" s="100"/>
      <c r="O161" s="93">
        <f t="shared" si="0"/>
        <v>1.7999999999999999E-2</v>
      </c>
      <c r="P161" s="79"/>
      <c r="Q161" s="79"/>
      <c r="R161" s="79"/>
      <c r="S161" s="100"/>
      <c r="T161" s="100"/>
      <c r="U161" s="100"/>
      <c r="V161" s="101"/>
      <c r="W161" s="100"/>
      <c r="X161" s="100"/>
      <c r="Y161" s="102"/>
      <c r="Z161" s="99"/>
      <c r="AA161" s="99"/>
      <c r="AB161" s="99">
        <f>(1.75)/1000</f>
        <v>1.75E-3</v>
      </c>
      <c r="AC161" s="99"/>
      <c r="AD161" s="99">
        <f>(1.75)/1000</f>
        <v>1.75E-3</v>
      </c>
      <c r="AE161" s="99"/>
      <c r="AF161" s="99"/>
      <c r="AG161" s="99"/>
      <c r="AH161" s="99"/>
      <c r="AI161" s="99"/>
      <c r="AJ161" s="75"/>
      <c r="AK161" s="99"/>
      <c r="AL161" s="28" t="str">
        <f>VLOOKUP($G161,'[42]Sheet1 (2)'!$A$1:$B$1048440,2,FALSE)</f>
        <v>Sqm</v>
      </c>
      <c r="AM161" s="76" t="s">
        <v>272</v>
      </c>
      <c r="AN161" s="31"/>
      <c r="AO161" s="33"/>
    </row>
    <row r="162" spans="1:41" ht="154" x14ac:dyDescent="0.25">
      <c r="A162" s="26">
        <v>151</v>
      </c>
      <c r="B162" s="24" t="s">
        <v>194</v>
      </c>
      <c r="C162" s="67" t="s">
        <v>275</v>
      </c>
      <c r="D162" s="25" t="s">
        <v>259</v>
      </c>
      <c r="E162" s="24" t="s">
        <v>276</v>
      </c>
      <c r="F162" s="92" t="s">
        <v>261</v>
      </c>
      <c r="G162" s="58" t="s">
        <v>151</v>
      </c>
      <c r="H162" s="103">
        <v>223</v>
      </c>
      <c r="I162" s="26">
        <v>2</v>
      </c>
      <c r="J162" s="78"/>
      <c r="K162" s="79"/>
      <c r="L162" s="104"/>
      <c r="M162" s="99">
        <v>0.06</v>
      </c>
      <c r="N162" s="100"/>
      <c r="O162" s="93">
        <f t="shared" si="0"/>
        <v>1.7999999999999999E-2</v>
      </c>
      <c r="P162" s="79"/>
      <c r="Q162" s="79"/>
      <c r="R162" s="79"/>
      <c r="S162" s="100"/>
      <c r="T162" s="100"/>
      <c r="U162" s="100"/>
      <c r="V162" s="101"/>
      <c r="W162" s="100"/>
      <c r="X162" s="100"/>
      <c r="Y162" s="102"/>
      <c r="Z162" s="99"/>
      <c r="AA162" s="99"/>
      <c r="AB162" s="99">
        <f>(1.75+0.3)/1000</f>
        <v>2.0499999999999997E-3</v>
      </c>
      <c r="AC162" s="99"/>
      <c r="AD162" s="99">
        <f>(1.75+0.3)/1000</f>
        <v>2.0499999999999997E-3</v>
      </c>
      <c r="AE162" s="99"/>
      <c r="AF162" s="99"/>
      <c r="AG162" s="99"/>
      <c r="AH162" s="99"/>
      <c r="AI162" s="99"/>
      <c r="AJ162" s="75"/>
      <c r="AK162" s="99"/>
      <c r="AL162" s="28" t="str">
        <f>VLOOKUP($G162,'[42]Sheet1 (2)'!$A$1:$B$1048440,2,FALSE)</f>
        <v>Sqm</v>
      </c>
      <c r="AM162" s="76" t="s">
        <v>277</v>
      </c>
      <c r="AN162" s="31"/>
      <c r="AO162" s="33"/>
    </row>
    <row r="163" spans="1:41" ht="154" x14ac:dyDescent="0.25">
      <c r="A163" s="26">
        <v>152</v>
      </c>
      <c r="B163" s="24" t="s">
        <v>194</v>
      </c>
      <c r="C163" s="67" t="s">
        <v>278</v>
      </c>
      <c r="D163" s="25" t="s">
        <v>259</v>
      </c>
      <c r="E163" s="24" t="s">
        <v>279</v>
      </c>
      <c r="F163" s="92" t="s">
        <v>261</v>
      </c>
      <c r="G163" s="58" t="s">
        <v>151</v>
      </c>
      <c r="H163" s="26">
        <v>231</v>
      </c>
      <c r="I163" s="26">
        <v>2</v>
      </c>
      <c r="J163" s="78"/>
      <c r="K163" s="79"/>
      <c r="L163" s="104">
        <f>0.6/10</f>
        <v>0.06</v>
      </c>
      <c r="M163" s="99"/>
      <c r="N163" s="100"/>
      <c r="O163" s="93">
        <f t="shared" si="0"/>
        <v>1.7999999999999999E-2</v>
      </c>
      <c r="P163" s="79"/>
      <c r="Q163" s="79"/>
      <c r="R163" s="79"/>
      <c r="S163" s="100"/>
      <c r="T163" s="100"/>
      <c r="U163" s="100"/>
      <c r="V163" s="101"/>
      <c r="W163" s="100"/>
      <c r="X163" s="100"/>
      <c r="Y163" s="102"/>
      <c r="Z163" s="99"/>
      <c r="AA163" s="99"/>
      <c r="AB163" s="99">
        <f>(1.75+0.3)/1000</f>
        <v>2.0499999999999997E-3</v>
      </c>
      <c r="AC163" s="99"/>
      <c r="AD163" s="99">
        <f>(1.75+0.3)/1000</f>
        <v>2.0499999999999997E-3</v>
      </c>
      <c r="AE163" s="99"/>
      <c r="AF163" s="99"/>
      <c r="AG163" s="99"/>
      <c r="AH163" s="99"/>
      <c r="AI163" s="99"/>
      <c r="AJ163" s="75"/>
      <c r="AK163" s="99"/>
      <c r="AL163" s="28" t="str">
        <f>VLOOKUP($G163,'[42]Sheet1 (2)'!$A$1:$B$1048440,2,FALSE)</f>
        <v>Sqm</v>
      </c>
      <c r="AM163" s="76" t="s">
        <v>277</v>
      </c>
      <c r="AN163" s="31"/>
      <c r="AO163" s="33"/>
    </row>
    <row r="164" spans="1:41" ht="140" x14ac:dyDescent="0.25">
      <c r="A164" s="26">
        <v>153</v>
      </c>
      <c r="B164" s="24" t="s">
        <v>194</v>
      </c>
      <c r="C164" s="22">
        <v>3.39</v>
      </c>
      <c r="D164" s="25" t="s">
        <v>280</v>
      </c>
      <c r="E164" s="24" t="s">
        <v>281</v>
      </c>
      <c r="F164" s="39" t="s">
        <v>280</v>
      </c>
      <c r="G164" s="58" t="s">
        <v>151</v>
      </c>
      <c r="H164" s="26">
        <v>342</v>
      </c>
      <c r="I164" s="26">
        <v>3</v>
      </c>
      <c r="J164" s="78"/>
      <c r="K164" s="79"/>
      <c r="L164" s="93">
        <v>0.1</v>
      </c>
      <c r="M164" s="99"/>
      <c r="N164" s="100"/>
      <c r="O164" s="99">
        <v>1.2999999999999999E-2</v>
      </c>
      <c r="P164" s="79"/>
      <c r="Q164" s="79"/>
      <c r="R164" s="79"/>
      <c r="S164" s="100"/>
      <c r="T164" s="100"/>
      <c r="U164" s="100"/>
      <c r="V164" s="101"/>
      <c r="W164" s="100"/>
      <c r="X164" s="100"/>
      <c r="Y164" s="102"/>
      <c r="Z164" s="99"/>
      <c r="AA164" s="99"/>
      <c r="AB164" s="105">
        <f>3/1000</f>
        <v>3.0000000000000001E-3</v>
      </c>
      <c r="AC164" s="99"/>
      <c r="AD164" s="105">
        <f>3/1000</f>
        <v>3.0000000000000001E-3</v>
      </c>
      <c r="AE164" s="99"/>
      <c r="AF164" s="99"/>
      <c r="AG164" s="99">
        <v>1</v>
      </c>
      <c r="AH164" s="99"/>
      <c r="AI164" s="99"/>
      <c r="AJ164" s="75"/>
      <c r="AK164" s="99"/>
      <c r="AL164" s="28" t="str">
        <f>VLOOKUP($G164,'[42]Sheet1 (2)'!$A$1:$B$1048440,2,FALSE)</f>
        <v>Sqm</v>
      </c>
      <c r="AM164" s="76" t="s">
        <v>282</v>
      </c>
      <c r="AN164" s="31"/>
      <c r="AO164" s="33"/>
    </row>
    <row r="165" spans="1:41" ht="140" x14ac:dyDescent="0.35">
      <c r="A165" s="26">
        <v>154</v>
      </c>
      <c r="B165" s="24" t="s">
        <v>194</v>
      </c>
      <c r="C165" s="22">
        <v>3.4</v>
      </c>
      <c r="D165" s="25" t="s">
        <v>280</v>
      </c>
      <c r="E165" s="23" t="s">
        <v>283</v>
      </c>
      <c r="F165" s="39" t="s">
        <v>280</v>
      </c>
      <c r="G165" s="25" t="s">
        <v>47</v>
      </c>
      <c r="H165" s="26">
        <v>7644</v>
      </c>
      <c r="I165" s="26">
        <v>81</v>
      </c>
      <c r="J165" s="78"/>
      <c r="K165" s="79"/>
      <c r="L165" s="79"/>
      <c r="M165" s="72"/>
      <c r="N165" s="80"/>
      <c r="O165" s="72"/>
      <c r="P165" s="79"/>
      <c r="Q165" s="79"/>
      <c r="R165" s="79"/>
      <c r="S165" s="80"/>
      <c r="T165" s="80"/>
      <c r="U165" s="80"/>
      <c r="V165" s="73"/>
      <c r="W165" s="80"/>
      <c r="X165" s="80"/>
      <c r="Y165" s="74"/>
      <c r="Z165" s="95">
        <v>1.38</v>
      </c>
      <c r="AA165" s="72">
        <f>2.2*3.3/100</f>
        <v>7.2599999999999998E-2</v>
      </c>
      <c r="AB165" s="106">
        <f>12.5*0.25/1000</f>
        <v>3.1250000000000002E-3</v>
      </c>
      <c r="AC165" s="107"/>
      <c r="AD165" s="107">
        <f>0.0726+AB165</f>
        <v>7.5725000000000001E-2</v>
      </c>
      <c r="AE165" s="106"/>
      <c r="AF165" s="95">
        <f t="shared" ref="AF165:AF170" si="1">Z165</f>
        <v>1.38</v>
      </c>
      <c r="AG165" s="95">
        <v>12.5</v>
      </c>
      <c r="AH165" s="72"/>
      <c r="AI165" s="72"/>
      <c r="AJ165" s="75"/>
      <c r="AK165" s="72"/>
      <c r="AL165" s="28" t="str">
        <f>VLOOKUP($G165,'[42]Sheet1 (2)'!$A$1:$B$1048440,2,FALSE)</f>
        <v>Cum</v>
      </c>
      <c r="AM165" s="76" t="s">
        <v>284</v>
      </c>
      <c r="AN165" s="31"/>
      <c r="AO165" s="33"/>
    </row>
    <row r="166" spans="1:41" ht="210" x14ac:dyDescent="0.35">
      <c r="A166" s="26">
        <v>155</v>
      </c>
      <c r="B166" s="24" t="s">
        <v>194</v>
      </c>
      <c r="C166" s="22">
        <v>3.42</v>
      </c>
      <c r="D166" s="25" t="s">
        <v>280</v>
      </c>
      <c r="E166" s="24" t="s">
        <v>285</v>
      </c>
      <c r="F166" s="39" t="s">
        <v>280</v>
      </c>
      <c r="G166" s="25" t="s">
        <v>47</v>
      </c>
      <c r="H166" s="26">
        <v>7295</v>
      </c>
      <c r="I166" s="26">
        <v>81</v>
      </c>
      <c r="J166" s="78"/>
      <c r="K166" s="79"/>
      <c r="L166" s="79"/>
      <c r="M166" s="72"/>
      <c r="N166" s="80"/>
      <c r="O166" s="72"/>
      <c r="P166" s="79"/>
      <c r="Q166" s="79"/>
      <c r="R166" s="79"/>
      <c r="S166" s="80"/>
      <c r="T166" s="80"/>
      <c r="U166" s="80"/>
      <c r="V166" s="73"/>
      <c r="W166" s="80"/>
      <c r="X166" s="80"/>
      <c r="Y166" s="74"/>
      <c r="Z166" s="95">
        <v>1.38</v>
      </c>
      <c r="AA166" s="72">
        <f>2.2*3.3/100</f>
        <v>7.2599999999999998E-2</v>
      </c>
      <c r="AB166" s="95">
        <f>20*0.0003</f>
        <v>5.9999999999999993E-3</v>
      </c>
      <c r="AC166" s="107"/>
      <c r="AD166" s="107">
        <f>AA166+AB166</f>
        <v>7.8600000000000003E-2</v>
      </c>
      <c r="AE166" s="95"/>
      <c r="AF166" s="95">
        <f t="shared" si="1"/>
        <v>1.38</v>
      </c>
      <c r="AG166" s="72">
        <f>1/0.08</f>
        <v>12.5</v>
      </c>
      <c r="AH166" s="72"/>
      <c r="AI166" s="72"/>
      <c r="AJ166" s="75"/>
      <c r="AK166" s="72"/>
      <c r="AL166" s="28" t="str">
        <f>VLOOKUP($G166,'[42]Sheet1 (2)'!$A$1:$B$1048440,2,FALSE)</f>
        <v>Cum</v>
      </c>
      <c r="AM166" s="76" t="s">
        <v>286</v>
      </c>
      <c r="AN166" s="31"/>
      <c r="AO166" s="33"/>
    </row>
    <row r="167" spans="1:41" ht="154" x14ac:dyDescent="0.35">
      <c r="A167" s="26">
        <v>156</v>
      </c>
      <c r="B167" s="24" t="s">
        <v>194</v>
      </c>
      <c r="C167" s="22">
        <v>3.44</v>
      </c>
      <c r="D167" s="25" t="s">
        <v>287</v>
      </c>
      <c r="E167" s="23" t="s">
        <v>288</v>
      </c>
      <c r="F167" s="39" t="s">
        <v>287</v>
      </c>
      <c r="G167" s="25" t="s">
        <v>47</v>
      </c>
      <c r="H167" s="26">
        <v>9664</v>
      </c>
      <c r="I167" s="103">
        <v>85</v>
      </c>
      <c r="J167" s="78"/>
      <c r="K167" s="79"/>
      <c r="L167" s="79"/>
      <c r="M167" s="72"/>
      <c r="N167" s="80"/>
      <c r="O167" s="72"/>
      <c r="P167" s="79"/>
      <c r="Q167" s="79"/>
      <c r="R167" s="79"/>
      <c r="S167" s="80"/>
      <c r="T167" s="80"/>
      <c r="U167" s="80"/>
      <c r="V167" s="73"/>
      <c r="W167" s="80"/>
      <c r="X167" s="80"/>
      <c r="Y167" s="74"/>
      <c r="Z167" s="72">
        <f>0.61+0.459+0.459</f>
        <v>1.528</v>
      </c>
      <c r="AA167" s="72">
        <f>2.3*4.5/100</f>
        <v>0.10349999999999999</v>
      </c>
      <c r="AB167" s="95">
        <f>AG167*0.0003</f>
        <v>3.7499999999999999E-3</v>
      </c>
      <c r="AC167" s="72"/>
      <c r="AD167" s="107">
        <f>AA167+AB167</f>
        <v>0.10725</v>
      </c>
      <c r="AE167" s="95"/>
      <c r="AF167" s="95">
        <f t="shared" si="1"/>
        <v>1.528</v>
      </c>
      <c r="AG167" s="72">
        <f>1/0.08</f>
        <v>12.5</v>
      </c>
      <c r="AH167" s="72"/>
      <c r="AI167" s="72"/>
      <c r="AJ167" s="75"/>
      <c r="AK167" s="72"/>
      <c r="AL167" s="28" t="str">
        <f>VLOOKUP($G167,'[42]Sheet1 (2)'!$A$1:$B$1048440,2,FALSE)</f>
        <v>Cum</v>
      </c>
      <c r="AM167" s="76" t="s">
        <v>289</v>
      </c>
      <c r="AN167" s="31"/>
      <c r="AO167" s="33"/>
    </row>
    <row r="168" spans="1:41" ht="224" x14ac:dyDescent="0.35">
      <c r="A168" s="26">
        <v>157</v>
      </c>
      <c r="B168" s="24" t="s">
        <v>194</v>
      </c>
      <c r="C168" s="22">
        <v>3.46</v>
      </c>
      <c r="D168" s="25" t="s">
        <v>287</v>
      </c>
      <c r="E168" s="24" t="s">
        <v>290</v>
      </c>
      <c r="F168" s="39" t="s">
        <v>287</v>
      </c>
      <c r="G168" s="25" t="s">
        <v>47</v>
      </c>
      <c r="H168" s="26">
        <v>9178</v>
      </c>
      <c r="I168" s="103">
        <v>85</v>
      </c>
      <c r="J168" s="78"/>
      <c r="K168" s="79"/>
      <c r="L168" s="79"/>
      <c r="M168" s="72"/>
      <c r="N168" s="80"/>
      <c r="O168" s="72"/>
      <c r="P168" s="79"/>
      <c r="Q168" s="79"/>
      <c r="R168" s="79"/>
      <c r="S168" s="80"/>
      <c r="T168" s="80"/>
      <c r="U168" s="80"/>
      <c r="V168" s="73"/>
      <c r="W168" s="80"/>
      <c r="X168" s="80"/>
      <c r="Y168" s="74"/>
      <c r="Z168" s="72">
        <f>0.61+0.459+0.459</f>
        <v>1.528</v>
      </c>
      <c r="AA168" s="72">
        <f>2.3*4.5/100</f>
        <v>0.10349999999999999</v>
      </c>
      <c r="AB168" s="107">
        <f>$AG168*0.0003</f>
        <v>5.9999999999999993E-3</v>
      </c>
      <c r="AC168" s="72"/>
      <c r="AD168" s="107">
        <f>AA168+AB168</f>
        <v>0.1095</v>
      </c>
      <c r="AE168" s="95"/>
      <c r="AF168" s="95">
        <f t="shared" si="1"/>
        <v>1.528</v>
      </c>
      <c r="AG168" s="72">
        <f>1/0.05</f>
        <v>20</v>
      </c>
      <c r="AH168" s="72"/>
      <c r="AI168" s="72"/>
      <c r="AJ168" s="75"/>
      <c r="AK168" s="72"/>
      <c r="AL168" s="28" t="str">
        <f>VLOOKUP($G168,'[42]Sheet1 (2)'!$A$1:$B$1048440,2,FALSE)</f>
        <v>Cum</v>
      </c>
      <c r="AM168" s="76" t="s">
        <v>291</v>
      </c>
      <c r="AN168" s="31"/>
      <c r="AO168" s="33"/>
    </row>
    <row r="169" spans="1:41" ht="154" x14ac:dyDescent="0.35">
      <c r="A169" s="26">
        <v>158</v>
      </c>
      <c r="B169" s="24" t="s">
        <v>194</v>
      </c>
      <c r="C169" s="22">
        <v>3.48</v>
      </c>
      <c r="D169" s="25" t="s">
        <v>292</v>
      </c>
      <c r="E169" s="24" t="s">
        <v>293</v>
      </c>
      <c r="F169" s="39" t="s">
        <v>292</v>
      </c>
      <c r="G169" s="25" t="s">
        <v>47</v>
      </c>
      <c r="H169" s="26">
        <v>10599</v>
      </c>
      <c r="I169" s="103">
        <v>86</v>
      </c>
      <c r="J169" s="107">
        <f>(1.68*Z169)*2%</f>
        <v>5.2819200000000004E-2</v>
      </c>
      <c r="K169" s="79"/>
      <c r="L169" s="79"/>
      <c r="M169" s="72"/>
      <c r="N169" s="80"/>
      <c r="O169" s="72"/>
      <c r="P169" s="79"/>
      <c r="Q169" s="79"/>
      <c r="R169" s="79"/>
      <c r="S169" s="80"/>
      <c r="T169" s="80"/>
      <c r="U169" s="80"/>
      <c r="V169" s="73"/>
      <c r="W169" s="80"/>
      <c r="X169" s="80"/>
      <c r="Y169" s="74"/>
      <c r="Z169" s="72">
        <f>1.006+0.566</f>
        <v>1.5720000000000001</v>
      </c>
      <c r="AA169" s="72">
        <f>2.4*5.2/100</f>
        <v>0.12480000000000001</v>
      </c>
      <c r="AB169" s="107">
        <f>$AG169*0.0003</f>
        <v>0.01</v>
      </c>
      <c r="AC169" s="72"/>
      <c r="AD169" s="107">
        <f>AA169+AB169</f>
        <v>0.1348</v>
      </c>
      <c r="AE169" s="107"/>
      <c r="AF169" s="95">
        <f t="shared" si="1"/>
        <v>1.5720000000000001</v>
      </c>
      <c r="AG169" s="108">
        <f>1/0.03</f>
        <v>33.333333333333336</v>
      </c>
      <c r="AH169" s="72"/>
      <c r="AI169" s="72"/>
      <c r="AJ169" s="75"/>
      <c r="AK169" s="72"/>
      <c r="AL169" s="28" t="str">
        <f>VLOOKUP($G169,'[42]Sheet1 (2)'!$A$1:$B$1048440,2,FALSE)</f>
        <v>Cum</v>
      </c>
      <c r="AM169" s="76" t="s">
        <v>294</v>
      </c>
      <c r="AN169" s="31"/>
      <c r="AO169" s="33"/>
    </row>
    <row r="170" spans="1:41" ht="140" x14ac:dyDescent="0.35">
      <c r="A170" s="26">
        <v>159</v>
      </c>
      <c r="B170" s="24" t="s">
        <v>194</v>
      </c>
      <c r="C170" s="22">
        <v>3.5</v>
      </c>
      <c r="D170" s="25" t="s">
        <v>292</v>
      </c>
      <c r="E170" s="24" t="s">
        <v>295</v>
      </c>
      <c r="F170" s="39" t="s">
        <v>296</v>
      </c>
      <c r="G170" s="25" t="s">
        <v>47</v>
      </c>
      <c r="H170" s="26">
        <v>10627</v>
      </c>
      <c r="I170" s="103">
        <v>86</v>
      </c>
      <c r="J170" s="107">
        <f>(1.68*Z170)*2%</f>
        <v>5.2819200000000004E-2</v>
      </c>
      <c r="K170" s="79"/>
      <c r="L170" s="79"/>
      <c r="M170" s="72"/>
      <c r="N170" s="80"/>
      <c r="O170" s="72"/>
      <c r="P170" s="79"/>
      <c r="Q170" s="79"/>
      <c r="R170" s="79"/>
      <c r="S170" s="80"/>
      <c r="T170" s="80"/>
      <c r="U170" s="80"/>
      <c r="V170" s="73"/>
      <c r="W170" s="80"/>
      <c r="X170" s="80"/>
      <c r="Y170" s="74"/>
      <c r="Z170" s="72">
        <f>1.006+0.566</f>
        <v>1.5720000000000001</v>
      </c>
      <c r="AA170" s="72">
        <f>2.4*5.4/100</f>
        <v>0.12960000000000002</v>
      </c>
      <c r="AB170" s="107">
        <f>$AG170*0.0003</f>
        <v>0.01</v>
      </c>
      <c r="AC170" s="72"/>
      <c r="AD170" s="107">
        <f>AA170+AB170</f>
        <v>0.13960000000000003</v>
      </c>
      <c r="AE170" s="107"/>
      <c r="AF170" s="95">
        <f t="shared" si="1"/>
        <v>1.5720000000000001</v>
      </c>
      <c r="AG170" s="108">
        <f>1/0.03</f>
        <v>33.333333333333336</v>
      </c>
      <c r="AH170" s="72"/>
      <c r="AI170" s="72"/>
      <c r="AJ170" s="75"/>
      <c r="AK170" s="72"/>
      <c r="AL170" s="28" t="str">
        <f>VLOOKUP($G170,'[42]Sheet1 (2)'!$A$1:$B$1048440,2,FALSE)</f>
        <v>Cum</v>
      </c>
      <c r="AM170" s="76" t="s">
        <v>297</v>
      </c>
      <c r="AN170" s="31"/>
      <c r="AO170" s="33"/>
    </row>
    <row r="171" spans="1:41" ht="15" x14ac:dyDescent="0.35">
      <c r="A171" s="109"/>
      <c r="B171" s="24"/>
      <c r="C171" s="22"/>
      <c r="D171" s="110"/>
      <c r="E171" s="111" t="s">
        <v>298</v>
      </c>
      <c r="F171" s="112"/>
      <c r="G171" s="110"/>
      <c r="H171" s="113"/>
      <c r="I171" s="114"/>
      <c r="J171" s="107"/>
      <c r="K171" s="79"/>
      <c r="L171" s="79"/>
      <c r="M171" s="72"/>
      <c r="N171" s="80"/>
      <c r="O171" s="72"/>
      <c r="P171" s="79"/>
      <c r="Q171" s="79"/>
      <c r="R171" s="79"/>
      <c r="S171" s="80"/>
      <c r="T171" s="80"/>
      <c r="U171" s="80"/>
      <c r="V171" s="73"/>
      <c r="W171" s="80"/>
      <c r="X171" s="80"/>
      <c r="Y171" s="74"/>
      <c r="Z171" s="72"/>
      <c r="AA171" s="72"/>
      <c r="AB171" s="107"/>
      <c r="AC171" s="72"/>
      <c r="AD171" s="107"/>
      <c r="AE171" s="107"/>
      <c r="AF171" s="95"/>
      <c r="AG171" s="108"/>
      <c r="AH171" s="72"/>
      <c r="AI171" s="72"/>
      <c r="AJ171" s="75"/>
      <c r="AK171" s="72"/>
      <c r="AL171" s="28" t="e">
        <f>VLOOKUP($G171,'[42]Sheet1 (2)'!$A$1:$B$1048440,2,FALSE)</f>
        <v>#N/A</v>
      </c>
      <c r="AM171" s="76"/>
      <c r="AN171" s="31"/>
      <c r="AO171" s="33"/>
    </row>
    <row r="172" spans="1:41" ht="98" x14ac:dyDescent="0.35">
      <c r="A172" s="40">
        <v>160</v>
      </c>
      <c r="B172" s="44" t="s">
        <v>298</v>
      </c>
      <c r="C172" s="37">
        <v>4.01</v>
      </c>
      <c r="D172" s="45" t="s">
        <v>299</v>
      </c>
      <c r="E172" s="43" t="s">
        <v>300</v>
      </c>
      <c r="F172" s="115" t="s">
        <v>299</v>
      </c>
      <c r="G172" s="42" t="s">
        <v>217</v>
      </c>
      <c r="H172" s="40">
        <v>75</v>
      </c>
      <c r="I172" s="40">
        <v>1</v>
      </c>
      <c r="J172" s="78"/>
      <c r="K172" s="79"/>
      <c r="L172" s="79"/>
      <c r="M172" s="72"/>
      <c r="N172" s="80"/>
      <c r="O172" s="72">
        <v>6.0000000000000001E-3</v>
      </c>
      <c r="P172" s="79"/>
      <c r="Q172" s="79"/>
      <c r="R172" s="79"/>
      <c r="S172" s="80"/>
      <c r="T172" s="80"/>
      <c r="U172" s="80"/>
      <c r="V172" s="73"/>
      <c r="W172" s="80"/>
      <c r="X172" s="80"/>
      <c r="Y172" s="74"/>
      <c r="Z172" s="72"/>
      <c r="AA172" s="72"/>
      <c r="AB172" s="72">
        <f>0.98/1000</f>
        <v>9.7999999999999997E-4</v>
      </c>
      <c r="AC172" s="72"/>
      <c r="AD172" s="72"/>
      <c r="AE172" s="72"/>
      <c r="AF172" s="72"/>
      <c r="AG172" s="72"/>
      <c r="AH172" s="72"/>
      <c r="AI172" s="72"/>
      <c r="AJ172" s="75"/>
      <c r="AK172" s="72"/>
      <c r="AL172" s="28" t="str">
        <f>VLOOKUP($G172,'[42]Sheet1 (2)'!$A$1:$B$1048440,2,FALSE)</f>
        <v>Sqm</v>
      </c>
      <c r="AM172" s="116" t="s">
        <v>301</v>
      </c>
      <c r="AN172" s="31"/>
      <c r="AO172" s="33"/>
    </row>
    <row r="173" spans="1:41" ht="98" x14ac:dyDescent="0.35">
      <c r="A173" s="40">
        <v>161</v>
      </c>
      <c r="B173" s="44" t="s">
        <v>298</v>
      </c>
      <c r="C173" s="37">
        <v>4.03</v>
      </c>
      <c r="D173" s="45" t="s">
        <v>299</v>
      </c>
      <c r="E173" s="43" t="s">
        <v>302</v>
      </c>
      <c r="F173" s="115" t="s">
        <v>299</v>
      </c>
      <c r="G173" s="58" t="s">
        <v>151</v>
      </c>
      <c r="H173" s="40">
        <v>67</v>
      </c>
      <c r="I173" s="40">
        <v>1</v>
      </c>
      <c r="J173" s="78"/>
      <c r="K173" s="79"/>
      <c r="L173" s="79"/>
      <c r="M173" s="72"/>
      <c r="N173" s="80"/>
      <c r="O173" s="72"/>
      <c r="P173" s="79"/>
      <c r="Q173" s="79"/>
      <c r="R173" s="79"/>
      <c r="S173" s="80"/>
      <c r="T173" s="80"/>
      <c r="U173" s="80"/>
      <c r="V173" s="73"/>
      <c r="W173" s="80"/>
      <c r="X173" s="80"/>
      <c r="Y173" s="74"/>
      <c r="Z173" s="72">
        <f>6/1000</f>
        <v>6.0000000000000001E-3</v>
      </c>
      <c r="AA173" s="72">
        <f>0.68/1000</f>
        <v>6.8000000000000005E-4</v>
      </c>
      <c r="AB173" s="72"/>
      <c r="AC173" s="72"/>
      <c r="AD173" s="72"/>
      <c r="AE173" s="72"/>
      <c r="AF173" s="72">
        <f>Z173*2</f>
        <v>1.2E-2</v>
      </c>
      <c r="AG173" s="72"/>
      <c r="AH173" s="72"/>
      <c r="AI173" s="72"/>
      <c r="AJ173" s="75"/>
      <c r="AK173" s="72"/>
      <c r="AL173" s="28" t="str">
        <f>VLOOKUP($G173,'[42]Sheet1 (2)'!$A$1:$B$1048440,2,FALSE)</f>
        <v>Sqm</v>
      </c>
      <c r="AM173" s="116" t="s">
        <v>303</v>
      </c>
      <c r="AN173" s="31"/>
      <c r="AO173" s="33"/>
    </row>
    <row r="174" spans="1:41" ht="98" x14ac:dyDescent="0.35">
      <c r="A174" s="40">
        <v>162</v>
      </c>
      <c r="B174" s="44" t="s">
        <v>298</v>
      </c>
      <c r="C174" s="37">
        <v>4.04</v>
      </c>
      <c r="D174" s="45" t="s">
        <v>296</v>
      </c>
      <c r="E174" s="43" t="s">
        <v>304</v>
      </c>
      <c r="F174" s="115" t="s">
        <v>296</v>
      </c>
      <c r="G174" s="58" t="s">
        <v>151</v>
      </c>
      <c r="H174" s="40">
        <v>98</v>
      </c>
      <c r="I174" s="40">
        <v>1</v>
      </c>
      <c r="J174" s="78"/>
      <c r="K174" s="79"/>
      <c r="L174" s="79"/>
      <c r="M174" s="72"/>
      <c r="N174" s="80"/>
      <c r="O174" s="72">
        <f>0.19/10*1.25</f>
        <v>2.375E-2</v>
      </c>
      <c r="P174" s="79"/>
      <c r="Q174" s="79"/>
      <c r="R174" s="79"/>
      <c r="S174" s="80"/>
      <c r="T174" s="80"/>
      <c r="U174" s="80"/>
      <c r="V174" s="73"/>
      <c r="W174" s="80"/>
      <c r="X174" s="80"/>
      <c r="Y174" s="74"/>
      <c r="Z174" s="72"/>
      <c r="AA174" s="72"/>
      <c r="AB174" s="72">
        <f>12/10/1000</f>
        <v>1.1999999999999999E-3</v>
      </c>
      <c r="AC174" s="72"/>
      <c r="AD174" s="72">
        <f>12/10/1000</f>
        <v>1.1999999999999999E-3</v>
      </c>
      <c r="AE174" s="72"/>
      <c r="AF174" s="72"/>
      <c r="AG174" s="72"/>
      <c r="AH174" s="72"/>
      <c r="AI174" s="72"/>
      <c r="AJ174" s="75"/>
      <c r="AK174" s="72"/>
      <c r="AL174" s="28" t="str">
        <f>VLOOKUP($G174,'[42]Sheet1 (2)'!$A$1:$B$1048440,2,FALSE)</f>
        <v>Sqm</v>
      </c>
      <c r="AM174" s="116" t="s">
        <v>305</v>
      </c>
      <c r="AN174" s="31"/>
      <c r="AO174" s="33"/>
    </row>
    <row r="175" spans="1:41" ht="98" x14ac:dyDescent="0.35">
      <c r="A175" s="40">
        <v>163</v>
      </c>
      <c r="B175" s="44" t="s">
        <v>298</v>
      </c>
      <c r="C175" s="37">
        <v>4.05</v>
      </c>
      <c r="D175" s="45" t="s">
        <v>296</v>
      </c>
      <c r="E175" s="43" t="s">
        <v>306</v>
      </c>
      <c r="F175" s="115" t="s">
        <v>296</v>
      </c>
      <c r="G175" s="58" t="s">
        <v>151</v>
      </c>
      <c r="H175" s="40">
        <v>80</v>
      </c>
      <c r="I175" s="40">
        <v>1</v>
      </c>
      <c r="J175" s="78"/>
      <c r="K175" s="79"/>
      <c r="L175" s="79"/>
      <c r="M175" s="72"/>
      <c r="N175" s="80"/>
      <c r="O175" s="72">
        <f>0.13/10*1.25</f>
        <v>1.6250000000000001E-2</v>
      </c>
      <c r="P175" s="79"/>
      <c r="Q175" s="79"/>
      <c r="R175" s="79"/>
      <c r="S175" s="80"/>
      <c r="T175" s="80"/>
      <c r="U175" s="80"/>
      <c r="V175" s="73"/>
      <c r="W175" s="80"/>
      <c r="X175" s="80"/>
      <c r="Y175" s="74"/>
      <c r="Z175" s="72"/>
      <c r="AA175" s="72"/>
      <c r="AB175" s="107">
        <f>10/10/1000</f>
        <v>1E-3</v>
      </c>
      <c r="AC175" s="72"/>
      <c r="AD175" s="107">
        <f>10/10/1000</f>
        <v>1E-3</v>
      </c>
      <c r="AE175" s="72"/>
      <c r="AF175" s="72"/>
      <c r="AG175" s="72"/>
      <c r="AH175" s="72"/>
      <c r="AI175" s="72"/>
      <c r="AJ175" s="75"/>
      <c r="AK175" s="72"/>
      <c r="AL175" s="28" t="str">
        <f>VLOOKUP($G175,'[42]Sheet1 (2)'!$A$1:$B$1048440,2,FALSE)</f>
        <v>Sqm</v>
      </c>
      <c r="AM175" s="116" t="s">
        <v>307</v>
      </c>
      <c r="AN175" s="31"/>
      <c r="AO175" s="33"/>
    </row>
    <row r="176" spans="1:41" ht="98" x14ac:dyDescent="0.35">
      <c r="A176" s="40">
        <v>164</v>
      </c>
      <c r="B176" s="44" t="s">
        <v>298</v>
      </c>
      <c r="C176" s="37">
        <v>4.0599999999999996</v>
      </c>
      <c r="D176" s="45" t="s">
        <v>296</v>
      </c>
      <c r="E176" s="43" t="s">
        <v>308</v>
      </c>
      <c r="F176" s="115" t="s">
        <v>296</v>
      </c>
      <c r="G176" s="58" t="s">
        <v>151</v>
      </c>
      <c r="H176" s="40">
        <v>74</v>
      </c>
      <c r="I176" s="40">
        <v>1</v>
      </c>
      <c r="J176" s="78"/>
      <c r="K176" s="79"/>
      <c r="L176" s="79"/>
      <c r="M176" s="72"/>
      <c r="N176" s="80"/>
      <c r="O176" s="72">
        <f>0.1/10*1.25</f>
        <v>1.2500000000000001E-2</v>
      </c>
      <c r="P176" s="79"/>
      <c r="Q176" s="79"/>
      <c r="R176" s="79"/>
      <c r="S176" s="80"/>
      <c r="T176" s="80"/>
      <c r="U176" s="80"/>
      <c r="V176" s="73"/>
      <c r="W176" s="80"/>
      <c r="X176" s="80"/>
      <c r="Y176" s="74"/>
      <c r="Z176" s="72"/>
      <c r="AA176" s="72"/>
      <c r="AB176" s="107">
        <f>9/10/1000</f>
        <v>8.9999999999999998E-4</v>
      </c>
      <c r="AC176" s="72"/>
      <c r="AD176" s="107">
        <f>9/10/1000</f>
        <v>8.9999999999999998E-4</v>
      </c>
      <c r="AE176" s="72"/>
      <c r="AF176" s="72"/>
      <c r="AG176" s="72"/>
      <c r="AH176" s="72"/>
      <c r="AI176" s="72"/>
      <c r="AJ176" s="75"/>
      <c r="AK176" s="72"/>
      <c r="AL176" s="28" t="str">
        <f>VLOOKUP($G176,'[42]Sheet1 (2)'!$A$1:$B$1048440,2,FALSE)</f>
        <v>Sqm</v>
      </c>
      <c r="AM176" s="116" t="s">
        <v>309</v>
      </c>
      <c r="AN176" s="31"/>
      <c r="AO176" s="33"/>
    </row>
    <row r="177" spans="1:41" ht="98" x14ac:dyDescent="0.35">
      <c r="A177" s="40">
        <v>165</v>
      </c>
      <c r="B177" s="44" t="s">
        <v>298</v>
      </c>
      <c r="C177" s="37">
        <v>4.07</v>
      </c>
      <c r="D177" s="45" t="s">
        <v>296</v>
      </c>
      <c r="E177" s="43" t="s">
        <v>310</v>
      </c>
      <c r="F177" s="115" t="s">
        <v>296</v>
      </c>
      <c r="G177" s="58" t="s">
        <v>151</v>
      </c>
      <c r="H177" s="40">
        <v>65</v>
      </c>
      <c r="I177" s="40">
        <v>1</v>
      </c>
      <c r="J177" s="78"/>
      <c r="K177" s="79"/>
      <c r="L177" s="79"/>
      <c r="M177" s="72"/>
      <c r="N177" s="80"/>
      <c r="O177" s="72">
        <f>0.06/10*1.25</f>
        <v>7.4999999999999997E-3</v>
      </c>
      <c r="P177" s="79"/>
      <c r="Q177" s="79"/>
      <c r="R177" s="79"/>
      <c r="S177" s="80"/>
      <c r="T177" s="80"/>
      <c r="U177" s="80"/>
      <c r="V177" s="73"/>
      <c r="W177" s="80"/>
      <c r="X177" s="80"/>
      <c r="Y177" s="74"/>
      <c r="Z177" s="72"/>
      <c r="AA177" s="72"/>
      <c r="AB177" s="106">
        <f>7.5/10/1000</f>
        <v>7.5000000000000002E-4</v>
      </c>
      <c r="AC177" s="72"/>
      <c r="AD177" s="106">
        <f>7.5/10/1000</f>
        <v>7.5000000000000002E-4</v>
      </c>
      <c r="AE177" s="72"/>
      <c r="AF177" s="72"/>
      <c r="AG177" s="72"/>
      <c r="AH177" s="72"/>
      <c r="AI177" s="72"/>
      <c r="AJ177" s="75"/>
      <c r="AK177" s="72"/>
      <c r="AL177" s="28" t="str">
        <f>VLOOKUP($G177,'[42]Sheet1 (2)'!$A$1:$B$1048440,2,FALSE)</f>
        <v>Sqm</v>
      </c>
      <c r="AM177" s="116" t="s">
        <v>311</v>
      </c>
      <c r="AN177" s="31"/>
      <c r="AO177" s="33"/>
    </row>
    <row r="178" spans="1:41" ht="56" x14ac:dyDescent="0.35">
      <c r="A178" s="40">
        <v>166</v>
      </c>
      <c r="B178" s="44" t="s">
        <v>298</v>
      </c>
      <c r="C178" s="37">
        <v>4.1100000000000003</v>
      </c>
      <c r="D178" s="45" t="s">
        <v>312</v>
      </c>
      <c r="E178" s="44" t="s">
        <v>313</v>
      </c>
      <c r="F178" s="115" t="s">
        <v>312</v>
      </c>
      <c r="G178" s="58" t="s">
        <v>151</v>
      </c>
      <c r="H178" s="40">
        <v>179</v>
      </c>
      <c r="I178" s="40">
        <v>5</v>
      </c>
      <c r="J178" s="78"/>
      <c r="K178" s="79"/>
      <c r="L178" s="79"/>
      <c r="M178" s="80"/>
      <c r="N178" s="80"/>
      <c r="O178" s="99"/>
      <c r="P178" s="79"/>
      <c r="Q178" s="79"/>
      <c r="R178" s="79"/>
      <c r="S178" s="100"/>
      <c r="T178" s="100"/>
      <c r="U178" s="100"/>
      <c r="V178" s="101"/>
      <c r="W178" s="100"/>
      <c r="X178" s="100"/>
      <c r="Y178" s="102"/>
      <c r="Z178" s="72">
        <v>2.7E-2</v>
      </c>
      <c r="AA178" s="106">
        <f>1.46/1000</f>
        <v>1.4599999999999999E-3</v>
      </c>
      <c r="AB178" s="72">
        <f>0.3/1000</f>
        <v>2.9999999999999997E-4</v>
      </c>
      <c r="AC178" s="72"/>
      <c r="AD178" s="106">
        <f>1.46/1000</f>
        <v>1.4599999999999999E-3</v>
      </c>
      <c r="AE178" s="72">
        <f>0.3/1000</f>
        <v>2.9999999999999997E-4</v>
      </c>
      <c r="AF178" s="72">
        <v>0.04</v>
      </c>
      <c r="AG178" s="72">
        <v>1</v>
      </c>
      <c r="AH178" s="99"/>
      <c r="AI178" s="72"/>
      <c r="AJ178" s="72"/>
      <c r="AK178" s="99"/>
      <c r="AL178" s="28" t="str">
        <f>VLOOKUP($G178,'[42]Sheet1 (2)'!$A$1:$B$1048440,2,FALSE)</f>
        <v>Sqm</v>
      </c>
      <c r="AM178" s="76" t="s">
        <v>314</v>
      </c>
      <c r="AN178" s="31"/>
      <c r="AO178" s="33"/>
    </row>
    <row r="179" spans="1:41" ht="140" x14ac:dyDescent="0.35">
      <c r="A179" s="40">
        <v>167</v>
      </c>
      <c r="B179" s="44" t="s">
        <v>298</v>
      </c>
      <c r="C179" s="37">
        <v>4.12</v>
      </c>
      <c r="D179" s="45" t="s">
        <v>312</v>
      </c>
      <c r="E179" s="44" t="s">
        <v>315</v>
      </c>
      <c r="F179" s="115" t="s">
        <v>312</v>
      </c>
      <c r="G179" s="58" t="s">
        <v>151</v>
      </c>
      <c r="H179" s="49">
        <v>193</v>
      </c>
      <c r="I179" s="40">
        <v>5</v>
      </c>
      <c r="J179" s="78"/>
      <c r="K179" s="79"/>
      <c r="L179" s="79"/>
      <c r="M179" s="80"/>
      <c r="N179" s="80"/>
      <c r="O179" s="99"/>
      <c r="P179" s="79"/>
      <c r="Q179" s="79"/>
      <c r="R179" s="79"/>
      <c r="S179" s="100"/>
      <c r="T179" s="100"/>
      <c r="U179" s="100"/>
      <c r="V179" s="101"/>
      <c r="W179" s="100"/>
      <c r="X179" s="100"/>
      <c r="Y179" s="102"/>
      <c r="Z179" s="72">
        <v>2.7E-2</v>
      </c>
      <c r="AA179" s="106">
        <f>1.46/1000</f>
        <v>1.4599999999999999E-3</v>
      </c>
      <c r="AB179" s="72">
        <f>0.3/1000</f>
        <v>2.9999999999999997E-4</v>
      </c>
      <c r="AC179" s="72"/>
      <c r="AD179" s="106">
        <f>1.46/1000</f>
        <v>1.4599999999999999E-3</v>
      </c>
      <c r="AE179" s="72">
        <f>0.3/1000</f>
        <v>2.9999999999999997E-4</v>
      </c>
      <c r="AF179" s="72">
        <v>0.04</v>
      </c>
      <c r="AG179" s="72">
        <v>1</v>
      </c>
      <c r="AH179" s="99"/>
      <c r="AI179" s="72"/>
      <c r="AJ179" s="72"/>
      <c r="AK179" s="99"/>
      <c r="AL179" s="28" t="str">
        <f>VLOOKUP($G179,'[42]Sheet1 (2)'!$A$1:$B$1048440,2,FALSE)</f>
        <v>Sqm</v>
      </c>
      <c r="AM179" s="76" t="s">
        <v>316</v>
      </c>
      <c r="AN179" s="31"/>
      <c r="AO179" s="33"/>
    </row>
    <row r="180" spans="1:41" ht="98" x14ac:dyDescent="0.35">
      <c r="A180" s="40">
        <v>168</v>
      </c>
      <c r="B180" s="44" t="s">
        <v>298</v>
      </c>
      <c r="C180" s="37">
        <v>4.13</v>
      </c>
      <c r="D180" s="45" t="s">
        <v>299</v>
      </c>
      <c r="E180" s="44" t="s">
        <v>317</v>
      </c>
      <c r="F180" s="115" t="s">
        <v>299</v>
      </c>
      <c r="G180" s="58" t="s">
        <v>151</v>
      </c>
      <c r="H180" s="49">
        <v>116</v>
      </c>
      <c r="I180" s="40">
        <v>6</v>
      </c>
      <c r="J180" s="78"/>
      <c r="K180" s="79"/>
      <c r="L180" s="79"/>
      <c r="M180" s="80"/>
      <c r="N180" s="80"/>
      <c r="O180" s="72">
        <f>9*1.25/1000</f>
        <v>1.125E-2</v>
      </c>
      <c r="P180" s="96"/>
      <c r="Q180" s="96"/>
      <c r="R180" s="96"/>
      <c r="S180" s="94"/>
      <c r="T180" s="94"/>
      <c r="U180" s="94"/>
      <c r="V180" s="97"/>
      <c r="W180" s="94"/>
      <c r="X180" s="94"/>
      <c r="Y180" s="98"/>
      <c r="Z180" s="72"/>
      <c r="AA180" s="106">
        <f>1.2/1000</f>
        <v>1.1999999999999999E-3</v>
      </c>
      <c r="AB180" s="72">
        <f>0.3/1000</f>
        <v>2.9999999999999997E-4</v>
      </c>
      <c r="AC180" s="72"/>
      <c r="AD180" s="106">
        <f>1.46/1000</f>
        <v>1.4599999999999999E-3</v>
      </c>
      <c r="AE180" s="72">
        <f>0.3/1000</f>
        <v>2.9999999999999997E-4</v>
      </c>
      <c r="AF180" s="72">
        <v>0.04</v>
      </c>
      <c r="AG180" s="72"/>
      <c r="AH180" s="72"/>
      <c r="AI180" s="72"/>
      <c r="AJ180" s="75"/>
      <c r="AK180" s="99"/>
      <c r="AL180" s="28" t="str">
        <f>VLOOKUP($G180,'[42]Sheet1 (2)'!$A$1:$B$1048440,2,FALSE)</f>
        <v>Sqm</v>
      </c>
      <c r="AM180" s="76" t="s">
        <v>318</v>
      </c>
      <c r="AN180" s="31"/>
      <c r="AO180" s="33"/>
    </row>
    <row r="181" spans="1:41" ht="14.5" x14ac:dyDescent="0.35">
      <c r="A181" s="68"/>
      <c r="B181" s="60"/>
      <c r="C181" s="117"/>
      <c r="D181" s="60"/>
      <c r="E181" s="118" t="s">
        <v>319</v>
      </c>
      <c r="F181" s="60"/>
      <c r="G181" s="119"/>
      <c r="H181" s="120"/>
      <c r="I181" s="120"/>
      <c r="J181" s="78"/>
      <c r="K181" s="79"/>
      <c r="L181" s="79"/>
      <c r="M181" s="72"/>
      <c r="N181" s="80"/>
      <c r="O181" s="72"/>
      <c r="P181" s="79"/>
      <c r="Q181" s="79"/>
      <c r="R181" s="79"/>
      <c r="S181" s="80"/>
      <c r="T181" s="80"/>
      <c r="U181" s="80"/>
      <c r="V181" s="73"/>
      <c r="W181" s="80"/>
      <c r="X181" s="80"/>
      <c r="Y181" s="74"/>
      <c r="Z181" s="72"/>
      <c r="AA181" s="72"/>
      <c r="AB181" s="107"/>
      <c r="AC181" s="72"/>
      <c r="AD181" s="107"/>
      <c r="AE181" s="72"/>
      <c r="AF181" s="72"/>
      <c r="AG181" s="72"/>
      <c r="AH181" s="72"/>
      <c r="AI181" s="72"/>
      <c r="AJ181" s="75"/>
      <c r="AK181" s="72"/>
      <c r="AL181" s="28" t="e">
        <f>VLOOKUP($G181,'[42]Sheet1 (2)'!$A$1:$B$1048440,2,FALSE)</f>
        <v>#N/A</v>
      </c>
      <c r="AM181" s="116"/>
      <c r="AN181" s="31"/>
      <c r="AO181" s="33"/>
    </row>
    <row r="182" spans="1:41" ht="252" x14ac:dyDescent="0.35">
      <c r="A182" s="26">
        <v>169</v>
      </c>
      <c r="B182" s="25" t="s">
        <v>319</v>
      </c>
      <c r="C182" s="22">
        <v>5.01</v>
      </c>
      <c r="D182" s="25" t="s">
        <v>320</v>
      </c>
      <c r="E182" s="24" t="s">
        <v>321</v>
      </c>
      <c r="F182" s="39" t="s">
        <v>320</v>
      </c>
      <c r="G182" s="25" t="s">
        <v>47</v>
      </c>
      <c r="H182" s="26">
        <v>7582</v>
      </c>
      <c r="I182" s="26">
        <v>210</v>
      </c>
      <c r="J182" s="72">
        <f>8/20</f>
        <v>0.4</v>
      </c>
      <c r="K182" s="72"/>
      <c r="L182" s="72">
        <f t="shared" ref="L182:L193" si="2">0.57+0.28</f>
        <v>0.85</v>
      </c>
      <c r="M182" s="80"/>
      <c r="N182" s="80"/>
      <c r="O182" s="80"/>
      <c r="P182" s="72">
        <v>0.42499999999999999</v>
      </c>
      <c r="Q182" s="72"/>
      <c r="R182" s="72"/>
      <c r="S182" s="72"/>
      <c r="T182" s="80"/>
      <c r="U182" s="80"/>
      <c r="V182" s="73"/>
      <c r="W182" s="80"/>
      <c r="X182" s="80"/>
      <c r="Y182" s="74"/>
      <c r="Z182" s="80"/>
      <c r="AA182" s="80"/>
      <c r="AB182" s="80"/>
      <c r="AC182" s="80"/>
      <c r="AD182" s="80"/>
      <c r="AE182" s="80"/>
      <c r="AF182" s="80"/>
      <c r="AG182" s="80"/>
      <c r="AH182" s="80"/>
      <c r="AI182" s="80"/>
      <c r="AJ182" s="80"/>
      <c r="AK182" s="80"/>
      <c r="AL182" s="28" t="str">
        <f>VLOOKUP($G182,'[42]Sheet1 (2)'!$A$1:$B$1048440,2,FALSE)</f>
        <v>Cum</v>
      </c>
      <c r="AM182" s="116" t="s">
        <v>322</v>
      </c>
      <c r="AN182" s="31"/>
      <c r="AO182" s="33"/>
    </row>
    <row r="183" spans="1:41" ht="252" x14ac:dyDescent="0.35">
      <c r="A183" s="26">
        <v>170</v>
      </c>
      <c r="B183" s="25" t="s">
        <v>319</v>
      </c>
      <c r="C183" s="22">
        <v>5.0199999999999996</v>
      </c>
      <c r="D183" s="25" t="s">
        <v>320</v>
      </c>
      <c r="E183" s="24" t="s">
        <v>323</v>
      </c>
      <c r="F183" s="39" t="s">
        <v>320</v>
      </c>
      <c r="G183" s="25" t="s">
        <v>47</v>
      </c>
      <c r="H183" s="26">
        <v>7698</v>
      </c>
      <c r="I183" s="26">
        <v>205</v>
      </c>
      <c r="J183" s="72">
        <f>8.25/20</f>
        <v>0.41249999999999998</v>
      </c>
      <c r="K183" s="72"/>
      <c r="L183" s="72">
        <f t="shared" si="2"/>
        <v>0.85</v>
      </c>
      <c r="M183" s="80"/>
      <c r="N183" s="80"/>
      <c r="O183" s="80"/>
      <c r="P183" s="72">
        <v>0.42499999999999999</v>
      </c>
      <c r="Q183" s="72"/>
      <c r="R183" s="72"/>
      <c r="S183" s="72"/>
      <c r="T183" s="80"/>
      <c r="U183" s="80"/>
      <c r="V183" s="73"/>
      <c r="W183" s="80"/>
      <c r="X183" s="80"/>
      <c r="Y183" s="74"/>
      <c r="Z183" s="80"/>
      <c r="AA183" s="80"/>
      <c r="AB183" s="80"/>
      <c r="AC183" s="80"/>
      <c r="AD183" s="80"/>
      <c r="AE183" s="80"/>
      <c r="AF183" s="80"/>
      <c r="AG183" s="80"/>
      <c r="AH183" s="80"/>
      <c r="AI183" s="80"/>
      <c r="AJ183" s="80"/>
      <c r="AK183" s="80"/>
      <c r="AL183" s="28" t="str">
        <f>VLOOKUP($G183,'[42]Sheet1 (2)'!$A$1:$B$1048440,2,FALSE)</f>
        <v>Cum</v>
      </c>
      <c r="AM183" s="116" t="s">
        <v>324</v>
      </c>
      <c r="AN183" s="31"/>
      <c r="AO183" s="33"/>
    </row>
    <row r="184" spans="1:41" ht="252" x14ac:dyDescent="0.35">
      <c r="A184" s="26">
        <v>171</v>
      </c>
      <c r="B184" s="25" t="s">
        <v>319</v>
      </c>
      <c r="C184" s="22">
        <v>5.03</v>
      </c>
      <c r="D184" s="25" t="s">
        <v>320</v>
      </c>
      <c r="E184" s="24" t="s">
        <v>325</v>
      </c>
      <c r="F184" s="39" t="s">
        <v>320</v>
      </c>
      <c r="G184" s="25" t="s">
        <v>47</v>
      </c>
      <c r="H184" s="26">
        <v>7793</v>
      </c>
      <c r="I184" s="26">
        <v>205</v>
      </c>
      <c r="J184" s="72">
        <f>8.5/20</f>
        <v>0.42499999999999999</v>
      </c>
      <c r="K184" s="72"/>
      <c r="L184" s="72">
        <f t="shared" si="2"/>
        <v>0.85</v>
      </c>
      <c r="M184" s="80"/>
      <c r="N184" s="80"/>
      <c r="O184" s="80"/>
      <c r="P184" s="72">
        <v>0.42499999999999999</v>
      </c>
      <c r="Q184" s="72"/>
      <c r="R184" s="72"/>
      <c r="S184" s="72"/>
      <c r="T184" s="80"/>
      <c r="U184" s="80"/>
      <c r="V184" s="73"/>
      <c r="W184" s="80"/>
      <c r="X184" s="80"/>
      <c r="Y184" s="74"/>
      <c r="Z184" s="80"/>
      <c r="AA184" s="80"/>
      <c r="AB184" s="80"/>
      <c r="AC184" s="80"/>
      <c r="AD184" s="80"/>
      <c r="AE184" s="80"/>
      <c r="AF184" s="80"/>
      <c r="AG184" s="80"/>
      <c r="AH184" s="80"/>
      <c r="AI184" s="80"/>
      <c r="AJ184" s="80"/>
      <c r="AK184" s="80"/>
      <c r="AL184" s="28" t="str">
        <f>VLOOKUP($G184,'[42]Sheet1 (2)'!$A$1:$B$1048440,2,FALSE)</f>
        <v>Cum</v>
      </c>
      <c r="AM184" s="116" t="s">
        <v>326</v>
      </c>
      <c r="AN184" s="31"/>
      <c r="AO184" s="33"/>
    </row>
    <row r="185" spans="1:41" ht="252" x14ac:dyDescent="0.35">
      <c r="A185" s="26">
        <v>172</v>
      </c>
      <c r="B185" s="25" t="s">
        <v>319</v>
      </c>
      <c r="C185" s="22">
        <v>5.04</v>
      </c>
      <c r="D185" s="25" t="s">
        <v>320</v>
      </c>
      <c r="E185" s="24" t="s">
        <v>327</v>
      </c>
      <c r="F185" s="39" t="s">
        <v>320</v>
      </c>
      <c r="G185" s="25" t="s">
        <v>47</v>
      </c>
      <c r="H185" s="26">
        <v>7736</v>
      </c>
      <c r="I185" s="26">
        <v>1007</v>
      </c>
      <c r="J185" s="72">
        <f>8/20</f>
        <v>0.4</v>
      </c>
      <c r="K185" s="72"/>
      <c r="L185" s="72">
        <f t="shared" si="2"/>
        <v>0.85</v>
      </c>
      <c r="M185" s="80"/>
      <c r="N185" s="80"/>
      <c r="O185" s="80"/>
      <c r="P185" s="72">
        <v>0.42499999999999999</v>
      </c>
      <c r="Q185" s="72"/>
      <c r="R185" s="72"/>
      <c r="S185" s="72"/>
      <c r="T185" s="80"/>
      <c r="U185" s="80"/>
      <c r="V185" s="73"/>
      <c r="W185" s="80"/>
      <c r="X185" s="80"/>
      <c r="Y185" s="74"/>
      <c r="Z185" s="80"/>
      <c r="AA185" s="80"/>
      <c r="AB185" s="80"/>
      <c r="AC185" s="80"/>
      <c r="AD185" s="80"/>
      <c r="AE185" s="80"/>
      <c r="AF185" s="80"/>
      <c r="AG185" s="80"/>
      <c r="AH185" s="80"/>
      <c r="AI185" s="80"/>
      <c r="AJ185" s="80"/>
      <c r="AK185" s="80"/>
      <c r="AL185" s="28" t="str">
        <f>VLOOKUP($G185,'[42]Sheet1 (2)'!$A$1:$B$1048440,2,FALSE)</f>
        <v>Cum</v>
      </c>
      <c r="AM185" s="116" t="s">
        <v>322</v>
      </c>
      <c r="AN185" s="31"/>
      <c r="AO185" s="33"/>
    </row>
    <row r="186" spans="1:41" ht="252" x14ac:dyDescent="0.35">
      <c r="A186" s="26">
        <v>173</v>
      </c>
      <c r="B186" s="25" t="s">
        <v>319</v>
      </c>
      <c r="C186" s="22">
        <v>5.05</v>
      </c>
      <c r="D186" s="25" t="s">
        <v>320</v>
      </c>
      <c r="E186" s="24" t="s">
        <v>328</v>
      </c>
      <c r="F186" s="39" t="s">
        <v>320</v>
      </c>
      <c r="G186" s="25" t="s">
        <v>47</v>
      </c>
      <c r="H186" s="26">
        <v>7858</v>
      </c>
      <c r="I186" s="121">
        <v>1007</v>
      </c>
      <c r="J186" s="72">
        <f>8.25/20</f>
        <v>0.41249999999999998</v>
      </c>
      <c r="K186" s="72"/>
      <c r="L186" s="72">
        <f t="shared" si="2"/>
        <v>0.85</v>
      </c>
      <c r="M186" s="80"/>
      <c r="N186" s="80"/>
      <c r="O186" s="80"/>
      <c r="P186" s="72">
        <v>0.42499999999999999</v>
      </c>
      <c r="Q186" s="72"/>
      <c r="R186" s="72"/>
      <c r="S186" s="72"/>
      <c r="T186" s="80"/>
      <c r="U186" s="80"/>
      <c r="V186" s="73"/>
      <c r="W186" s="80"/>
      <c r="X186" s="80"/>
      <c r="Y186" s="74"/>
      <c r="Z186" s="80"/>
      <c r="AA186" s="80"/>
      <c r="AB186" s="80"/>
      <c r="AC186" s="80"/>
      <c r="AD186" s="80"/>
      <c r="AE186" s="80"/>
      <c r="AF186" s="80"/>
      <c r="AG186" s="80"/>
      <c r="AH186" s="80"/>
      <c r="AI186" s="80"/>
      <c r="AJ186" s="80"/>
      <c r="AK186" s="80"/>
      <c r="AL186" s="28" t="str">
        <f>VLOOKUP($G186,'[42]Sheet1 (2)'!$A$1:$B$1048440,2,FALSE)</f>
        <v>Cum</v>
      </c>
      <c r="AM186" s="116" t="s">
        <v>324</v>
      </c>
      <c r="AN186" s="31"/>
      <c r="AO186" s="33"/>
    </row>
    <row r="187" spans="1:41" ht="252" x14ac:dyDescent="0.25">
      <c r="A187" s="26">
        <v>174</v>
      </c>
      <c r="B187" s="25" t="s">
        <v>319</v>
      </c>
      <c r="C187" s="22">
        <v>5.0599999999999996</v>
      </c>
      <c r="D187" s="25" t="s">
        <v>320</v>
      </c>
      <c r="E187" s="24" t="s">
        <v>329</v>
      </c>
      <c r="F187" s="39" t="s">
        <v>320</v>
      </c>
      <c r="G187" s="25" t="s">
        <v>47</v>
      </c>
      <c r="H187" s="26">
        <v>7954</v>
      </c>
      <c r="I187" s="121">
        <v>1007</v>
      </c>
      <c r="J187" s="72">
        <f>8.5/20</f>
        <v>0.42499999999999999</v>
      </c>
      <c r="K187" s="72"/>
      <c r="L187" s="72">
        <f t="shared" si="2"/>
        <v>0.85</v>
      </c>
      <c r="M187" s="94"/>
      <c r="N187" s="94"/>
      <c r="O187" s="94"/>
      <c r="P187" s="72">
        <v>0.42499999999999999</v>
      </c>
      <c r="Q187" s="72"/>
      <c r="R187" s="72"/>
      <c r="S187" s="72"/>
      <c r="T187" s="94"/>
      <c r="U187" s="94"/>
      <c r="V187" s="97"/>
      <c r="W187" s="94"/>
      <c r="X187" s="94"/>
      <c r="Y187" s="98"/>
      <c r="Z187" s="94"/>
      <c r="AA187" s="94"/>
      <c r="AB187" s="94"/>
      <c r="AC187" s="94"/>
      <c r="AD187" s="94"/>
      <c r="AE187" s="94"/>
      <c r="AF187" s="94"/>
      <c r="AG187" s="94"/>
      <c r="AH187" s="94"/>
      <c r="AI187" s="94"/>
      <c r="AJ187" s="94"/>
      <c r="AK187" s="94"/>
      <c r="AL187" s="28" t="str">
        <f>VLOOKUP($G187,'[42]Sheet1 (2)'!$A$1:$B$1048440,2,FALSE)</f>
        <v>Cum</v>
      </c>
      <c r="AM187" s="122" t="s">
        <v>326</v>
      </c>
      <c r="AN187" s="31"/>
      <c r="AO187" s="33"/>
    </row>
    <row r="188" spans="1:41" ht="238" x14ac:dyDescent="0.25">
      <c r="A188" s="26">
        <v>175</v>
      </c>
      <c r="B188" s="25" t="s">
        <v>319</v>
      </c>
      <c r="C188" s="22">
        <v>5.07</v>
      </c>
      <c r="D188" s="25" t="s">
        <v>320</v>
      </c>
      <c r="E188" s="24" t="s">
        <v>330</v>
      </c>
      <c r="F188" s="39" t="s">
        <v>320</v>
      </c>
      <c r="G188" s="25" t="s">
        <v>47</v>
      </c>
      <c r="H188" s="26">
        <v>7161</v>
      </c>
      <c r="I188" s="26">
        <v>210</v>
      </c>
      <c r="J188" s="72">
        <f>8/20</f>
        <v>0.4</v>
      </c>
      <c r="K188" s="72"/>
      <c r="L188" s="72">
        <f t="shared" si="2"/>
        <v>0.85</v>
      </c>
      <c r="M188" s="94"/>
      <c r="N188" s="94"/>
      <c r="O188" s="94"/>
      <c r="P188" s="72">
        <v>0.42499999999999999</v>
      </c>
      <c r="Q188" s="72"/>
      <c r="R188" s="72"/>
      <c r="S188" s="72"/>
      <c r="T188" s="94"/>
      <c r="U188" s="94"/>
      <c r="V188" s="97"/>
      <c r="W188" s="94"/>
      <c r="X188" s="94"/>
      <c r="Y188" s="98"/>
      <c r="Z188" s="94"/>
      <c r="AA188" s="94"/>
      <c r="AB188" s="94"/>
      <c r="AC188" s="94"/>
      <c r="AD188" s="94"/>
      <c r="AE188" s="94"/>
      <c r="AF188" s="94"/>
      <c r="AG188" s="94"/>
      <c r="AH188" s="94"/>
      <c r="AI188" s="94"/>
      <c r="AJ188" s="94"/>
      <c r="AK188" s="94"/>
      <c r="AL188" s="28" t="str">
        <f>VLOOKUP($G188,'[42]Sheet1 (2)'!$A$1:$B$1048440,2,FALSE)</f>
        <v>Cum</v>
      </c>
      <c r="AM188" s="122" t="s">
        <v>322</v>
      </c>
      <c r="AN188" s="31"/>
      <c r="AO188" s="33"/>
    </row>
    <row r="189" spans="1:41" ht="266" x14ac:dyDescent="0.25">
      <c r="A189" s="26">
        <v>176</v>
      </c>
      <c r="B189" s="25" t="s">
        <v>319</v>
      </c>
      <c r="C189" s="22">
        <v>5.08</v>
      </c>
      <c r="D189" s="25" t="s">
        <v>320</v>
      </c>
      <c r="E189" s="24" t="s">
        <v>331</v>
      </c>
      <c r="F189" s="39" t="s">
        <v>320</v>
      </c>
      <c r="G189" s="25" t="s">
        <v>47</v>
      </c>
      <c r="H189" s="26">
        <v>7262</v>
      </c>
      <c r="I189" s="26">
        <v>205</v>
      </c>
      <c r="J189" s="72">
        <f>8.25/20</f>
        <v>0.41249999999999998</v>
      </c>
      <c r="K189" s="72"/>
      <c r="L189" s="72">
        <f t="shared" si="2"/>
        <v>0.85</v>
      </c>
      <c r="M189" s="94"/>
      <c r="N189" s="94"/>
      <c r="O189" s="94"/>
      <c r="P189" s="72">
        <v>0.42499999999999999</v>
      </c>
      <c r="Q189" s="72"/>
      <c r="R189" s="72"/>
      <c r="S189" s="72"/>
      <c r="T189" s="94"/>
      <c r="U189" s="94"/>
      <c r="V189" s="97"/>
      <c r="W189" s="94"/>
      <c r="X189" s="94"/>
      <c r="Y189" s="98"/>
      <c r="Z189" s="94"/>
      <c r="AA189" s="94"/>
      <c r="AB189" s="94"/>
      <c r="AC189" s="94"/>
      <c r="AD189" s="94"/>
      <c r="AE189" s="94"/>
      <c r="AF189" s="94"/>
      <c r="AG189" s="94"/>
      <c r="AH189" s="94"/>
      <c r="AI189" s="94"/>
      <c r="AJ189" s="94"/>
      <c r="AK189" s="94"/>
      <c r="AL189" s="28" t="str">
        <f>VLOOKUP($G189,'[42]Sheet1 (2)'!$A$1:$B$1048440,2,FALSE)</f>
        <v>Cum</v>
      </c>
      <c r="AM189" s="122" t="s">
        <v>324</v>
      </c>
      <c r="AN189" s="31"/>
      <c r="AO189" s="33"/>
    </row>
    <row r="190" spans="1:41" ht="238" x14ac:dyDescent="0.25">
      <c r="A190" s="26">
        <v>177</v>
      </c>
      <c r="B190" s="25" t="s">
        <v>319</v>
      </c>
      <c r="C190" s="22">
        <v>5.09</v>
      </c>
      <c r="D190" s="25" t="s">
        <v>320</v>
      </c>
      <c r="E190" s="24" t="s">
        <v>332</v>
      </c>
      <c r="F190" s="39" t="s">
        <v>320</v>
      </c>
      <c r="G190" s="25" t="s">
        <v>47</v>
      </c>
      <c r="H190" s="26">
        <v>7346</v>
      </c>
      <c r="I190" s="26">
        <v>205</v>
      </c>
      <c r="J190" s="72">
        <f>(8/20-20%*8/20)</f>
        <v>0.32</v>
      </c>
      <c r="K190" s="72"/>
      <c r="L190" s="72">
        <f t="shared" si="2"/>
        <v>0.85</v>
      </c>
      <c r="M190" s="94"/>
      <c r="N190" s="94"/>
      <c r="O190" s="94"/>
      <c r="P190" s="72">
        <v>0.4</v>
      </c>
      <c r="Q190" s="72"/>
      <c r="R190" s="72"/>
      <c r="S190" s="72"/>
      <c r="T190" s="94"/>
      <c r="U190" s="94"/>
      <c r="V190" s="97"/>
      <c r="W190" s="94"/>
      <c r="X190" s="94"/>
      <c r="Y190" s="98"/>
      <c r="Z190" s="94"/>
      <c r="AA190" s="94"/>
      <c r="AB190" s="94"/>
      <c r="AC190" s="94"/>
      <c r="AD190" s="94"/>
      <c r="AE190" s="94"/>
      <c r="AF190" s="94"/>
      <c r="AG190" s="94"/>
      <c r="AH190" s="94"/>
      <c r="AI190" s="94"/>
      <c r="AJ190" s="94"/>
      <c r="AK190" s="94"/>
      <c r="AL190" s="28" t="str">
        <f>VLOOKUP($G190,'[42]Sheet1 (2)'!$A$1:$B$1048440,2,FALSE)</f>
        <v>Cum</v>
      </c>
      <c r="AM190" s="122" t="s">
        <v>326</v>
      </c>
      <c r="AN190" s="31"/>
      <c r="AO190" s="33"/>
    </row>
    <row r="191" spans="1:41" ht="252" x14ac:dyDescent="0.35">
      <c r="A191" s="26">
        <v>178</v>
      </c>
      <c r="B191" s="25" t="s">
        <v>319</v>
      </c>
      <c r="C191" s="22">
        <v>5.0999999999999996</v>
      </c>
      <c r="D191" s="25" t="s">
        <v>320</v>
      </c>
      <c r="E191" s="24" t="s">
        <v>333</v>
      </c>
      <c r="F191" s="39" t="s">
        <v>320</v>
      </c>
      <c r="G191" s="25" t="s">
        <v>47</v>
      </c>
      <c r="H191" s="26">
        <v>7337</v>
      </c>
      <c r="I191" s="26">
        <v>1034</v>
      </c>
      <c r="J191" s="72">
        <f>8/20</f>
        <v>0.4</v>
      </c>
      <c r="K191" s="72"/>
      <c r="L191" s="72">
        <f t="shared" si="2"/>
        <v>0.85</v>
      </c>
      <c r="M191" s="80"/>
      <c r="N191" s="80"/>
      <c r="O191" s="80"/>
      <c r="P191" s="72">
        <v>0.42499999999999999</v>
      </c>
      <c r="Q191" s="72"/>
      <c r="R191" s="72"/>
      <c r="S191" s="72"/>
      <c r="T191" s="80"/>
      <c r="U191" s="80"/>
      <c r="V191" s="73"/>
      <c r="W191" s="80"/>
      <c r="X191" s="80"/>
      <c r="Y191" s="74"/>
      <c r="Z191" s="80"/>
      <c r="AA191" s="80"/>
      <c r="AB191" s="80"/>
      <c r="AC191" s="80"/>
      <c r="AD191" s="80"/>
      <c r="AE191" s="80"/>
      <c r="AF191" s="80"/>
      <c r="AG191" s="80"/>
      <c r="AH191" s="80"/>
      <c r="AI191" s="80"/>
      <c r="AJ191" s="80"/>
      <c r="AK191" s="80"/>
      <c r="AL191" s="28" t="str">
        <f>VLOOKUP($G191,'[42]Sheet1 (2)'!$A$1:$B$1048440,2,FALSE)</f>
        <v>Cum</v>
      </c>
      <c r="AM191" s="116" t="s">
        <v>322</v>
      </c>
      <c r="AN191" s="31"/>
      <c r="AO191" s="33"/>
    </row>
    <row r="192" spans="1:41" ht="224" x14ac:dyDescent="0.35">
      <c r="A192" s="26">
        <v>179</v>
      </c>
      <c r="B192" s="25" t="s">
        <v>319</v>
      </c>
      <c r="C192" s="22">
        <v>5.1100000000000003</v>
      </c>
      <c r="D192" s="25" t="s">
        <v>320</v>
      </c>
      <c r="E192" s="24" t="s">
        <v>334</v>
      </c>
      <c r="F192" s="39" t="s">
        <v>320</v>
      </c>
      <c r="G192" s="25" t="s">
        <v>47</v>
      </c>
      <c r="H192" s="26">
        <v>7444</v>
      </c>
      <c r="I192" s="121">
        <v>1034</v>
      </c>
      <c r="J192" s="72">
        <f>8.25/20</f>
        <v>0.41249999999999998</v>
      </c>
      <c r="K192" s="72"/>
      <c r="L192" s="72">
        <f t="shared" si="2"/>
        <v>0.85</v>
      </c>
      <c r="M192" s="80"/>
      <c r="N192" s="80"/>
      <c r="O192" s="80"/>
      <c r="P192" s="72">
        <v>0.42499999999999999</v>
      </c>
      <c r="Q192" s="72"/>
      <c r="R192" s="72"/>
      <c r="S192" s="72"/>
      <c r="T192" s="80"/>
      <c r="U192" s="80"/>
      <c r="V192" s="73"/>
      <c r="W192" s="80"/>
      <c r="X192" s="80"/>
      <c r="Y192" s="74"/>
      <c r="Z192" s="80"/>
      <c r="AA192" s="80"/>
      <c r="AB192" s="80"/>
      <c r="AC192" s="80"/>
      <c r="AD192" s="80"/>
      <c r="AE192" s="80"/>
      <c r="AF192" s="80"/>
      <c r="AG192" s="80"/>
      <c r="AH192" s="80"/>
      <c r="AI192" s="80"/>
      <c r="AJ192" s="80"/>
      <c r="AK192" s="80"/>
      <c r="AL192" s="28" t="str">
        <f>VLOOKUP($G192,'[42]Sheet1 (2)'!$A$1:$B$1048440,2,FALSE)</f>
        <v>Cum</v>
      </c>
      <c r="AM192" s="116" t="s">
        <v>324</v>
      </c>
      <c r="AN192" s="31"/>
      <c r="AO192" s="33"/>
    </row>
    <row r="193" spans="1:41" ht="252" x14ac:dyDescent="0.25">
      <c r="A193" s="26">
        <v>180</v>
      </c>
      <c r="B193" s="25" t="s">
        <v>319</v>
      </c>
      <c r="C193" s="22">
        <v>5.12</v>
      </c>
      <c r="D193" s="25" t="s">
        <v>320</v>
      </c>
      <c r="E193" s="24" t="s">
        <v>335</v>
      </c>
      <c r="F193" s="39" t="s">
        <v>320</v>
      </c>
      <c r="G193" s="25" t="s">
        <v>47</v>
      </c>
      <c r="H193" s="26">
        <v>7529</v>
      </c>
      <c r="I193" s="121">
        <v>1034</v>
      </c>
      <c r="J193" s="72">
        <f>8.5/20</f>
        <v>0.42499999999999999</v>
      </c>
      <c r="K193" s="72"/>
      <c r="L193" s="72">
        <f t="shared" si="2"/>
        <v>0.85</v>
      </c>
      <c r="M193" s="94"/>
      <c r="N193" s="94"/>
      <c r="O193" s="94"/>
      <c r="P193" s="72">
        <v>0.42499999999999999</v>
      </c>
      <c r="Q193" s="72"/>
      <c r="R193" s="72"/>
      <c r="S193" s="72"/>
      <c r="T193" s="94"/>
      <c r="U193" s="94"/>
      <c r="V193" s="97"/>
      <c r="W193" s="94"/>
      <c r="X193" s="94"/>
      <c r="Y193" s="98"/>
      <c r="Z193" s="94"/>
      <c r="AA193" s="94"/>
      <c r="AB193" s="94"/>
      <c r="AC193" s="94"/>
      <c r="AD193" s="94"/>
      <c r="AE193" s="94"/>
      <c r="AF193" s="94"/>
      <c r="AG193" s="94"/>
      <c r="AH193" s="94"/>
      <c r="AI193" s="94"/>
      <c r="AJ193" s="94"/>
      <c r="AK193" s="94"/>
      <c r="AL193" s="28" t="str">
        <f>VLOOKUP($G193,'[42]Sheet1 (2)'!$A$1:$B$1048440,2,FALSE)</f>
        <v>Cum</v>
      </c>
      <c r="AM193" s="122" t="s">
        <v>326</v>
      </c>
      <c r="AN193" s="31"/>
      <c r="AO193" s="33"/>
    </row>
    <row r="194" spans="1:41" ht="210" x14ac:dyDescent="0.25">
      <c r="A194" s="26">
        <v>181</v>
      </c>
      <c r="B194" s="25" t="s">
        <v>319</v>
      </c>
      <c r="C194" s="22">
        <v>5.13</v>
      </c>
      <c r="D194" s="21" t="s">
        <v>336</v>
      </c>
      <c r="E194" s="24" t="s">
        <v>337</v>
      </c>
      <c r="F194" s="25" t="s">
        <v>336</v>
      </c>
      <c r="G194" s="25" t="s">
        <v>47</v>
      </c>
      <c r="H194" s="26">
        <v>3659</v>
      </c>
      <c r="I194" s="26">
        <v>53</v>
      </c>
      <c r="J194" s="72">
        <f>2.4/20</f>
        <v>0.12</v>
      </c>
      <c r="K194" s="72"/>
      <c r="L194" s="72">
        <v>0.94</v>
      </c>
      <c r="M194" s="94"/>
      <c r="N194" s="94"/>
      <c r="O194" s="94"/>
      <c r="P194" s="72">
        <v>0.47</v>
      </c>
      <c r="Q194" s="72"/>
      <c r="R194" s="72"/>
      <c r="S194" s="72"/>
      <c r="T194" s="94"/>
      <c r="U194" s="94"/>
      <c r="V194" s="97"/>
      <c r="W194" s="94"/>
      <c r="X194" s="94"/>
      <c r="Y194" s="98"/>
      <c r="Z194" s="94"/>
      <c r="AA194" s="94"/>
      <c r="AB194" s="94"/>
      <c r="AC194" s="94"/>
      <c r="AD194" s="94"/>
      <c r="AE194" s="94"/>
      <c r="AF194" s="94"/>
      <c r="AG194" s="94"/>
      <c r="AH194" s="94"/>
      <c r="AI194" s="94"/>
      <c r="AJ194" s="94"/>
      <c r="AK194" s="94"/>
      <c r="AL194" s="28" t="str">
        <f>VLOOKUP($G194,'[42]Sheet1 (2)'!$A$1:$B$1048440,2,FALSE)</f>
        <v>Cum</v>
      </c>
      <c r="AM194" s="122" t="s">
        <v>338</v>
      </c>
      <c r="AN194" s="31"/>
      <c r="AO194" s="33"/>
    </row>
    <row r="195" spans="1:41" ht="98" x14ac:dyDescent="0.25">
      <c r="A195" s="26">
        <v>182</v>
      </c>
      <c r="B195" s="25" t="s">
        <v>319</v>
      </c>
      <c r="C195" s="22">
        <v>5.14</v>
      </c>
      <c r="D195" s="21" t="s">
        <v>339</v>
      </c>
      <c r="E195" s="24" t="s">
        <v>340</v>
      </c>
      <c r="F195" s="25" t="s">
        <v>339</v>
      </c>
      <c r="G195" s="25" t="s">
        <v>45</v>
      </c>
      <c r="H195" s="26">
        <v>538</v>
      </c>
      <c r="I195" s="26">
        <v>156</v>
      </c>
      <c r="J195" s="72"/>
      <c r="K195" s="72">
        <f>6.313/1000*0.6</f>
        <v>3.7878E-3</v>
      </c>
      <c r="L195" s="72"/>
      <c r="M195" s="94"/>
      <c r="N195" s="94"/>
      <c r="O195" s="94"/>
      <c r="P195" s="72"/>
      <c r="Q195" s="72"/>
      <c r="R195" s="72"/>
      <c r="S195" s="72"/>
      <c r="T195" s="94"/>
      <c r="U195" s="94"/>
      <c r="V195" s="97"/>
      <c r="W195" s="94"/>
      <c r="X195" s="94"/>
      <c r="Y195" s="98"/>
      <c r="Z195" s="94"/>
      <c r="AA195" s="94"/>
      <c r="AB195" s="94"/>
      <c r="AC195" s="94"/>
      <c r="AD195" s="94"/>
      <c r="AE195" s="94"/>
      <c r="AF195" s="94"/>
      <c r="AG195" s="94"/>
      <c r="AH195" s="94"/>
      <c r="AI195" s="94"/>
      <c r="AJ195" s="94"/>
      <c r="AK195" s="94"/>
      <c r="AL195" s="28" t="str">
        <f>VLOOKUP($G195,'[42]Sheet1 (2)'!$A$1:$B$1048440,2,FALSE)</f>
        <v>No.</v>
      </c>
      <c r="AM195" s="122" t="s">
        <v>341</v>
      </c>
      <c r="AN195" s="31"/>
      <c r="AO195" s="33"/>
    </row>
    <row r="196" spans="1:41" ht="98" x14ac:dyDescent="0.25">
      <c r="A196" s="26">
        <v>183</v>
      </c>
      <c r="B196" s="25" t="s">
        <v>319</v>
      </c>
      <c r="C196" s="22">
        <v>5.15</v>
      </c>
      <c r="D196" s="21" t="s">
        <v>339</v>
      </c>
      <c r="E196" s="24" t="s">
        <v>342</v>
      </c>
      <c r="F196" s="25" t="s">
        <v>339</v>
      </c>
      <c r="G196" s="25" t="s">
        <v>45</v>
      </c>
      <c r="H196" s="26">
        <v>394</v>
      </c>
      <c r="I196" s="26">
        <v>156</v>
      </c>
      <c r="J196" s="72"/>
      <c r="K196" s="123">
        <f>3.854/1000*0.6</f>
        <v>2.3124E-3</v>
      </c>
      <c r="L196" s="72"/>
      <c r="M196" s="94"/>
      <c r="N196" s="94"/>
      <c r="O196" s="94"/>
      <c r="P196" s="72"/>
      <c r="Q196" s="72"/>
      <c r="R196" s="72"/>
      <c r="S196" s="72"/>
      <c r="T196" s="94"/>
      <c r="U196" s="94"/>
      <c r="V196" s="97"/>
      <c r="W196" s="94"/>
      <c r="X196" s="94"/>
      <c r="Y196" s="98"/>
      <c r="Z196" s="94"/>
      <c r="AA196" s="94"/>
      <c r="AB196" s="94"/>
      <c r="AC196" s="94"/>
      <c r="AD196" s="94"/>
      <c r="AE196" s="94"/>
      <c r="AF196" s="94"/>
      <c r="AG196" s="94"/>
      <c r="AH196" s="94"/>
      <c r="AI196" s="94"/>
      <c r="AJ196" s="94"/>
      <c r="AK196" s="94"/>
      <c r="AL196" s="28" t="str">
        <f>VLOOKUP($G196,'[42]Sheet1 (2)'!$A$1:$B$1048440,2,FALSE)</f>
        <v>No.</v>
      </c>
      <c r="AM196" s="122" t="s">
        <v>343</v>
      </c>
      <c r="AN196" s="31"/>
      <c r="AO196" s="33"/>
    </row>
    <row r="197" spans="1:41" ht="98" x14ac:dyDescent="0.35">
      <c r="A197" s="26">
        <v>184</v>
      </c>
      <c r="B197" s="25" t="s">
        <v>319</v>
      </c>
      <c r="C197" s="22">
        <v>5.16</v>
      </c>
      <c r="D197" s="24" t="s">
        <v>344</v>
      </c>
      <c r="E197" s="24" t="s">
        <v>345</v>
      </c>
      <c r="F197" s="25" t="s">
        <v>344</v>
      </c>
      <c r="G197" s="25" t="s">
        <v>45</v>
      </c>
      <c r="H197" s="26">
        <v>306</v>
      </c>
      <c r="I197" s="26">
        <v>156</v>
      </c>
      <c r="J197" s="72"/>
      <c r="K197" s="99">
        <f>0.888/1000*0.7</f>
        <v>6.2159999999999993E-4</v>
      </c>
      <c r="L197" s="72"/>
      <c r="M197" s="80"/>
      <c r="N197" s="80"/>
      <c r="O197" s="80"/>
      <c r="P197" s="72"/>
      <c r="Q197" s="72"/>
      <c r="R197" s="72"/>
      <c r="S197" s="72"/>
      <c r="T197" s="80"/>
      <c r="U197" s="80"/>
      <c r="V197" s="73"/>
      <c r="W197" s="80"/>
      <c r="X197" s="80"/>
      <c r="Y197" s="74"/>
      <c r="Z197" s="80"/>
      <c r="AA197" s="80"/>
      <c r="AB197" s="80"/>
      <c r="AC197" s="80"/>
      <c r="AD197" s="80"/>
      <c r="AE197" s="80"/>
      <c r="AF197" s="80"/>
      <c r="AG197" s="80"/>
      <c r="AH197" s="80"/>
      <c r="AI197" s="80"/>
      <c r="AJ197" s="80"/>
      <c r="AK197" s="80"/>
      <c r="AL197" s="28" t="str">
        <f>VLOOKUP($G197,'[42]Sheet1 (2)'!$A$1:$B$1048440,2,FALSE)</f>
        <v>No.</v>
      </c>
      <c r="AM197" s="116" t="s">
        <v>346</v>
      </c>
      <c r="AN197" s="31"/>
      <c r="AO197" s="33"/>
    </row>
    <row r="198" spans="1:41" ht="84" x14ac:dyDescent="0.35">
      <c r="A198" s="26">
        <v>185</v>
      </c>
      <c r="B198" s="25" t="s">
        <v>319</v>
      </c>
      <c r="C198" s="22">
        <v>5.17</v>
      </c>
      <c r="D198" s="35" t="s">
        <v>347</v>
      </c>
      <c r="E198" s="24" t="s">
        <v>348</v>
      </c>
      <c r="F198" s="35" t="s">
        <v>347</v>
      </c>
      <c r="G198" s="21" t="s">
        <v>80</v>
      </c>
      <c r="H198" s="26">
        <v>76</v>
      </c>
      <c r="I198" s="26">
        <v>19</v>
      </c>
      <c r="J198" s="72"/>
      <c r="K198" s="72"/>
      <c r="L198" s="72"/>
      <c r="M198" s="80"/>
      <c r="N198" s="80"/>
      <c r="O198" s="80"/>
      <c r="P198" s="72"/>
      <c r="Q198" s="72"/>
      <c r="R198" s="72"/>
      <c r="S198" s="72"/>
      <c r="T198" s="80"/>
      <c r="U198" s="80"/>
      <c r="V198" s="73"/>
      <c r="W198" s="80"/>
      <c r="X198" s="80"/>
      <c r="Y198" s="74"/>
      <c r="Z198" s="80"/>
      <c r="AA198" s="80"/>
      <c r="AB198" s="80"/>
      <c r="AC198" s="80"/>
      <c r="AD198" s="80"/>
      <c r="AE198" s="80"/>
      <c r="AF198" s="80"/>
      <c r="AG198" s="80"/>
      <c r="AH198" s="80"/>
      <c r="AI198" s="80"/>
      <c r="AJ198" s="80"/>
      <c r="AK198" s="80"/>
      <c r="AL198" s="28" t="str">
        <f>VLOOKUP($G198,'[42]Sheet1 (2)'!$A$1:$B$1048440,2,FALSE)</f>
        <v>Rmt.</v>
      </c>
      <c r="AM198" s="116"/>
      <c r="AN198" s="31"/>
      <c r="AO198" s="33"/>
    </row>
    <row r="199" spans="1:41" ht="168" x14ac:dyDescent="0.35">
      <c r="A199" s="26">
        <v>186</v>
      </c>
      <c r="B199" s="25" t="s">
        <v>319</v>
      </c>
      <c r="C199" s="22">
        <v>5.18</v>
      </c>
      <c r="D199" s="35" t="s">
        <v>347</v>
      </c>
      <c r="E199" s="23" t="s">
        <v>349</v>
      </c>
      <c r="F199" s="35" t="s">
        <v>347</v>
      </c>
      <c r="G199" s="21" t="s">
        <v>80</v>
      </c>
      <c r="H199" s="26">
        <v>311</v>
      </c>
      <c r="I199" s="26">
        <v>29</v>
      </c>
      <c r="J199" s="72"/>
      <c r="K199" s="72"/>
      <c r="L199" s="72"/>
      <c r="M199" s="80"/>
      <c r="N199" s="80"/>
      <c r="O199" s="80"/>
      <c r="P199" s="72"/>
      <c r="Q199" s="72"/>
      <c r="R199" s="72"/>
      <c r="S199" s="72"/>
      <c r="T199" s="80"/>
      <c r="U199" s="80"/>
      <c r="V199" s="73"/>
      <c r="W199" s="80"/>
      <c r="X199" s="80"/>
      <c r="Y199" s="74"/>
      <c r="Z199" s="80"/>
      <c r="AA199" s="80"/>
      <c r="AB199" s="80"/>
      <c r="AC199" s="80"/>
      <c r="AD199" s="80"/>
      <c r="AE199" s="80"/>
      <c r="AF199" s="80"/>
      <c r="AG199" s="80"/>
      <c r="AH199" s="80"/>
      <c r="AI199" s="80"/>
      <c r="AJ199" s="80"/>
      <c r="AK199" s="80"/>
      <c r="AL199" s="28" t="str">
        <f>VLOOKUP($G199,'[42]Sheet1 (2)'!$A$1:$B$1048440,2,FALSE)</f>
        <v>Rmt.</v>
      </c>
      <c r="AM199" s="116"/>
      <c r="AN199" s="31"/>
      <c r="AO199" s="33"/>
    </row>
    <row r="200" spans="1:41" ht="42" x14ac:dyDescent="0.35">
      <c r="A200" s="26">
        <v>187</v>
      </c>
      <c r="B200" s="25" t="s">
        <v>319</v>
      </c>
      <c r="C200" s="22">
        <v>5.19</v>
      </c>
      <c r="D200" s="67" t="s">
        <v>350</v>
      </c>
      <c r="E200" s="24" t="s">
        <v>351</v>
      </c>
      <c r="F200" s="25" t="s">
        <v>350</v>
      </c>
      <c r="G200" s="58" t="s">
        <v>151</v>
      </c>
      <c r="H200" s="26">
        <v>30</v>
      </c>
      <c r="I200" s="26">
        <v>8</v>
      </c>
      <c r="J200" s="72"/>
      <c r="K200" s="72"/>
      <c r="L200" s="72"/>
      <c r="M200" s="80"/>
      <c r="N200" s="80"/>
      <c r="O200" s="80"/>
      <c r="P200" s="72"/>
      <c r="Q200" s="72"/>
      <c r="R200" s="72"/>
      <c r="S200" s="72"/>
      <c r="T200" s="80"/>
      <c r="U200" s="80"/>
      <c r="V200" s="73"/>
      <c r="W200" s="80"/>
      <c r="X200" s="80"/>
      <c r="Y200" s="74"/>
      <c r="Z200" s="80"/>
      <c r="AA200" s="80"/>
      <c r="AB200" s="80"/>
      <c r="AC200" s="80"/>
      <c r="AD200" s="80"/>
      <c r="AE200" s="80"/>
      <c r="AF200" s="80"/>
      <c r="AG200" s="80"/>
      <c r="AH200" s="80"/>
      <c r="AI200" s="80"/>
      <c r="AJ200" s="80"/>
      <c r="AK200" s="80"/>
      <c r="AL200" s="28" t="str">
        <f>VLOOKUP($G200,'[42]Sheet1 (2)'!$A$1:$B$1048440,2,FALSE)</f>
        <v>Sqm</v>
      </c>
      <c r="AM200" s="116"/>
      <c r="AN200" s="31"/>
      <c r="AO200" s="33"/>
    </row>
    <row r="201" spans="1:41" ht="182" x14ac:dyDescent="0.35">
      <c r="A201" s="26">
        <v>188</v>
      </c>
      <c r="B201" s="25" t="s">
        <v>319</v>
      </c>
      <c r="C201" s="22">
        <v>5.2</v>
      </c>
      <c r="D201" s="24" t="s">
        <v>352</v>
      </c>
      <c r="E201" s="24" t="s">
        <v>353</v>
      </c>
      <c r="F201" s="25" t="s">
        <v>354</v>
      </c>
      <c r="G201" s="58" t="s">
        <v>151</v>
      </c>
      <c r="H201" s="26">
        <v>1153</v>
      </c>
      <c r="I201" s="26">
        <v>100</v>
      </c>
      <c r="J201" s="72"/>
      <c r="K201" s="72"/>
      <c r="L201" s="72"/>
      <c r="M201" s="80"/>
      <c r="N201" s="80"/>
      <c r="O201" s="80"/>
      <c r="P201" s="72"/>
      <c r="Q201" s="72"/>
      <c r="R201" s="72"/>
      <c r="S201" s="72">
        <v>3.5000000000000003E-2</v>
      </c>
      <c r="T201" s="80"/>
      <c r="U201" s="80"/>
      <c r="V201" s="73"/>
      <c r="W201" s="124"/>
      <c r="X201" s="124">
        <v>1</v>
      </c>
      <c r="Y201" s="74"/>
      <c r="Z201" s="80"/>
      <c r="AA201" s="80"/>
      <c r="AB201" s="80"/>
      <c r="AC201" s="80"/>
      <c r="AD201" s="80"/>
      <c r="AE201" s="80"/>
      <c r="AF201" s="80"/>
      <c r="AG201" s="80"/>
      <c r="AH201" s="80"/>
      <c r="AI201" s="80"/>
      <c r="AJ201" s="80"/>
      <c r="AK201" s="80"/>
      <c r="AL201" s="28" t="str">
        <f>VLOOKUP($G201,'[42]Sheet1 (2)'!$A$1:$B$1048440,2,FALSE)</f>
        <v>Sqm</v>
      </c>
      <c r="AM201" s="116" t="s">
        <v>355</v>
      </c>
      <c r="AN201" s="31"/>
      <c r="AO201" s="33"/>
    </row>
    <row r="202" spans="1:41" ht="182" x14ac:dyDescent="0.35">
      <c r="A202" s="26">
        <v>189</v>
      </c>
      <c r="B202" s="25" t="s">
        <v>319</v>
      </c>
      <c r="C202" s="22">
        <v>5.21</v>
      </c>
      <c r="D202" s="24" t="s">
        <v>352</v>
      </c>
      <c r="E202" s="23" t="s">
        <v>356</v>
      </c>
      <c r="F202" s="25" t="s">
        <v>354</v>
      </c>
      <c r="G202" s="58" t="s">
        <v>151</v>
      </c>
      <c r="H202" s="26">
        <v>1173</v>
      </c>
      <c r="I202" s="26">
        <v>118</v>
      </c>
      <c r="J202" s="72"/>
      <c r="K202" s="72"/>
      <c r="L202" s="72"/>
      <c r="M202" s="80"/>
      <c r="N202" s="80"/>
      <c r="O202" s="80"/>
      <c r="P202" s="72"/>
      <c r="Q202" s="72"/>
      <c r="R202" s="72"/>
      <c r="S202" s="72">
        <v>3.5000000000000003E-2</v>
      </c>
      <c r="T202" s="80"/>
      <c r="U202" s="80"/>
      <c r="V202" s="73"/>
      <c r="W202" s="124"/>
      <c r="X202" s="124">
        <v>1</v>
      </c>
      <c r="Y202" s="74"/>
      <c r="Z202" s="80"/>
      <c r="AA202" s="80"/>
      <c r="AB202" s="80"/>
      <c r="AC202" s="80"/>
      <c r="AD202" s="80"/>
      <c r="AE202" s="80"/>
      <c r="AF202" s="80"/>
      <c r="AG202" s="80"/>
      <c r="AH202" s="80"/>
      <c r="AI202" s="80"/>
      <c r="AJ202" s="80"/>
      <c r="AK202" s="80"/>
      <c r="AL202" s="28" t="str">
        <f>VLOOKUP($G202,'[42]Sheet1 (2)'!$A$1:$B$1048440,2,FALSE)</f>
        <v>Sqm</v>
      </c>
      <c r="AM202" s="116" t="s">
        <v>357</v>
      </c>
      <c r="AN202" s="31"/>
      <c r="AO202" s="33"/>
    </row>
    <row r="203" spans="1:41" ht="126" x14ac:dyDescent="0.35">
      <c r="A203" s="26">
        <v>190</v>
      </c>
      <c r="B203" s="25" t="s">
        <v>319</v>
      </c>
      <c r="C203" s="22">
        <v>5.22</v>
      </c>
      <c r="D203" s="24" t="s">
        <v>352</v>
      </c>
      <c r="E203" s="24" t="s">
        <v>358</v>
      </c>
      <c r="F203" s="25" t="s">
        <v>320</v>
      </c>
      <c r="G203" s="25" t="s">
        <v>47</v>
      </c>
      <c r="H203" s="26">
        <v>8446</v>
      </c>
      <c r="I203" s="26">
        <v>2049</v>
      </c>
      <c r="J203" s="72">
        <f>8/20</f>
        <v>0.4</v>
      </c>
      <c r="K203" s="72"/>
      <c r="L203" s="72">
        <v>0.85</v>
      </c>
      <c r="M203" s="80"/>
      <c r="N203" s="80"/>
      <c r="O203" s="80"/>
      <c r="P203" s="72">
        <v>0.42499999999999999</v>
      </c>
      <c r="Q203" s="72"/>
      <c r="R203" s="72"/>
      <c r="S203" s="72"/>
      <c r="T203" s="80"/>
      <c r="U203" s="80"/>
      <c r="V203" s="73"/>
      <c r="W203" s="80"/>
      <c r="X203" s="80"/>
      <c r="Y203" s="74"/>
      <c r="Z203" s="80"/>
      <c r="AA203" s="80"/>
      <c r="AB203" s="80"/>
      <c r="AC203" s="80"/>
      <c r="AD203" s="80"/>
      <c r="AE203" s="80"/>
      <c r="AF203" s="80"/>
      <c r="AG203" s="80"/>
      <c r="AH203" s="80"/>
      <c r="AI203" s="80"/>
      <c r="AJ203" s="80"/>
      <c r="AK203" s="80"/>
      <c r="AL203" s="28" t="str">
        <f>VLOOKUP($G203,'[42]Sheet1 (2)'!$A$1:$B$1048440,2,FALSE)</f>
        <v>Cum</v>
      </c>
      <c r="AM203" s="116" t="s">
        <v>359</v>
      </c>
      <c r="AN203" s="31"/>
      <c r="AO203" s="33"/>
    </row>
    <row r="204" spans="1:41" ht="182" x14ac:dyDescent="0.35">
      <c r="A204" s="36">
        <v>191</v>
      </c>
      <c r="B204" s="45" t="s">
        <v>319</v>
      </c>
      <c r="C204" s="42" t="s">
        <v>360</v>
      </c>
      <c r="D204" s="44" t="s">
        <v>352</v>
      </c>
      <c r="E204" s="44" t="s">
        <v>361</v>
      </c>
      <c r="F204" s="115" t="s">
        <v>320</v>
      </c>
      <c r="G204" s="45" t="s">
        <v>47</v>
      </c>
      <c r="H204" s="36">
        <v>8636</v>
      </c>
      <c r="I204" s="36">
        <v>2049</v>
      </c>
      <c r="J204" s="72">
        <f>8/20</f>
        <v>0.4</v>
      </c>
      <c r="K204" s="72"/>
      <c r="L204" s="72">
        <v>0.85</v>
      </c>
      <c r="M204" s="80"/>
      <c r="N204" s="80"/>
      <c r="O204" s="80"/>
      <c r="P204" s="72">
        <v>0.42499999999999999</v>
      </c>
      <c r="Q204" s="72"/>
      <c r="R204" s="72"/>
      <c r="S204" s="72"/>
      <c r="T204" s="80"/>
      <c r="U204" s="80"/>
      <c r="V204" s="73"/>
      <c r="W204" s="80"/>
      <c r="X204" s="80"/>
      <c r="Y204" s="74"/>
      <c r="Z204" s="80"/>
      <c r="AA204" s="80"/>
      <c r="AB204" s="80"/>
      <c r="AC204" s="80"/>
      <c r="AD204" s="80"/>
      <c r="AE204" s="80"/>
      <c r="AF204" s="80"/>
      <c r="AG204" s="80"/>
      <c r="AH204" s="80"/>
      <c r="AI204" s="80"/>
      <c r="AJ204" s="80"/>
      <c r="AK204" s="80"/>
      <c r="AL204" s="28" t="str">
        <f>VLOOKUP($G204,'[42]Sheet1 (2)'!$A$1:$B$1048440,2,FALSE)</f>
        <v>Cum</v>
      </c>
      <c r="AM204" s="116" t="s">
        <v>359</v>
      </c>
      <c r="AN204" s="31"/>
      <c r="AO204" s="33"/>
    </row>
    <row r="205" spans="1:41" ht="15" x14ac:dyDescent="0.35">
      <c r="A205" s="68"/>
      <c r="B205" s="60"/>
      <c r="C205" s="125"/>
      <c r="D205" s="60"/>
      <c r="E205" s="126" t="s">
        <v>362</v>
      </c>
      <c r="F205" s="60"/>
      <c r="G205" s="119"/>
      <c r="H205" s="120"/>
      <c r="I205" s="120"/>
      <c r="J205" s="72"/>
      <c r="K205" s="72"/>
      <c r="L205" s="72"/>
      <c r="M205" s="80"/>
      <c r="N205" s="80"/>
      <c r="O205" s="80"/>
      <c r="P205" s="72"/>
      <c r="Q205" s="72"/>
      <c r="R205" s="72"/>
      <c r="S205" s="72"/>
      <c r="T205" s="80"/>
      <c r="U205" s="80"/>
      <c r="V205" s="73"/>
      <c r="W205" s="80"/>
      <c r="X205" s="80"/>
      <c r="Y205" s="74"/>
      <c r="Z205" s="80"/>
      <c r="AA205" s="80"/>
      <c r="AB205" s="80"/>
      <c r="AC205" s="80"/>
      <c r="AD205" s="80"/>
      <c r="AE205" s="80"/>
      <c r="AF205" s="80"/>
      <c r="AG205" s="80"/>
      <c r="AH205" s="80"/>
      <c r="AI205" s="80"/>
      <c r="AJ205" s="80"/>
      <c r="AK205" s="80"/>
      <c r="AL205" s="28" t="e">
        <f>VLOOKUP($G205,'[42]Sheet1 (2)'!$A$1:$B$1048440,2,FALSE)</f>
        <v>#N/A</v>
      </c>
      <c r="AM205" s="116"/>
      <c r="AN205" s="31"/>
      <c r="AO205" s="33"/>
    </row>
    <row r="206" spans="1:41" ht="42" x14ac:dyDescent="0.25">
      <c r="A206" s="23"/>
      <c r="B206" s="25" t="s">
        <v>362</v>
      </c>
      <c r="C206" s="127">
        <v>6.02</v>
      </c>
      <c r="D206" s="25" t="s">
        <v>363</v>
      </c>
      <c r="E206" s="23" t="s">
        <v>364</v>
      </c>
      <c r="F206" s="23"/>
      <c r="G206" s="25" t="s">
        <v>45</v>
      </c>
      <c r="H206" s="23"/>
      <c r="I206" s="23"/>
      <c r="J206" s="72"/>
      <c r="K206" s="72"/>
      <c r="L206" s="72"/>
      <c r="M206" s="94"/>
      <c r="N206" s="94"/>
      <c r="O206" s="94"/>
      <c r="P206" s="72"/>
      <c r="Q206" s="72"/>
      <c r="R206" s="72"/>
      <c r="S206" s="72"/>
      <c r="T206" s="94"/>
      <c r="U206" s="94"/>
      <c r="V206" s="97"/>
      <c r="W206" s="94"/>
      <c r="X206" s="94"/>
      <c r="Y206" s="98"/>
      <c r="Z206" s="94"/>
      <c r="AA206" s="94"/>
      <c r="AB206" s="94"/>
      <c r="AC206" s="94"/>
      <c r="AD206" s="94"/>
      <c r="AE206" s="94"/>
      <c r="AF206" s="94"/>
      <c r="AG206" s="94"/>
      <c r="AH206" s="94"/>
      <c r="AI206" s="94"/>
      <c r="AJ206" s="94"/>
      <c r="AK206" s="94"/>
      <c r="AL206" s="28" t="str">
        <f>VLOOKUP($G206,'[42]Sheet1 (2)'!$A$1:$B$1048440,2,FALSE)</f>
        <v>No.</v>
      </c>
      <c r="AM206" s="122"/>
      <c r="AN206" s="31"/>
      <c r="AO206" s="33"/>
    </row>
    <row r="207" spans="1:41" ht="28" x14ac:dyDescent="0.25">
      <c r="A207" s="26">
        <v>192</v>
      </c>
      <c r="B207" s="25" t="s">
        <v>362</v>
      </c>
      <c r="C207" s="25" t="s">
        <v>365</v>
      </c>
      <c r="D207" s="25" t="s">
        <v>363</v>
      </c>
      <c r="E207" s="24" t="s">
        <v>366</v>
      </c>
      <c r="F207" s="25" t="s">
        <v>363</v>
      </c>
      <c r="G207" s="25" t="s">
        <v>45</v>
      </c>
      <c r="H207" s="26">
        <v>1027</v>
      </c>
      <c r="I207" s="26">
        <v>371</v>
      </c>
      <c r="J207" s="72"/>
      <c r="K207" s="72"/>
      <c r="L207" s="72"/>
      <c r="M207" s="94"/>
      <c r="N207" s="94"/>
      <c r="O207" s="94"/>
      <c r="P207" s="72"/>
      <c r="Q207" s="72"/>
      <c r="R207" s="72"/>
      <c r="S207" s="72"/>
      <c r="T207" s="94"/>
      <c r="U207" s="94"/>
      <c r="V207" s="97"/>
      <c r="W207" s="94"/>
      <c r="X207" s="94"/>
      <c r="Y207" s="98"/>
      <c r="Z207" s="94"/>
      <c r="AA207" s="94"/>
      <c r="AB207" s="94"/>
      <c r="AC207" s="94"/>
      <c r="AD207" s="94"/>
      <c r="AE207" s="94"/>
      <c r="AF207" s="94"/>
      <c r="AG207" s="94"/>
      <c r="AH207" s="94"/>
      <c r="AI207" s="94"/>
      <c r="AJ207" s="94"/>
      <c r="AK207" s="94"/>
      <c r="AL207" s="28" t="str">
        <f>VLOOKUP($G207,'[42]Sheet1 (2)'!$A$1:$B$1048440,2,FALSE)</f>
        <v>No.</v>
      </c>
      <c r="AM207" s="122"/>
      <c r="AN207" s="31"/>
      <c r="AO207" s="33"/>
    </row>
    <row r="208" spans="1:41" ht="28" x14ac:dyDescent="0.35">
      <c r="A208" s="26">
        <v>193</v>
      </c>
      <c r="B208" s="25" t="s">
        <v>362</v>
      </c>
      <c r="C208" s="25" t="s">
        <v>367</v>
      </c>
      <c r="D208" s="21" t="s">
        <v>368</v>
      </c>
      <c r="E208" s="24" t="s">
        <v>369</v>
      </c>
      <c r="F208" s="25" t="s">
        <v>363</v>
      </c>
      <c r="G208" s="25" t="s">
        <v>45</v>
      </c>
      <c r="H208" s="26">
        <v>3249</v>
      </c>
      <c r="I208" s="26">
        <v>1110</v>
      </c>
      <c r="J208" s="72"/>
      <c r="K208" s="72"/>
      <c r="L208" s="72"/>
      <c r="M208" s="80"/>
      <c r="N208" s="80"/>
      <c r="O208" s="80"/>
      <c r="P208" s="72"/>
      <c r="Q208" s="72"/>
      <c r="R208" s="72"/>
      <c r="S208" s="72"/>
      <c r="T208" s="80"/>
      <c r="U208" s="80"/>
      <c r="V208" s="73"/>
      <c r="W208" s="80"/>
      <c r="X208" s="80"/>
      <c r="Y208" s="74"/>
      <c r="Z208" s="80"/>
      <c r="AA208" s="80"/>
      <c r="AB208" s="80"/>
      <c r="AC208" s="80"/>
      <c r="AD208" s="80"/>
      <c r="AE208" s="80"/>
      <c r="AF208" s="80"/>
      <c r="AG208" s="80"/>
      <c r="AH208" s="80"/>
      <c r="AI208" s="80"/>
      <c r="AJ208" s="80"/>
      <c r="AK208" s="80"/>
      <c r="AL208" s="28" t="str">
        <f>VLOOKUP($G208,'[42]Sheet1 (2)'!$A$1:$B$1048440,2,FALSE)</f>
        <v>No.</v>
      </c>
      <c r="AM208" s="116"/>
      <c r="AN208" s="31"/>
      <c r="AO208" s="33"/>
    </row>
    <row r="209" spans="1:41" ht="28" x14ac:dyDescent="0.35">
      <c r="A209" s="26">
        <v>194</v>
      </c>
      <c r="B209" s="25" t="s">
        <v>362</v>
      </c>
      <c r="C209" s="25" t="s">
        <v>370</v>
      </c>
      <c r="D209" s="25" t="s">
        <v>363</v>
      </c>
      <c r="E209" s="24" t="s">
        <v>371</v>
      </c>
      <c r="F209" s="25" t="s">
        <v>363</v>
      </c>
      <c r="G209" s="25" t="s">
        <v>45</v>
      </c>
      <c r="H209" s="26">
        <v>5355</v>
      </c>
      <c r="I209" s="26">
        <v>2048</v>
      </c>
      <c r="J209" s="72"/>
      <c r="K209" s="72"/>
      <c r="L209" s="72"/>
      <c r="M209" s="80"/>
      <c r="N209" s="80"/>
      <c r="O209" s="80"/>
      <c r="P209" s="72"/>
      <c r="Q209" s="72"/>
      <c r="R209" s="72"/>
      <c r="S209" s="72"/>
      <c r="T209" s="80"/>
      <c r="U209" s="80"/>
      <c r="V209" s="73"/>
      <c r="W209" s="80"/>
      <c r="X209" s="80"/>
      <c r="Y209" s="74"/>
      <c r="Z209" s="80"/>
      <c r="AA209" s="80"/>
      <c r="AB209" s="80"/>
      <c r="AC209" s="80"/>
      <c r="AD209" s="80"/>
      <c r="AE209" s="80"/>
      <c r="AF209" s="80"/>
      <c r="AG209" s="80"/>
      <c r="AH209" s="80"/>
      <c r="AI209" s="80"/>
      <c r="AJ209" s="80"/>
      <c r="AK209" s="80"/>
      <c r="AL209" s="28" t="str">
        <f>VLOOKUP($G209,'[42]Sheet1 (2)'!$A$1:$B$1048440,2,FALSE)</f>
        <v>No.</v>
      </c>
      <c r="AM209" s="116"/>
      <c r="AN209" s="31"/>
      <c r="AO209" s="33"/>
    </row>
    <row r="210" spans="1:41" ht="42" x14ac:dyDescent="0.25">
      <c r="A210" s="23"/>
      <c r="B210" s="25" t="s">
        <v>362</v>
      </c>
      <c r="C210" s="127">
        <v>6.03</v>
      </c>
      <c r="D210" s="25" t="s">
        <v>218</v>
      </c>
      <c r="E210" s="23" t="s">
        <v>372</v>
      </c>
      <c r="F210" s="23"/>
      <c r="G210" s="25" t="s">
        <v>45</v>
      </c>
      <c r="H210" s="23"/>
      <c r="I210" s="23"/>
      <c r="J210" s="72"/>
      <c r="K210" s="72"/>
      <c r="L210" s="72"/>
      <c r="M210" s="94"/>
      <c r="N210" s="94"/>
      <c r="O210" s="94"/>
      <c r="P210" s="72"/>
      <c r="Q210" s="72"/>
      <c r="R210" s="72"/>
      <c r="S210" s="72"/>
      <c r="T210" s="94"/>
      <c r="U210" s="94"/>
      <c r="V210" s="97"/>
      <c r="W210" s="94"/>
      <c r="X210" s="94"/>
      <c r="Y210" s="98"/>
      <c r="Z210" s="94"/>
      <c r="AA210" s="94"/>
      <c r="AB210" s="94"/>
      <c r="AC210" s="94"/>
      <c r="AD210" s="94"/>
      <c r="AE210" s="94"/>
      <c r="AF210" s="94"/>
      <c r="AG210" s="94"/>
      <c r="AH210" s="94"/>
      <c r="AI210" s="94"/>
      <c r="AJ210" s="94"/>
      <c r="AK210" s="94"/>
      <c r="AL210" s="28" t="str">
        <f>VLOOKUP($G210,'[42]Sheet1 (2)'!$A$1:$B$1048440,2,FALSE)</f>
        <v>No.</v>
      </c>
      <c r="AM210" s="122"/>
      <c r="AN210" s="31"/>
      <c r="AO210" s="33"/>
    </row>
    <row r="211" spans="1:41" ht="28" x14ac:dyDescent="0.25">
      <c r="A211" s="26">
        <v>195</v>
      </c>
      <c r="B211" s="25" t="s">
        <v>362</v>
      </c>
      <c r="C211" s="25" t="s">
        <v>373</v>
      </c>
      <c r="D211" s="25" t="s">
        <v>218</v>
      </c>
      <c r="E211" s="24" t="s">
        <v>374</v>
      </c>
      <c r="F211" s="25" t="s">
        <v>363</v>
      </c>
      <c r="G211" s="25" t="s">
        <v>45</v>
      </c>
      <c r="H211" s="26">
        <v>737</v>
      </c>
      <c r="I211" s="26">
        <v>549</v>
      </c>
      <c r="J211" s="72"/>
      <c r="K211" s="72"/>
      <c r="L211" s="72"/>
      <c r="M211" s="94"/>
      <c r="N211" s="94"/>
      <c r="O211" s="94"/>
      <c r="P211" s="72"/>
      <c r="Q211" s="72"/>
      <c r="R211" s="72"/>
      <c r="S211" s="72"/>
      <c r="T211" s="94"/>
      <c r="U211" s="94"/>
      <c r="V211" s="97"/>
      <c r="W211" s="94"/>
      <c r="X211" s="94"/>
      <c r="Y211" s="98"/>
      <c r="Z211" s="94"/>
      <c r="AA211" s="94"/>
      <c r="AB211" s="94"/>
      <c r="AC211" s="94"/>
      <c r="AD211" s="94"/>
      <c r="AE211" s="94"/>
      <c r="AF211" s="94"/>
      <c r="AG211" s="94"/>
      <c r="AH211" s="94"/>
      <c r="AI211" s="94"/>
      <c r="AJ211" s="94"/>
      <c r="AK211" s="94"/>
      <c r="AL211" s="28" t="str">
        <f>VLOOKUP($G211,'[42]Sheet1 (2)'!$A$1:$B$1048440,2,FALSE)</f>
        <v>No.</v>
      </c>
      <c r="AM211" s="122"/>
      <c r="AN211" s="31"/>
      <c r="AO211" s="33"/>
    </row>
    <row r="212" spans="1:41" ht="28" x14ac:dyDescent="0.25">
      <c r="A212" s="26">
        <v>196</v>
      </c>
      <c r="B212" s="25" t="s">
        <v>362</v>
      </c>
      <c r="C212" s="25" t="s">
        <v>375</v>
      </c>
      <c r="D212" s="25" t="s">
        <v>218</v>
      </c>
      <c r="E212" s="24" t="s">
        <v>376</v>
      </c>
      <c r="F212" s="25" t="s">
        <v>363</v>
      </c>
      <c r="G212" s="25" t="s">
        <v>45</v>
      </c>
      <c r="H212" s="26">
        <v>437</v>
      </c>
      <c r="I212" s="26">
        <v>321</v>
      </c>
      <c r="J212" s="72"/>
      <c r="K212" s="72"/>
      <c r="L212" s="72"/>
      <c r="M212" s="94"/>
      <c r="N212" s="94"/>
      <c r="O212" s="94"/>
      <c r="P212" s="72"/>
      <c r="Q212" s="72"/>
      <c r="R212" s="72"/>
      <c r="S212" s="72"/>
      <c r="T212" s="94"/>
      <c r="U212" s="94"/>
      <c r="V212" s="97"/>
      <c r="W212" s="94"/>
      <c r="X212" s="94"/>
      <c r="Y212" s="98"/>
      <c r="Z212" s="94"/>
      <c r="AA212" s="94"/>
      <c r="AB212" s="94"/>
      <c r="AC212" s="94"/>
      <c r="AD212" s="94"/>
      <c r="AE212" s="94"/>
      <c r="AF212" s="94"/>
      <c r="AG212" s="94"/>
      <c r="AH212" s="94"/>
      <c r="AI212" s="94"/>
      <c r="AJ212" s="94"/>
      <c r="AK212" s="94"/>
      <c r="AL212" s="28" t="str">
        <f>VLOOKUP($G212,'[42]Sheet1 (2)'!$A$1:$B$1048440,2,FALSE)</f>
        <v>No.</v>
      </c>
      <c r="AM212" s="122"/>
      <c r="AN212" s="31"/>
      <c r="AO212" s="33"/>
    </row>
    <row r="213" spans="1:41" ht="28" x14ac:dyDescent="0.25">
      <c r="A213" s="26">
        <v>197</v>
      </c>
      <c r="B213" s="25" t="s">
        <v>362</v>
      </c>
      <c r="C213" s="25" t="s">
        <v>377</v>
      </c>
      <c r="D213" s="25" t="s">
        <v>218</v>
      </c>
      <c r="E213" s="24" t="s">
        <v>378</v>
      </c>
      <c r="F213" s="25" t="s">
        <v>363</v>
      </c>
      <c r="G213" s="25" t="s">
        <v>45</v>
      </c>
      <c r="H213" s="26">
        <v>87</v>
      </c>
      <c r="I213" s="26">
        <v>64</v>
      </c>
      <c r="J213" s="72"/>
      <c r="K213" s="123"/>
      <c r="L213" s="72"/>
      <c r="M213" s="94"/>
      <c r="N213" s="94"/>
      <c r="O213" s="94"/>
      <c r="P213" s="72"/>
      <c r="Q213" s="72"/>
      <c r="R213" s="72"/>
      <c r="S213" s="72"/>
      <c r="T213" s="94"/>
      <c r="U213" s="94"/>
      <c r="V213" s="97"/>
      <c r="W213" s="94"/>
      <c r="X213" s="94"/>
      <c r="Y213" s="98"/>
      <c r="Z213" s="94"/>
      <c r="AA213" s="94"/>
      <c r="AB213" s="94"/>
      <c r="AC213" s="94"/>
      <c r="AD213" s="94"/>
      <c r="AE213" s="94"/>
      <c r="AF213" s="94"/>
      <c r="AG213" s="94"/>
      <c r="AH213" s="94"/>
      <c r="AI213" s="94"/>
      <c r="AJ213" s="94"/>
      <c r="AK213" s="94"/>
      <c r="AL213" s="28" t="str">
        <f>VLOOKUP($G213,'[42]Sheet1 (2)'!$A$1:$B$1048440,2,FALSE)</f>
        <v>No.</v>
      </c>
      <c r="AM213" s="122"/>
      <c r="AN213" s="31"/>
      <c r="AO213" s="33"/>
    </row>
    <row r="214" spans="1:41" ht="42" x14ac:dyDescent="0.35">
      <c r="A214" s="34"/>
      <c r="B214" s="25" t="s">
        <v>362</v>
      </c>
      <c r="C214" s="127">
        <v>6.04</v>
      </c>
      <c r="D214" s="25" t="s">
        <v>379</v>
      </c>
      <c r="E214" s="23" t="s">
        <v>380</v>
      </c>
      <c r="F214" s="34"/>
      <c r="G214" s="25" t="s">
        <v>45</v>
      </c>
      <c r="H214" s="34"/>
      <c r="I214" s="34"/>
      <c r="J214" s="72"/>
      <c r="K214" s="99"/>
      <c r="L214" s="72"/>
      <c r="M214" s="80"/>
      <c r="N214" s="80"/>
      <c r="O214" s="80"/>
      <c r="P214" s="72"/>
      <c r="Q214" s="72"/>
      <c r="R214" s="72"/>
      <c r="S214" s="72"/>
      <c r="T214" s="80"/>
      <c r="U214" s="80"/>
      <c r="V214" s="73"/>
      <c r="W214" s="80"/>
      <c r="X214" s="80"/>
      <c r="Y214" s="74"/>
      <c r="Z214" s="80"/>
      <c r="AA214" s="80"/>
      <c r="AB214" s="80"/>
      <c r="AC214" s="80"/>
      <c r="AD214" s="80"/>
      <c r="AE214" s="80"/>
      <c r="AF214" s="80"/>
      <c r="AG214" s="80"/>
      <c r="AH214" s="80"/>
      <c r="AI214" s="80"/>
      <c r="AJ214" s="80"/>
      <c r="AK214" s="80"/>
      <c r="AL214" s="28" t="str">
        <f>VLOOKUP($G214,'[42]Sheet1 (2)'!$A$1:$B$1048440,2,FALSE)</f>
        <v>No.</v>
      </c>
      <c r="AM214" s="116"/>
      <c r="AN214" s="31"/>
      <c r="AO214" s="33"/>
    </row>
    <row r="215" spans="1:41" ht="28" x14ac:dyDescent="0.35">
      <c r="A215" s="26">
        <v>198</v>
      </c>
      <c r="B215" s="25" t="s">
        <v>362</v>
      </c>
      <c r="C215" s="25" t="s">
        <v>373</v>
      </c>
      <c r="D215" s="25" t="s">
        <v>379</v>
      </c>
      <c r="E215" s="24" t="s">
        <v>381</v>
      </c>
      <c r="F215" s="25" t="s">
        <v>379</v>
      </c>
      <c r="G215" s="25" t="s">
        <v>45</v>
      </c>
      <c r="H215" s="26">
        <v>147</v>
      </c>
      <c r="I215" s="26">
        <v>108</v>
      </c>
      <c r="J215" s="72"/>
      <c r="K215" s="72"/>
      <c r="L215" s="72"/>
      <c r="M215" s="80"/>
      <c r="N215" s="80"/>
      <c r="O215" s="80"/>
      <c r="P215" s="72"/>
      <c r="Q215" s="72"/>
      <c r="R215" s="72"/>
      <c r="S215" s="72"/>
      <c r="T215" s="80"/>
      <c r="U215" s="80"/>
      <c r="V215" s="73"/>
      <c r="W215" s="80"/>
      <c r="X215" s="80"/>
      <c r="Y215" s="74"/>
      <c r="Z215" s="80"/>
      <c r="AA215" s="80"/>
      <c r="AB215" s="80"/>
      <c r="AC215" s="80"/>
      <c r="AD215" s="80"/>
      <c r="AE215" s="80"/>
      <c r="AF215" s="80"/>
      <c r="AG215" s="80"/>
      <c r="AH215" s="80"/>
      <c r="AI215" s="80"/>
      <c r="AJ215" s="80"/>
      <c r="AK215" s="80"/>
      <c r="AL215" s="28" t="str">
        <f>VLOOKUP($G215,'[42]Sheet1 (2)'!$A$1:$B$1048440,2,FALSE)</f>
        <v>No.</v>
      </c>
      <c r="AM215" s="116"/>
      <c r="AN215" s="31"/>
      <c r="AO215" s="33"/>
    </row>
    <row r="216" spans="1:41" ht="28" x14ac:dyDescent="0.35">
      <c r="A216" s="26">
        <v>199</v>
      </c>
      <c r="B216" s="25" t="s">
        <v>362</v>
      </c>
      <c r="C216" s="25" t="s">
        <v>375</v>
      </c>
      <c r="D216" s="25" t="s">
        <v>379</v>
      </c>
      <c r="E216" s="24" t="s">
        <v>382</v>
      </c>
      <c r="F216" s="25" t="s">
        <v>379</v>
      </c>
      <c r="G216" s="25" t="s">
        <v>45</v>
      </c>
      <c r="H216" s="26">
        <v>509</v>
      </c>
      <c r="I216" s="26">
        <v>339</v>
      </c>
      <c r="J216" s="72"/>
      <c r="K216" s="72"/>
      <c r="L216" s="72"/>
      <c r="M216" s="80"/>
      <c r="N216" s="80"/>
      <c r="O216" s="80"/>
      <c r="P216" s="72"/>
      <c r="Q216" s="72"/>
      <c r="R216" s="72"/>
      <c r="S216" s="72"/>
      <c r="T216" s="80"/>
      <c r="U216" s="80"/>
      <c r="V216" s="73"/>
      <c r="W216" s="80"/>
      <c r="X216" s="80"/>
      <c r="Y216" s="74"/>
      <c r="Z216" s="80"/>
      <c r="AA216" s="80"/>
      <c r="AB216" s="80"/>
      <c r="AC216" s="80"/>
      <c r="AD216" s="80"/>
      <c r="AE216" s="80"/>
      <c r="AF216" s="80"/>
      <c r="AG216" s="80"/>
      <c r="AH216" s="80"/>
      <c r="AI216" s="80"/>
      <c r="AJ216" s="80"/>
      <c r="AK216" s="80"/>
      <c r="AL216" s="28" t="str">
        <f>VLOOKUP($G216,'[42]Sheet1 (2)'!$A$1:$B$1048440,2,FALSE)</f>
        <v>No.</v>
      </c>
      <c r="AM216" s="116"/>
      <c r="AN216" s="31"/>
      <c r="AO216" s="33"/>
    </row>
    <row r="217" spans="1:41" ht="28" x14ac:dyDescent="0.35">
      <c r="A217" s="26">
        <v>200</v>
      </c>
      <c r="B217" s="25" t="s">
        <v>362</v>
      </c>
      <c r="C217" s="25" t="s">
        <v>377</v>
      </c>
      <c r="D217" s="25" t="s">
        <v>379</v>
      </c>
      <c r="E217" s="24" t="s">
        <v>383</v>
      </c>
      <c r="F217" s="25" t="s">
        <v>379</v>
      </c>
      <c r="G217" s="25" t="s">
        <v>45</v>
      </c>
      <c r="H217" s="26">
        <v>518</v>
      </c>
      <c r="I217" s="26">
        <v>265</v>
      </c>
      <c r="J217" s="72"/>
      <c r="K217" s="72"/>
      <c r="L217" s="72"/>
      <c r="M217" s="80"/>
      <c r="N217" s="80"/>
      <c r="O217" s="80"/>
      <c r="P217" s="72"/>
      <c r="Q217" s="72"/>
      <c r="R217" s="72"/>
      <c r="S217" s="72"/>
      <c r="T217" s="80"/>
      <c r="U217" s="80"/>
      <c r="V217" s="73"/>
      <c r="W217" s="80"/>
      <c r="X217" s="80"/>
      <c r="Y217" s="74"/>
      <c r="Z217" s="80"/>
      <c r="AA217" s="80"/>
      <c r="AB217" s="80"/>
      <c r="AC217" s="80"/>
      <c r="AD217" s="80"/>
      <c r="AE217" s="80"/>
      <c r="AF217" s="80"/>
      <c r="AG217" s="80"/>
      <c r="AH217" s="80"/>
      <c r="AI217" s="80"/>
      <c r="AJ217" s="80"/>
      <c r="AK217" s="80"/>
      <c r="AL217" s="28" t="str">
        <f>VLOOKUP($G217,'[42]Sheet1 (2)'!$A$1:$B$1048440,2,FALSE)</f>
        <v>No.</v>
      </c>
      <c r="AM217" s="116"/>
      <c r="AN217" s="31"/>
      <c r="AO217" s="33"/>
    </row>
    <row r="218" spans="1:41" ht="28" x14ac:dyDescent="0.35">
      <c r="A218" s="26">
        <v>201</v>
      </c>
      <c r="B218" s="25" t="s">
        <v>362</v>
      </c>
      <c r="C218" s="25" t="s">
        <v>384</v>
      </c>
      <c r="D218" s="25" t="s">
        <v>379</v>
      </c>
      <c r="E218" s="24" t="s">
        <v>385</v>
      </c>
      <c r="F218" s="25" t="s">
        <v>386</v>
      </c>
      <c r="G218" s="25" t="s">
        <v>45</v>
      </c>
      <c r="H218" s="26">
        <v>43</v>
      </c>
      <c r="I218" s="26">
        <v>20</v>
      </c>
      <c r="J218" s="72"/>
      <c r="K218" s="72"/>
      <c r="L218" s="72"/>
      <c r="M218" s="80"/>
      <c r="N218" s="80"/>
      <c r="O218" s="80"/>
      <c r="P218" s="72"/>
      <c r="Q218" s="72"/>
      <c r="R218" s="72"/>
      <c r="S218" s="72"/>
      <c r="T218" s="80"/>
      <c r="U218" s="80"/>
      <c r="V218" s="73"/>
      <c r="W218" s="80"/>
      <c r="X218" s="80"/>
      <c r="Y218" s="74"/>
      <c r="Z218" s="80"/>
      <c r="AA218" s="80"/>
      <c r="AB218" s="80"/>
      <c r="AC218" s="80"/>
      <c r="AD218" s="80"/>
      <c r="AE218" s="80"/>
      <c r="AF218" s="80"/>
      <c r="AG218" s="80"/>
      <c r="AH218" s="80"/>
      <c r="AI218" s="80"/>
      <c r="AJ218" s="80"/>
      <c r="AK218" s="80"/>
      <c r="AL218" s="28" t="str">
        <f>VLOOKUP($G218,'[42]Sheet1 (2)'!$A$1:$B$1048440,2,FALSE)</f>
        <v>No.</v>
      </c>
      <c r="AM218" s="116"/>
      <c r="AN218" s="31"/>
      <c r="AO218" s="33"/>
    </row>
    <row r="219" spans="1:41" ht="28" x14ac:dyDescent="0.35">
      <c r="A219" s="26">
        <v>202</v>
      </c>
      <c r="B219" s="25" t="s">
        <v>362</v>
      </c>
      <c r="C219" s="25" t="s">
        <v>387</v>
      </c>
      <c r="D219" s="25" t="s">
        <v>388</v>
      </c>
      <c r="E219" s="24" t="s">
        <v>389</v>
      </c>
      <c r="F219" s="25" t="s">
        <v>388</v>
      </c>
      <c r="G219" s="25" t="s">
        <v>45</v>
      </c>
      <c r="H219" s="26">
        <v>203</v>
      </c>
      <c r="I219" s="26">
        <v>129</v>
      </c>
      <c r="J219" s="72"/>
      <c r="K219" s="72"/>
      <c r="L219" s="72"/>
      <c r="M219" s="80"/>
      <c r="N219" s="80"/>
      <c r="O219" s="80"/>
      <c r="P219" s="72"/>
      <c r="Q219" s="72"/>
      <c r="R219" s="72"/>
      <c r="S219" s="72"/>
      <c r="T219" s="80"/>
      <c r="U219" s="80"/>
      <c r="V219" s="73"/>
      <c r="W219" s="80"/>
      <c r="X219" s="80"/>
      <c r="Y219" s="74"/>
      <c r="Z219" s="80"/>
      <c r="AA219" s="80"/>
      <c r="AB219" s="80"/>
      <c r="AC219" s="80"/>
      <c r="AD219" s="80"/>
      <c r="AE219" s="80"/>
      <c r="AF219" s="80"/>
      <c r="AG219" s="80"/>
      <c r="AH219" s="80"/>
      <c r="AI219" s="80"/>
      <c r="AJ219" s="80"/>
      <c r="AK219" s="80"/>
      <c r="AL219" s="28" t="str">
        <f>VLOOKUP($G219,'[42]Sheet1 (2)'!$A$1:$B$1048440,2,FALSE)</f>
        <v>No.</v>
      </c>
      <c r="AM219" s="116"/>
      <c r="AN219" s="31"/>
      <c r="AO219" s="33"/>
    </row>
    <row r="220" spans="1:41" ht="28" x14ac:dyDescent="0.35">
      <c r="A220" s="26">
        <v>203</v>
      </c>
      <c r="B220" s="25" t="s">
        <v>362</v>
      </c>
      <c r="C220" s="25" t="s">
        <v>390</v>
      </c>
      <c r="D220" s="25" t="s">
        <v>388</v>
      </c>
      <c r="E220" s="24" t="s">
        <v>391</v>
      </c>
      <c r="F220" s="25" t="s">
        <v>388</v>
      </c>
      <c r="G220" s="25" t="s">
        <v>45</v>
      </c>
      <c r="H220" s="26">
        <v>253</v>
      </c>
      <c r="I220" s="26">
        <v>163</v>
      </c>
      <c r="J220" s="72"/>
      <c r="K220" s="72"/>
      <c r="L220" s="72"/>
      <c r="M220" s="80"/>
      <c r="N220" s="80"/>
      <c r="O220" s="80"/>
      <c r="P220" s="72"/>
      <c r="Q220" s="72"/>
      <c r="R220" s="72"/>
      <c r="S220" s="72"/>
      <c r="T220" s="80"/>
      <c r="U220" s="80"/>
      <c r="V220" s="73"/>
      <c r="W220" s="80"/>
      <c r="X220" s="80"/>
      <c r="Y220" s="74"/>
      <c r="Z220" s="80"/>
      <c r="AA220" s="80"/>
      <c r="AB220" s="80"/>
      <c r="AC220" s="80"/>
      <c r="AD220" s="80"/>
      <c r="AE220" s="80"/>
      <c r="AF220" s="80"/>
      <c r="AG220" s="80"/>
      <c r="AH220" s="80"/>
      <c r="AI220" s="80"/>
      <c r="AJ220" s="80"/>
      <c r="AK220" s="80"/>
      <c r="AL220" s="28" t="str">
        <f>VLOOKUP($G220,'[42]Sheet1 (2)'!$A$1:$B$1048440,2,FALSE)</f>
        <v>No.</v>
      </c>
      <c r="AM220" s="116"/>
      <c r="AN220" s="31"/>
      <c r="AO220" s="33"/>
    </row>
    <row r="221" spans="1:41" ht="42" x14ac:dyDescent="0.35">
      <c r="A221" s="26">
        <v>204</v>
      </c>
      <c r="B221" s="25" t="s">
        <v>362</v>
      </c>
      <c r="C221" s="25" t="s">
        <v>392</v>
      </c>
      <c r="D221" s="25" t="s">
        <v>388</v>
      </c>
      <c r="E221" s="23" t="s">
        <v>393</v>
      </c>
      <c r="F221" s="25" t="s">
        <v>388</v>
      </c>
      <c r="G221" s="25" t="s">
        <v>45</v>
      </c>
      <c r="H221" s="26">
        <v>30</v>
      </c>
      <c r="I221" s="26">
        <v>17</v>
      </c>
      <c r="J221" s="72"/>
      <c r="K221" s="72"/>
      <c r="L221" s="72"/>
      <c r="M221" s="80"/>
      <c r="N221" s="80"/>
      <c r="O221" s="80"/>
      <c r="P221" s="72"/>
      <c r="Q221" s="72"/>
      <c r="R221" s="72"/>
      <c r="S221" s="72"/>
      <c r="T221" s="80"/>
      <c r="U221" s="80"/>
      <c r="V221" s="73"/>
      <c r="W221" s="80"/>
      <c r="X221" s="80"/>
      <c r="Y221" s="74"/>
      <c r="Z221" s="80"/>
      <c r="AA221" s="80"/>
      <c r="AB221" s="80"/>
      <c r="AC221" s="80"/>
      <c r="AD221" s="80"/>
      <c r="AE221" s="80"/>
      <c r="AF221" s="80"/>
      <c r="AG221" s="80"/>
      <c r="AH221" s="80"/>
      <c r="AI221" s="80"/>
      <c r="AJ221" s="80"/>
      <c r="AK221" s="80"/>
      <c r="AL221" s="28" t="str">
        <f>VLOOKUP($G221,'[42]Sheet1 (2)'!$A$1:$B$1048440,2,FALSE)</f>
        <v>No.</v>
      </c>
      <c r="AM221" s="116"/>
      <c r="AN221" s="31"/>
      <c r="AO221" s="33"/>
    </row>
    <row r="222" spans="1:41" ht="42" x14ac:dyDescent="0.25">
      <c r="A222" s="26">
        <v>205</v>
      </c>
      <c r="B222" s="25" t="s">
        <v>362</v>
      </c>
      <c r="C222" s="127">
        <v>6.05</v>
      </c>
      <c r="D222" s="25" t="s">
        <v>388</v>
      </c>
      <c r="E222" s="23" t="s">
        <v>394</v>
      </c>
      <c r="F222" s="25" t="s">
        <v>388</v>
      </c>
      <c r="G222" s="25" t="s">
        <v>45</v>
      </c>
      <c r="H222" s="26">
        <v>29</v>
      </c>
      <c r="I222" s="26">
        <v>23</v>
      </c>
      <c r="J222" s="31"/>
      <c r="K222" s="31"/>
      <c r="L222" s="31"/>
      <c r="M222" s="31"/>
      <c r="N222" s="31"/>
      <c r="O222" s="31"/>
      <c r="P222" s="31"/>
      <c r="Q222" s="31"/>
      <c r="R222" s="31"/>
      <c r="S222" s="31"/>
      <c r="T222" s="31"/>
      <c r="U222" s="31"/>
      <c r="V222" s="31"/>
      <c r="W222" s="31"/>
      <c r="X222" s="31"/>
      <c r="Y222" s="31"/>
      <c r="Z222" s="31"/>
      <c r="AA222" s="31"/>
      <c r="AB222" s="31"/>
      <c r="AC222" s="31"/>
      <c r="AD222" s="31"/>
      <c r="AE222" s="31"/>
      <c r="AF222" s="31"/>
      <c r="AG222" s="31"/>
      <c r="AH222" s="31"/>
      <c r="AI222" s="31"/>
      <c r="AJ222" s="31"/>
      <c r="AK222" s="31"/>
      <c r="AL222" s="28" t="str">
        <f>VLOOKUP($G222,'[42]Sheet1 (2)'!$A$1:$B$1048440,2,FALSE)</f>
        <v>No.</v>
      </c>
      <c r="AM222" s="32"/>
      <c r="AN222" s="31"/>
      <c r="AO222" s="33"/>
    </row>
    <row r="223" spans="1:41" ht="42" x14ac:dyDescent="0.25">
      <c r="A223" s="26">
        <v>206</v>
      </c>
      <c r="B223" s="25" t="s">
        <v>362</v>
      </c>
      <c r="C223" s="127">
        <v>6.06</v>
      </c>
      <c r="D223" s="25" t="s">
        <v>388</v>
      </c>
      <c r="E223" s="23" t="s">
        <v>395</v>
      </c>
      <c r="F223" s="25" t="s">
        <v>388</v>
      </c>
      <c r="G223" s="25" t="s">
        <v>45</v>
      </c>
      <c r="H223" s="26">
        <v>31</v>
      </c>
      <c r="I223" s="26">
        <v>25</v>
      </c>
      <c r="J223" s="31"/>
      <c r="K223" s="31"/>
      <c r="L223" s="31"/>
      <c r="M223" s="31"/>
      <c r="N223" s="31"/>
      <c r="O223" s="31"/>
      <c r="P223" s="31"/>
      <c r="Q223" s="31"/>
      <c r="R223" s="31"/>
      <c r="S223" s="31"/>
      <c r="T223" s="31"/>
      <c r="U223" s="31"/>
      <c r="V223" s="31"/>
      <c r="W223" s="31"/>
      <c r="X223" s="31"/>
      <c r="Y223" s="31"/>
      <c r="Z223" s="31"/>
      <c r="AA223" s="31"/>
      <c r="AB223" s="31"/>
      <c r="AC223" s="31"/>
      <c r="AD223" s="31"/>
      <c r="AE223" s="31"/>
      <c r="AF223" s="31"/>
      <c r="AG223" s="31"/>
      <c r="AH223" s="31"/>
      <c r="AI223" s="31"/>
      <c r="AJ223" s="31"/>
      <c r="AK223" s="31"/>
      <c r="AL223" s="28" t="str">
        <f>VLOOKUP($G223,'[42]Sheet1 (2)'!$A$1:$B$1048440,2,FALSE)</f>
        <v>No.</v>
      </c>
      <c r="AM223" s="32"/>
      <c r="AN223" s="31"/>
      <c r="AO223" s="33"/>
    </row>
    <row r="224" spans="1:41" ht="56" x14ac:dyDescent="0.25">
      <c r="A224" s="26">
        <v>207</v>
      </c>
      <c r="B224" s="25" t="s">
        <v>362</v>
      </c>
      <c r="C224" s="127">
        <v>6.07</v>
      </c>
      <c r="D224" s="25" t="s">
        <v>388</v>
      </c>
      <c r="E224" s="23" t="s">
        <v>396</v>
      </c>
      <c r="F224" s="25" t="s">
        <v>388</v>
      </c>
      <c r="G224" s="25" t="s">
        <v>45</v>
      </c>
      <c r="H224" s="26">
        <v>57</v>
      </c>
      <c r="I224" s="26">
        <v>35</v>
      </c>
      <c r="J224" s="31"/>
      <c r="K224" s="31"/>
      <c r="L224" s="31"/>
      <c r="M224" s="31"/>
      <c r="N224" s="31"/>
      <c r="O224" s="31"/>
      <c r="P224" s="31"/>
      <c r="Q224" s="31"/>
      <c r="R224" s="31"/>
      <c r="S224" s="31"/>
      <c r="T224" s="31"/>
      <c r="U224" s="31"/>
      <c r="V224" s="31"/>
      <c r="W224" s="31"/>
      <c r="X224" s="31"/>
      <c r="Y224" s="31"/>
      <c r="Z224" s="31"/>
      <c r="AA224" s="31"/>
      <c r="AB224" s="31"/>
      <c r="AC224" s="31"/>
      <c r="AD224" s="31"/>
      <c r="AE224" s="31"/>
      <c r="AF224" s="31"/>
      <c r="AG224" s="31"/>
      <c r="AH224" s="31"/>
      <c r="AI224" s="31"/>
      <c r="AJ224" s="31"/>
      <c r="AK224" s="31"/>
      <c r="AL224" s="28" t="str">
        <f>VLOOKUP($G224,'[42]Sheet1 (2)'!$A$1:$B$1048440,2,FALSE)</f>
        <v>No.</v>
      </c>
      <c r="AM224" s="32"/>
      <c r="AN224" s="31"/>
      <c r="AO224" s="33"/>
    </row>
    <row r="225" spans="1:41" ht="84" x14ac:dyDescent="0.25">
      <c r="A225" s="23"/>
      <c r="B225" s="25" t="s">
        <v>362</v>
      </c>
      <c r="C225" s="127">
        <v>6.08</v>
      </c>
      <c r="D225" s="25" t="s">
        <v>388</v>
      </c>
      <c r="E225" s="23" t="s">
        <v>397</v>
      </c>
      <c r="F225" s="23"/>
      <c r="G225" s="58" t="s">
        <v>151</v>
      </c>
      <c r="H225" s="23"/>
      <c r="I225" s="23"/>
      <c r="J225" s="31"/>
      <c r="K225" s="31"/>
      <c r="L225" s="31"/>
      <c r="M225" s="31"/>
      <c r="N225" s="31"/>
      <c r="O225" s="31"/>
      <c r="P225" s="31"/>
      <c r="Q225" s="31"/>
      <c r="R225" s="31"/>
      <c r="S225" s="31"/>
      <c r="T225" s="31"/>
      <c r="U225" s="31"/>
      <c r="V225" s="31"/>
      <c r="W225" s="31"/>
      <c r="X225" s="31"/>
      <c r="Y225" s="31"/>
      <c r="Z225" s="31"/>
      <c r="AA225" s="31"/>
      <c r="AB225" s="31"/>
      <c r="AC225" s="31"/>
      <c r="AD225" s="31"/>
      <c r="AE225" s="31"/>
      <c r="AF225" s="31"/>
      <c r="AG225" s="31"/>
      <c r="AH225" s="31"/>
      <c r="AI225" s="31"/>
      <c r="AJ225" s="31"/>
      <c r="AK225" s="31"/>
      <c r="AL225" s="28" t="str">
        <f>VLOOKUP($G225,'[42]Sheet1 (2)'!$A$1:$B$1048440,2,FALSE)</f>
        <v>Sqm</v>
      </c>
      <c r="AM225" s="32"/>
      <c r="AN225" s="31"/>
      <c r="AO225" s="33"/>
    </row>
    <row r="226" spans="1:41" ht="42" x14ac:dyDescent="0.25">
      <c r="A226" s="26">
        <v>208</v>
      </c>
      <c r="B226" s="25" t="s">
        <v>362</v>
      </c>
      <c r="C226" s="25" t="s">
        <v>373</v>
      </c>
      <c r="D226" s="25" t="s">
        <v>388</v>
      </c>
      <c r="E226" s="24" t="s">
        <v>398</v>
      </c>
      <c r="F226" s="25" t="s">
        <v>399</v>
      </c>
      <c r="G226" s="58" t="s">
        <v>151</v>
      </c>
      <c r="H226" s="26">
        <v>196</v>
      </c>
      <c r="I226" s="26">
        <v>139</v>
      </c>
      <c r="J226" s="31"/>
      <c r="K226" s="31"/>
      <c r="L226" s="31"/>
      <c r="M226" s="31"/>
      <c r="N226" s="31"/>
      <c r="O226" s="31"/>
      <c r="P226" s="31"/>
      <c r="Q226" s="31"/>
      <c r="R226" s="31"/>
      <c r="S226" s="31"/>
      <c r="T226" s="31"/>
      <c r="U226" s="31"/>
      <c r="V226" s="31"/>
      <c r="W226" s="31"/>
      <c r="X226" s="31"/>
      <c r="Y226" s="31"/>
      <c r="Z226" s="31"/>
      <c r="AA226" s="31"/>
      <c r="AB226" s="31"/>
      <c r="AC226" s="31"/>
      <c r="AD226" s="31"/>
      <c r="AE226" s="31"/>
      <c r="AF226" s="31"/>
      <c r="AG226" s="31"/>
      <c r="AH226" s="31"/>
      <c r="AI226" s="31"/>
      <c r="AJ226" s="31"/>
      <c r="AK226" s="31"/>
      <c r="AL226" s="28" t="str">
        <f>VLOOKUP($G226,'[42]Sheet1 (2)'!$A$1:$B$1048440,2,FALSE)</f>
        <v>Sqm</v>
      </c>
      <c r="AM226" s="32"/>
      <c r="AN226" s="31"/>
      <c r="AO226" s="33"/>
    </row>
    <row r="227" spans="1:41" ht="42" x14ac:dyDescent="0.25">
      <c r="A227" s="26">
        <v>209</v>
      </c>
      <c r="B227" s="25" t="s">
        <v>362</v>
      </c>
      <c r="C227" s="25" t="s">
        <v>375</v>
      </c>
      <c r="D227" s="25" t="s">
        <v>388</v>
      </c>
      <c r="E227" s="24" t="s">
        <v>400</v>
      </c>
      <c r="F227" s="25" t="s">
        <v>399</v>
      </c>
      <c r="G227" s="58" t="s">
        <v>151</v>
      </c>
      <c r="H227" s="26">
        <v>164</v>
      </c>
      <c r="I227" s="26">
        <v>111</v>
      </c>
      <c r="J227" s="31"/>
      <c r="K227" s="31"/>
      <c r="L227" s="31"/>
      <c r="M227" s="31"/>
      <c r="N227" s="31"/>
      <c r="O227" s="31"/>
      <c r="P227" s="31"/>
      <c r="Q227" s="31"/>
      <c r="R227" s="31"/>
      <c r="S227" s="31"/>
      <c r="T227" s="31"/>
      <c r="U227" s="31"/>
      <c r="V227" s="31"/>
      <c r="W227" s="31"/>
      <c r="X227" s="31"/>
      <c r="Y227" s="31"/>
      <c r="Z227" s="31"/>
      <c r="AA227" s="31"/>
      <c r="AB227" s="31"/>
      <c r="AC227" s="31"/>
      <c r="AD227" s="31"/>
      <c r="AE227" s="31"/>
      <c r="AF227" s="31"/>
      <c r="AG227" s="31"/>
      <c r="AH227" s="31"/>
      <c r="AI227" s="31"/>
      <c r="AJ227" s="31"/>
      <c r="AK227" s="31"/>
      <c r="AL227" s="28" t="str">
        <f>VLOOKUP($G227,'[42]Sheet1 (2)'!$A$1:$B$1048440,2,FALSE)</f>
        <v>Sqm</v>
      </c>
      <c r="AM227" s="32"/>
      <c r="AN227" s="31"/>
      <c r="AO227" s="33"/>
    </row>
    <row r="228" spans="1:41" ht="42" x14ac:dyDescent="0.25">
      <c r="A228" s="26">
        <v>210</v>
      </c>
      <c r="B228" s="25" t="s">
        <v>362</v>
      </c>
      <c r="C228" s="25" t="s">
        <v>377</v>
      </c>
      <c r="D228" s="25" t="s">
        <v>388</v>
      </c>
      <c r="E228" s="24" t="s">
        <v>401</v>
      </c>
      <c r="F228" s="39" t="s">
        <v>399</v>
      </c>
      <c r="G228" s="58" t="s">
        <v>151</v>
      </c>
      <c r="H228" s="103">
        <v>140</v>
      </c>
      <c r="I228" s="26">
        <v>101</v>
      </c>
      <c r="J228" s="31"/>
      <c r="K228" s="31"/>
      <c r="L228" s="31"/>
      <c r="M228" s="31"/>
      <c r="N228" s="31"/>
      <c r="O228" s="31"/>
      <c r="P228" s="31"/>
      <c r="Q228" s="31"/>
      <c r="R228" s="31"/>
      <c r="S228" s="31"/>
      <c r="T228" s="31"/>
      <c r="U228" s="31"/>
      <c r="V228" s="31"/>
      <c r="W228" s="31"/>
      <c r="X228" s="31"/>
      <c r="Y228" s="31"/>
      <c r="Z228" s="31"/>
      <c r="AA228" s="31"/>
      <c r="AB228" s="31"/>
      <c r="AC228" s="31"/>
      <c r="AD228" s="31"/>
      <c r="AE228" s="31"/>
      <c r="AF228" s="31"/>
      <c r="AG228" s="31"/>
      <c r="AH228" s="31"/>
      <c r="AI228" s="31"/>
      <c r="AJ228" s="31"/>
      <c r="AK228" s="31"/>
      <c r="AL228" s="28" t="str">
        <f>VLOOKUP($G228,'[42]Sheet1 (2)'!$A$1:$B$1048440,2,FALSE)</f>
        <v>Sqm</v>
      </c>
      <c r="AM228" s="32"/>
      <c r="AN228" s="31"/>
      <c r="AO228" s="33"/>
    </row>
    <row r="229" spans="1:41" ht="42" x14ac:dyDescent="0.25">
      <c r="A229" s="26">
        <v>211</v>
      </c>
      <c r="B229" s="25" t="s">
        <v>362</v>
      </c>
      <c r="C229" s="25" t="s">
        <v>384</v>
      </c>
      <c r="D229" s="25" t="s">
        <v>388</v>
      </c>
      <c r="E229" s="24" t="s">
        <v>400</v>
      </c>
      <c r="F229" s="39" t="s">
        <v>399</v>
      </c>
      <c r="G229" s="58" t="s">
        <v>151</v>
      </c>
      <c r="H229" s="103">
        <v>152</v>
      </c>
      <c r="I229" s="26">
        <v>111</v>
      </c>
      <c r="J229" s="31"/>
      <c r="K229" s="31"/>
      <c r="L229" s="31"/>
      <c r="M229" s="31"/>
      <c r="N229" s="31"/>
      <c r="O229" s="31"/>
      <c r="P229" s="31"/>
      <c r="Q229" s="31"/>
      <c r="R229" s="31"/>
      <c r="S229" s="31"/>
      <c r="T229" s="31"/>
      <c r="U229" s="31"/>
      <c r="V229" s="31"/>
      <c r="W229" s="31"/>
      <c r="X229" s="31"/>
      <c r="Y229" s="31"/>
      <c r="Z229" s="31"/>
      <c r="AA229" s="31"/>
      <c r="AB229" s="31"/>
      <c r="AC229" s="31"/>
      <c r="AD229" s="31"/>
      <c r="AE229" s="31"/>
      <c r="AF229" s="31"/>
      <c r="AG229" s="31"/>
      <c r="AH229" s="31"/>
      <c r="AI229" s="31"/>
      <c r="AJ229" s="31"/>
      <c r="AK229" s="31"/>
      <c r="AL229" s="28" t="str">
        <f>VLOOKUP($G229,'[42]Sheet1 (2)'!$A$1:$B$1048440,2,FALSE)</f>
        <v>Sqm</v>
      </c>
      <c r="AM229" s="32"/>
      <c r="AN229" s="31"/>
      <c r="AO229" s="33"/>
    </row>
    <row r="230" spans="1:41" ht="294" x14ac:dyDescent="0.25">
      <c r="A230" s="26">
        <v>212</v>
      </c>
      <c r="B230" s="25" t="s">
        <v>362</v>
      </c>
      <c r="C230" s="127">
        <v>6.09</v>
      </c>
      <c r="D230" s="25" t="s">
        <v>402</v>
      </c>
      <c r="E230" s="23" t="s">
        <v>403</v>
      </c>
      <c r="F230" s="39" t="s">
        <v>404</v>
      </c>
      <c r="G230" s="25" t="s">
        <v>45</v>
      </c>
      <c r="H230" s="103">
        <v>366</v>
      </c>
      <c r="I230" s="26">
        <v>82</v>
      </c>
      <c r="J230" s="31"/>
      <c r="K230" s="31"/>
      <c r="L230" s="31"/>
      <c r="M230" s="31"/>
      <c r="N230" s="31"/>
      <c r="O230" s="31"/>
      <c r="P230" s="31"/>
      <c r="Q230" s="31"/>
      <c r="R230" s="31"/>
      <c r="S230" s="31"/>
      <c r="T230" s="31"/>
      <c r="U230" s="31"/>
      <c r="V230" s="31"/>
      <c r="W230" s="31"/>
      <c r="X230" s="31"/>
      <c r="Y230" s="31"/>
      <c r="Z230" s="31"/>
      <c r="AA230" s="31"/>
      <c r="AB230" s="31"/>
      <c r="AC230" s="31"/>
      <c r="AD230" s="31"/>
      <c r="AE230" s="31"/>
      <c r="AF230" s="31"/>
      <c r="AG230" s="31"/>
      <c r="AH230" s="31"/>
      <c r="AI230" s="31"/>
      <c r="AJ230" s="31"/>
      <c r="AK230" s="31"/>
      <c r="AL230" s="28" t="str">
        <f>VLOOKUP($G230,'[42]Sheet1 (2)'!$A$1:$B$1048440,2,FALSE)</f>
        <v>No.</v>
      </c>
      <c r="AM230" s="32"/>
      <c r="AN230" s="31"/>
      <c r="AO230" s="33"/>
    </row>
    <row r="231" spans="1:41" ht="308" x14ac:dyDescent="0.25">
      <c r="A231" s="26">
        <v>213</v>
      </c>
      <c r="B231" s="25" t="s">
        <v>362</v>
      </c>
      <c r="C231" s="127">
        <v>6.1</v>
      </c>
      <c r="D231" s="25" t="s">
        <v>402</v>
      </c>
      <c r="E231" s="24" t="s">
        <v>405</v>
      </c>
      <c r="F231" s="39" t="s">
        <v>402</v>
      </c>
      <c r="G231" s="25" t="s">
        <v>45</v>
      </c>
      <c r="H231" s="103">
        <v>458</v>
      </c>
      <c r="I231" s="26">
        <v>29</v>
      </c>
      <c r="J231" s="31"/>
      <c r="K231" s="31"/>
      <c r="L231" s="31"/>
      <c r="M231" s="31"/>
      <c r="N231" s="31"/>
      <c r="O231" s="31"/>
      <c r="P231" s="31"/>
      <c r="Q231" s="31"/>
      <c r="R231" s="31"/>
      <c r="S231" s="31"/>
      <c r="T231" s="31"/>
      <c r="U231" s="31"/>
      <c r="V231" s="31"/>
      <c r="W231" s="31"/>
      <c r="X231" s="31"/>
      <c r="Y231" s="31"/>
      <c r="Z231" s="31"/>
      <c r="AA231" s="31"/>
      <c r="AB231" s="31"/>
      <c r="AC231" s="31"/>
      <c r="AD231" s="31"/>
      <c r="AE231" s="31"/>
      <c r="AF231" s="31"/>
      <c r="AG231" s="31"/>
      <c r="AH231" s="31"/>
      <c r="AI231" s="31"/>
      <c r="AJ231" s="31"/>
      <c r="AK231" s="31"/>
      <c r="AL231" s="28" t="str">
        <f>VLOOKUP($G231,'[42]Sheet1 (2)'!$A$1:$B$1048440,2,FALSE)</f>
        <v>No.</v>
      </c>
      <c r="AM231" s="32"/>
      <c r="AN231" s="31"/>
      <c r="AO231" s="33"/>
    </row>
    <row r="232" spans="1:41" ht="168" x14ac:dyDescent="0.25">
      <c r="A232" s="26">
        <v>214</v>
      </c>
      <c r="B232" s="25" t="s">
        <v>362</v>
      </c>
      <c r="C232" s="22">
        <v>6.11</v>
      </c>
      <c r="D232" s="25" t="s">
        <v>404</v>
      </c>
      <c r="E232" s="24" t="s">
        <v>406</v>
      </c>
      <c r="F232" s="25" t="s">
        <v>404</v>
      </c>
      <c r="G232" s="58" t="s">
        <v>151</v>
      </c>
      <c r="H232" s="26">
        <v>5297</v>
      </c>
      <c r="I232" s="26">
        <v>1907</v>
      </c>
      <c r="J232" s="31"/>
      <c r="K232" s="31"/>
      <c r="L232" s="31"/>
      <c r="M232" s="31"/>
      <c r="N232" s="31"/>
      <c r="O232" s="31"/>
      <c r="P232" s="31"/>
      <c r="Q232" s="31"/>
      <c r="R232" s="31"/>
      <c r="S232" s="31"/>
      <c r="T232" s="31"/>
      <c r="U232" s="31"/>
      <c r="V232" s="31"/>
      <c r="W232" s="31"/>
      <c r="X232" s="31"/>
      <c r="Y232" s="31"/>
      <c r="Z232" s="31"/>
      <c r="AA232" s="31"/>
      <c r="AB232" s="31"/>
      <c r="AC232" s="31"/>
      <c r="AD232" s="31"/>
      <c r="AE232" s="31"/>
      <c r="AF232" s="31"/>
      <c r="AG232" s="31"/>
      <c r="AH232" s="31"/>
      <c r="AI232" s="31"/>
      <c r="AJ232" s="31"/>
      <c r="AK232" s="31"/>
      <c r="AL232" s="28" t="str">
        <f>VLOOKUP($G232,'[42]Sheet1 (2)'!$A$1:$B$1048440,2,FALSE)</f>
        <v>Sqm</v>
      </c>
      <c r="AM232" s="32"/>
      <c r="AN232" s="31"/>
      <c r="AO232" s="33"/>
    </row>
    <row r="233" spans="1:41" ht="210" x14ac:dyDescent="0.25">
      <c r="A233" s="26">
        <v>215</v>
      </c>
      <c r="B233" s="25" t="s">
        <v>362</v>
      </c>
      <c r="C233" s="67" t="s">
        <v>407</v>
      </c>
      <c r="D233" s="25" t="s">
        <v>408</v>
      </c>
      <c r="E233" s="24" t="s">
        <v>409</v>
      </c>
      <c r="F233" s="25" t="s">
        <v>408</v>
      </c>
      <c r="G233" s="58" t="s">
        <v>151</v>
      </c>
      <c r="H233" s="26">
        <v>666</v>
      </c>
      <c r="I233" s="26">
        <v>27</v>
      </c>
      <c r="J233" s="31"/>
      <c r="K233" s="31"/>
      <c r="L233" s="31"/>
      <c r="M233" s="31"/>
      <c r="N233" s="31"/>
      <c r="O233" s="31"/>
      <c r="P233" s="31"/>
      <c r="Q233" s="31"/>
      <c r="R233" s="31"/>
      <c r="S233" s="31"/>
      <c r="T233" s="31"/>
      <c r="U233" s="31"/>
      <c r="V233" s="31"/>
      <c r="W233" s="31"/>
      <c r="X233" s="31"/>
      <c r="Y233" s="31"/>
      <c r="Z233" s="31"/>
      <c r="AA233" s="31"/>
      <c r="AB233" s="31"/>
      <c r="AC233" s="31"/>
      <c r="AD233" s="31"/>
      <c r="AE233" s="31"/>
      <c r="AF233" s="31"/>
      <c r="AG233" s="31"/>
      <c r="AH233" s="31"/>
      <c r="AI233" s="31"/>
      <c r="AJ233" s="31"/>
      <c r="AK233" s="31"/>
      <c r="AL233" s="28" t="str">
        <f>VLOOKUP($G233,'[42]Sheet1 (2)'!$A$1:$B$1048440,2,FALSE)</f>
        <v>Sqm</v>
      </c>
      <c r="AM233" s="32"/>
      <c r="AN233" s="31"/>
      <c r="AO233" s="33"/>
    </row>
    <row r="234" spans="1:41" ht="140" x14ac:dyDescent="0.25">
      <c r="A234" s="26">
        <v>216</v>
      </c>
      <c r="B234" s="25" t="s">
        <v>362</v>
      </c>
      <c r="C234" s="67" t="s">
        <v>410</v>
      </c>
      <c r="D234" s="25" t="s">
        <v>408</v>
      </c>
      <c r="E234" s="23" t="s">
        <v>411</v>
      </c>
      <c r="F234" s="25" t="s">
        <v>408</v>
      </c>
      <c r="G234" s="58" t="s">
        <v>151</v>
      </c>
      <c r="H234" s="26">
        <v>1516</v>
      </c>
      <c r="I234" s="26">
        <v>58</v>
      </c>
      <c r="J234" s="31"/>
      <c r="K234" s="31"/>
      <c r="L234" s="31"/>
      <c r="M234" s="31"/>
      <c r="N234" s="31"/>
      <c r="O234" s="31"/>
      <c r="P234" s="31"/>
      <c r="Q234" s="31"/>
      <c r="R234" s="31"/>
      <c r="S234" s="31"/>
      <c r="T234" s="31"/>
      <c r="U234" s="31"/>
      <c r="V234" s="31"/>
      <c r="W234" s="31"/>
      <c r="X234" s="31"/>
      <c r="Y234" s="31"/>
      <c r="Z234" s="31"/>
      <c r="AA234" s="31"/>
      <c r="AB234" s="31"/>
      <c r="AC234" s="31"/>
      <c r="AD234" s="31"/>
      <c r="AE234" s="31"/>
      <c r="AF234" s="31"/>
      <c r="AG234" s="31"/>
      <c r="AH234" s="31"/>
      <c r="AI234" s="31"/>
      <c r="AJ234" s="31"/>
      <c r="AK234" s="31"/>
      <c r="AL234" s="28" t="str">
        <f>VLOOKUP($G234,'[42]Sheet1 (2)'!$A$1:$B$1048440,2,FALSE)</f>
        <v>Sqm</v>
      </c>
      <c r="AM234" s="32"/>
      <c r="AN234" s="31"/>
      <c r="AO234" s="33"/>
    </row>
    <row r="235" spans="1:41" ht="350" x14ac:dyDescent="0.25">
      <c r="A235" s="26">
        <v>217</v>
      </c>
      <c r="B235" s="25" t="s">
        <v>362</v>
      </c>
      <c r="C235" s="22">
        <v>6.13</v>
      </c>
      <c r="D235" s="25" t="s">
        <v>402</v>
      </c>
      <c r="E235" s="24" t="s">
        <v>412</v>
      </c>
      <c r="F235" s="39" t="s">
        <v>402</v>
      </c>
      <c r="G235" s="58" t="s">
        <v>151</v>
      </c>
      <c r="H235" s="26">
        <v>8403</v>
      </c>
      <c r="I235" s="26">
        <v>375</v>
      </c>
      <c r="J235" s="31"/>
      <c r="K235" s="31"/>
      <c r="L235" s="31"/>
      <c r="M235" s="31"/>
      <c r="N235" s="31"/>
      <c r="O235" s="31"/>
      <c r="P235" s="31"/>
      <c r="Q235" s="31"/>
      <c r="R235" s="31"/>
      <c r="S235" s="31"/>
      <c r="T235" s="31"/>
      <c r="U235" s="31"/>
      <c r="V235" s="31"/>
      <c r="W235" s="31"/>
      <c r="X235" s="31"/>
      <c r="Y235" s="31"/>
      <c r="Z235" s="31"/>
      <c r="AA235" s="31"/>
      <c r="AB235" s="31"/>
      <c r="AC235" s="31"/>
      <c r="AD235" s="31"/>
      <c r="AE235" s="31"/>
      <c r="AF235" s="31"/>
      <c r="AG235" s="31"/>
      <c r="AH235" s="31"/>
      <c r="AI235" s="31"/>
      <c r="AJ235" s="31"/>
      <c r="AK235" s="31"/>
      <c r="AL235" s="28" t="str">
        <f>VLOOKUP($G235,'[42]Sheet1 (2)'!$A$1:$B$1048440,2,FALSE)</f>
        <v>Sqm</v>
      </c>
      <c r="AM235" s="32"/>
      <c r="AN235" s="31"/>
      <c r="AO235" s="33"/>
    </row>
    <row r="236" spans="1:41" ht="364" x14ac:dyDescent="0.25">
      <c r="A236" s="26">
        <v>218</v>
      </c>
      <c r="B236" s="25" t="s">
        <v>362</v>
      </c>
      <c r="C236" s="22">
        <v>6.14</v>
      </c>
      <c r="D236" s="25" t="s">
        <v>402</v>
      </c>
      <c r="E236" s="24" t="s">
        <v>413</v>
      </c>
      <c r="F236" s="39" t="s">
        <v>402</v>
      </c>
      <c r="G236" s="25" t="s">
        <v>45</v>
      </c>
      <c r="H236" s="26">
        <v>2990</v>
      </c>
      <c r="I236" s="26">
        <v>474</v>
      </c>
      <c r="J236" s="31"/>
      <c r="K236" s="31"/>
      <c r="L236" s="31"/>
      <c r="M236" s="31"/>
      <c r="N236" s="31"/>
      <c r="O236" s="31"/>
      <c r="P236" s="31"/>
      <c r="Q236" s="31"/>
      <c r="R236" s="31"/>
      <c r="S236" s="31"/>
      <c r="T236" s="31"/>
      <c r="U236" s="31"/>
      <c r="V236" s="31"/>
      <c r="W236" s="31"/>
      <c r="X236" s="31"/>
      <c r="Y236" s="31"/>
      <c r="Z236" s="31"/>
      <c r="AA236" s="31"/>
      <c r="AB236" s="31"/>
      <c r="AC236" s="31"/>
      <c r="AD236" s="31"/>
      <c r="AE236" s="31"/>
      <c r="AF236" s="31"/>
      <c r="AG236" s="31"/>
      <c r="AH236" s="31"/>
      <c r="AI236" s="31"/>
      <c r="AJ236" s="31"/>
      <c r="AK236" s="31"/>
      <c r="AL236" s="28" t="str">
        <f>VLOOKUP($G236,'[42]Sheet1 (2)'!$A$1:$B$1048440,2,FALSE)</f>
        <v>No.</v>
      </c>
      <c r="AM236" s="32"/>
      <c r="AN236" s="31"/>
      <c r="AO236" s="33"/>
    </row>
    <row r="237" spans="1:41" ht="98" x14ac:dyDescent="0.25">
      <c r="A237" s="26">
        <v>219</v>
      </c>
      <c r="B237" s="25" t="s">
        <v>362</v>
      </c>
      <c r="C237" s="22">
        <v>6.15</v>
      </c>
      <c r="D237" s="25" t="s">
        <v>402</v>
      </c>
      <c r="E237" s="23" t="s">
        <v>414</v>
      </c>
      <c r="F237" s="39" t="s">
        <v>402</v>
      </c>
      <c r="G237" s="25" t="s">
        <v>45</v>
      </c>
      <c r="H237" s="26">
        <v>822</v>
      </c>
      <c r="I237" s="26">
        <v>21</v>
      </c>
      <c r="J237" s="31"/>
      <c r="K237" s="31"/>
      <c r="L237" s="31"/>
      <c r="M237" s="31"/>
      <c r="N237" s="31"/>
      <c r="O237" s="31"/>
      <c r="P237" s="31"/>
      <c r="Q237" s="31"/>
      <c r="R237" s="31"/>
      <c r="S237" s="31"/>
      <c r="T237" s="31"/>
      <c r="U237" s="31"/>
      <c r="V237" s="31"/>
      <c r="W237" s="31"/>
      <c r="X237" s="31"/>
      <c r="Y237" s="31"/>
      <c r="Z237" s="31"/>
      <c r="AA237" s="31"/>
      <c r="AB237" s="31"/>
      <c r="AC237" s="31"/>
      <c r="AD237" s="31"/>
      <c r="AE237" s="31"/>
      <c r="AF237" s="31"/>
      <c r="AG237" s="31"/>
      <c r="AH237" s="31"/>
      <c r="AI237" s="31"/>
      <c r="AJ237" s="31"/>
      <c r="AK237" s="31"/>
      <c r="AL237" s="28" t="str">
        <f>VLOOKUP($G237,'[42]Sheet1 (2)'!$A$1:$B$1048440,2,FALSE)</f>
        <v>No.</v>
      </c>
      <c r="AM237" s="32"/>
      <c r="AN237" s="31"/>
      <c r="AO237" s="33"/>
    </row>
    <row r="238" spans="1:41" ht="140" x14ac:dyDescent="0.25">
      <c r="A238" s="26">
        <v>220</v>
      </c>
      <c r="B238" s="25" t="s">
        <v>362</v>
      </c>
      <c r="C238" s="22">
        <v>6.16</v>
      </c>
      <c r="D238" s="25" t="s">
        <v>402</v>
      </c>
      <c r="E238" s="24" t="s">
        <v>415</v>
      </c>
      <c r="F238" s="39" t="s">
        <v>402</v>
      </c>
      <c r="G238" s="25" t="s">
        <v>45</v>
      </c>
      <c r="H238" s="26">
        <v>1006</v>
      </c>
      <c r="I238" s="26">
        <v>21</v>
      </c>
      <c r="J238" s="31"/>
      <c r="K238" s="31"/>
      <c r="L238" s="31"/>
      <c r="M238" s="31"/>
      <c r="N238" s="31"/>
      <c r="O238" s="31"/>
      <c r="P238" s="31"/>
      <c r="Q238" s="31"/>
      <c r="R238" s="31"/>
      <c r="S238" s="31"/>
      <c r="T238" s="31"/>
      <c r="U238" s="31"/>
      <c r="V238" s="31"/>
      <c r="W238" s="31"/>
      <c r="X238" s="31"/>
      <c r="Y238" s="31"/>
      <c r="Z238" s="31"/>
      <c r="AA238" s="31"/>
      <c r="AB238" s="31"/>
      <c r="AC238" s="31"/>
      <c r="AD238" s="31"/>
      <c r="AE238" s="31"/>
      <c r="AF238" s="31"/>
      <c r="AG238" s="31"/>
      <c r="AH238" s="31"/>
      <c r="AI238" s="31"/>
      <c r="AJ238" s="31"/>
      <c r="AK238" s="31"/>
      <c r="AL238" s="28" t="str">
        <f>VLOOKUP($G238,'[42]Sheet1 (2)'!$A$1:$B$1048440,2,FALSE)</f>
        <v>No.</v>
      </c>
      <c r="AM238" s="32"/>
      <c r="AN238" s="31"/>
      <c r="AO238" s="33"/>
    </row>
    <row r="239" spans="1:41" x14ac:dyDescent="0.3">
      <c r="A239" s="128"/>
      <c r="B239" s="25" t="s">
        <v>362</v>
      </c>
      <c r="C239" s="22">
        <v>6.17</v>
      </c>
      <c r="D239" s="128"/>
      <c r="E239" s="24" t="s">
        <v>82</v>
      </c>
      <c r="F239" s="128"/>
      <c r="G239" s="128"/>
      <c r="H239" s="128"/>
      <c r="I239" s="128"/>
      <c r="J239" s="31"/>
      <c r="K239" s="31"/>
      <c r="L239" s="31"/>
      <c r="M239" s="31"/>
      <c r="N239" s="31"/>
      <c r="O239" s="31"/>
      <c r="P239" s="31"/>
      <c r="Q239" s="31"/>
      <c r="R239" s="31"/>
      <c r="S239" s="31"/>
      <c r="T239" s="31"/>
      <c r="U239" s="31"/>
      <c r="V239" s="31"/>
      <c r="W239" s="31"/>
      <c r="X239" s="31"/>
      <c r="Y239" s="31"/>
      <c r="Z239" s="31"/>
      <c r="AA239" s="31"/>
      <c r="AB239" s="31"/>
      <c r="AC239" s="31"/>
      <c r="AD239" s="31"/>
      <c r="AE239" s="31"/>
      <c r="AF239" s="31"/>
      <c r="AG239" s="31"/>
      <c r="AH239" s="31"/>
      <c r="AI239" s="31"/>
      <c r="AJ239" s="31"/>
      <c r="AK239" s="31"/>
      <c r="AL239" s="28" t="e">
        <f>VLOOKUP($G239,'[42]Sheet1 (2)'!$A$1:$B$1048440,2,FALSE)</f>
        <v>#N/A</v>
      </c>
      <c r="AM239" s="32"/>
      <c r="AN239" s="31"/>
      <c r="AO239" s="33"/>
    </row>
    <row r="240" spans="1:41" ht="28" x14ac:dyDescent="0.25">
      <c r="A240" s="26">
        <v>221</v>
      </c>
      <c r="B240" s="25" t="s">
        <v>362</v>
      </c>
      <c r="C240" s="22">
        <v>6.18</v>
      </c>
      <c r="D240" s="25" t="s">
        <v>402</v>
      </c>
      <c r="E240" s="24" t="s">
        <v>416</v>
      </c>
      <c r="F240" s="39" t="s">
        <v>402</v>
      </c>
      <c r="G240" s="25" t="s">
        <v>45</v>
      </c>
      <c r="H240" s="26">
        <v>415</v>
      </c>
      <c r="I240" s="26">
        <v>138</v>
      </c>
      <c r="J240" s="31"/>
      <c r="K240" s="31"/>
      <c r="L240" s="31"/>
      <c r="M240" s="31"/>
      <c r="N240" s="31"/>
      <c r="O240" s="31"/>
      <c r="P240" s="31"/>
      <c r="Q240" s="31"/>
      <c r="R240" s="31"/>
      <c r="S240" s="31"/>
      <c r="T240" s="31"/>
      <c r="U240" s="31"/>
      <c r="V240" s="31"/>
      <c r="W240" s="31"/>
      <c r="X240" s="31"/>
      <c r="Y240" s="31"/>
      <c r="Z240" s="31"/>
      <c r="AA240" s="31"/>
      <c r="AB240" s="31"/>
      <c r="AC240" s="31"/>
      <c r="AD240" s="31"/>
      <c r="AE240" s="31"/>
      <c r="AF240" s="31"/>
      <c r="AG240" s="31"/>
      <c r="AH240" s="31"/>
      <c r="AI240" s="31"/>
      <c r="AJ240" s="31"/>
      <c r="AK240" s="31"/>
      <c r="AL240" s="28" t="str">
        <f>VLOOKUP($G240,'[42]Sheet1 (2)'!$A$1:$B$1048440,2,FALSE)</f>
        <v>No.</v>
      </c>
      <c r="AM240" s="32"/>
      <c r="AN240" s="31"/>
      <c r="AO240" s="33"/>
    </row>
    <row r="241" spans="1:41" ht="56" x14ac:dyDescent="0.25">
      <c r="A241" s="26">
        <v>222</v>
      </c>
      <c r="B241" s="25" t="s">
        <v>362</v>
      </c>
      <c r="C241" s="22">
        <v>6.19</v>
      </c>
      <c r="D241" s="25" t="s">
        <v>388</v>
      </c>
      <c r="E241" s="23" t="s">
        <v>417</v>
      </c>
      <c r="F241" s="39" t="s">
        <v>388</v>
      </c>
      <c r="G241" s="25" t="s">
        <v>45</v>
      </c>
      <c r="H241" s="26">
        <v>975</v>
      </c>
      <c r="I241" s="26">
        <v>123</v>
      </c>
      <c r="J241" s="31"/>
      <c r="K241" s="31"/>
      <c r="L241" s="31"/>
      <c r="M241" s="31"/>
      <c r="N241" s="31"/>
      <c r="O241" s="31"/>
      <c r="P241" s="31"/>
      <c r="Q241" s="31"/>
      <c r="R241" s="31"/>
      <c r="S241" s="31"/>
      <c r="T241" s="31"/>
      <c r="U241" s="31"/>
      <c r="V241" s="31"/>
      <c r="W241" s="31"/>
      <c r="X241" s="31"/>
      <c r="Y241" s="31"/>
      <c r="Z241" s="31"/>
      <c r="AA241" s="31"/>
      <c r="AB241" s="31"/>
      <c r="AC241" s="31"/>
      <c r="AD241" s="31"/>
      <c r="AE241" s="31"/>
      <c r="AF241" s="31"/>
      <c r="AG241" s="31"/>
      <c r="AH241" s="31"/>
      <c r="AI241" s="31"/>
      <c r="AJ241" s="31"/>
      <c r="AK241" s="31"/>
      <c r="AL241" s="28" t="str">
        <f>VLOOKUP($G241,'[42]Sheet1 (2)'!$A$1:$B$1048440,2,FALSE)</f>
        <v>No.</v>
      </c>
      <c r="AM241" s="32"/>
      <c r="AN241" s="31"/>
      <c r="AO241" s="33"/>
    </row>
    <row r="242" spans="1:41" ht="42" x14ac:dyDescent="0.25">
      <c r="A242" s="26">
        <v>223</v>
      </c>
      <c r="B242" s="25" t="s">
        <v>362</v>
      </c>
      <c r="C242" s="22">
        <v>6.2</v>
      </c>
      <c r="D242" s="25" t="s">
        <v>388</v>
      </c>
      <c r="E242" s="23" t="s">
        <v>418</v>
      </c>
      <c r="F242" s="39" t="s">
        <v>388</v>
      </c>
      <c r="G242" s="25" t="s">
        <v>45</v>
      </c>
      <c r="H242" s="26">
        <v>1949</v>
      </c>
      <c r="I242" s="26">
        <v>246</v>
      </c>
      <c r="J242" s="31"/>
      <c r="K242" s="31"/>
      <c r="L242" s="31"/>
      <c r="M242" s="31"/>
      <c r="N242" s="31"/>
      <c r="O242" s="31"/>
      <c r="P242" s="31"/>
      <c r="Q242" s="31"/>
      <c r="R242" s="31"/>
      <c r="S242" s="31"/>
      <c r="T242" s="31"/>
      <c r="U242" s="31"/>
      <c r="V242" s="31"/>
      <c r="W242" s="31"/>
      <c r="X242" s="31"/>
      <c r="Y242" s="31"/>
      <c r="Z242" s="31"/>
      <c r="AA242" s="31"/>
      <c r="AB242" s="31"/>
      <c r="AC242" s="31"/>
      <c r="AD242" s="31"/>
      <c r="AE242" s="31"/>
      <c r="AF242" s="31"/>
      <c r="AG242" s="31"/>
      <c r="AH242" s="31"/>
      <c r="AI242" s="31"/>
      <c r="AJ242" s="31"/>
      <c r="AK242" s="31"/>
      <c r="AL242" s="28" t="str">
        <f>VLOOKUP($G242,'[42]Sheet1 (2)'!$A$1:$B$1048440,2,FALSE)</f>
        <v>No.</v>
      </c>
      <c r="AM242" s="32"/>
      <c r="AN242" s="31"/>
      <c r="AO242" s="33"/>
    </row>
    <row r="243" spans="1:41" ht="126" x14ac:dyDescent="0.25">
      <c r="A243" s="26">
        <v>224</v>
      </c>
      <c r="B243" s="25" t="s">
        <v>362</v>
      </c>
      <c r="C243" s="22">
        <v>6.21</v>
      </c>
      <c r="D243" s="25" t="s">
        <v>402</v>
      </c>
      <c r="E243" s="24" t="s">
        <v>419</v>
      </c>
      <c r="F243" s="39" t="s">
        <v>402</v>
      </c>
      <c r="G243" s="25" t="s">
        <v>45</v>
      </c>
      <c r="H243" s="26">
        <v>545</v>
      </c>
      <c r="I243" s="26">
        <v>140</v>
      </c>
      <c r="J243" s="31"/>
      <c r="K243" s="31"/>
      <c r="L243" s="31"/>
      <c r="M243" s="31"/>
      <c r="N243" s="31"/>
      <c r="O243" s="31"/>
      <c r="P243" s="31"/>
      <c r="Q243" s="31"/>
      <c r="R243" s="31"/>
      <c r="S243" s="31"/>
      <c r="T243" s="31"/>
      <c r="U243" s="31"/>
      <c r="V243" s="31"/>
      <c r="W243" s="31"/>
      <c r="X243" s="31"/>
      <c r="Y243" s="31"/>
      <c r="Z243" s="31"/>
      <c r="AA243" s="31"/>
      <c r="AB243" s="31"/>
      <c r="AC243" s="31"/>
      <c r="AD243" s="31"/>
      <c r="AE243" s="31"/>
      <c r="AF243" s="31"/>
      <c r="AG243" s="31"/>
      <c r="AH243" s="31"/>
      <c r="AI243" s="31"/>
      <c r="AJ243" s="31"/>
      <c r="AK243" s="31"/>
      <c r="AL243" s="28" t="str">
        <f>VLOOKUP($G243,'[42]Sheet1 (2)'!$A$1:$B$1048440,2,FALSE)</f>
        <v>No.</v>
      </c>
      <c r="AM243" s="32"/>
      <c r="AN243" s="31"/>
      <c r="AO243" s="33"/>
    </row>
    <row r="244" spans="1:41" ht="126" x14ac:dyDescent="0.25">
      <c r="A244" s="26">
        <v>225</v>
      </c>
      <c r="B244" s="25" t="s">
        <v>362</v>
      </c>
      <c r="C244" s="22">
        <v>6.22</v>
      </c>
      <c r="D244" s="25" t="s">
        <v>388</v>
      </c>
      <c r="E244" s="24" t="s">
        <v>420</v>
      </c>
      <c r="F244" s="39" t="s">
        <v>388</v>
      </c>
      <c r="G244" s="21" t="s">
        <v>80</v>
      </c>
      <c r="H244" s="26">
        <v>1443</v>
      </c>
      <c r="I244" s="26">
        <v>225</v>
      </c>
      <c r="J244" s="31"/>
      <c r="K244" s="31"/>
      <c r="L244" s="31"/>
      <c r="M244" s="31"/>
      <c r="N244" s="31"/>
      <c r="O244" s="31"/>
      <c r="P244" s="31"/>
      <c r="Q244" s="31"/>
      <c r="R244" s="31"/>
      <c r="S244" s="31"/>
      <c r="T244" s="31"/>
      <c r="U244" s="31"/>
      <c r="V244" s="31"/>
      <c r="W244" s="31"/>
      <c r="X244" s="31"/>
      <c r="Y244" s="31"/>
      <c r="Z244" s="31"/>
      <c r="AA244" s="31"/>
      <c r="AB244" s="31"/>
      <c r="AC244" s="31"/>
      <c r="AD244" s="31"/>
      <c r="AE244" s="31"/>
      <c r="AF244" s="31"/>
      <c r="AG244" s="31"/>
      <c r="AH244" s="31"/>
      <c r="AI244" s="31"/>
      <c r="AJ244" s="31"/>
      <c r="AK244" s="31"/>
      <c r="AL244" s="28" t="str">
        <f>VLOOKUP($G244,'[42]Sheet1 (2)'!$A$1:$B$1048440,2,FALSE)</f>
        <v>Rmt.</v>
      </c>
      <c r="AM244" s="32"/>
      <c r="AN244" s="31"/>
      <c r="AO244" s="33"/>
    </row>
    <row r="245" spans="1:41" ht="140" x14ac:dyDescent="0.25">
      <c r="A245" s="40">
        <v>226</v>
      </c>
      <c r="B245" s="45" t="s">
        <v>362</v>
      </c>
      <c r="C245" s="129">
        <v>6.23</v>
      </c>
      <c r="D245" s="45" t="s">
        <v>388</v>
      </c>
      <c r="E245" s="43" t="s">
        <v>421</v>
      </c>
      <c r="F245" s="115" t="s">
        <v>388</v>
      </c>
      <c r="G245" s="42" t="s">
        <v>80</v>
      </c>
      <c r="H245" s="40">
        <v>1347</v>
      </c>
      <c r="I245" s="40">
        <v>274</v>
      </c>
      <c r="J245" s="31"/>
      <c r="K245" s="31"/>
      <c r="L245" s="31"/>
      <c r="M245" s="31"/>
      <c r="N245" s="31"/>
      <c r="O245" s="31"/>
      <c r="P245" s="31"/>
      <c r="Q245" s="31"/>
      <c r="R245" s="31"/>
      <c r="S245" s="31"/>
      <c r="T245" s="31"/>
      <c r="U245" s="31"/>
      <c r="V245" s="31"/>
      <c r="W245" s="31"/>
      <c r="X245" s="31"/>
      <c r="Y245" s="31"/>
      <c r="Z245" s="31"/>
      <c r="AA245" s="31"/>
      <c r="AB245" s="31"/>
      <c r="AC245" s="31"/>
      <c r="AD245" s="31"/>
      <c r="AE245" s="31"/>
      <c r="AF245" s="31"/>
      <c r="AG245" s="31"/>
      <c r="AH245" s="31"/>
      <c r="AI245" s="31"/>
      <c r="AJ245" s="31"/>
      <c r="AK245" s="31"/>
      <c r="AL245" s="28" t="str">
        <f>VLOOKUP($G245,'[42]Sheet1 (2)'!$A$1:$B$1048440,2,FALSE)</f>
        <v>Rmt.</v>
      </c>
      <c r="AM245" s="32"/>
      <c r="AN245" s="31"/>
      <c r="AO245" s="33"/>
    </row>
    <row r="246" spans="1:41" ht="98" x14ac:dyDescent="0.25">
      <c r="A246" s="43"/>
      <c r="B246" s="45" t="s">
        <v>362</v>
      </c>
      <c r="C246" s="129">
        <v>6.24</v>
      </c>
      <c r="D246" s="45" t="s">
        <v>388</v>
      </c>
      <c r="E246" s="43" t="s">
        <v>422</v>
      </c>
      <c r="F246" s="43"/>
      <c r="G246" s="42" t="s">
        <v>80</v>
      </c>
      <c r="H246" s="43"/>
      <c r="I246" s="43"/>
      <c r="J246" s="31"/>
      <c r="K246" s="31"/>
      <c r="L246" s="31"/>
      <c r="M246" s="31"/>
      <c r="N246" s="31"/>
      <c r="O246" s="31"/>
      <c r="P246" s="31"/>
      <c r="Q246" s="31"/>
      <c r="R246" s="31"/>
      <c r="S246" s="31"/>
      <c r="T246" s="31"/>
      <c r="U246" s="31"/>
      <c r="V246" s="31"/>
      <c r="W246" s="31"/>
      <c r="X246" s="31"/>
      <c r="Y246" s="31"/>
      <c r="Z246" s="31"/>
      <c r="AA246" s="31"/>
      <c r="AB246" s="31"/>
      <c r="AC246" s="31"/>
      <c r="AD246" s="31"/>
      <c r="AE246" s="31"/>
      <c r="AF246" s="31"/>
      <c r="AG246" s="31"/>
      <c r="AH246" s="31"/>
      <c r="AI246" s="31"/>
      <c r="AJ246" s="31"/>
      <c r="AK246" s="31"/>
      <c r="AL246" s="28" t="str">
        <f>VLOOKUP($G246,'[42]Sheet1 (2)'!$A$1:$B$1048440,2,FALSE)</f>
        <v>Rmt.</v>
      </c>
      <c r="AM246" s="32"/>
      <c r="AN246" s="31"/>
      <c r="AO246" s="33"/>
    </row>
    <row r="247" spans="1:41" ht="42" x14ac:dyDescent="0.25">
      <c r="A247" s="40">
        <v>227</v>
      </c>
      <c r="B247" s="45" t="s">
        <v>362</v>
      </c>
      <c r="C247" s="45" t="s">
        <v>373</v>
      </c>
      <c r="D247" s="46"/>
      <c r="E247" s="44" t="s">
        <v>423</v>
      </c>
      <c r="F247" s="115" t="s">
        <v>388</v>
      </c>
      <c r="G247" s="42" t="s">
        <v>80</v>
      </c>
      <c r="H247" s="40">
        <v>853</v>
      </c>
      <c r="I247" s="40">
        <v>175</v>
      </c>
      <c r="J247" s="31"/>
      <c r="K247" s="31"/>
      <c r="L247" s="31"/>
      <c r="M247" s="31"/>
      <c r="N247" s="31"/>
      <c r="O247" s="31"/>
      <c r="P247" s="31"/>
      <c r="Q247" s="31"/>
      <c r="R247" s="31"/>
      <c r="S247" s="31"/>
      <c r="T247" s="31"/>
      <c r="U247" s="31"/>
      <c r="V247" s="31"/>
      <c r="W247" s="31"/>
      <c r="X247" s="31"/>
      <c r="Y247" s="31"/>
      <c r="Z247" s="31"/>
      <c r="AA247" s="31"/>
      <c r="AB247" s="31"/>
      <c r="AC247" s="31"/>
      <c r="AD247" s="31"/>
      <c r="AE247" s="31"/>
      <c r="AF247" s="31"/>
      <c r="AG247" s="31"/>
      <c r="AH247" s="31"/>
      <c r="AI247" s="31"/>
      <c r="AJ247" s="31"/>
      <c r="AK247" s="31"/>
      <c r="AL247" s="28" t="str">
        <f>VLOOKUP($G247,'[42]Sheet1 (2)'!$A$1:$B$1048440,2,FALSE)</f>
        <v>Rmt.</v>
      </c>
      <c r="AM247" s="32"/>
      <c r="AN247" s="31"/>
      <c r="AO247" s="33"/>
    </row>
    <row r="248" spans="1:41" ht="42" x14ac:dyDescent="0.25">
      <c r="A248" s="40">
        <v>228</v>
      </c>
      <c r="B248" s="45" t="s">
        <v>362</v>
      </c>
      <c r="C248" s="45" t="s">
        <v>375</v>
      </c>
      <c r="D248" s="45" t="s">
        <v>388</v>
      </c>
      <c r="E248" s="44" t="s">
        <v>424</v>
      </c>
      <c r="F248" s="115" t="s">
        <v>388</v>
      </c>
      <c r="G248" s="42" t="s">
        <v>80</v>
      </c>
      <c r="H248" s="40">
        <v>572</v>
      </c>
      <c r="I248" s="40">
        <v>175</v>
      </c>
      <c r="J248" s="31"/>
      <c r="K248" s="31"/>
      <c r="L248" s="31"/>
      <c r="M248" s="31"/>
      <c r="N248" s="31"/>
      <c r="O248" s="31"/>
      <c r="P248" s="31"/>
      <c r="Q248" s="31"/>
      <c r="R248" s="31"/>
      <c r="S248" s="31"/>
      <c r="T248" s="31"/>
      <c r="U248" s="31"/>
      <c r="V248" s="31"/>
      <c r="W248" s="31"/>
      <c r="X248" s="31"/>
      <c r="Y248" s="31"/>
      <c r="Z248" s="31"/>
      <c r="AA248" s="31"/>
      <c r="AB248" s="31"/>
      <c r="AC248" s="31"/>
      <c r="AD248" s="31"/>
      <c r="AE248" s="31"/>
      <c r="AF248" s="31"/>
      <c r="AG248" s="31"/>
      <c r="AH248" s="31"/>
      <c r="AI248" s="31"/>
      <c r="AJ248" s="31"/>
      <c r="AK248" s="31"/>
      <c r="AL248" s="28" t="str">
        <f>VLOOKUP($G248,'[42]Sheet1 (2)'!$A$1:$B$1048440,2,FALSE)</f>
        <v>Rmt.</v>
      </c>
      <c r="AM248" s="32"/>
      <c r="AN248" s="31"/>
      <c r="AO248" s="33"/>
    </row>
    <row r="249" spans="1:41" ht="84" x14ac:dyDescent="0.25">
      <c r="A249" s="40">
        <v>229</v>
      </c>
      <c r="B249" s="45" t="s">
        <v>362</v>
      </c>
      <c r="C249" s="129">
        <v>6.25</v>
      </c>
      <c r="D249" s="45" t="s">
        <v>388</v>
      </c>
      <c r="E249" s="44" t="s">
        <v>425</v>
      </c>
      <c r="F249" s="115" t="s">
        <v>388</v>
      </c>
      <c r="G249" s="42" t="s">
        <v>80</v>
      </c>
      <c r="H249" s="40">
        <v>411</v>
      </c>
      <c r="I249" s="40">
        <v>175</v>
      </c>
      <c r="J249" s="31"/>
      <c r="K249" s="31"/>
      <c r="L249" s="31"/>
      <c r="M249" s="31"/>
      <c r="N249" s="31"/>
      <c r="O249" s="31"/>
      <c r="P249" s="31"/>
      <c r="Q249" s="31"/>
      <c r="R249" s="31"/>
      <c r="S249" s="31"/>
      <c r="T249" s="31"/>
      <c r="U249" s="31"/>
      <c r="V249" s="31"/>
      <c r="W249" s="31"/>
      <c r="X249" s="31"/>
      <c r="Y249" s="31"/>
      <c r="Z249" s="31"/>
      <c r="AA249" s="31"/>
      <c r="AB249" s="31"/>
      <c r="AC249" s="31"/>
      <c r="AD249" s="31"/>
      <c r="AE249" s="31"/>
      <c r="AF249" s="31"/>
      <c r="AG249" s="31"/>
      <c r="AH249" s="31"/>
      <c r="AI249" s="31"/>
      <c r="AJ249" s="31"/>
      <c r="AK249" s="31"/>
      <c r="AL249" s="28" t="str">
        <f>VLOOKUP($G249,'[42]Sheet1 (2)'!$A$1:$B$1048440,2,FALSE)</f>
        <v>Rmt.</v>
      </c>
      <c r="AM249" s="32"/>
      <c r="AN249" s="31"/>
      <c r="AO249" s="33"/>
    </row>
    <row r="250" spans="1:41" ht="154" x14ac:dyDescent="0.25">
      <c r="A250" s="43"/>
      <c r="B250" s="45" t="s">
        <v>362</v>
      </c>
      <c r="C250" s="129">
        <v>6.26</v>
      </c>
      <c r="D250" s="45" t="s">
        <v>363</v>
      </c>
      <c r="E250" s="43" t="s">
        <v>426</v>
      </c>
      <c r="F250" s="43"/>
      <c r="G250" s="45" t="s">
        <v>45</v>
      </c>
      <c r="H250" s="43"/>
      <c r="I250" s="43"/>
      <c r="J250" s="31"/>
      <c r="K250" s="31"/>
      <c r="L250" s="31"/>
      <c r="M250" s="31"/>
      <c r="N250" s="31"/>
      <c r="O250" s="31"/>
      <c r="P250" s="31"/>
      <c r="Q250" s="31"/>
      <c r="R250" s="31"/>
      <c r="S250" s="31"/>
      <c r="T250" s="31"/>
      <c r="U250" s="31"/>
      <c r="V250" s="31"/>
      <c r="W250" s="31"/>
      <c r="X250" s="31"/>
      <c r="Y250" s="31"/>
      <c r="Z250" s="31"/>
      <c r="AA250" s="31"/>
      <c r="AB250" s="31"/>
      <c r="AC250" s="31"/>
      <c r="AD250" s="31"/>
      <c r="AE250" s="31"/>
      <c r="AF250" s="31"/>
      <c r="AG250" s="31"/>
      <c r="AH250" s="31"/>
      <c r="AI250" s="31"/>
      <c r="AJ250" s="31"/>
      <c r="AK250" s="31"/>
      <c r="AL250" s="28" t="str">
        <f>VLOOKUP($G250,'[42]Sheet1 (2)'!$A$1:$B$1048440,2,FALSE)</f>
        <v>No.</v>
      </c>
      <c r="AM250" s="32"/>
      <c r="AN250" s="31"/>
      <c r="AO250" s="33"/>
    </row>
    <row r="251" spans="1:41" ht="28" x14ac:dyDescent="0.25">
      <c r="A251" s="40">
        <v>230</v>
      </c>
      <c r="B251" s="45" t="s">
        <v>362</v>
      </c>
      <c r="C251" s="45" t="s">
        <v>373</v>
      </c>
      <c r="D251" s="45" t="s">
        <v>363</v>
      </c>
      <c r="E251" s="44" t="s">
        <v>427</v>
      </c>
      <c r="F251" s="115" t="s">
        <v>363</v>
      </c>
      <c r="G251" s="45" t="s">
        <v>45</v>
      </c>
      <c r="H251" s="40">
        <v>13833</v>
      </c>
      <c r="I251" s="40">
        <v>4264</v>
      </c>
      <c r="J251" s="31"/>
      <c r="K251" s="31"/>
      <c r="L251" s="31"/>
      <c r="M251" s="31"/>
      <c r="N251" s="31"/>
      <c r="O251" s="31"/>
      <c r="P251" s="31"/>
      <c r="Q251" s="31"/>
      <c r="R251" s="31"/>
      <c r="S251" s="31"/>
      <c r="T251" s="31"/>
      <c r="U251" s="31"/>
      <c r="V251" s="31"/>
      <c r="W251" s="31"/>
      <c r="X251" s="31"/>
      <c r="Y251" s="31"/>
      <c r="Z251" s="31"/>
      <c r="AA251" s="31"/>
      <c r="AB251" s="31"/>
      <c r="AC251" s="31"/>
      <c r="AD251" s="31"/>
      <c r="AE251" s="31"/>
      <c r="AF251" s="31"/>
      <c r="AG251" s="31"/>
      <c r="AH251" s="31"/>
      <c r="AI251" s="31"/>
      <c r="AJ251" s="31"/>
      <c r="AK251" s="31"/>
      <c r="AL251" s="28" t="str">
        <f>VLOOKUP($G251,'[42]Sheet1 (2)'!$A$1:$B$1048440,2,FALSE)</f>
        <v>No.</v>
      </c>
      <c r="AM251" s="32"/>
      <c r="AN251" s="31"/>
      <c r="AO251" s="33"/>
    </row>
    <row r="252" spans="1:41" ht="28" x14ac:dyDescent="0.25">
      <c r="A252" s="40">
        <v>231</v>
      </c>
      <c r="B252" s="45" t="s">
        <v>362</v>
      </c>
      <c r="C252" s="45" t="s">
        <v>375</v>
      </c>
      <c r="D252" s="45" t="s">
        <v>363</v>
      </c>
      <c r="E252" s="44" t="s">
        <v>428</v>
      </c>
      <c r="F252" s="115" t="s">
        <v>363</v>
      </c>
      <c r="G252" s="45" t="s">
        <v>45</v>
      </c>
      <c r="H252" s="40">
        <v>16487</v>
      </c>
      <c r="I252" s="40">
        <v>4736</v>
      </c>
      <c r="J252" s="31"/>
      <c r="K252" s="31"/>
      <c r="L252" s="31"/>
      <c r="M252" s="31"/>
      <c r="N252" s="31"/>
      <c r="O252" s="31"/>
      <c r="P252" s="31"/>
      <c r="Q252" s="31"/>
      <c r="R252" s="31"/>
      <c r="S252" s="31"/>
      <c r="T252" s="31"/>
      <c r="U252" s="31"/>
      <c r="V252" s="31"/>
      <c r="W252" s="31"/>
      <c r="X252" s="31"/>
      <c r="Y252" s="31"/>
      <c r="Z252" s="31"/>
      <c r="AA252" s="31"/>
      <c r="AB252" s="31"/>
      <c r="AC252" s="31"/>
      <c r="AD252" s="31"/>
      <c r="AE252" s="31"/>
      <c r="AF252" s="31"/>
      <c r="AG252" s="31"/>
      <c r="AH252" s="31"/>
      <c r="AI252" s="31"/>
      <c r="AJ252" s="31"/>
      <c r="AK252" s="31"/>
      <c r="AL252" s="28" t="str">
        <f>VLOOKUP($G252,'[42]Sheet1 (2)'!$A$1:$B$1048440,2,FALSE)</f>
        <v>No.</v>
      </c>
      <c r="AM252" s="32"/>
      <c r="AN252" s="31"/>
      <c r="AO252" s="33"/>
    </row>
    <row r="253" spans="1:41" ht="308" x14ac:dyDescent="0.25">
      <c r="A253" s="43"/>
      <c r="B253" s="45" t="s">
        <v>362</v>
      </c>
      <c r="C253" s="129">
        <v>6.27</v>
      </c>
      <c r="D253" s="45" t="s">
        <v>388</v>
      </c>
      <c r="E253" s="43" t="s">
        <v>429</v>
      </c>
      <c r="F253" s="43"/>
      <c r="G253" s="45" t="s">
        <v>45</v>
      </c>
      <c r="H253" s="43"/>
      <c r="I253" s="43"/>
      <c r="J253" s="31"/>
      <c r="K253" s="31"/>
      <c r="L253" s="31"/>
      <c r="M253" s="31"/>
      <c r="N253" s="31"/>
      <c r="O253" s="31"/>
      <c r="P253" s="31"/>
      <c r="Q253" s="31"/>
      <c r="R253" s="31"/>
      <c r="S253" s="31"/>
      <c r="T253" s="31"/>
      <c r="U253" s="31"/>
      <c r="V253" s="31"/>
      <c r="W253" s="31"/>
      <c r="X253" s="31"/>
      <c r="Y253" s="31"/>
      <c r="Z253" s="31"/>
      <c r="AA253" s="31"/>
      <c r="AB253" s="31"/>
      <c r="AC253" s="31"/>
      <c r="AD253" s="31"/>
      <c r="AE253" s="31"/>
      <c r="AF253" s="31"/>
      <c r="AG253" s="31"/>
      <c r="AH253" s="31"/>
      <c r="AI253" s="31"/>
      <c r="AJ253" s="31"/>
      <c r="AK253" s="31"/>
      <c r="AL253" s="28" t="str">
        <f>VLOOKUP($G253,'[42]Sheet1 (2)'!$A$1:$B$1048440,2,FALSE)</f>
        <v>No.</v>
      </c>
      <c r="AM253" s="32"/>
      <c r="AN253" s="31"/>
      <c r="AO253" s="33"/>
    </row>
    <row r="254" spans="1:41" ht="28" x14ac:dyDescent="0.25">
      <c r="A254" s="40">
        <v>232</v>
      </c>
      <c r="B254" s="45" t="s">
        <v>362</v>
      </c>
      <c r="C254" s="45" t="s">
        <v>373</v>
      </c>
      <c r="D254" s="45" t="s">
        <v>388</v>
      </c>
      <c r="E254" s="44" t="s">
        <v>430</v>
      </c>
      <c r="F254" s="115" t="s">
        <v>388</v>
      </c>
      <c r="G254" s="45" t="s">
        <v>45</v>
      </c>
      <c r="H254" s="40">
        <v>4516</v>
      </c>
      <c r="I254" s="40">
        <v>706</v>
      </c>
      <c r="J254" s="31"/>
      <c r="K254" s="31"/>
      <c r="L254" s="31"/>
      <c r="M254" s="31"/>
      <c r="N254" s="31"/>
      <c r="O254" s="31"/>
      <c r="P254" s="31"/>
      <c r="Q254" s="31"/>
      <c r="R254" s="31"/>
      <c r="S254" s="31"/>
      <c r="T254" s="31"/>
      <c r="U254" s="31"/>
      <c r="V254" s="31"/>
      <c r="W254" s="31"/>
      <c r="X254" s="31"/>
      <c r="Y254" s="31"/>
      <c r="Z254" s="31"/>
      <c r="AA254" s="31"/>
      <c r="AB254" s="31"/>
      <c r="AC254" s="31"/>
      <c r="AD254" s="31"/>
      <c r="AE254" s="31"/>
      <c r="AF254" s="31"/>
      <c r="AG254" s="31"/>
      <c r="AH254" s="31"/>
      <c r="AI254" s="31"/>
      <c r="AJ254" s="31"/>
      <c r="AK254" s="31"/>
      <c r="AL254" s="28" t="str">
        <f>VLOOKUP($G254,'[42]Sheet1 (2)'!$A$1:$B$1048440,2,FALSE)</f>
        <v>No.</v>
      </c>
      <c r="AM254" s="32"/>
      <c r="AN254" s="31"/>
      <c r="AO254" s="33"/>
    </row>
    <row r="255" spans="1:41" ht="28" x14ac:dyDescent="0.25">
      <c r="A255" s="40">
        <v>233</v>
      </c>
      <c r="B255" s="45" t="s">
        <v>362</v>
      </c>
      <c r="C255" s="45" t="s">
        <v>375</v>
      </c>
      <c r="D255" s="45" t="s">
        <v>388</v>
      </c>
      <c r="E255" s="44" t="s">
        <v>431</v>
      </c>
      <c r="F255" s="115" t="s">
        <v>388</v>
      </c>
      <c r="G255" s="45" t="s">
        <v>45</v>
      </c>
      <c r="H255" s="40">
        <v>4548</v>
      </c>
      <c r="I255" s="40">
        <v>706</v>
      </c>
      <c r="J255" s="31"/>
      <c r="K255" s="31"/>
      <c r="L255" s="31"/>
      <c r="M255" s="31"/>
      <c r="N255" s="31"/>
      <c r="O255" s="31"/>
      <c r="P255" s="31"/>
      <c r="Q255" s="31"/>
      <c r="R255" s="31"/>
      <c r="S255" s="31"/>
      <c r="T255" s="31"/>
      <c r="U255" s="31"/>
      <c r="V255" s="31"/>
      <c r="W255" s="31"/>
      <c r="X255" s="31"/>
      <c r="Y255" s="31"/>
      <c r="Z255" s="31"/>
      <c r="AA255" s="31"/>
      <c r="AB255" s="31"/>
      <c r="AC255" s="31"/>
      <c r="AD255" s="31"/>
      <c r="AE255" s="31"/>
      <c r="AF255" s="31"/>
      <c r="AG255" s="31"/>
      <c r="AH255" s="31"/>
      <c r="AI255" s="31"/>
      <c r="AJ255" s="31"/>
      <c r="AK255" s="31"/>
      <c r="AL255" s="28" t="str">
        <f>VLOOKUP($G255,'[42]Sheet1 (2)'!$A$1:$B$1048440,2,FALSE)</f>
        <v>No.</v>
      </c>
      <c r="AM255" s="32"/>
      <c r="AN255" s="31"/>
      <c r="AO255" s="33"/>
    </row>
    <row r="256" spans="1:41" ht="28" x14ac:dyDescent="0.25">
      <c r="A256" s="40">
        <v>234</v>
      </c>
      <c r="B256" s="45" t="s">
        <v>362</v>
      </c>
      <c r="C256" s="45" t="s">
        <v>377</v>
      </c>
      <c r="D256" s="45" t="s">
        <v>388</v>
      </c>
      <c r="E256" s="44" t="s">
        <v>432</v>
      </c>
      <c r="F256" s="115" t="s">
        <v>388</v>
      </c>
      <c r="G256" s="45" t="s">
        <v>45</v>
      </c>
      <c r="H256" s="40">
        <v>5735</v>
      </c>
      <c r="I256" s="40">
        <v>706</v>
      </c>
      <c r="J256" s="31"/>
      <c r="K256" s="31"/>
      <c r="L256" s="31"/>
      <c r="M256" s="31"/>
      <c r="N256" s="31"/>
      <c r="O256" s="31"/>
      <c r="P256" s="31"/>
      <c r="Q256" s="31"/>
      <c r="R256" s="31"/>
      <c r="S256" s="31"/>
      <c r="T256" s="31"/>
      <c r="U256" s="31"/>
      <c r="V256" s="31"/>
      <c r="W256" s="31"/>
      <c r="X256" s="31"/>
      <c r="Y256" s="31"/>
      <c r="Z256" s="31"/>
      <c r="AA256" s="31"/>
      <c r="AB256" s="31"/>
      <c r="AC256" s="31"/>
      <c r="AD256" s="31"/>
      <c r="AE256" s="31"/>
      <c r="AF256" s="31"/>
      <c r="AG256" s="31"/>
      <c r="AH256" s="31"/>
      <c r="AI256" s="31"/>
      <c r="AJ256" s="31"/>
      <c r="AK256" s="31"/>
      <c r="AL256" s="28" t="str">
        <f>VLOOKUP($G256,'[42]Sheet1 (2)'!$A$1:$B$1048440,2,FALSE)</f>
        <v>No.</v>
      </c>
      <c r="AM256" s="32"/>
      <c r="AN256" s="31"/>
      <c r="AO256" s="33"/>
    </row>
    <row r="257" spans="1:41" ht="28" x14ac:dyDescent="0.25">
      <c r="A257" s="40">
        <v>235</v>
      </c>
      <c r="B257" s="45" t="s">
        <v>362</v>
      </c>
      <c r="C257" s="45" t="s">
        <v>384</v>
      </c>
      <c r="D257" s="45" t="s">
        <v>388</v>
      </c>
      <c r="E257" s="44" t="s">
        <v>433</v>
      </c>
      <c r="F257" s="115" t="s">
        <v>388</v>
      </c>
      <c r="G257" s="45" t="s">
        <v>45</v>
      </c>
      <c r="H257" s="40">
        <v>5788</v>
      </c>
      <c r="I257" s="40">
        <v>706</v>
      </c>
      <c r="J257" s="31"/>
      <c r="K257" s="31"/>
      <c r="L257" s="31"/>
      <c r="M257" s="31"/>
      <c r="N257" s="31"/>
      <c r="O257" s="31"/>
      <c r="P257" s="31"/>
      <c r="Q257" s="31"/>
      <c r="R257" s="31"/>
      <c r="S257" s="31"/>
      <c r="T257" s="31"/>
      <c r="U257" s="31"/>
      <c r="V257" s="31"/>
      <c r="W257" s="31"/>
      <c r="X257" s="31"/>
      <c r="Y257" s="31"/>
      <c r="Z257" s="31"/>
      <c r="AA257" s="31"/>
      <c r="AB257" s="31"/>
      <c r="AC257" s="31"/>
      <c r="AD257" s="31"/>
      <c r="AE257" s="31"/>
      <c r="AF257" s="31"/>
      <c r="AG257" s="31"/>
      <c r="AH257" s="31"/>
      <c r="AI257" s="31"/>
      <c r="AJ257" s="31"/>
      <c r="AK257" s="31"/>
      <c r="AL257" s="28" t="str">
        <f>VLOOKUP($G257,'[42]Sheet1 (2)'!$A$1:$B$1048440,2,FALSE)</f>
        <v>No.</v>
      </c>
      <c r="AM257" s="32"/>
      <c r="AN257" s="31"/>
      <c r="AO257" s="33"/>
    </row>
    <row r="258" spans="1:41" ht="28" x14ac:dyDescent="0.25">
      <c r="A258" s="40">
        <v>236</v>
      </c>
      <c r="B258" s="45" t="s">
        <v>362</v>
      </c>
      <c r="C258" s="45" t="s">
        <v>387</v>
      </c>
      <c r="D258" s="45" t="s">
        <v>388</v>
      </c>
      <c r="E258" s="44" t="s">
        <v>434</v>
      </c>
      <c r="F258" s="115" t="s">
        <v>388</v>
      </c>
      <c r="G258" s="45" t="s">
        <v>45</v>
      </c>
      <c r="H258" s="40">
        <v>7094</v>
      </c>
      <c r="I258" s="40">
        <v>706</v>
      </c>
      <c r="J258" s="31"/>
      <c r="K258" s="31"/>
      <c r="L258" s="31"/>
      <c r="M258" s="31"/>
      <c r="N258" s="31"/>
      <c r="O258" s="31"/>
      <c r="P258" s="31"/>
      <c r="Q258" s="31"/>
      <c r="R258" s="31"/>
      <c r="S258" s="31"/>
      <c r="T258" s="31"/>
      <c r="U258" s="31"/>
      <c r="V258" s="31"/>
      <c r="W258" s="31"/>
      <c r="X258" s="31"/>
      <c r="Y258" s="31"/>
      <c r="Z258" s="31"/>
      <c r="AA258" s="31"/>
      <c r="AB258" s="31"/>
      <c r="AC258" s="31"/>
      <c r="AD258" s="31"/>
      <c r="AE258" s="31"/>
      <c r="AF258" s="31"/>
      <c r="AG258" s="31"/>
      <c r="AH258" s="31"/>
      <c r="AI258" s="31"/>
      <c r="AJ258" s="31"/>
      <c r="AK258" s="31"/>
      <c r="AL258" s="28" t="str">
        <f>VLOOKUP($G258,'[42]Sheet1 (2)'!$A$1:$B$1048440,2,FALSE)</f>
        <v>No.</v>
      </c>
      <c r="AM258" s="32"/>
      <c r="AN258" s="31"/>
      <c r="AO258" s="33"/>
    </row>
    <row r="259" spans="1:41" ht="28" x14ac:dyDescent="0.25">
      <c r="A259" s="40">
        <v>237</v>
      </c>
      <c r="B259" s="45" t="s">
        <v>362</v>
      </c>
      <c r="C259" s="45" t="s">
        <v>390</v>
      </c>
      <c r="D259" s="45" t="s">
        <v>388</v>
      </c>
      <c r="E259" s="44" t="s">
        <v>435</v>
      </c>
      <c r="F259" s="115" t="s">
        <v>388</v>
      </c>
      <c r="G259" s="45" t="s">
        <v>45</v>
      </c>
      <c r="H259" s="40">
        <v>7172</v>
      </c>
      <c r="I259" s="40">
        <v>706</v>
      </c>
      <c r="J259" s="31"/>
      <c r="K259" s="31"/>
      <c r="L259" s="31"/>
      <c r="M259" s="31"/>
      <c r="N259" s="31"/>
      <c r="O259" s="31"/>
      <c r="P259" s="31"/>
      <c r="Q259" s="31"/>
      <c r="R259" s="31"/>
      <c r="S259" s="31"/>
      <c r="T259" s="31"/>
      <c r="U259" s="31"/>
      <c r="V259" s="31"/>
      <c r="W259" s="31"/>
      <c r="X259" s="31"/>
      <c r="Y259" s="31"/>
      <c r="Z259" s="31"/>
      <c r="AA259" s="31"/>
      <c r="AB259" s="31"/>
      <c r="AC259" s="31"/>
      <c r="AD259" s="31"/>
      <c r="AE259" s="31"/>
      <c r="AF259" s="31"/>
      <c r="AG259" s="31"/>
      <c r="AH259" s="31"/>
      <c r="AI259" s="31"/>
      <c r="AJ259" s="31"/>
      <c r="AK259" s="31"/>
      <c r="AL259" s="28" t="str">
        <f>VLOOKUP($G259,'[42]Sheet1 (2)'!$A$1:$B$1048440,2,FALSE)</f>
        <v>No.</v>
      </c>
      <c r="AM259" s="32"/>
      <c r="AN259" s="31"/>
      <c r="AO259" s="33"/>
    </row>
    <row r="260" spans="1:41" ht="28" x14ac:dyDescent="0.25">
      <c r="A260" s="40">
        <v>238</v>
      </c>
      <c r="B260" s="45" t="s">
        <v>362</v>
      </c>
      <c r="C260" s="45" t="s">
        <v>392</v>
      </c>
      <c r="D260" s="45" t="s">
        <v>388</v>
      </c>
      <c r="E260" s="44" t="s">
        <v>436</v>
      </c>
      <c r="F260" s="115" t="s">
        <v>388</v>
      </c>
      <c r="G260" s="45" t="s">
        <v>45</v>
      </c>
      <c r="H260" s="40">
        <v>10590</v>
      </c>
      <c r="I260" s="40">
        <v>706</v>
      </c>
      <c r="J260" s="31"/>
      <c r="K260" s="31"/>
      <c r="L260" s="31"/>
      <c r="M260" s="31"/>
      <c r="N260" s="31"/>
      <c r="O260" s="31"/>
      <c r="P260" s="31"/>
      <c r="Q260" s="31"/>
      <c r="R260" s="31"/>
      <c r="S260" s="31"/>
      <c r="T260" s="31"/>
      <c r="U260" s="31"/>
      <c r="V260" s="31"/>
      <c r="W260" s="31"/>
      <c r="X260" s="31"/>
      <c r="Y260" s="31"/>
      <c r="Z260" s="31"/>
      <c r="AA260" s="31"/>
      <c r="AB260" s="31"/>
      <c r="AC260" s="31"/>
      <c r="AD260" s="31"/>
      <c r="AE260" s="31"/>
      <c r="AF260" s="31"/>
      <c r="AG260" s="31"/>
      <c r="AH260" s="31"/>
      <c r="AI260" s="31"/>
      <c r="AJ260" s="31"/>
      <c r="AK260" s="31"/>
      <c r="AL260" s="28" t="str">
        <f>VLOOKUP($G260,'[42]Sheet1 (2)'!$A$1:$B$1048440,2,FALSE)</f>
        <v>No.</v>
      </c>
      <c r="AM260" s="32"/>
      <c r="AN260" s="31"/>
      <c r="AO260" s="33"/>
    </row>
    <row r="261" spans="1:41" ht="28" x14ac:dyDescent="0.25">
      <c r="A261" s="40">
        <v>239</v>
      </c>
      <c r="B261" s="45" t="s">
        <v>362</v>
      </c>
      <c r="C261" s="45" t="s">
        <v>437</v>
      </c>
      <c r="D261" s="45" t="s">
        <v>388</v>
      </c>
      <c r="E261" s="44" t="s">
        <v>438</v>
      </c>
      <c r="F261" s="115" t="s">
        <v>388</v>
      </c>
      <c r="G261" s="45" t="s">
        <v>45</v>
      </c>
      <c r="H261" s="40">
        <v>10727</v>
      </c>
      <c r="I261" s="40">
        <v>706</v>
      </c>
      <c r="J261" s="31"/>
      <c r="K261" s="31"/>
      <c r="L261" s="31"/>
      <c r="M261" s="31"/>
      <c r="N261" s="31"/>
      <c r="O261" s="31"/>
      <c r="P261" s="31"/>
      <c r="Q261" s="31"/>
      <c r="R261" s="31"/>
      <c r="S261" s="31"/>
      <c r="T261" s="31"/>
      <c r="U261" s="31"/>
      <c r="V261" s="31"/>
      <c r="W261" s="31"/>
      <c r="X261" s="31"/>
      <c r="Y261" s="31"/>
      <c r="Z261" s="31"/>
      <c r="AA261" s="31"/>
      <c r="AB261" s="31"/>
      <c r="AC261" s="31"/>
      <c r="AD261" s="31"/>
      <c r="AE261" s="31"/>
      <c r="AF261" s="31"/>
      <c r="AG261" s="31"/>
      <c r="AH261" s="31"/>
      <c r="AI261" s="31"/>
      <c r="AJ261" s="31"/>
      <c r="AK261" s="31"/>
      <c r="AL261" s="28" t="str">
        <f>VLOOKUP($G261,'[42]Sheet1 (2)'!$A$1:$B$1048440,2,FALSE)</f>
        <v>No.</v>
      </c>
      <c r="AM261" s="32"/>
      <c r="AN261" s="31"/>
      <c r="AO261" s="33"/>
    </row>
    <row r="262" spans="1:41" ht="294" x14ac:dyDescent="0.25">
      <c r="A262" s="43"/>
      <c r="B262" s="45" t="s">
        <v>362</v>
      </c>
      <c r="C262" s="129">
        <v>6.28</v>
      </c>
      <c r="D262" s="45" t="s">
        <v>388</v>
      </c>
      <c r="E262" s="43" t="s">
        <v>439</v>
      </c>
      <c r="F262" s="43"/>
      <c r="G262" s="45" t="s">
        <v>45</v>
      </c>
      <c r="H262" s="43"/>
      <c r="I262" s="43"/>
      <c r="J262" s="31"/>
      <c r="K262" s="31"/>
      <c r="L262" s="31"/>
      <c r="M262" s="31"/>
      <c r="N262" s="31"/>
      <c r="O262" s="31"/>
      <c r="P262" s="31"/>
      <c r="Q262" s="31"/>
      <c r="R262" s="31"/>
      <c r="S262" s="31"/>
      <c r="T262" s="31"/>
      <c r="U262" s="31"/>
      <c r="V262" s="31"/>
      <c r="W262" s="31"/>
      <c r="X262" s="31"/>
      <c r="Y262" s="31"/>
      <c r="Z262" s="31"/>
      <c r="AA262" s="31"/>
      <c r="AB262" s="31"/>
      <c r="AC262" s="31"/>
      <c r="AD262" s="31"/>
      <c r="AE262" s="31"/>
      <c r="AF262" s="31"/>
      <c r="AG262" s="31"/>
      <c r="AH262" s="31"/>
      <c r="AI262" s="31"/>
      <c r="AJ262" s="31"/>
      <c r="AK262" s="31"/>
      <c r="AL262" s="28" t="str">
        <f>VLOOKUP($G262,'[42]Sheet1 (2)'!$A$1:$B$1048440,2,FALSE)</f>
        <v>No.</v>
      </c>
      <c r="AM262" s="32"/>
      <c r="AN262" s="31"/>
      <c r="AO262" s="33"/>
    </row>
    <row r="263" spans="1:41" ht="28" x14ac:dyDescent="0.25">
      <c r="A263" s="40">
        <v>240</v>
      </c>
      <c r="B263" s="45" t="s">
        <v>362</v>
      </c>
      <c r="C263" s="45" t="s">
        <v>373</v>
      </c>
      <c r="D263" s="45" t="s">
        <v>388</v>
      </c>
      <c r="E263" s="44" t="s">
        <v>430</v>
      </c>
      <c r="F263" s="115" t="s">
        <v>388</v>
      </c>
      <c r="G263" s="45" t="s">
        <v>45</v>
      </c>
      <c r="H263" s="40">
        <v>5364</v>
      </c>
      <c r="I263" s="40">
        <v>706</v>
      </c>
      <c r="J263" s="31"/>
      <c r="K263" s="31"/>
      <c r="L263" s="31"/>
      <c r="M263" s="31"/>
      <c r="N263" s="31"/>
      <c r="O263" s="31"/>
      <c r="P263" s="31"/>
      <c r="Q263" s="31"/>
      <c r="R263" s="31"/>
      <c r="S263" s="31"/>
      <c r="T263" s="31"/>
      <c r="U263" s="31"/>
      <c r="V263" s="31"/>
      <c r="W263" s="31"/>
      <c r="X263" s="31"/>
      <c r="Y263" s="31"/>
      <c r="Z263" s="31"/>
      <c r="AA263" s="31"/>
      <c r="AB263" s="31"/>
      <c r="AC263" s="31"/>
      <c r="AD263" s="31"/>
      <c r="AE263" s="31"/>
      <c r="AF263" s="31"/>
      <c r="AG263" s="31"/>
      <c r="AH263" s="31"/>
      <c r="AI263" s="31"/>
      <c r="AJ263" s="31"/>
      <c r="AK263" s="31"/>
      <c r="AL263" s="28" t="str">
        <f>VLOOKUP($G263,'[42]Sheet1 (2)'!$A$1:$B$1048440,2,FALSE)</f>
        <v>No.</v>
      </c>
      <c r="AM263" s="32"/>
      <c r="AN263" s="31"/>
      <c r="AO263" s="33"/>
    </row>
    <row r="264" spans="1:41" ht="28" x14ac:dyDescent="0.25">
      <c r="A264" s="40">
        <v>241</v>
      </c>
      <c r="B264" s="45" t="s">
        <v>362</v>
      </c>
      <c r="C264" s="45" t="s">
        <v>375</v>
      </c>
      <c r="D264" s="45" t="s">
        <v>388</v>
      </c>
      <c r="E264" s="44" t="s">
        <v>440</v>
      </c>
      <c r="F264" s="115" t="s">
        <v>388</v>
      </c>
      <c r="G264" s="45" t="s">
        <v>45</v>
      </c>
      <c r="H264" s="40">
        <v>5396</v>
      </c>
      <c r="I264" s="40">
        <v>706</v>
      </c>
      <c r="J264" s="31"/>
      <c r="K264" s="31"/>
      <c r="L264" s="31"/>
      <c r="M264" s="31"/>
      <c r="N264" s="31"/>
      <c r="O264" s="31"/>
      <c r="P264" s="31"/>
      <c r="Q264" s="31"/>
      <c r="R264" s="31"/>
      <c r="S264" s="31"/>
      <c r="T264" s="31"/>
      <c r="U264" s="31"/>
      <c r="V264" s="31"/>
      <c r="W264" s="31"/>
      <c r="X264" s="31"/>
      <c r="Y264" s="31"/>
      <c r="Z264" s="31"/>
      <c r="AA264" s="31"/>
      <c r="AB264" s="31"/>
      <c r="AC264" s="31"/>
      <c r="AD264" s="31"/>
      <c r="AE264" s="31"/>
      <c r="AF264" s="31"/>
      <c r="AG264" s="31"/>
      <c r="AH264" s="31"/>
      <c r="AI264" s="31"/>
      <c r="AJ264" s="31"/>
      <c r="AK264" s="31"/>
      <c r="AL264" s="28" t="str">
        <f>VLOOKUP($G264,'[42]Sheet1 (2)'!$A$1:$B$1048440,2,FALSE)</f>
        <v>No.</v>
      </c>
      <c r="AM264" s="32"/>
      <c r="AN264" s="31"/>
      <c r="AO264" s="33"/>
    </row>
    <row r="265" spans="1:41" ht="28" x14ac:dyDescent="0.25">
      <c r="A265" s="40">
        <v>242</v>
      </c>
      <c r="B265" s="45" t="s">
        <v>362</v>
      </c>
      <c r="C265" s="45" t="s">
        <v>377</v>
      </c>
      <c r="D265" s="45" t="s">
        <v>388</v>
      </c>
      <c r="E265" s="44" t="s">
        <v>432</v>
      </c>
      <c r="F265" s="115" t="s">
        <v>388</v>
      </c>
      <c r="G265" s="45" t="s">
        <v>45</v>
      </c>
      <c r="H265" s="40">
        <v>7107</v>
      </c>
      <c r="I265" s="40">
        <v>706</v>
      </c>
      <c r="J265" s="31"/>
      <c r="K265" s="31"/>
      <c r="L265" s="31"/>
      <c r="M265" s="31"/>
      <c r="N265" s="31"/>
      <c r="O265" s="31"/>
      <c r="P265" s="31"/>
      <c r="Q265" s="31"/>
      <c r="R265" s="31"/>
      <c r="S265" s="31"/>
      <c r="T265" s="31"/>
      <c r="U265" s="31"/>
      <c r="V265" s="31"/>
      <c r="W265" s="31"/>
      <c r="X265" s="31"/>
      <c r="Y265" s="31"/>
      <c r="Z265" s="31"/>
      <c r="AA265" s="31"/>
      <c r="AB265" s="31"/>
      <c r="AC265" s="31"/>
      <c r="AD265" s="31"/>
      <c r="AE265" s="31"/>
      <c r="AF265" s="31"/>
      <c r="AG265" s="31"/>
      <c r="AH265" s="31"/>
      <c r="AI265" s="31"/>
      <c r="AJ265" s="31"/>
      <c r="AK265" s="31"/>
      <c r="AL265" s="28" t="str">
        <f>VLOOKUP($G265,'[42]Sheet1 (2)'!$A$1:$B$1048440,2,FALSE)</f>
        <v>No.</v>
      </c>
      <c r="AM265" s="32"/>
      <c r="AN265" s="31"/>
      <c r="AO265" s="33"/>
    </row>
    <row r="266" spans="1:41" ht="28" x14ac:dyDescent="0.25">
      <c r="A266" s="40">
        <v>243</v>
      </c>
      <c r="B266" s="45" t="s">
        <v>362</v>
      </c>
      <c r="C266" s="45" t="s">
        <v>384</v>
      </c>
      <c r="D266" s="45" t="s">
        <v>388</v>
      </c>
      <c r="E266" s="44" t="s">
        <v>441</v>
      </c>
      <c r="F266" s="115" t="s">
        <v>388</v>
      </c>
      <c r="G266" s="45" t="s">
        <v>45</v>
      </c>
      <c r="H266" s="40">
        <v>7161</v>
      </c>
      <c r="I266" s="40">
        <v>706</v>
      </c>
      <c r="J266" s="31"/>
      <c r="K266" s="31"/>
      <c r="L266" s="31"/>
      <c r="M266" s="31"/>
      <c r="N266" s="31"/>
      <c r="O266" s="31"/>
      <c r="P266" s="31"/>
      <c r="Q266" s="31"/>
      <c r="R266" s="31"/>
      <c r="S266" s="31"/>
      <c r="T266" s="31"/>
      <c r="U266" s="31"/>
      <c r="V266" s="31"/>
      <c r="W266" s="31"/>
      <c r="X266" s="31"/>
      <c r="Y266" s="31"/>
      <c r="Z266" s="31"/>
      <c r="AA266" s="31"/>
      <c r="AB266" s="31"/>
      <c r="AC266" s="31"/>
      <c r="AD266" s="31"/>
      <c r="AE266" s="31"/>
      <c r="AF266" s="31"/>
      <c r="AG266" s="31"/>
      <c r="AH266" s="31"/>
      <c r="AI266" s="31"/>
      <c r="AJ266" s="31"/>
      <c r="AK266" s="31"/>
      <c r="AL266" s="28" t="str">
        <f>VLOOKUP($G266,'[42]Sheet1 (2)'!$A$1:$B$1048440,2,FALSE)</f>
        <v>No.</v>
      </c>
      <c r="AM266" s="32"/>
      <c r="AN266" s="31"/>
      <c r="AO266" s="33"/>
    </row>
    <row r="267" spans="1:41" ht="28" x14ac:dyDescent="0.25">
      <c r="A267" s="40">
        <v>244</v>
      </c>
      <c r="B267" s="45" t="s">
        <v>362</v>
      </c>
      <c r="C267" s="45" t="s">
        <v>387</v>
      </c>
      <c r="D267" s="45" t="s">
        <v>388</v>
      </c>
      <c r="E267" s="44" t="s">
        <v>434</v>
      </c>
      <c r="F267" s="115" t="s">
        <v>388</v>
      </c>
      <c r="G267" s="45" t="s">
        <v>45</v>
      </c>
      <c r="H267" s="40">
        <v>9165</v>
      </c>
      <c r="I267" s="40">
        <v>706</v>
      </c>
      <c r="J267" s="31"/>
      <c r="K267" s="31"/>
      <c r="L267" s="31"/>
      <c r="M267" s="31"/>
      <c r="N267" s="31"/>
      <c r="O267" s="31"/>
      <c r="P267" s="31"/>
      <c r="Q267" s="31"/>
      <c r="R267" s="31"/>
      <c r="S267" s="31"/>
      <c r="T267" s="31"/>
      <c r="U267" s="31"/>
      <c r="V267" s="31"/>
      <c r="W267" s="31"/>
      <c r="X267" s="31"/>
      <c r="Y267" s="31"/>
      <c r="Z267" s="31"/>
      <c r="AA267" s="31"/>
      <c r="AB267" s="31"/>
      <c r="AC267" s="31"/>
      <c r="AD267" s="31"/>
      <c r="AE267" s="31"/>
      <c r="AF267" s="31"/>
      <c r="AG267" s="31"/>
      <c r="AH267" s="31"/>
      <c r="AI267" s="31"/>
      <c r="AJ267" s="31"/>
      <c r="AK267" s="31"/>
      <c r="AL267" s="28" t="str">
        <f>VLOOKUP($G267,'[42]Sheet1 (2)'!$A$1:$B$1048440,2,FALSE)</f>
        <v>No.</v>
      </c>
      <c r="AM267" s="32"/>
      <c r="AN267" s="31"/>
      <c r="AO267" s="33"/>
    </row>
    <row r="268" spans="1:41" ht="28" x14ac:dyDescent="0.25">
      <c r="A268" s="40">
        <v>245</v>
      </c>
      <c r="B268" s="45" t="s">
        <v>362</v>
      </c>
      <c r="C268" s="45" t="s">
        <v>390</v>
      </c>
      <c r="D268" s="45" t="s">
        <v>388</v>
      </c>
      <c r="E268" s="44" t="s">
        <v>442</v>
      </c>
      <c r="F268" s="115" t="s">
        <v>388</v>
      </c>
      <c r="G268" s="45" t="s">
        <v>45</v>
      </c>
      <c r="H268" s="40">
        <v>9242</v>
      </c>
      <c r="I268" s="40">
        <v>706</v>
      </c>
      <c r="J268" s="31"/>
      <c r="K268" s="31"/>
      <c r="L268" s="31"/>
      <c r="M268" s="31"/>
      <c r="N268" s="31"/>
      <c r="O268" s="31"/>
      <c r="P268" s="31"/>
      <c r="Q268" s="31"/>
      <c r="R268" s="31"/>
      <c r="S268" s="31"/>
      <c r="T268" s="31"/>
      <c r="U268" s="31"/>
      <c r="V268" s="31"/>
      <c r="W268" s="31"/>
      <c r="X268" s="31"/>
      <c r="Y268" s="31"/>
      <c r="Z268" s="31"/>
      <c r="AA268" s="31"/>
      <c r="AB268" s="31"/>
      <c r="AC268" s="31"/>
      <c r="AD268" s="31"/>
      <c r="AE268" s="31"/>
      <c r="AF268" s="31"/>
      <c r="AG268" s="31"/>
      <c r="AH268" s="31"/>
      <c r="AI268" s="31"/>
      <c r="AJ268" s="31"/>
      <c r="AK268" s="31"/>
      <c r="AL268" s="28" t="str">
        <f>VLOOKUP($G268,'[42]Sheet1 (2)'!$A$1:$B$1048440,2,FALSE)</f>
        <v>No.</v>
      </c>
      <c r="AM268" s="32"/>
      <c r="AN268" s="31"/>
      <c r="AO268" s="33"/>
    </row>
    <row r="269" spans="1:41" ht="28" x14ac:dyDescent="0.25">
      <c r="A269" s="40">
        <v>246</v>
      </c>
      <c r="B269" s="45" t="s">
        <v>362</v>
      </c>
      <c r="C269" s="45" t="s">
        <v>392</v>
      </c>
      <c r="D269" s="45" t="s">
        <v>388</v>
      </c>
      <c r="E269" s="44" t="s">
        <v>436</v>
      </c>
      <c r="F269" s="115" t="s">
        <v>388</v>
      </c>
      <c r="G269" s="45" t="s">
        <v>45</v>
      </c>
      <c r="H269" s="40">
        <v>14563</v>
      </c>
      <c r="I269" s="40">
        <v>706</v>
      </c>
      <c r="J269" s="31"/>
      <c r="K269" s="31"/>
      <c r="L269" s="31"/>
      <c r="M269" s="31"/>
      <c r="N269" s="31"/>
      <c r="O269" s="31"/>
      <c r="P269" s="31"/>
      <c r="Q269" s="31"/>
      <c r="R269" s="31"/>
      <c r="S269" s="31"/>
      <c r="T269" s="31"/>
      <c r="U269" s="31"/>
      <c r="V269" s="31"/>
      <c r="W269" s="31"/>
      <c r="X269" s="31"/>
      <c r="Y269" s="31"/>
      <c r="Z269" s="31"/>
      <c r="AA269" s="31"/>
      <c r="AB269" s="31"/>
      <c r="AC269" s="31"/>
      <c r="AD269" s="31"/>
      <c r="AE269" s="31"/>
      <c r="AF269" s="31"/>
      <c r="AG269" s="31"/>
      <c r="AH269" s="31"/>
      <c r="AI269" s="31"/>
      <c r="AJ269" s="31"/>
      <c r="AK269" s="31"/>
      <c r="AL269" s="28" t="str">
        <f>VLOOKUP($G269,'[42]Sheet1 (2)'!$A$1:$B$1048440,2,FALSE)</f>
        <v>No.</v>
      </c>
      <c r="AM269" s="32"/>
      <c r="AN269" s="31"/>
      <c r="AO269" s="33"/>
    </row>
    <row r="270" spans="1:41" ht="28" x14ac:dyDescent="0.25">
      <c r="A270" s="40">
        <v>247</v>
      </c>
      <c r="B270" s="45" t="s">
        <v>362</v>
      </c>
      <c r="C270" s="45" t="s">
        <v>437</v>
      </c>
      <c r="D270" s="45" t="s">
        <v>388</v>
      </c>
      <c r="E270" s="44" t="s">
        <v>443</v>
      </c>
      <c r="F270" s="115" t="s">
        <v>388</v>
      </c>
      <c r="G270" s="45" t="s">
        <v>45</v>
      </c>
      <c r="H270" s="40">
        <v>14700</v>
      </c>
      <c r="I270" s="40">
        <v>706</v>
      </c>
      <c r="J270" s="31"/>
      <c r="K270" s="31"/>
      <c r="L270" s="31"/>
      <c r="M270" s="31"/>
      <c r="N270" s="31"/>
      <c r="O270" s="31"/>
      <c r="P270" s="31"/>
      <c r="Q270" s="31"/>
      <c r="R270" s="31"/>
      <c r="S270" s="31"/>
      <c r="T270" s="31"/>
      <c r="U270" s="31"/>
      <c r="V270" s="31"/>
      <c r="W270" s="31"/>
      <c r="X270" s="31"/>
      <c r="Y270" s="31"/>
      <c r="Z270" s="31"/>
      <c r="AA270" s="31"/>
      <c r="AB270" s="31"/>
      <c r="AC270" s="31"/>
      <c r="AD270" s="31"/>
      <c r="AE270" s="31"/>
      <c r="AF270" s="31"/>
      <c r="AG270" s="31"/>
      <c r="AH270" s="31"/>
      <c r="AI270" s="31"/>
      <c r="AJ270" s="31"/>
      <c r="AK270" s="31"/>
      <c r="AL270" s="28" t="str">
        <f>VLOOKUP($G270,'[42]Sheet1 (2)'!$A$1:$B$1048440,2,FALSE)</f>
        <v>No.</v>
      </c>
      <c r="AM270" s="32"/>
      <c r="AN270" s="31"/>
      <c r="AO270" s="33"/>
    </row>
    <row r="271" spans="1:41" ht="322" x14ac:dyDescent="0.25">
      <c r="A271" s="43"/>
      <c r="B271" s="45" t="s">
        <v>362</v>
      </c>
      <c r="C271" s="129">
        <v>6.29</v>
      </c>
      <c r="D271" s="45" t="s">
        <v>388</v>
      </c>
      <c r="E271" s="43" t="s">
        <v>444</v>
      </c>
      <c r="F271" s="43"/>
      <c r="G271" s="45" t="s">
        <v>45</v>
      </c>
      <c r="H271" s="43"/>
      <c r="I271" s="43"/>
      <c r="J271" s="31"/>
      <c r="K271" s="31"/>
      <c r="L271" s="31"/>
      <c r="M271" s="31"/>
      <c r="N271" s="31"/>
      <c r="O271" s="31"/>
      <c r="P271" s="31"/>
      <c r="Q271" s="31"/>
      <c r="R271" s="31"/>
      <c r="S271" s="31"/>
      <c r="T271" s="31"/>
      <c r="U271" s="31"/>
      <c r="V271" s="31"/>
      <c r="W271" s="31"/>
      <c r="X271" s="31"/>
      <c r="Y271" s="31"/>
      <c r="Z271" s="31"/>
      <c r="AA271" s="31"/>
      <c r="AB271" s="31"/>
      <c r="AC271" s="31"/>
      <c r="AD271" s="31"/>
      <c r="AE271" s="31"/>
      <c r="AF271" s="31"/>
      <c r="AG271" s="31"/>
      <c r="AH271" s="31"/>
      <c r="AI271" s="31"/>
      <c r="AJ271" s="31"/>
      <c r="AK271" s="31"/>
      <c r="AL271" s="28" t="str">
        <f>VLOOKUP($G271,'[42]Sheet1 (2)'!$A$1:$B$1048440,2,FALSE)</f>
        <v>No.</v>
      </c>
      <c r="AM271" s="32"/>
      <c r="AN271" s="31"/>
      <c r="AO271" s="33"/>
    </row>
    <row r="272" spans="1:41" ht="28" x14ac:dyDescent="0.25">
      <c r="A272" s="40">
        <v>248</v>
      </c>
      <c r="B272" s="45" t="s">
        <v>362</v>
      </c>
      <c r="C272" s="45" t="s">
        <v>373</v>
      </c>
      <c r="D272" s="45" t="s">
        <v>388</v>
      </c>
      <c r="E272" s="44" t="s">
        <v>445</v>
      </c>
      <c r="F272" s="115" t="s">
        <v>388</v>
      </c>
      <c r="G272" s="45" t="s">
        <v>45</v>
      </c>
      <c r="H272" s="40">
        <v>3829</v>
      </c>
      <c r="I272" s="40">
        <v>706</v>
      </c>
      <c r="J272" s="31"/>
      <c r="K272" s="31"/>
      <c r="L272" s="31"/>
      <c r="M272" s="31"/>
      <c r="N272" s="31"/>
      <c r="O272" s="31"/>
      <c r="P272" s="31"/>
      <c r="Q272" s="31"/>
      <c r="R272" s="31"/>
      <c r="S272" s="31"/>
      <c r="T272" s="31"/>
      <c r="U272" s="31"/>
      <c r="V272" s="31"/>
      <c r="W272" s="31"/>
      <c r="X272" s="31"/>
      <c r="Y272" s="31"/>
      <c r="Z272" s="31"/>
      <c r="AA272" s="31"/>
      <c r="AB272" s="31"/>
      <c r="AC272" s="31"/>
      <c r="AD272" s="31"/>
      <c r="AE272" s="31"/>
      <c r="AF272" s="31"/>
      <c r="AG272" s="31"/>
      <c r="AH272" s="31"/>
      <c r="AI272" s="31"/>
      <c r="AJ272" s="31"/>
      <c r="AK272" s="31"/>
      <c r="AL272" s="28" t="str">
        <f>VLOOKUP($G272,'[42]Sheet1 (2)'!$A$1:$B$1048440,2,FALSE)</f>
        <v>No.</v>
      </c>
      <c r="AM272" s="32"/>
      <c r="AN272" s="31"/>
      <c r="AO272" s="33"/>
    </row>
    <row r="273" spans="1:41" ht="28" x14ac:dyDescent="0.25">
      <c r="A273" s="40">
        <v>249</v>
      </c>
      <c r="B273" s="45" t="s">
        <v>362</v>
      </c>
      <c r="C273" s="45" t="s">
        <v>375</v>
      </c>
      <c r="D273" s="45" t="s">
        <v>388</v>
      </c>
      <c r="E273" s="44" t="s">
        <v>446</v>
      </c>
      <c r="F273" s="115" t="s">
        <v>388</v>
      </c>
      <c r="G273" s="45" t="s">
        <v>45</v>
      </c>
      <c r="H273" s="40">
        <v>3847</v>
      </c>
      <c r="I273" s="40">
        <v>706</v>
      </c>
      <c r="J273" s="31"/>
      <c r="K273" s="31"/>
      <c r="L273" s="31"/>
      <c r="M273" s="31"/>
      <c r="N273" s="31"/>
      <c r="O273" s="31"/>
      <c r="P273" s="31"/>
      <c r="Q273" s="31"/>
      <c r="R273" s="31"/>
      <c r="S273" s="31"/>
      <c r="T273" s="31"/>
      <c r="U273" s="31"/>
      <c r="V273" s="31"/>
      <c r="W273" s="31"/>
      <c r="X273" s="31"/>
      <c r="Y273" s="31"/>
      <c r="Z273" s="31"/>
      <c r="AA273" s="31"/>
      <c r="AB273" s="31"/>
      <c r="AC273" s="31"/>
      <c r="AD273" s="31"/>
      <c r="AE273" s="31"/>
      <c r="AF273" s="31"/>
      <c r="AG273" s="31"/>
      <c r="AH273" s="31"/>
      <c r="AI273" s="31"/>
      <c r="AJ273" s="31"/>
      <c r="AK273" s="31"/>
      <c r="AL273" s="28" t="str">
        <f>VLOOKUP($G273,'[42]Sheet1 (2)'!$A$1:$B$1048440,2,FALSE)</f>
        <v>No.</v>
      </c>
      <c r="AM273" s="32"/>
      <c r="AN273" s="31"/>
      <c r="AO273" s="33"/>
    </row>
    <row r="274" spans="1:41" ht="28" x14ac:dyDescent="0.25">
      <c r="A274" s="40">
        <v>250</v>
      </c>
      <c r="B274" s="45" t="s">
        <v>362</v>
      </c>
      <c r="C274" s="45" t="s">
        <v>377</v>
      </c>
      <c r="D274" s="45" t="s">
        <v>388</v>
      </c>
      <c r="E274" s="44" t="s">
        <v>447</v>
      </c>
      <c r="F274" s="115" t="s">
        <v>388</v>
      </c>
      <c r="G274" s="45" t="s">
        <v>45</v>
      </c>
      <c r="H274" s="40">
        <v>4299</v>
      </c>
      <c r="I274" s="40">
        <v>706</v>
      </c>
      <c r="J274" s="31"/>
      <c r="K274" s="31"/>
      <c r="L274" s="31"/>
      <c r="M274" s="31"/>
      <c r="N274" s="31"/>
      <c r="O274" s="31"/>
      <c r="P274" s="31"/>
      <c r="Q274" s="31"/>
      <c r="R274" s="31"/>
      <c r="S274" s="31"/>
      <c r="T274" s="31"/>
      <c r="U274" s="31"/>
      <c r="V274" s="31"/>
      <c r="W274" s="31"/>
      <c r="X274" s="31"/>
      <c r="Y274" s="31"/>
      <c r="Z274" s="31"/>
      <c r="AA274" s="31"/>
      <c r="AB274" s="31"/>
      <c r="AC274" s="31"/>
      <c r="AD274" s="31"/>
      <c r="AE274" s="31"/>
      <c r="AF274" s="31"/>
      <c r="AG274" s="31"/>
      <c r="AH274" s="31"/>
      <c r="AI274" s="31"/>
      <c r="AJ274" s="31"/>
      <c r="AK274" s="31"/>
      <c r="AL274" s="28" t="str">
        <f>VLOOKUP($G274,'[42]Sheet1 (2)'!$A$1:$B$1048440,2,FALSE)</f>
        <v>No.</v>
      </c>
      <c r="AM274" s="32"/>
      <c r="AN274" s="31"/>
      <c r="AO274" s="33"/>
    </row>
    <row r="275" spans="1:41" ht="28" x14ac:dyDescent="0.25">
      <c r="A275" s="40">
        <v>251</v>
      </c>
      <c r="B275" s="45" t="s">
        <v>362</v>
      </c>
      <c r="C275" s="45" t="s">
        <v>384</v>
      </c>
      <c r="D275" s="45" t="s">
        <v>388</v>
      </c>
      <c r="E275" s="44" t="s">
        <v>448</v>
      </c>
      <c r="F275" s="115" t="s">
        <v>388</v>
      </c>
      <c r="G275" s="45" t="s">
        <v>45</v>
      </c>
      <c r="H275" s="40">
        <v>4325</v>
      </c>
      <c r="I275" s="40">
        <v>706</v>
      </c>
      <c r="J275" s="31"/>
      <c r="K275" s="31"/>
      <c r="L275" s="31"/>
      <c r="M275" s="31"/>
      <c r="N275" s="31"/>
      <c r="O275" s="31"/>
      <c r="P275" s="31"/>
      <c r="Q275" s="31"/>
      <c r="R275" s="31"/>
      <c r="S275" s="31"/>
      <c r="T275" s="31"/>
      <c r="U275" s="31"/>
      <c r="V275" s="31"/>
      <c r="W275" s="31"/>
      <c r="X275" s="31"/>
      <c r="Y275" s="31"/>
      <c r="Z275" s="31"/>
      <c r="AA275" s="31"/>
      <c r="AB275" s="31"/>
      <c r="AC275" s="31"/>
      <c r="AD275" s="31"/>
      <c r="AE275" s="31"/>
      <c r="AF275" s="31"/>
      <c r="AG275" s="31"/>
      <c r="AH275" s="31"/>
      <c r="AI275" s="31"/>
      <c r="AJ275" s="31"/>
      <c r="AK275" s="31"/>
      <c r="AL275" s="28" t="str">
        <f>VLOOKUP($G275,'[42]Sheet1 (2)'!$A$1:$B$1048440,2,FALSE)</f>
        <v>No.</v>
      </c>
      <c r="AM275" s="32"/>
      <c r="AN275" s="31"/>
      <c r="AO275" s="33"/>
    </row>
    <row r="276" spans="1:41" ht="28" x14ac:dyDescent="0.25">
      <c r="A276" s="40">
        <v>252</v>
      </c>
      <c r="B276" s="45" t="s">
        <v>362</v>
      </c>
      <c r="C276" s="45" t="s">
        <v>387</v>
      </c>
      <c r="D276" s="45" t="s">
        <v>388</v>
      </c>
      <c r="E276" s="44" t="s">
        <v>449</v>
      </c>
      <c r="F276" s="115" t="s">
        <v>388</v>
      </c>
      <c r="G276" s="45" t="s">
        <v>45</v>
      </c>
      <c r="H276" s="40">
        <v>5212</v>
      </c>
      <c r="I276" s="40">
        <v>706</v>
      </c>
      <c r="J276" s="31"/>
      <c r="K276" s="31"/>
      <c r="L276" s="31"/>
      <c r="M276" s="31"/>
      <c r="N276" s="31"/>
      <c r="O276" s="31"/>
      <c r="P276" s="31"/>
      <c r="Q276" s="31"/>
      <c r="R276" s="31"/>
      <c r="S276" s="31"/>
      <c r="T276" s="31"/>
      <c r="U276" s="31"/>
      <c r="V276" s="31"/>
      <c r="W276" s="31"/>
      <c r="X276" s="31"/>
      <c r="Y276" s="31"/>
      <c r="Z276" s="31"/>
      <c r="AA276" s="31"/>
      <c r="AB276" s="31"/>
      <c r="AC276" s="31"/>
      <c r="AD276" s="31"/>
      <c r="AE276" s="31"/>
      <c r="AF276" s="31"/>
      <c r="AG276" s="31"/>
      <c r="AH276" s="31"/>
      <c r="AI276" s="31"/>
      <c r="AJ276" s="31"/>
      <c r="AK276" s="31"/>
      <c r="AL276" s="28" t="str">
        <f>VLOOKUP($G276,'[42]Sheet1 (2)'!$A$1:$B$1048440,2,FALSE)</f>
        <v>No.</v>
      </c>
      <c r="AM276" s="32"/>
      <c r="AN276" s="31"/>
      <c r="AO276" s="33"/>
    </row>
    <row r="277" spans="1:41" ht="28" x14ac:dyDescent="0.25">
      <c r="A277" s="40">
        <v>253</v>
      </c>
      <c r="B277" s="45" t="s">
        <v>362</v>
      </c>
      <c r="C277" s="45" t="s">
        <v>390</v>
      </c>
      <c r="D277" s="45" t="s">
        <v>388</v>
      </c>
      <c r="E277" s="44" t="s">
        <v>450</v>
      </c>
      <c r="F277" s="115" t="s">
        <v>388</v>
      </c>
      <c r="G277" s="45" t="s">
        <v>45</v>
      </c>
      <c r="H277" s="40">
        <v>5254</v>
      </c>
      <c r="I277" s="40">
        <v>706</v>
      </c>
      <c r="J277" s="31"/>
      <c r="K277" s="31"/>
      <c r="L277" s="31"/>
      <c r="M277" s="31"/>
      <c r="N277" s="31"/>
      <c r="O277" s="31"/>
      <c r="P277" s="31"/>
      <c r="Q277" s="31"/>
      <c r="R277" s="31"/>
      <c r="S277" s="31"/>
      <c r="T277" s="31"/>
      <c r="U277" s="31"/>
      <c r="V277" s="31"/>
      <c r="W277" s="31"/>
      <c r="X277" s="31"/>
      <c r="Y277" s="31"/>
      <c r="Z277" s="31"/>
      <c r="AA277" s="31"/>
      <c r="AB277" s="31"/>
      <c r="AC277" s="31"/>
      <c r="AD277" s="31"/>
      <c r="AE277" s="31"/>
      <c r="AF277" s="31"/>
      <c r="AG277" s="31"/>
      <c r="AH277" s="31"/>
      <c r="AI277" s="31"/>
      <c r="AJ277" s="31"/>
      <c r="AK277" s="31"/>
      <c r="AL277" s="28" t="str">
        <f>VLOOKUP($G277,'[42]Sheet1 (2)'!$A$1:$B$1048440,2,FALSE)</f>
        <v>No.</v>
      </c>
      <c r="AM277" s="32"/>
      <c r="AN277" s="31"/>
      <c r="AO277" s="33"/>
    </row>
    <row r="278" spans="1:41" ht="28" x14ac:dyDescent="0.25">
      <c r="A278" s="40">
        <v>254</v>
      </c>
      <c r="B278" s="45" t="s">
        <v>362</v>
      </c>
      <c r="C278" s="45" t="s">
        <v>392</v>
      </c>
      <c r="D278" s="45" t="s">
        <v>388</v>
      </c>
      <c r="E278" s="44" t="s">
        <v>451</v>
      </c>
      <c r="F278" s="115" t="s">
        <v>388</v>
      </c>
      <c r="G278" s="45" t="s">
        <v>45</v>
      </c>
      <c r="H278" s="40">
        <v>7072</v>
      </c>
      <c r="I278" s="40">
        <v>706</v>
      </c>
      <c r="J278" s="31"/>
      <c r="K278" s="31"/>
      <c r="L278" s="31"/>
      <c r="M278" s="31"/>
      <c r="N278" s="31"/>
      <c r="O278" s="31"/>
      <c r="P278" s="31"/>
      <c r="Q278" s="31"/>
      <c r="R278" s="31"/>
      <c r="S278" s="31"/>
      <c r="T278" s="31"/>
      <c r="U278" s="31"/>
      <c r="V278" s="31"/>
      <c r="W278" s="31"/>
      <c r="X278" s="31"/>
      <c r="Y278" s="31"/>
      <c r="Z278" s="31"/>
      <c r="AA278" s="31"/>
      <c r="AB278" s="31"/>
      <c r="AC278" s="31"/>
      <c r="AD278" s="31"/>
      <c r="AE278" s="31"/>
      <c r="AF278" s="31"/>
      <c r="AG278" s="31"/>
      <c r="AH278" s="31"/>
      <c r="AI278" s="31"/>
      <c r="AJ278" s="31"/>
      <c r="AK278" s="31"/>
      <c r="AL278" s="28" t="str">
        <f>VLOOKUP($G278,'[42]Sheet1 (2)'!$A$1:$B$1048440,2,FALSE)</f>
        <v>No.</v>
      </c>
      <c r="AM278" s="32"/>
      <c r="AN278" s="31"/>
      <c r="AO278" s="33"/>
    </row>
    <row r="279" spans="1:41" ht="28" x14ac:dyDescent="0.25">
      <c r="A279" s="40">
        <v>255</v>
      </c>
      <c r="B279" s="45" t="s">
        <v>362</v>
      </c>
      <c r="C279" s="45" t="s">
        <v>437</v>
      </c>
      <c r="D279" s="45" t="s">
        <v>388</v>
      </c>
      <c r="E279" s="44" t="s">
        <v>452</v>
      </c>
      <c r="F279" s="115" t="s">
        <v>388</v>
      </c>
      <c r="G279" s="45" t="s">
        <v>45</v>
      </c>
      <c r="H279" s="40">
        <v>7148</v>
      </c>
      <c r="I279" s="40">
        <v>706</v>
      </c>
      <c r="J279" s="31"/>
      <c r="K279" s="31"/>
      <c r="L279" s="31"/>
      <c r="M279" s="31"/>
      <c r="N279" s="31"/>
      <c r="O279" s="31"/>
      <c r="P279" s="31"/>
      <c r="Q279" s="31"/>
      <c r="R279" s="31"/>
      <c r="S279" s="31"/>
      <c r="T279" s="31"/>
      <c r="U279" s="31"/>
      <c r="V279" s="31"/>
      <c r="W279" s="31"/>
      <c r="X279" s="31"/>
      <c r="Y279" s="31"/>
      <c r="Z279" s="31"/>
      <c r="AA279" s="31"/>
      <c r="AB279" s="31"/>
      <c r="AC279" s="31"/>
      <c r="AD279" s="31"/>
      <c r="AE279" s="31"/>
      <c r="AF279" s="31"/>
      <c r="AG279" s="31"/>
      <c r="AH279" s="31"/>
      <c r="AI279" s="31"/>
      <c r="AJ279" s="31"/>
      <c r="AK279" s="31"/>
      <c r="AL279" s="28" t="str">
        <f>VLOOKUP($G279,'[42]Sheet1 (2)'!$A$1:$B$1048440,2,FALSE)</f>
        <v>No.</v>
      </c>
      <c r="AM279" s="32"/>
      <c r="AN279" s="31"/>
      <c r="AO279" s="33"/>
    </row>
    <row r="280" spans="1:41" ht="308" x14ac:dyDescent="0.25">
      <c r="A280" s="43"/>
      <c r="B280" s="45" t="s">
        <v>362</v>
      </c>
      <c r="C280" s="129">
        <v>6.3</v>
      </c>
      <c r="D280" s="45" t="s">
        <v>388</v>
      </c>
      <c r="E280" s="43" t="s">
        <v>453</v>
      </c>
      <c r="F280" s="43"/>
      <c r="G280" s="45" t="s">
        <v>45</v>
      </c>
      <c r="H280" s="43"/>
      <c r="I280" s="43"/>
      <c r="J280" s="31"/>
      <c r="K280" s="31"/>
      <c r="L280" s="31"/>
      <c r="M280" s="31"/>
      <c r="N280" s="31"/>
      <c r="O280" s="31"/>
      <c r="P280" s="31"/>
      <c r="Q280" s="31"/>
      <c r="R280" s="31"/>
      <c r="S280" s="31"/>
      <c r="T280" s="31"/>
      <c r="U280" s="31"/>
      <c r="V280" s="31"/>
      <c r="W280" s="31"/>
      <c r="X280" s="31"/>
      <c r="Y280" s="31"/>
      <c r="Z280" s="31"/>
      <c r="AA280" s="31"/>
      <c r="AB280" s="31"/>
      <c r="AC280" s="31"/>
      <c r="AD280" s="31"/>
      <c r="AE280" s="31"/>
      <c r="AF280" s="31"/>
      <c r="AG280" s="31"/>
      <c r="AH280" s="31"/>
      <c r="AI280" s="31"/>
      <c r="AJ280" s="31"/>
      <c r="AK280" s="31"/>
      <c r="AL280" s="28" t="str">
        <f>VLOOKUP($G280,'[42]Sheet1 (2)'!$A$1:$B$1048440,2,FALSE)</f>
        <v>No.</v>
      </c>
      <c r="AM280" s="32"/>
      <c r="AN280" s="31"/>
      <c r="AO280" s="33"/>
    </row>
    <row r="281" spans="1:41" ht="28" x14ac:dyDescent="0.25">
      <c r="A281" s="40">
        <v>256</v>
      </c>
      <c r="B281" s="45" t="s">
        <v>362</v>
      </c>
      <c r="C281" s="45" t="s">
        <v>373</v>
      </c>
      <c r="D281" s="45" t="s">
        <v>388</v>
      </c>
      <c r="E281" s="44" t="s">
        <v>445</v>
      </c>
      <c r="F281" s="115" t="s">
        <v>388</v>
      </c>
      <c r="G281" s="45" t="s">
        <v>45</v>
      </c>
      <c r="H281" s="40">
        <v>4291</v>
      </c>
      <c r="I281" s="40">
        <v>706</v>
      </c>
      <c r="J281" s="31"/>
      <c r="K281" s="31"/>
      <c r="L281" s="31"/>
      <c r="M281" s="31"/>
      <c r="N281" s="31"/>
      <c r="O281" s="31"/>
      <c r="P281" s="31"/>
      <c r="Q281" s="31"/>
      <c r="R281" s="31"/>
      <c r="S281" s="31"/>
      <c r="T281" s="31"/>
      <c r="U281" s="31"/>
      <c r="V281" s="31"/>
      <c r="W281" s="31"/>
      <c r="X281" s="31"/>
      <c r="Y281" s="31"/>
      <c r="Z281" s="31"/>
      <c r="AA281" s="31"/>
      <c r="AB281" s="31"/>
      <c r="AC281" s="31"/>
      <c r="AD281" s="31"/>
      <c r="AE281" s="31"/>
      <c r="AF281" s="31"/>
      <c r="AG281" s="31"/>
      <c r="AH281" s="31"/>
      <c r="AI281" s="31"/>
      <c r="AJ281" s="31"/>
      <c r="AK281" s="31"/>
      <c r="AL281" s="28" t="str">
        <f>VLOOKUP($G281,'[42]Sheet1 (2)'!$A$1:$B$1048440,2,FALSE)</f>
        <v>No.</v>
      </c>
      <c r="AM281" s="32"/>
      <c r="AN281" s="31"/>
      <c r="AO281" s="33"/>
    </row>
    <row r="282" spans="1:41" ht="28" x14ac:dyDescent="0.25">
      <c r="A282" s="40">
        <v>257</v>
      </c>
      <c r="B282" s="45" t="s">
        <v>362</v>
      </c>
      <c r="C282" s="45" t="s">
        <v>375</v>
      </c>
      <c r="D282" s="45" t="s">
        <v>388</v>
      </c>
      <c r="E282" s="44" t="s">
        <v>454</v>
      </c>
      <c r="F282" s="115" t="s">
        <v>388</v>
      </c>
      <c r="G282" s="45" t="s">
        <v>45</v>
      </c>
      <c r="H282" s="40">
        <v>4309</v>
      </c>
      <c r="I282" s="40">
        <v>706</v>
      </c>
      <c r="J282" s="31"/>
      <c r="K282" s="31"/>
      <c r="L282" s="31"/>
      <c r="M282" s="31"/>
      <c r="N282" s="31"/>
      <c r="O282" s="31"/>
      <c r="P282" s="31"/>
      <c r="Q282" s="31"/>
      <c r="R282" s="31"/>
      <c r="S282" s="31"/>
      <c r="T282" s="31"/>
      <c r="U282" s="31"/>
      <c r="V282" s="31"/>
      <c r="W282" s="31"/>
      <c r="X282" s="31"/>
      <c r="Y282" s="31"/>
      <c r="Z282" s="31"/>
      <c r="AA282" s="31"/>
      <c r="AB282" s="31"/>
      <c r="AC282" s="31"/>
      <c r="AD282" s="31"/>
      <c r="AE282" s="31"/>
      <c r="AF282" s="31"/>
      <c r="AG282" s="31"/>
      <c r="AH282" s="31"/>
      <c r="AI282" s="31"/>
      <c r="AJ282" s="31"/>
      <c r="AK282" s="31"/>
      <c r="AL282" s="28" t="str">
        <f>VLOOKUP($G282,'[42]Sheet1 (2)'!$A$1:$B$1048440,2,FALSE)</f>
        <v>No.</v>
      </c>
      <c r="AM282" s="32"/>
      <c r="AN282" s="31"/>
      <c r="AO282" s="33"/>
    </row>
    <row r="283" spans="1:41" ht="28" x14ac:dyDescent="0.25">
      <c r="A283" s="40">
        <v>258</v>
      </c>
      <c r="B283" s="45" t="s">
        <v>362</v>
      </c>
      <c r="C283" s="45" t="s">
        <v>377</v>
      </c>
      <c r="D283" s="45" t="s">
        <v>388</v>
      </c>
      <c r="E283" s="44" t="s">
        <v>447</v>
      </c>
      <c r="F283" s="115" t="s">
        <v>388</v>
      </c>
      <c r="G283" s="45" t="s">
        <v>45</v>
      </c>
      <c r="H283" s="40">
        <v>4933</v>
      </c>
      <c r="I283" s="40">
        <v>706</v>
      </c>
      <c r="J283" s="31"/>
      <c r="K283" s="31"/>
      <c r="L283" s="31"/>
      <c r="M283" s="31"/>
      <c r="N283" s="31"/>
      <c r="O283" s="31"/>
      <c r="P283" s="31"/>
      <c r="Q283" s="31"/>
      <c r="R283" s="31"/>
      <c r="S283" s="31"/>
      <c r="T283" s="31"/>
      <c r="U283" s="31"/>
      <c r="V283" s="31"/>
      <c r="W283" s="31"/>
      <c r="X283" s="31"/>
      <c r="Y283" s="31"/>
      <c r="Z283" s="31"/>
      <c r="AA283" s="31"/>
      <c r="AB283" s="31"/>
      <c r="AC283" s="31"/>
      <c r="AD283" s="31"/>
      <c r="AE283" s="31"/>
      <c r="AF283" s="31"/>
      <c r="AG283" s="31"/>
      <c r="AH283" s="31"/>
      <c r="AI283" s="31"/>
      <c r="AJ283" s="31"/>
      <c r="AK283" s="31"/>
      <c r="AL283" s="28" t="str">
        <f>VLOOKUP($G283,'[42]Sheet1 (2)'!$A$1:$B$1048440,2,FALSE)</f>
        <v>No.</v>
      </c>
      <c r="AM283" s="32"/>
      <c r="AN283" s="31"/>
      <c r="AO283" s="33"/>
    </row>
    <row r="284" spans="1:41" ht="28" x14ac:dyDescent="0.25">
      <c r="A284" s="40">
        <v>259</v>
      </c>
      <c r="B284" s="45" t="s">
        <v>362</v>
      </c>
      <c r="C284" s="45" t="s">
        <v>384</v>
      </c>
      <c r="D284" s="45" t="s">
        <v>388</v>
      </c>
      <c r="E284" s="44" t="s">
        <v>455</v>
      </c>
      <c r="F284" s="115" t="s">
        <v>388</v>
      </c>
      <c r="G284" s="45" t="s">
        <v>45</v>
      </c>
      <c r="H284" s="40">
        <v>4958</v>
      </c>
      <c r="I284" s="40">
        <v>706</v>
      </c>
      <c r="J284" s="31"/>
      <c r="K284" s="31"/>
      <c r="L284" s="31"/>
      <c r="M284" s="31"/>
      <c r="N284" s="31"/>
      <c r="O284" s="31"/>
      <c r="P284" s="31"/>
      <c r="Q284" s="31"/>
      <c r="R284" s="31"/>
      <c r="S284" s="31"/>
      <c r="T284" s="31"/>
      <c r="U284" s="31"/>
      <c r="V284" s="31"/>
      <c r="W284" s="31"/>
      <c r="X284" s="31"/>
      <c r="Y284" s="31"/>
      <c r="Z284" s="31"/>
      <c r="AA284" s="31"/>
      <c r="AB284" s="31"/>
      <c r="AC284" s="31"/>
      <c r="AD284" s="31"/>
      <c r="AE284" s="31"/>
      <c r="AF284" s="31"/>
      <c r="AG284" s="31"/>
      <c r="AH284" s="31"/>
      <c r="AI284" s="31"/>
      <c r="AJ284" s="31"/>
      <c r="AK284" s="31"/>
      <c r="AL284" s="28" t="str">
        <f>VLOOKUP($G284,'[42]Sheet1 (2)'!$A$1:$B$1048440,2,FALSE)</f>
        <v>No.</v>
      </c>
      <c r="AM284" s="32"/>
      <c r="AN284" s="31"/>
      <c r="AO284" s="33"/>
    </row>
    <row r="285" spans="1:41" ht="28" x14ac:dyDescent="0.25">
      <c r="A285" s="40">
        <v>260</v>
      </c>
      <c r="B285" s="45" t="s">
        <v>362</v>
      </c>
      <c r="C285" s="45" t="s">
        <v>387</v>
      </c>
      <c r="D285" s="45" t="s">
        <v>388</v>
      </c>
      <c r="E285" s="44" t="s">
        <v>456</v>
      </c>
      <c r="F285" s="115" t="s">
        <v>388</v>
      </c>
      <c r="G285" s="45" t="s">
        <v>45</v>
      </c>
      <c r="H285" s="40">
        <v>6289</v>
      </c>
      <c r="I285" s="40">
        <v>706</v>
      </c>
      <c r="J285" s="31"/>
      <c r="K285" s="31"/>
      <c r="L285" s="31"/>
      <c r="M285" s="31"/>
      <c r="N285" s="31"/>
      <c r="O285" s="31"/>
      <c r="P285" s="31"/>
      <c r="Q285" s="31"/>
      <c r="R285" s="31"/>
      <c r="S285" s="31"/>
      <c r="T285" s="31"/>
      <c r="U285" s="31"/>
      <c r="V285" s="31"/>
      <c r="W285" s="31"/>
      <c r="X285" s="31"/>
      <c r="Y285" s="31"/>
      <c r="Z285" s="31"/>
      <c r="AA285" s="31"/>
      <c r="AB285" s="31"/>
      <c r="AC285" s="31"/>
      <c r="AD285" s="31"/>
      <c r="AE285" s="31"/>
      <c r="AF285" s="31"/>
      <c r="AG285" s="31"/>
      <c r="AH285" s="31"/>
      <c r="AI285" s="31"/>
      <c r="AJ285" s="31"/>
      <c r="AK285" s="31"/>
      <c r="AL285" s="28" t="str">
        <f>VLOOKUP($G285,'[42]Sheet1 (2)'!$A$1:$B$1048440,2,FALSE)</f>
        <v>No.</v>
      </c>
      <c r="AM285" s="32"/>
      <c r="AN285" s="31"/>
      <c r="AO285" s="33"/>
    </row>
    <row r="286" spans="1:41" ht="28" x14ac:dyDescent="0.25">
      <c r="A286" s="40">
        <v>261</v>
      </c>
      <c r="B286" s="45" t="s">
        <v>362</v>
      </c>
      <c r="C286" s="45" t="s">
        <v>390</v>
      </c>
      <c r="D286" s="45" t="s">
        <v>388</v>
      </c>
      <c r="E286" s="44" t="s">
        <v>457</v>
      </c>
      <c r="F286" s="115" t="s">
        <v>388</v>
      </c>
      <c r="G286" s="45" t="s">
        <v>45</v>
      </c>
      <c r="H286" s="40">
        <v>6331</v>
      </c>
      <c r="I286" s="40">
        <v>706</v>
      </c>
      <c r="J286" s="31"/>
      <c r="K286" s="31"/>
      <c r="L286" s="31"/>
      <c r="M286" s="31"/>
      <c r="N286" s="31"/>
      <c r="O286" s="31"/>
      <c r="P286" s="31"/>
      <c r="Q286" s="31"/>
      <c r="R286" s="31"/>
      <c r="S286" s="31"/>
      <c r="T286" s="31"/>
      <c r="U286" s="31"/>
      <c r="V286" s="31"/>
      <c r="W286" s="31"/>
      <c r="X286" s="31"/>
      <c r="Y286" s="31"/>
      <c r="Z286" s="31"/>
      <c r="AA286" s="31"/>
      <c r="AB286" s="31"/>
      <c r="AC286" s="31"/>
      <c r="AD286" s="31"/>
      <c r="AE286" s="31"/>
      <c r="AF286" s="31"/>
      <c r="AG286" s="31"/>
      <c r="AH286" s="31"/>
      <c r="AI286" s="31"/>
      <c r="AJ286" s="31"/>
      <c r="AK286" s="31"/>
      <c r="AL286" s="28" t="str">
        <f>VLOOKUP($G286,'[42]Sheet1 (2)'!$A$1:$B$1048440,2,FALSE)</f>
        <v>No.</v>
      </c>
      <c r="AM286" s="32"/>
      <c r="AN286" s="31"/>
      <c r="AO286" s="33"/>
    </row>
    <row r="287" spans="1:41" ht="28" x14ac:dyDescent="0.25">
      <c r="A287" s="40">
        <v>262</v>
      </c>
      <c r="B287" s="45" t="s">
        <v>362</v>
      </c>
      <c r="C287" s="45" t="s">
        <v>392</v>
      </c>
      <c r="D287" s="45" t="s">
        <v>388</v>
      </c>
      <c r="E287" s="44" t="s">
        <v>451</v>
      </c>
      <c r="F287" s="115" t="s">
        <v>388</v>
      </c>
      <c r="G287" s="45" t="s">
        <v>45</v>
      </c>
      <c r="H287" s="40">
        <v>9085</v>
      </c>
      <c r="I287" s="40">
        <v>706</v>
      </c>
      <c r="J287" s="31"/>
      <c r="K287" s="31"/>
      <c r="L287" s="31"/>
      <c r="M287" s="31"/>
      <c r="N287" s="31"/>
      <c r="O287" s="31"/>
      <c r="P287" s="31"/>
      <c r="Q287" s="31"/>
      <c r="R287" s="31"/>
      <c r="S287" s="31"/>
      <c r="T287" s="31"/>
      <c r="U287" s="31"/>
      <c r="V287" s="31"/>
      <c r="W287" s="31"/>
      <c r="X287" s="31"/>
      <c r="Y287" s="31"/>
      <c r="Z287" s="31"/>
      <c r="AA287" s="31"/>
      <c r="AB287" s="31"/>
      <c r="AC287" s="31"/>
      <c r="AD287" s="31"/>
      <c r="AE287" s="31"/>
      <c r="AF287" s="31"/>
      <c r="AG287" s="31"/>
      <c r="AH287" s="31"/>
      <c r="AI287" s="31"/>
      <c r="AJ287" s="31"/>
      <c r="AK287" s="31"/>
      <c r="AL287" s="28" t="str">
        <f>VLOOKUP($G287,'[42]Sheet1 (2)'!$A$1:$B$1048440,2,FALSE)</f>
        <v>No.</v>
      </c>
      <c r="AM287" s="32"/>
      <c r="AN287" s="31"/>
      <c r="AO287" s="33"/>
    </row>
    <row r="288" spans="1:41" ht="28" x14ac:dyDescent="0.25">
      <c r="A288" s="40">
        <v>263</v>
      </c>
      <c r="B288" s="45" t="s">
        <v>362</v>
      </c>
      <c r="C288" s="45" t="s">
        <v>437</v>
      </c>
      <c r="D288" s="45" t="s">
        <v>388</v>
      </c>
      <c r="E288" s="44" t="s">
        <v>458</v>
      </c>
      <c r="F288" s="115" t="s">
        <v>388</v>
      </c>
      <c r="G288" s="45" t="s">
        <v>45</v>
      </c>
      <c r="H288" s="40">
        <v>9160</v>
      </c>
      <c r="I288" s="40">
        <v>706</v>
      </c>
      <c r="J288" s="31"/>
      <c r="K288" s="31"/>
      <c r="L288" s="31"/>
      <c r="M288" s="31"/>
      <c r="N288" s="31"/>
      <c r="O288" s="31"/>
      <c r="P288" s="31"/>
      <c r="Q288" s="31"/>
      <c r="R288" s="31"/>
      <c r="S288" s="31"/>
      <c r="T288" s="31"/>
      <c r="U288" s="31"/>
      <c r="V288" s="31"/>
      <c r="W288" s="31"/>
      <c r="X288" s="31"/>
      <c r="Y288" s="31"/>
      <c r="Z288" s="31"/>
      <c r="AA288" s="31"/>
      <c r="AB288" s="31"/>
      <c r="AC288" s="31"/>
      <c r="AD288" s="31"/>
      <c r="AE288" s="31"/>
      <c r="AF288" s="31"/>
      <c r="AG288" s="31"/>
      <c r="AH288" s="31"/>
      <c r="AI288" s="31"/>
      <c r="AJ288" s="31"/>
      <c r="AK288" s="31"/>
      <c r="AL288" s="28" t="str">
        <f>VLOOKUP($G288,'[42]Sheet1 (2)'!$A$1:$B$1048440,2,FALSE)</f>
        <v>No.</v>
      </c>
      <c r="AM288" s="32"/>
      <c r="AN288" s="31"/>
      <c r="AO288" s="33"/>
    </row>
    <row r="289" spans="1:41" ht="308" x14ac:dyDescent="0.25">
      <c r="A289" s="43"/>
      <c r="B289" s="45" t="s">
        <v>362</v>
      </c>
      <c r="C289" s="129">
        <v>6.31</v>
      </c>
      <c r="D289" s="45" t="s">
        <v>388</v>
      </c>
      <c r="E289" s="43" t="s">
        <v>459</v>
      </c>
      <c r="F289" s="43"/>
      <c r="G289" s="43"/>
      <c r="H289" s="43"/>
      <c r="I289" s="43"/>
      <c r="J289" s="31"/>
      <c r="K289" s="31"/>
      <c r="L289" s="31"/>
      <c r="M289" s="31"/>
      <c r="N289" s="31"/>
      <c r="O289" s="31"/>
      <c r="P289" s="31"/>
      <c r="Q289" s="31"/>
      <c r="R289" s="31"/>
      <c r="S289" s="31"/>
      <c r="T289" s="31"/>
      <c r="U289" s="31"/>
      <c r="V289" s="31"/>
      <c r="W289" s="31"/>
      <c r="X289" s="31"/>
      <c r="Y289" s="31"/>
      <c r="Z289" s="31"/>
      <c r="AA289" s="31"/>
      <c r="AB289" s="31"/>
      <c r="AC289" s="31"/>
      <c r="AD289" s="31"/>
      <c r="AE289" s="31"/>
      <c r="AF289" s="31"/>
      <c r="AG289" s="31"/>
      <c r="AH289" s="31"/>
      <c r="AI289" s="31"/>
      <c r="AJ289" s="31"/>
      <c r="AK289" s="31"/>
      <c r="AL289" s="28" t="e">
        <f>VLOOKUP($G289,'[42]Sheet1 (2)'!$A$1:$B$1048440,2,FALSE)</f>
        <v>#N/A</v>
      </c>
      <c r="AM289" s="32"/>
      <c r="AN289" s="31"/>
      <c r="AO289" s="33"/>
    </row>
    <row r="290" spans="1:41" ht="28" x14ac:dyDescent="0.25">
      <c r="A290" s="40">
        <v>264</v>
      </c>
      <c r="B290" s="45" t="s">
        <v>362</v>
      </c>
      <c r="C290" s="45" t="s">
        <v>373</v>
      </c>
      <c r="D290" s="45" t="s">
        <v>388</v>
      </c>
      <c r="E290" s="44" t="s">
        <v>447</v>
      </c>
      <c r="F290" s="115" t="s">
        <v>388</v>
      </c>
      <c r="G290" s="45" t="s">
        <v>45</v>
      </c>
      <c r="H290" s="40">
        <v>6540</v>
      </c>
      <c r="I290" s="40">
        <v>706</v>
      </c>
      <c r="J290" s="31"/>
      <c r="K290" s="31"/>
      <c r="L290" s="31"/>
      <c r="M290" s="31"/>
      <c r="N290" s="31"/>
      <c r="O290" s="31"/>
      <c r="P290" s="31"/>
      <c r="Q290" s="31"/>
      <c r="R290" s="31"/>
      <c r="S290" s="31"/>
      <c r="T290" s="31"/>
      <c r="U290" s="31"/>
      <c r="V290" s="31"/>
      <c r="W290" s="31"/>
      <c r="X290" s="31"/>
      <c r="Y290" s="31"/>
      <c r="Z290" s="31"/>
      <c r="AA290" s="31"/>
      <c r="AB290" s="31"/>
      <c r="AC290" s="31"/>
      <c r="AD290" s="31"/>
      <c r="AE290" s="31"/>
      <c r="AF290" s="31"/>
      <c r="AG290" s="31"/>
      <c r="AH290" s="31"/>
      <c r="AI290" s="31"/>
      <c r="AJ290" s="31"/>
      <c r="AK290" s="31"/>
      <c r="AL290" s="28" t="str">
        <f>VLOOKUP($G290,'[42]Sheet1 (2)'!$A$1:$B$1048440,2,FALSE)</f>
        <v>No.</v>
      </c>
      <c r="AM290" s="32"/>
      <c r="AN290" s="31"/>
      <c r="AO290" s="33"/>
    </row>
    <row r="291" spans="1:41" ht="28" x14ac:dyDescent="0.25">
      <c r="A291" s="40">
        <v>265</v>
      </c>
      <c r="B291" s="45" t="s">
        <v>362</v>
      </c>
      <c r="C291" s="45" t="s">
        <v>375</v>
      </c>
      <c r="D291" s="45" t="s">
        <v>388</v>
      </c>
      <c r="E291" s="44" t="s">
        <v>448</v>
      </c>
      <c r="F291" s="115" t="s">
        <v>388</v>
      </c>
      <c r="G291" s="45" t="s">
        <v>45</v>
      </c>
      <c r="H291" s="40">
        <v>6608</v>
      </c>
      <c r="I291" s="40">
        <v>706</v>
      </c>
      <c r="J291" s="31"/>
      <c r="K291" s="31"/>
      <c r="L291" s="31"/>
      <c r="M291" s="31"/>
      <c r="N291" s="31"/>
      <c r="O291" s="31"/>
      <c r="P291" s="31"/>
      <c r="Q291" s="31"/>
      <c r="R291" s="31"/>
      <c r="S291" s="31"/>
      <c r="T291" s="31"/>
      <c r="U291" s="31"/>
      <c r="V291" s="31"/>
      <c r="W291" s="31"/>
      <c r="X291" s="31"/>
      <c r="Y291" s="31"/>
      <c r="Z291" s="31"/>
      <c r="AA291" s="31"/>
      <c r="AB291" s="31"/>
      <c r="AC291" s="31"/>
      <c r="AD291" s="31"/>
      <c r="AE291" s="31"/>
      <c r="AF291" s="31"/>
      <c r="AG291" s="31"/>
      <c r="AH291" s="31"/>
      <c r="AI291" s="31"/>
      <c r="AJ291" s="31"/>
      <c r="AK291" s="31"/>
      <c r="AL291" s="28" t="str">
        <f>VLOOKUP($G291,'[42]Sheet1 (2)'!$A$1:$B$1048440,2,FALSE)</f>
        <v>No.</v>
      </c>
      <c r="AM291" s="32"/>
      <c r="AN291" s="31"/>
      <c r="AO291" s="33"/>
    </row>
    <row r="292" spans="1:41" ht="28" x14ac:dyDescent="0.25">
      <c r="A292" s="40">
        <v>266</v>
      </c>
      <c r="B292" s="45" t="s">
        <v>362</v>
      </c>
      <c r="C292" s="45" t="s">
        <v>377</v>
      </c>
      <c r="D292" s="45" t="s">
        <v>388</v>
      </c>
      <c r="E292" s="44" t="s">
        <v>449</v>
      </c>
      <c r="F292" s="115" t="s">
        <v>388</v>
      </c>
      <c r="G292" s="45" t="s">
        <v>45</v>
      </c>
      <c r="H292" s="40">
        <v>8252</v>
      </c>
      <c r="I292" s="40">
        <v>706</v>
      </c>
      <c r="J292" s="31"/>
      <c r="K292" s="31"/>
      <c r="L292" s="31"/>
      <c r="M292" s="31"/>
      <c r="N292" s="31"/>
      <c r="O292" s="31"/>
      <c r="P292" s="31"/>
      <c r="Q292" s="31"/>
      <c r="R292" s="31"/>
      <c r="S292" s="31"/>
      <c r="T292" s="31"/>
      <c r="U292" s="31"/>
      <c r="V292" s="31"/>
      <c r="W292" s="31"/>
      <c r="X292" s="31"/>
      <c r="Y292" s="31"/>
      <c r="Z292" s="31"/>
      <c r="AA292" s="31"/>
      <c r="AB292" s="31"/>
      <c r="AC292" s="31"/>
      <c r="AD292" s="31"/>
      <c r="AE292" s="31"/>
      <c r="AF292" s="31"/>
      <c r="AG292" s="31"/>
      <c r="AH292" s="31"/>
      <c r="AI292" s="31"/>
      <c r="AJ292" s="31"/>
      <c r="AK292" s="31"/>
      <c r="AL292" s="28" t="str">
        <f>VLOOKUP($G292,'[42]Sheet1 (2)'!$A$1:$B$1048440,2,FALSE)</f>
        <v>No.</v>
      </c>
      <c r="AM292" s="32"/>
      <c r="AN292" s="31"/>
      <c r="AO292" s="33"/>
    </row>
    <row r="293" spans="1:41" ht="28" x14ac:dyDescent="0.25">
      <c r="A293" s="40">
        <v>267</v>
      </c>
      <c r="B293" s="45" t="s">
        <v>362</v>
      </c>
      <c r="C293" s="45" t="s">
        <v>384</v>
      </c>
      <c r="D293" s="45" t="s">
        <v>388</v>
      </c>
      <c r="E293" s="44" t="s">
        <v>450</v>
      </c>
      <c r="F293" s="115" t="s">
        <v>388</v>
      </c>
      <c r="G293" s="45" t="s">
        <v>45</v>
      </c>
      <c r="H293" s="40">
        <v>8350</v>
      </c>
      <c r="I293" s="40">
        <v>706</v>
      </c>
      <c r="J293" s="31"/>
      <c r="K293" s="31"/>
      <c r="L293" s="31"/>
      <c r="M293" s="31"/>
      <c r="N293" s="31"/>
      <c r="O293" s="31"/>
      <c r="P293" s="31"/>
      <c r="Q293" s="31"/>
      <c r="R293" s="31"/>
      <c r="S293" s="31"/>
      <c r="T293" s="31"/>
      <c r="U293" s="31"/>
      <c r="V293" s="31"/>
      <c r="W293" s="31"/>
      <c r="X293" s="31"/>
      <c r="Y293" s="31"/>
      <c r="Z293" s="31"/>
      <c r="AA293" s="31"/>
      <c r="AB293" s="31"/>
      <c r="AC293" s="31"/>
      <c r="AD293" s="31"/>
      <c r="AE293" s="31"/>
      <c r="AF293" s="31"/>
      <c r="AG293" s="31"/>
      <c r="AH293" s="31"/>
      <c r="AI293" s="31"/>
      <c r="AJ293" s="31"/>
      <c r="AK293" s="31"/>
      <c r="AL293" s="28" t="str">
        <f>VLOOKUP($G293,'[42]Sheet1 (2)'!$A$1:$B$1048440,2,FALSE)</f>
        <v>No.</v>
      </c>
      <c r="AM293" s="32"/>
      <c r="AN293" s="31"/>
      <c r="AO293" s="33"/>
    </row>
    <row r="294" spans="1:41" ht="140" x14ac:dyDescent="0.25">
      <c r="A294" s="40">
        <v>226</v>
      </c>
      <c r="B294" s="45" t="s">
        <v>362</v>
      </c>
      <c r="C294" s="129">
        <v>6.23</v>
      </c>
      <c r="D294" s="45" t="s">
        <v>388</v>
      </c>
      <c r="E294" s="43" t="s">
        <v>421</v>
      </c>
      <c r="F294" s="115" t="s">
        <v>388</v>
      </c>
      <c r="G294" s="42" t="s">
        <v>80</v>
      </c>
      <c r="H294" s="40">
        <v>1347</v>
      </c>
      <c r="I294" s="40">
        <v>274</v>
      </c>
      <c r="J294" s="31"/>
      <c r="K294" s="31"/>
      <c r="L294" s="31"/>
      <c r="M294" s="31"/>
      <c r="N294" s="31"/>
      <c r="O294" s="31"/>
      <c r="P294" s="31"/>
      <c r="Q294" s="31"/>
      <c r="R294" s="31"/>
      <c r="S294" s="31"/>
      <c r="T294" s="31"/>
      <c r="U294" s="31"/>
      <c r="V294" s="31"/>
      <c r="W294" s="31"/>
      <c r="X294" s="31"/>
      <c r="Y294" s="31"/>
      <c r="Z294" s="31"/>
      <c r="AA294" s="31"/>
      <c r="AB294" s="31"/>
      <c r="AC294" s="31"/>
      <c r="AD294" s="31"/>
      <c r="AE294" s="31"/>
      <c r="AF294" s="31"/>
      <c r="AG294" s="31"/>
      <c r="AH294" s="31"/>
      <c r="AI294" s="31"/>
      <c r="AJ294" s="31"/>
      <c r="AK294" s="31"/>
      <c r="AL294" s="28" t="str">
        <f>VLOOKUP($G294,'[42]Sheet1 (2)'!$A$1:$B$1048440,2,FALSE)</f>
        <v>Rmt.</v>
      </c>
      <c r="AM294" s="32"/>
      <c r="AN294" s="31"/>
      <c r="AO294" s="33"/>
    </row>
    <row r="295" spans="1:41" ht="98" x14ac:dyDescent="0.25">
      <c r="A295" s="43"/>
      <c r="B295" s="45" t="s">
        <v>362</v>
      </c>
      <c r="C295" s="129">
        <v>6.24</v>
      </c>
      <c r="D295" s="45" t="s">
        <v>388</v>
      </c>
      <c r="E295" s="43" t="s">
        <v>422</v>
      </c>
      <c r="F295" s="43"/>
      <c r="G295" s="43"/>
      <c r="H295" s="43"/>
      <c r="I295" s="43"/>
      <c r="J295" s="31"/>
      <c r="K295" s="31"/>
      <c r="L295" s="31"/>
      <c r="M295" s="31"/>
      <c r="N295" s="31"/>
      <c r="O295" s="31"/>
      <c r="P295" s="31"/>
      <c r="Q295" s="31"/>
      <c r="R295" s="31"/>
      <c r="S295" s="31"/>
      <c r="T295" s="31"/>
      <c r="U295" s="31"/>
      <c r="V295" s="31"/>
      <c r="W295" s="31"/>
      <c r="X295" s="31"/>
      <c r="Y295" s="31"/>
      <c r="Z295" s="31"/>
      <c r="AA295" s="31"/>
      <c r="AB295" s="31"/>
      <c r="AC295" s="31"/>
      <c r="AD295" s="31"/>
      <c r="AE295" s="31"/>
      <c r="AF295" s="31"/>
      <c r="AG295" s="31"/>
      <c r="AH295" s="31"/>
      <c r="AI295" s="31"/>
      <c r="AJ295" s="31"/>
      <c r="AK295" s="31"/>
      <c r="AL295" s="28" t="e">
        <f>VLOOKUP($G295,'[42]Sheet1 (2)'!$A$1:$B$1048440,2,FALSE)</f>
        <v>#N/A</v>
      </c>
      <c r="AM295" s="32"/>
      <c r="AN295" s="31"/>
      <c r="AO295" s="33"/>
    </row>
    <row r="296" spans="1:41" ht="42" x14ac:dyDescent="0.25">
      <c r="A296" s="40">
        <v>227</v>
      </c>
      <c r="B296" s="45" t="s">
        <v>362</v>
      </c>
      <c r="C296" s="45" t="s">
        <v>373</v>
      </c>
      <c r="D296" s="46"/>
      <c r="E296" s="44" t="s">
        <v>423</v>
      </c>
      <c r="F296" s="115" t="s">
        <v>388</v>
      </c>
      <c r="G296" s="47" t="s">
        <v>460</v>
      </c>
      <c r="H296" s="40">
        <v>853</v>
      </c>
      <c r="I296" s="40">
        <v>175</v>
      </c>
      <c r="J296" s="31"/>
      <c r="K296" s="31"/>
      <c r="L296" s="31"/>
      <c r="M296" s="31"/>
      <c r="N296" s="31"/>
      <c r="O296" s="31"/>
      <c r="P296" s="31"/>
      <c r="Q296" s="31"/>
      <c r="R296" s="31"/>
      <c r="S296" s="31"/>
      <c r="T296" s="31"/>
      <c r="U296" s="31"/>
      <c r="V296" s="31"/>
      <c r="W296" s="31"/>
      <c r="X296" s="31"/>
      <c r="Y296" s="31"/>
      <c r="Z296" s="31"/>
      <c r="AA296" s="31"/>
      <c r="AB296" s="31"/>
      <c r="AC296" s="31"/>
      <c r="AD296" s="31"/>
      <c r="AE296" s="31"/>
      <c r="AF296" s="31"/>
      <c r="AG296" s="31"/>
      <c r="AH296" s="31"/>
      <c r="AI296" s="31"/>
      <c r="AJ296" s="31"/>
      <c r="AK296" s="31"/>
      <c r="AL296" s="28" t="e">
        <f>VLOOKUP($G296,'[42]Sheet1 (2)'!$A$1:$B$1048440,2,FALSE)</f>
        <v>#N/A</v>
      </c>
      <c r="AM296" s="32"/>
      <c r="AN296" s="31"/>
      <c r="AO296" s="33"/>
    </row>
    <row r="297" spans="1:41" ht="42" x14ac:dyDescent="0.25">
      <c r="A297" s="40">
        <v>228</v>
      </c>
      <c r="B297" s="45" t="s">
        <v>362</v>
      </c>
      <c r="C297" s="45" t="s">
        <v>375</v>
      </c>
      <c r="D297" s="45" t="s">
        <v>388</v>
      </c>
      <c r="E297" s="44" t="s">
        <v>424</v>
      </c>
      <c r="F297" s="115" t="s">
        <v>388</v>
      </c>
      <c r="G297" s="47" t="s">
        <v>460</v>
      </c>
      <c r="H297" s="40">
        <v>572</v>
      </c>
      <c r="I297" s="40">
        <v>175</v>
      </c>
      <c r="J297" s="31"/>
      <c r="K297" s="31"/>
      <c r="L297" s="31"/>
      <c r="M297" s="31"/>
      <c r="N297" s="31"/>
      <c r="O297" s="31"/>
      <c r="P297" s="31"/>
      <c r="Q297" s="31"/>
      <c r="R297" s="31"/>
      <c r="S297" s="31"/>
      <c r="T297" s="31"/>
      <c r="U297" s="31"/>
      <c r="V297" s="31"/>
      <c r="W297" s="31"/>
      <c r="X297" s="31"/>
      <c r="Y297" s="31"/>
      <c r="Z297" s="31"/>
      <c r="AA297" s="31"/>
      <c r="AB297" s="31"/>
      <c r="AC297" s="31"/>
      <c r="AD297" s="31"/>
      <c r="AE297" s="31"/>
      <c r="AF297" s="31"/>
      <c r="AG297" s="31"/>
      <c r="AH297" s="31"/>
      <c r="AI297" s="31"/>
      <c r="AJ297" s="31"/>
      <c r="AK297" s="31"/>
      <c r="AL297" s="28" t="e">
        <f>VLOOKUP($G297,'[42]Sheet1 (2)'!$A$1:$B$1048440,2,FALSE)</f>
        <v>#N/A</v>
      </c>
      <c r="AM297" s="32"/>
      <c r="AN297" s="31"/>
      <c r="AO297" s="33"/>
    </row>
    <row r="298" spans="1:41" ht="84" x14ac:dyDescent="0.25">
      <c r="A298" s="40">
        <v>229</v>
      </c>
      <c r="B298" s="45" t="s">
        <v>362</v>
      </c>
      <c r="C298" s="129">
        <v>6.25</v>
      </c>
      <c r="D298" s="45" t="s">
        <v>388</v>
      </c>
      <c r="E298" s="44" t="s">
        <v>425</v>
      </c>
      <c r="F298" s="115" t="s">
        <v>388</v>
      </c>
      <c r="G298" s="42" t="s">
        <v>80</v>
      </c>
      <c r="H298" s="40">
        <v>411</v>
      </c>
      <c r="I298" s="40">
        <v>175</v>
      </c>
      <c r="J298" s="31"/>
      <c r="K298" s="31"/>
      <c r="L298" s="31"/>
      <c r="M298" s="31"/>
      <c r="N298" s="31"/>
      <c r="O298" s="31"/>
      <c r="P298" s="31"/>
      <c r="Q298" s="31"/>
      <c r="R298" s="31"/>
      <c r="S298" s="31"/>
      <c r="T298" s="31"/>
      <c r="U298" s="31"/>
      <c r="V298" s="31"/>
      <c r="W298" s="31"/>
      <c r="X298" s="31"/>
      <c r="Y298" s="31"/>
      <c r="Z298" s="31"/>
      <c r="AA298" s="31"/>
      <c r="AB298" s="31"/>
      <c r="AC298" s="31"/>
      <c r="AD298" s="31"/>
      <c r="AE298" s="31"/>
      <c r="AF298" s="31"/>
      <c r="AG298" s="31"/>
      <c r="AH298" s="31"/>
      <c r="AI298" s="31"/>
      <c r="AJ298" s="31"/>
      <c r="AK298" s="31"/>
      <c r="AL298" s="28" t="str">
        <f>VLOOKUP($G298,'[42]Sheet1 (2)'!$A$1:$B$1048440,2,FALSE)</f>
        <v>Rmt.</v>
      </c>
      <c r="AM298" s="32"/>
      <c r="AN298" s="31"/>
      <c r="AO298" s="33"/>
    </row>
    <row r="299" spans="1:41" ht="154" x14ac:dyDescent="0.25">
      <c r="A299" s="43"/>
      <c r="B299" s="45" t="s">
        <v>362</v>
      </c>
      <c r="C299" s="129">
        <v>6.26</v>
      </c>
      <c r="D299" s="45" t="s">
        <v>363</v>
      </c>
      <c r="E299" s="43" t="s">
        <v>426</v>
      </c>
      <c r="F299" s="43"/>
      <c r="G299" s="43"/>
      <c r="H299" s="43"/>
      <c r="I299" s="43"/>
      <c r="J299" s="31"/>
      <c r="K299" s="31"/>
      <c r="L299" s="31"/>
      <c r="M299" s="31"/>
      <c r="N299" s="31"/>
      <c r="O299" s="31"/>
      <c r="P299" s="31"/>
      <c r="Q299" s="31"/>
      <c r="R299" s="31"/>
      <c r="S299" s="31"/>
      <c r="T299" s="31"/>
      <c r="U299" s="31"/>
      <c r="V299" s="31"/>
      <c r="W299" s="31"/>
      <c r="X299" s="31"/>
      <c r="Y299" s="31"/>
      <c r="Z299" s="31"/>
      <c r="AA299" s="31"/>
      <c r="AB299" s="31"/>
      <c r="AC299" s="31"/>
      <c r="AD299" s="31"/>
      <c r="AE299" s="31"/>
      <c r="AF299" s="31"/>
      <c r="AG299" s="31"/>
      <c r="AH299" s="31"/>
      <c r="AI299" s="31"/>
      <c r="AJ299" s="31"/>
      <c r="AK299" s="31"/>
      <c r="AL299" s="28" t="e">
        <f>VLOOKUP($G299,'[42]Sheet1 (2)'!$A$1:$B$1048440,2,FALSE)</f>
        <v>#N/A</v>
      </c>
      <c r="AM299" s="32"/>
      <c r="AN299" s="31"/>
      <c r="AO299" s="33"/>
    </row>
    <row r="300" spans="1:41" ht="28" x14ac:dyDescent="0.25">
      <c r="A300" s="40">
        <v>230</v>
      </c>
      <c r="B300" s="45" t="s">
        <v>362</v>
      </c>
      <c r="C300" s="45" t="s">
        <v>373</v>
      </c>
      <c r="D300" s="45" t="s">
        <v>363</v>
      </c>
      <c r="E300" s="44" t="s">
        <v>427</v>
      </c>
      <c r="F300" s="115" t="s">
        <v>363</v>
      </c>
      <c r="G300" s="45" t="s">
        <v>45</v>
      </c>
      <c r="H300" s="40">
        <v>13833</v>
      </c>
      <c r="I300" s="40">
        <v>4264</v>
      </c>
      <c r="J300" s="31"/>
      <c r="K300" s="31"/>
      <c r="L300" s="31"/>
      <c r="M300" s="31"/>
      <c r="N300" s="31"/>
      <c r="O300" s="31"/>
      <c r="P300" s="31"/>
      <c r="Q300" s="31"/>
      <c r="R300" s="31"/>
      <c r="S300" s="31"/>
      <c r="T300" s="31"/>
      <c r="U300" s="31"/>
      <c r="V300" s="31"/>
      <c r="W300" s="31"/>
      <c r="X300" s="31"/>
      <c r="Y300" s="31"/>
      <c r="Z300" s="31"/>
      <c r="AA300" s="31"/>
      <c r="AB300" s="31"/>
      <c r="AC300" s="31"/>
      <c r="AD300" s="31"/>
      <c r="AE300" s="31"/>
      <c r="AF300" s="31"/>
      <c r="AG300" s="31"/>
      <c r="AH300" s="31"/>
      <c r="AI300" s="31"/>
      <c r="AJ300" s="31"/>
      <c r="AK300" s="31"/>
      <c r="AL300" s="28" t="str">
        <f>VLOOKUP($G300,'[42]Sheet1 (2)'!$A$1:$B$1048440,2,FALSE)</f>
        <v>No.</v>
      </c>
      <c r="AM300" s="32"/>
      <c r="AN300" s="31"/>
      <c r="AO300" s="33"/>
    </row>
    <row r="301" spans="1:41" ht="28" x14ac:dyDescent="0.25">
      <c r="A301" s="40">
        <v>231</v>
      </c>
      <c r="B301" s="45" t="s">
        <v>362</v>
      </c>
      <c r="C301" s="45" t="s">
        <v>375</v>
      </c>
      <c r="D301" s="45" t="s">
        <v>363</v>
      </c>
      <c r="E301" s="44" t="s">
        <v>428</v>
      </c>
      <c r="F301" s="115" t="s">
        <v>363</v>
      </c>
      <c r="G301" s="45" t="s">
        <v>45</v>
      </c>
      <c r="H301" s="40">
        <v>16487</v>
      </c>
      <c r="I301" s="40">
        <v>4736</v>
      </c>
      <c r="J301" s="31"/>
      <c r="K301" s="31"/>
      <c r="L301" s="31"/>
      <c r="M301" s="31"/>
      <c r="N301" s="31"/>
      <c r="O301" s="31"/>
      <c r="P301" s="31"/>
      <c r="Q301" s="31"/>
      <c r="R301" s="31"/>
      <c r="S301" s="31"/>
      <c r="T301" s="31"/>
      <c r="U301" s="31"/>
      <c r="V301" s="31"/>
      <c r="W301" s="31"/>
      <c r="X301" s="31"/>
      <c r="Y301" s="31"/>
      <c r="Z301" s="31"/>
      <c r="AA301" s="31"/>
      <c r="AB301" s="31"/>
      <c r="AC301" s="31"/>
      <c r="AD301" s="31"/>
      <c r="AE301" s="31"/>
      <c r="AF301" s="31"/>
      <c r="AG301" s="31"/>
      <c r="AH301" s="31"/>
      <c r="AI301" s="31"/>
      <c r="AJ301" s="31"/>
      <c r="AK301" s="31"/>
      <c r="AL301" s="28" t="str">
        <f>VLOOKUP($G301,'[42]Sheet1 (2)'!$A$1:$B$1048440,2,FALSE)</f>
        <v>No.</v>
      </c>
      <c r="AM301" s="32"/>
      <c r="AN301" s="31"/>
      <c r="AO301" s="33"/>
    </row>
    <row r="302" spans="1:41" ht="308" x14ac:dyDescent="0.25">
      <c r="A302" s="43"/>
      <c r="B302" s="45" t="s">
        <v>362</v>
      </c>
      <c r="C302" s="129">
        <v>6.27</v>
      </c>
      <c r="D302" s="45" t="s">
        <v>388</v>
      </c>
      <c r="E302" s="43" t="s">
        <v>429</v>
      </c>
      <c r="F302" s="43"/>
      <c r="G302" s="45" t="s">
        <v>45</v>
      </c>
      <c r="H302" s="43"/>
      <c r="I302" s="43"/>
      <c r="J302" s="31"/>
      <c r="K302" s="31"/>
      <c r="L302" s="31"/>
      <c r="M302" s="31"/>
      <c r="N302" s="31"/>
      <c r="O302" s="31"/>
      <c r="P302" s="31"/>
      <c r="Q302" s="31"/>
      <c r="R302" s="31"/>
      <c r="S302" s="31"/>
      <c r="T302" s="31"/>
      <c r="U302" s="31"/>
      <c r="V302" s="31"/>
      <c r="W302" s="31"/>
      <c r="X302" s="31"/>
      <c r="Y302" s="31"/>
      <c r="Z302" s="31"/>
      <c r="AA302" s="31"/>
      <c r="AB302" s="31"/>
      <c r="AC302" s="31"/>
      <c r="AD302" s="31"/>
      <c r="AE302" s="31"/>
      <c r="AF302" s="31"/>
      <c r="AG302" s="31"/>
      <c r="AH302" s="31"/>
      <c r="AI302" s="31"/>
      <c r="AJ302" s="31"/>
      <c r="AK302" s="31"/>
      <c r="AL302" s="28" t="str">
        <f>VLOOKUP($G302,'[42]Sheet1 (2)'!$A$1:$B$1048440,2,FALSE)</f>
        <v>No.</v>
      </c>
      <c r="AM302" s="32"/>
      <c r="AN302" s="31"/>
      <c r="AO302" s="33"/>
    </row>
    <row r="303" spans="1:41" ht="28" x14ac:dyDescent="0.25">
      <c r="A303" s="40">
        <v>232</v>
      </c>
      <c r="B303" s="45" t="s">
        <v>362</v>
      </c>
      <c r="C303" s="45" t="s">
        <v>461</v>
      </c>
      <c r="D303" s="45" t="s">
        <v>388</v>
      </c>
      <c r="E303" s="44" t="s">
        <v>430</v>
      </c>
      <c r="F303" s="115" t="s">
        <v>388</v>
      </c>
      <c r="G303" s="45" t="s">
        <v>45</v>
      </c>
      <c r="H303" s="40">
        <v>4516</v>
      </c>
      <c r="I303" s="40">
        <v>706</v>
      </c>
      <c r="J303" s="31"/>
      <c r="K303" s="31"/>
      <c r="L303" s="31"/>
      <c r="M303" s="31"/>
      <c r="N303" s="31"/>
      <c r="O303" s="31"/>
      <c r="P303" s="31"/>
      <c r="Q303" s="31"/>
      <c r="R303" s="31"/>
      <c r="S303" s="31"/>
      <c r="T303" s="31"/>
      <c r="U303" s="31"/>
      <c r="V303" s="31"/>
      <c r="W303" s="31"/>
      <c r="X303" s="31"/>
      <c r="Y303" s="31"/>
      <c r="Z303" s="31"/>
      <c r="AA303" s="31"/>
      <c r="AB303" s="31"/>
      <c r="AC303" s="31"/>
      <c r="AD303" s="31"/>
      <c r="AE303" s="31"/>
      <c r="AF303" s="31"/>
      <c r="AG303" s="31"/>
      <c r="AH303" s="31"/>
      <c r="AI303" s="31"/>
      <c r="AJ303" s="31"/>
      <c r="AK303" s="31"/>
      <c r="AL303" s="28" t="str">
        <f>VLOOKUP($G303,'[42]Sheet1 (2)'!$A$1:$B$1048440,2,FALSE)</f>
        <v>No.</v>
      </c>
      <c r="AM303" s="32"/>
      <c r="AN303" s="31"/>
      <c r="AO303" s="33"/>
    </row>
    <row r="304" spans="1:41" ht="28" x14ac:dyDescent="0.25">
      <c r="A304" s="40">
        <v>233</v>
      </c>
      <c r="B304" s="45" t="s">
        <v>362</v>
      </c>
      <c r="C304" s="45" t="s">
        <v>375</v>
      </c>
      <c r="D304" s="45" t="s">
        <v>388</v>
      </c>
      <c r="E304" s="44" t="s">
        <v>431</v>
      </c>
      <c r="F304" s="115" t="s">
        <v>388</v>
      </c>
      <c r="G304" s="45" t="s">
        <v>45</v>
      </c>
      <c r="H304" s="40">
        <v>4548</v>
      </c>
      <c r="I304" s="40">
        <v>706</v>
      </c>
      <c r="J304" s="31"/>
      <c r="K304" s="31"/>
      <c r="L304" s="31"/>
      <c r="M304" s="31"/>
      <c r="N304" s="31"/>
      <c r="O304" s="31"/>
      <c r="P304" s="31"/>
      <c r="Q304" s="31"/>
      <c r="R304" s="31"/>
      <c r="S304" s="31"/>
      <c r="T304" s="31"/>
      <c r="U304" s="31"/>
      <c r="V304" s="31"/>
      <c r="W304" s="31"/>
      <c r="X304" s="31"/>
      <c r="Y304" s="31"/>
      <c r="Z304" s="31"/>
      <c r="AA304" s="31"/>
      <c r="AB304" s="31"/>
      <c r="AC304" s="31"/>
      <c r="AD304" s="31"/>
      <c r="AE304" s="31"/>
      <c r="AF304" s="31"/>
      <c r="AG304" s="31"/>
      <c r="AH304" s="31"/>
      <c r="AI304" s="31"/>
      <c r="AJ304" s="31"/>
      <c r="AK304" s="31"/>
      <c r="AL304" s="28" t="str">
        <f>VLOOKUP($G304,'[42]Sheet1 (2)'!$A$1:$B$1048440,2,FALSE)</f>
        <v>No.</v>
      </c>
      <c r="AM304" s="32"/>
      <c r="AN304" s="31"/>
      <c r="AO304" s="33"/>
    </row>
    <row r="305" spans="1:41" ht="28" x14ac:dyDescent="0.25">
      <c r="A305" s="40">
        <v>234</v>
      </c>
      <c r="B305" s="45" t="s">
        <v>362</v>
      </c>
      <c r="C305" s="45" t="s">
        <v>377</v>
      </c>
      <c r="D305" s="45" t="s">
        <v>388</v>
      </c>
      <c r="E305" s="44" t="s">
        <v>432</v>
      </c>
      <c r="F305" s="115" t="s">
        <v>388</v>
      </c>
      <c r="G305" s="45" t="s">
        <v>45</v>
      </c>
      <c r="H305" s="40">
        <v>5735</v>
      </c>
      <c r="I305" s="40">
        <v>706</v>
      </c>
      <c r="J305" s="31"/>
      <c r="K305" s="31"/>
      <c r="L305" s="31"/>
      <c r="M305" s="31"/>
      <c r="N305" s="31"/>
      <c r="O305" s="31"/>
      <c r="P305" s="31"/>
      <c r="Q305" s="31"/>
      <c r="R305" s="31"/>
      <c r="S305" s="31"/>
      <c r="T305" s="31"/>
      <c r="U305" s="31"/>
      <c r="V305" s="31"/>
      <c r="W305" s="31"/>
      <c r="X305" s="31"/>
      <c r="Y305" s="31"/>
      <c r="Z305" s="31"/>
      <c r="AA305" s="31"/>
      <c r="AB305" s="31"/>
      <c r="AC305" s="31"/>
      <c r="AD305" s="31"/>
      <c r="AE305" s="31"/>
      <c r="AF305" s="31"/>
      <c r="AG305" s="31"/>
      <c r="AH305" s="31"/>
      <c r="AI305" s="31"/>
      <c r="AJ305" s="31"/>
      <c r="AK305" s="31"/>
      <c r="AL305" s="28" t="str">
        <f>VLOOKUP($G305,'[42]Sheet1 (2)'!$A$1:$B$1048440,2,FALSE)</f>
        <v>No.</v>
      </c>
      <c r="AM305" s="32"/>
      <c r="AN305" s="31"/>
      <c r="AO305" s="33"/>
    </row>
    <row r="306" spans="1:41" ht="28" x14ac:dyDescent="0.25">
      <c r="A306" s="40">
        <v>235</v>
      </c>
      <c r="B306" s="45" t="s">
        <v>362</v>
      </c>
      <c r="C306" s="45" t="s">
        <v>384</v>
      </c>
      <c r="D306" s="45" t="s">
        <v>388</v>
      </c>
      <c r="E306" s="44" t="s">
        <v>433</v>
      </c>
      <c r="F306" s="115" t="s">
        <v>388</v>
      </c>
      <c r="G306" s="45" t="s">
        <v>45</v>
      </c>
      <c r="H306" s="40">
        <v>5788</v>
      </c>
      <c r="I306" s="40">
        <v>706</v>
      </c>
      <c r="J306" s="31"/>
      <c r="K306" s="31"/>
      <c r="L306" s="31"/>
      <c r="M306" s="31"/>
      <c r="N306" s="31"/>
      <c r="O306" s="31"/>
      <c r="P306" s="31"/>
      <c r="Q306" s="31"/>
      <c r="R306" s="31"/>
      <c r="S306" s="31"/>
      <c r="T306" s="31"/>
      <c r="U306" s="31"/>
      <c r="V306" s="31"/>
      <c r="W306" s="31"/>
      <c r="X306" s="31"/>
      <c r="Y306" s="31"/>
      <c r="Z306" s="31"/>
      <c r="AA306" s="31"/>
      <c r="AB306" s="31"/>
      <c r="AC306" s="31"/>
      <c r="AD306" s="31"/>
      <c r="AE306" s="31"/>
      <c r="AF306" s="31"/>
      <c r="AG306" s="31"/>
      <c r="AH306" s="31"/>
      <c r="AI306" s="31"/>
      <c r="AJ306" s="31"/>
      <c r="AK306" s="31"/>
      <c r="AL306" s="28" t="str">
        <f>VLOOKUP($G306,'[42]Sheet1 (2)'!$A$1:$B$1048440,2,FALSE)</f>
        <v>No.</v>
      </c>
      <c r="AM306" s="32"/>
      <c r="AN306" s="31"/>
      <c r="AO306" s="33"/>
    </row>
    <row r="307" spans="1:41" ht="28" x14ac:dyDescent="0.25">
      <c r="A307" s="40">
        <v>236</v>
      </c>
      <c r="B307" s="45" t="s">
        <v>362</v>
      </c>
      <c r="C307" s="45" t="s">
        <v>387</v>
      </c>
      <c r="D307" s="45" t="s">
        <v>388</v>
      </c>
      <c r="E307" s="44" t="s">
        <v>434</v>
      </c>
      <c r="F307" s="115" t="s">
        <v>388</v>
      </c>
      <c r="G307" s="45" t="s">
        <v>45</v>
      </c>
      <c r="H307" s="40">
        <v>7094</v>
      </c>
      <c r="I307" s="40">
        <v>706</v>
      </c>
      <c r="J307" s="31"/>
      <c r="K307" s="31"/>
      <c r="L307" s="31"/>
      <c r="M307" s="31"/>
      <c r="N307" s="31"/>
      <c r="O307" s="31"/>
      <c r="P307" s="31"/>
      <c r="Q307" s="31"/>
      <c r="R307" s="31"/>
      <c r="S307" s="31"/>
      <c r="T307" s="31"/>
      <c r="U307" s="31"/>
      <c r="V307" s="31"/>
      <c r="W307" s="31"/>
      <c r="X307" s="31"/>
      <c r="Y307" s="31"/>
      <c r="Z307" s="31"/>
      <c r="AA307" s="31"/>
      <c r="AB307" s="31"/>
      <c r="AC307" s="31"/>
      <c r="AD307" s="31"/>
      <c r="AE307" s="31"/>
      <c r="AF307" s="31"/>
      <c r="AG307" s="31"/>
      <c r="AH307" s="31"/>
      <c r="AI307" s="31"/>
      <c r="AJ307" s="31"/>
      <c r="AK307" s="31"/>
      <c r="AL307" s="28" t="str">
        <f>VLOOKUP($G307,'[42]Sheet1 (2)'!$A$1:$B$1048440,2,FALSE)</f>
        <v>No.</v>
      </c>
      <c r="AM307" s="32"/>
      <c r="AN307" s="31"/>
      <c r="AO307" s="33"/>
    </row>
    <row r="308" spans="1:41" ht="28" x14ac:dyDescent="0.25">
      <c r="A308" s="40">
        <v>237</v>
      </c>
      <c r="B308" s="45" t="s">
        <v>362</v>
      </c>
      <c r="C308" s="45" t="s">
        <v>390</v>
      </c>
      <c r="D308" s="45" t="s">
        <v>388</v>
      </c>
      <c r="E308" s="44" t="s">
        <v>435</v>
      </c>
      <c r="F308" s="115" t="s">
        <v>388</v>
      </c>
      <c r="G308" s="45" t="s">
        <v>45</v>
      </c>
      <c r="H308" s="40">
        <v>7172</v>
      </c>
      <c r="I308" s="40">
        <v>706</v>
      </c>
      <c r="J308" s="31"/>
      <c r="K308" s="31"/>
      <c r="L308" s="31"/>
      <c r="M308" s="31"/>
      <c r="N308" s="31"/>
      <c r="O308" s="31"/>
      <c r="P308" s="31"/>
      <c r="Q308" s="31"/>
      <c r="R308" s="31"/>
      <c r="S308" s="31"/>
      <c r="T308" s="31"/>
      <c r="U308" s="31"/>
      <c r="V308" s="31"/>
      <c r="W308" s="31"/>
      <c r="X308" s="31"/>
      <c r="Y308" s="31"/>
      <c r="Z308" s="31"/>
      <c r="AA308" s="31"/>
      <c r="AB308" s="31"/>
      <c r="AC308" s="31"/>
      <c r="AD308" s="31"/>
      <c r="AE308" s="31"/>
      <c r="AF308" s="31"/>
      <c r="AG308" s="31"/>
      <c r="AH308" s="31"/>
      <c r="AI308" s="31"/>
      <c r="AJ308" s="31"/>
      <c r="AK308" s="31"/>
      <c r="AL308" s="28" t="str">
        <f>VLOOKUP($G308,'[42]Sheet1 (2)'!$A$1:$B$1048440,2,FALSE)</f>
        <v>No.</v>
      </c>
      <c r="AM308" s="32"/>
      <c r="AN308" s="31"/>
      <c r="AO308" s="33"/>
    </row>
    <row r="309" spans="1:41" ht="28" x14ac:dyDescent="0.25">
      <c r="A309" s="40">
        <v>238</v>
      </c>
      <c r="B309" s="45" t="s">
        <v>362</v>
      </c>
      <c r="C309" s="45" t="s">
        <v>392</v>
      </c>
      <c r="D309" s="45" t="s">
        <v>388</v>
      </c>
      <c r="E309" s="44" t="s">
        <v>436</v>
      </c>
      <c r="F309" s="115" t="s">
        <v>388</v>
      </c>
      <c r="G309" s="45" t="s">
        <v>45</v>
      </c>
      <c r="H309" s="40">
        <v>10590</v>
      </c>
      <c r="I309" s="40">
        <v>706</v>
      </c>
      <c r="J309" s="31"/>
      <c r="K309" s="31"/>
      <c r="L309" s="31"/>
      <c r="M309" s="31"/>
      <c r="N309" s="31"/>
      <c r="O309" s="31"/>
      <c r="P309" s="31"/>
      <c r="Q309" s="31"/>
      <c r="R309" s="31"/>
      <c r="S309" s="31"/>
      <c r="T309" s="31"/>
      <c r="U309" s="31"/>
      <c r="V309" s="31"/>
      <c r="W309" s="31"/>
      <c r="X309" s="31"/>
      <c r="Y309" s="31"/>
      <c r="Z309" s="31"/>
      <c r="AA309" s="31"/>
      <c r="AB309" s="31"/>
      <c r="AC309" s="31"/>
      <c r="AD309" s="31"/>
      <c r="AE309" s="31"/>
      <c r="AF309" s="31"/>
      <c r="AG309" s="31"/>
      <c r="AH309" s="31"/>
      <c r="AI309" s="31"/>
      <c r="AJ309" s="31"/>
      <c r="AK309" s="31"/>
      <c r="AL309" s="28" t="str">
        <f>VLOOKUP($G309,'[42]Sheet1 (2)'!$A$1:$B$1048440,2,FALSE)</f>
        <v>No.</v>
      </c>
      <c r="AM309" s="32"/>
      <c r="AN309" s="31"/>
      <c r="AO309" s="33"/>
    </row>
    <row r="310" spans="1:41" ht="28" x14ac:dyDescent="0.25">
      <c r="A310" s="40">
        <v>239</v>
      </c>
      <c r="B310" s="45" t="s">
        <v>362</v>
      </c>
      <c r="C310" s="45" t="s">
        <v>437</v>
      </c>
      <c r="D310" s="45" t="s">
        <v>388</v>
      </c>
      <c r="E310" s="44" t="s">
        <v>438</v>
      </c>
      <c r="F310" s="115" t="s">
        <v>388</v>
      </c>
      <c r="G310" s="45" t="s">
        <v>45</v>
      </c>
      <c r="H310" s="40">
        <v>10727</v>
      </c>
      <c r="I310" s="40">
        <v>706</v>
      </c>
      <c r="J310" s="31"/>
      <c r="K310" s="31"/>
      <c r="L310" s="31"/>
      <c r="M310" s="31"/>
      <c r="N310" s="31"/>
      <c r="O310" s="31"/>
      <c r="P310" s="31"/>
      <c r="Q310" s="31"/>
      <c r="R310" s="31"/>
      <c r="S310" s="31"/>
      <c r="T310" s="31"/>
      <c r="U310" s="31"/>
      <c r="V310" s="31"/>
      <c r="W310" s="31"/>
      <c r="X310" s="31"/>
      <c r="Y310" s="31"/>
      <c r="Z310" s="31"/>
      <c r="AA310" s="31"/>
      <c r="AB310" s="31"/>
      <c r="AC310" s="31"/>
      <c r="AD310" s="31"/>
      <c r="AE310" s="31"/>
      <c r="AF310" s="31"/>
      <c r="AG310" s="31"/>
      <c r="AH310" s="31"/>
      <c r="AI310" s="31"/>
      <c r="AJ310" s="31"/>
      <c r="AK310" s="31"/>
      <c r="AL310" s="28" t="str">
        <f>VLOOKUP($G310,'[42]Sheet1 (2)'!$A$1:$B$1048440,2,FALSE)</f>
        <v>No.</v>
      </c>
      <c r="AM310" s="32"/>
      <c r="AN310" s="31"/>
      <c r="AO310" s="33"/>
    </row>
    <row r="311" spans="1:41" ht="294" x14ac:dyDescent="0.25">
      <c r="A311" s="43"/>
      <c r="B311" s="45" t="s">
        <v>362</v>
      </c>
      <c r="C311" s="129">
        <v>6.28</v>
      </c>
      <c r="D311" s="45" t="s">
        <v>388</v>
      </c>
      <c r="E311" s="43" t="s">
        <v>439</v>
      </c>
      <c r="F311" s="43"/>
      <c r="G311" s="43"/>
      <c r="H311" s="43"/>
      <c r="I311" s="43"/>
      <c r="J311" s="31"/>
      <c r="K311" s="31"/>
      <c r="L311" s="31"/>
      <c r="M311" s="31"/>
      <c r="N311" s="31"/>
      <c r="O311" s="31"/>
      <c r="P311" s="31"/>
      <c r="Q311" s="31"/>
      <c r="R311" s="31"/>
      <c r="S311" s="31"/>
      <c r="T311" s="31"/>
      <c r="U311" s="31"/>
      <c r="V311" s="31"/>
      <c r="W311" s="31"/>
      <c r="X311" s="31"/>
      <c r="Y311" s="31"/>
      <c r="Z311" s="31"/>
      <c r="AA311" s="31"/>
      <c r="AB311" s="31"/>
      <c r="AC311" s="31"/>
      <c r="AD311" s="31"/>
      <c r="AE311" s="31"/>
      <c r="AF311" s="31"/>
      <c r="AG311" s="31"/>
      <c r="AH311" s="31"/>
      <c r="AI311" s="31"/>
      <c r="AJ311" s="31"/>
      <c r="AK311" s="31"/>
      <c r="AL311" s="28" t="e">
        <f>VLOOKUP($G311,'[42]Sheet1 (2)'!$A$1:$B$1048440,2,FALSE)</f>
        <v>#N/A</v>
      </c>
      <c r="AM311" s="32"/>
      <c r="AN311" s="31"/>
      <c r="AO311" s="33"/>
    </row>
    <row r="312" spans="1:41" ht="28" x14ac:dyDescent="0.25">
      <c r="A312" s="40">
        <v>240</v>
      </c>
      <c r="B312" s="45" t="s">
        <v>362</v>
      </c>
      <c r="C312" s="45" t="s">
        <v>373</v>
      </c>
      <c r="D312" s="45" t="s">
        <v>388</v>
      </c>
      <c r="E312" s="44" t="s">
        <v>430</v>
      </c>
      <c r="F312" s="115" t="s">
        <v>388</v>
      </c>
      <c r="G312" s="45" t="s">
        <v>45</v>
      </c>
      <c r="H312" s="40">
        <v>5364</v>
      </c>
      <c r="I312" s="40">
        <v>706</v>
      </c>
      <c r="J312" s="31"/>
      <c r="K312" s="31"/>
      <c r="L312" s="31"/>
      <c r="M312" s="31"/>
      <c r="N312" s="31"/>
      <c r="O312" s="31"/>
      <c r="P312" s="31"/>
      <c r="Q312" s="31"/>
      <c r="R312" s="31"/>
      <c r="S312" s="31"/>
      <c r="T312" s="31"/>
      <c r="U312" s="31"/>
      <c r="V312" s="31"/>
      <c r="W312" s="31"/>
      <c r="X312" s="31"/>
      <c r="Y312" s="31"/>
      <c r="Z312" s="31"/>
      <c r="AA312" s="31"/>
      <c r="AB312" s="31"/>
      <c r="AC312" s="31"/>
      <c r="AD312" s="31"/>
      <c r="AE312" s="31"/>
      <c r="AF312" s="31"/>
      <c r="AG312" s="31"/>
      <c r="AH312" s="31"/>
      <c r="AI312" s="31"/>
      <c r="AJ312" s="31"/>
      <c r="AK312" s="31"/>
      <c r="AL312" s="28" t="str">
        <f>VLOOKUP($G312,'[42]Sheet1 (2)'!$A$1:$B$1048440,2,FALSE)</f>
        <v>No.</v>
      </c>
      <c r="AM312" s="32"/>
      <c r="AN312" s="31"/>
      <c r="AO312" s="33"/>
    </row>
    <row r="313" spans="1:41" ht="28" x14ac:dyDescent="0.25">
      <c r="A313" s="40">
        <v>241</v>
      </c>
      <c r="B313" s="45" t="s">
        <v>362</v>
      </c>
      <c r="C313" s="45" t="s">
        <v>375</v>
      </c>
      <c r="D313" s="45" t="s">
        <v>388</v>
      </c>
      <c r="E313" s="44" t="s">
        <v>440</v>
      </c>
      <c r="F313" s="115" t="s">
        <v>388</v>
      </c>
      <c r="G313" s="45" t="s">
        <v>45</v>
      </c>
      <c r="H313" s="40">
        <v>5396</v>
      </c>
      <c r="I313" s="40">
        <v>706</v>
      </c>
      <c r="J313" s="31"/>
      <c r="K313" s="31"/>
      <c r="L313" s="31"/>
      <c r="M313" s="31"/>
      <c r="N313" s="31"/>
      <c r="O313" s="31"/>
      <c r="P313" s="31"/>
      <c r="Q313" s="31"/>
      <c r="R313" s="31"/>
      <c r="S313" s="31"/>
      <c r="T313" s="31"/>
      <c r="U313" s="31"/>
      <c r="V313" s="31"/>
      <c r="W313" s="31"/>
      <c r="X313" s="31"/>
      <c r="Y313" s="31"/>
      <c r="Z313" s="31"/>
      <c r="AA313" s="31"/>
      <c r="AB313" s="31"/>
      <c r="AC313" s="31"/>
      <c r="AD313" s="31"/>
      <c r="AE313" s="31"/>
      <c r="AF313" s="31"/>
      <c r="AG313" s="31"/>
      <c r="AH313" s="31"/>
      <c r="AI313" s="31"/>
      <c r="AJ313" s="31"/>
      <c r="AK313" s="31"/>
      <c r="AL313" s="28" t="str">
        <f>VLOOKUP($G313,'[42]Sheet1 (2)'!$A$1:$B$1048440,2,FALSE)</f>
        <v>No.</v>
      </c>
      <c r="AM313" s="32"/>
      <c r="AN313" s="31"/>
      <c r="AO313" s="33"/>
    </row>
    <row r="314" spans="1:41" ht="28" x14ac:dyDescent="0.25">
      <c r="A314" s="40">
        <v>242</v>
      </c>
      <c r="B314" s="45" t="s">
        <v>362</v>
      </c>
      <c r="C314" s="45" t="s">
        <v>377</v>
      </c>
      <c r="D314" s="45" t="s">
        <v>388</v>
      </c>
      <c r="E314" s="44" t="s">
        <v>432</v>
      </c>
      <c r="F314" s="115" t="s">
        <v>388</v>
      </c>
      <c r="G314" s="45" t="s">
        <v>45</v>
      </c>
      <c r="H314" s="40">
        <v>7107</v>
      </c>
      <c r="I314" s="40">
        <v>706</v>
      </c>
      <c r="J314" s="31"/>
      <c r="K314" s="31"/>
      <c r="L314" s="31"/>
      <c r="M314" s="31"/>
      <c r="N314" s="31"/>
      <c r="O314" s="31"/>
      <c r="P314" s="31"/>
      <c r="Q314" s="31"/>
      <c r="R314" s="31"/>
      <c r="S314" s="31"/>
      <c r="T314" s="31"/>
      <c r="U314" s="31"/>
      <c r="V314" s="31"/>
      <c r="W314" s="31"/>
      <c r="X314" s="31"/>
      <c r="Y314" s="31"/>
      <c r="Z314" s="31"/>
      <c r="AA314" s="31"/>
      <c r="AB314" s="31"/>
      <c r="AC314" s="31"/>
      <c r="AD314" s="31"/>
      <c r="AE314" s="31"/>
      <c r="AF314" s="31"/>
      <c r="AG314" s="31"/>
      <c r="AH314" s="31"/>
      <c r="AI314" s="31"/>
      <c r="AJ314" s="31"/>
      <c r="AK314" s="31"/>
      <c r="AL314" s="28" t="str">
        <f>VLOOKUP($G314,'[42]Sheet1 (2)'!$A$1:$B$1048440,2,FALSE)</f>
        <v>No.</v>
      </c>
      <c r="AM314" s="32"/>
      <c r="AN314" s="31"/>
      <c r="AO314" s="33"/>
    </row>
    <row r="315" spans="1:41" ht="28" x14ac:dyDescent="0.25">
      <c r="A315" s="40">
        <v>243</v>
      </c>
      <c r="B315" s="45" t="s">
        <v>362</v>
      </c>
      <c r="C315" s="45" t="s">
        <v>384</v>
      </c>
      <c r="D315" s="45" t="s">
        <v>388</v>
      </c>
      <c r="E315" s="44" t="s">
        <v>441</v>
      </c>
      <c r="F315" s="115" t="s">
        <v>388</v>
      </c>
      <c r="G315" s="45" t="s">
        <v>45</v>
      </c>
      <c r="H315" s="40">
        <v>7161</v>
      </c>
      <c r="I315" s="40">
        <v>706</v>
      </c>
      <c r="J315" s="31"/>
      <c r="K315" s="31"/>
      <c r="L315" s="31"/>
      <c r="M315" s="31"/>
      <c r="N315" s="31"/>
      <c r="O315" s="31"/>
      <c r="P315" s="31"/>
      <c r="Q315" s="31"/>
      <c r="R315" s="31"/>
      <c r="S315" s="31"/>
      <c r="T315" s="31"/>
      <c r="U315" s="31"/>
      <c r="V315" s="31"/>
      <c r="W315" s="31"/>
      <c r="X315" s="31"/>
      <c r="Y315" s="31"/>
      <c r="Z315" s="31"/>
      <c r="AA315" s="31"/>
      <c r="AB315" s="31"/>
      <c r="AC315" s="31"/>
      <c r="AD315" s="31"/>
      <c r="AE315" s="31"/>
      <c r="AF315" s="31"/>
      <c r="AG315" s="31"/>
      <c r="AH315" s="31"/>
      <c r="AI315" s="31"/>
      <c r="AJ315" s="31"/>
      <c r="AK315" s="31"/>
      <c r="AL315" s="28" t="str">
        <f>VLOOKUP($G315,'[42]Sheet1 (2)'!$A$1:$B$1048440,2,FALSE)</f>
        <v>No.</v>
      </c>
      <c r="AM315" s="32"/>
      <c r="AN315" s="31"/>
      <c r="AO315" s="33"/>
    </row>
    <row r="316" spans="1:41" ht="28" x14ac:dyDescent="0.25">
      <c r="A316" s="40">
        <v>244</v>
      </c>
      <c r="B316" s="45" t="s">
        <v>362</v>
      </c>
      <c r="C316" s="45" t="s">
        <v>387</v>
      </c>
      <c r="D316" s="45" t="s">
        <v>388</v>
      </c>
      <c r="E316" s="44" t="s">
        <v>434</v>
      </c>
      <c r="F316" s="115" t="s">
        <v>388</v>
      </c>
      <c r="G316" s="45" t="s">
        <v>45</v>
      </c>
      <c r="H316" s="40">
        <v>9165</v>
      </c>
      <c r="I316" s="40">
        <v>706</v>
      </c>
      <c r="J316" s="31"/>
      <c r="K316" s="31"/>
      <c r="L316" s="31"/>
      <c r="M316" s="31"/>
      <c r="N316" s="31"/>
      <c r="O316" s="31"/>
      <c r="P316" s="31"/>
      <c r="Q316" s="31"/>
      <c r="R316" s="31"/>
      <c r="S316" s="31"/>
      <c r="T316" s="31"/>
      <c r="U316" s="31"/>
      <c r="V316" s="31"/>
      <c r="W316" s="31"/>
      <c r="X316" s="31"/>
      <c r="Y316" s="31"/>
      <c r="Z316" s="31"/>
      <c r="AA316" s="31"/>
      <c r="AB316" s="31"/>
      <c r="AC316" s="31"/>
      <c r="AD316" s="31"/>
      <c r="AE316" s="31"/>
      <c r="AF316" s="31"/>
      <c r="AG316" s="31"/>
      <c r="AH316" s="31"/>
      <c r="AI316" s="31"/>
      <c r="AJ316" s="31"/>
      <c r="AK316" s="31"/>
      <c r="AL316" s="28" t="str">
        <f>VLOOKUP($G316,'[42]Sheet1 (2)'!$A$1:$B$1048440,2,FALSE)</f>
        <v>No.</v>
      </c>
      <c r="AM316" s="32"/>
      <c r="AN316" s="31"/>
      <c r="AO316" s="33"/>
    </row>
    <row r="317" spans="1:41" ht="28" x14ac:dyDescent="0.25">
      <c r="A317" s="40">
        <v>245</v>
      </c>
      <c r="B317" s="45" t="s">
        <v>362</v>
      </c>
      <c r="C317" s="45" t="s">
        <v>390</v>
      </c>
      <c r="D317" s="45" t="s">
        <v>388</v>
      </c>
      <c r="E317" s="44" t="s">
        <v>442</v>
      </c>
      <c r="F317" s="115" t="s">
        <v>388</v>
      </c>
      <c r="G317" s="45" t="s">
        <v>45</v>
      </c>
      <c r="H317" s="40">
        <v>9242</v>
      </c>
      <c r="I317" s="40">
        <v>706</v>
      </c>
      <c r="J317" s="31"/>
      <c r="K317" s="31"/>
      <c r="L317" s="31"/>
      <c r="M317" s="31"/>
      <c r="N317" s="31"/>
      <c r="O317" s="31"/>
      <c r="P317" s="31"/>
      <c r="Q317" s="31"/>
      <c r="R317" s="31"/>
      <c r="S317" s="31"/>
      <c r="T317" s="31"/>
      <c r="U317" s="31"/>
      <c r="V317" s="31"/>
      <c r="W317" s="31"/>
      <c r="X317" s="31"/>
      <c r="Y317" s="31"/>
      <c r="Z317" s="31"/>
      <c r="AA317" s="31"/>
      <c r="AB317" s="31"/>
      <c r="AC317" s="31"/>
      <c r="AD317" s="31"/>
      <c r="AE317" s="31"/>
      <c r="AF317" s="31"/>
      <c r="AG317" s="31"/>
      <c r="AH317" s="31"/>
      <c r="AI317" s="31"/>
      <c r="AJ317" s="31"/>
      <c r="AK317" s="31"/>
      <c r="AL317" s="28" t="str">
        <f>VLOOKUP($G317,'[42]Sheet1 (2)'!$A$1:$B$1048440,2,FALSE)</f>
        <v>No.</v>
      </c>
      <c r="AM317" s="32"/>
      <c r="AN317" s="31"/>
      <c r="AO317" s="33"/>
    </row>
    <row r="318" spans="1:41" ht="28" x14ac:dyDescent="0.25">
      <c r="A318" s="40">
        <v>246</v>
      </c>
      <c r="B318" s="45" t="s">
        <v>362</v>
      </c>
      <c r="C318" s="45" t="s">
        <v>392</v>
      </c>
      <c r="D318" s="45" t="s">
        <v>388</v>
      </c>
      <c r="E318" s="44" t="s">
        <v>436</v>
      </c>
      <c r="F318" s="115" t="s">
        <v>388</v>
      </c>
      <c r="G318" s="45" t="s">
        <v>45</v>
      </c>
      <c r="H318" s="40">
        <v>14563</v>
      </c>
      <c r="I318" s="40">
        <v>706</v>
      </c>
      <c r="J318" s="31"/>
      <c r="K318" s="31"/>
      <c r="L318" s="31"/>
      <c r="M318" s="31"/>
      <c r="N318" s="31"/>
      <c r="O318" s="31"/>
      <c r="P318" s="31"/>
      <c r="Q318" s="31"/>
      <c r="R318" s="31"/>
      <c r="S318" s="31"/>
      <c r="T318" s="31"/>
      <c r="U318" s="31"/>
      <c r="V318" s="31"/>
      <c r="W318" s="31"/>
      <c r="X318" s="31"/>
      <c r="Y318" s="31"/>
      <c r="Z318" s="31"/>
      <c r="AA318" s="31"/>
      <c r="AB318" s="31"/>
      <c r="AC318" s="31"/>
      <c r="AD318" s="31"/>
      <c r="AE318" s="31"/>
      <c r="AF318" s="31"/>
      <c r="AG318" s="31"/>
      <c r="AH318" s="31"/>
      <c r="AI318" s="31"/>
      <c r="AJ318" s="31"/>
      <c r="AK318" s="31"/>
      <c r="AL318" s="28" t="str">
        <f>VLOOKUP($G318,'[42]Sheet1 (2)'!$A$1:$B$1048440,2,FALSE)</f>
        <v>No.</v>
      </c>
      <c r="AM318" s="32"/>
      <c r="AN318" s="31"/>
      <c r="AO318" s="33"/>
    </row>
    <row r="319" spans="1:41" ht="28" x14ac:dyDescent="0.25">
      <c r="A319" s="40">
        <v>247</v>
      </c>
      <c r="B319" s="45" t="s">
        <v>362</v>
      </c>
      <c r="C319" s="45" t="s">
        <v>437</v>
      </c>
      <c r="D319" s="45" t="s">
        <v>388</v>
      </c>
      <c r="E319" s="44" t="s">
        <v>443</v>
      </c>
      <c r="F319" s="115" t="s">
        <v>388</v>
      </c>
      <c r="G319" s="45" t="s">
        <v>45</v>
      </c>
      <c r="H319" s="40">
        <v>14700</v>
      </c>
      <c r="I319" s="40">
        <v>706</v>
      </c>
      <c r="J319" s="31"/>
      <c r="K319" s="31"/>
      <c r="L319" s="31"/>
      <c r="M319" s="31"/>
      <c r="N319" s="31"/>
      <c r="O319" s="31"/>
      <c r="P319" s="31"/>
      <c r="Q319" s="31"/>
      <c r="R319" s="31"/>
      <c r="S319" s="31"/>
      <c r="T319" s="31"/>
      <c r="U319" s="31"/>
      <c r="V319" s="31"/>
      <c r="W319" s="31"/>
      <c r="X319" s="31"/>
      <c r="Y319" s="31"/>
      <c r="Z319" s="31"/>
      <c r="AA319" s="31"/>
      <c r="AB319" s="31"/>
      <c r="AC319" s="31"/>
      <c r="AD319" s="31"/>
      <c r="AE319" s="31"/>
      <c r="AF319" s="31"/>
      <c r="AG319" s="31"/>
      <c r="AH319" s="31"/>
      <c r="AI319" s="31"/>
      <c r="AJ319" s="31"/>
      <c r="AK319" s="31"/>
      <c r="AL319" s="28" t="str">
        <f>VLOOKUP($G319,'[42]Sheet1 (2)'!$A$1:$B$1048440,2,FALSE)</f>
        <v>No.</v>
      </c>
      <c r="AM319" s="32"/>
      <c r="AN319" s="31"/>
      <c r="AO319" s="33"/>
    </row>
    <row r="320" spans="1:41" ht="322" x14ac:dyDescent="0.25">
      <c r="A320" s="43"/>
      <c r="B320" s="45" t="s">
        <v>362</v>
      </c>
      <c r="C320" s="129">
        <v>6.29</v>
      </c>
      <c r="D320" s="45" t="s">
        <v>388</v>
      </c>
      <c r="E320" s="43" t="s">
        <v>444</v>
      </c>
      <c r="F320" s="43"/>
      <c r="G320" s="43"/>
      <c r="H320" s="43"/>
      <c r="I320" s="43"/>
      <c r="J320" s="31"/>
      <c r="K320" s="31"/>
      <c r="L320" s="31"/>
      <c r="M320" s="31"/>
      <c r="N320" s="31"/>
      <c r="O320" s="31"/>
      <c r="P320" s="31"/>
      <c r="Q320" s="31"/>
      <c r="R320" s="31"/>
      <c r="S320" s="31"/>
      <c r="T320" s="31"/>
      <c r="U320" s="31"/>
      <c r="V320" s="31"/>
      <c r="W320" s="31"/>
      <c r="X320" s="31"/>
      <c r="Y320" s="31"/>
      <c r="Z320" s="31"/>
      <c r="AA320" s="31"/>
      <c r="AB320" s="31"/>
      <c r="AC320" s="31"/>
      <c r="AD320" s="31"/>
      <c r="AE320" s="31"/>
      <c r="AF320" s="31"/>
      <c r="AG320" s="31"/>
      <c r="AH320" s="31"/>
      <c r="AI320" s="31"/>
      <c r="AJ320" s="31"/>
      <c r="AK320" s="31"/>
      <c r="AL320" s="28" t="e">
        <f>VLOOKUP($G320,'[42]Sheet1 (2)'!$A$1:$B$1048440,2,FALSE)</f>
        <v>#N/A</v>
      </c>
      <c r="AM320" s="32"/>
      <c r="AN320" s="31"/>
      <c r="AO320" s="33"/>
    </row>
    <row r="321" spans="1:41" ht="28" x14ac:dyDescent="0.25">
      <c r="A321" s="40">
        <v>248</v>
      </c>
      <c r="B321" s="45" t="s">
        <v>362</v>
      </c>
      <c r="C321" s="45" t="s">
        <v>462</v>
      </c>
      <c r="D321" s="45" t="s">
        <v>388</v>
      </c>
      <c r="E321" s="44" t="s">
        <v>445</v>
      </c>
      <c r="F321" s="115" t="s">
        <v>388</v>
      </c>
      <c r="G321" s="45" t="s">
        <v>45</v>
      </c>
      <c r="H321" s="40">
        <v>3829</v>
      </c>
      <c r="I321" s="40">
        <v>706</v>
      </c>
      <c r="J321" s="31"/>
      <c r="K321" s="31"/>
      <c r="L321" s="31"/>
      <c r="M321" s="31"/>
      <c r="N321" s="31"/>
      <c r="O321" s="31"/>
      <c r="P321" s="31"/>
      <c r="Q321" s="31"/>
      <c r="R321" s="31"/>
      <c r="S321" s="31"/>
      <c r="T321" s="31"/>
      <c r="U321" s="31"/>
      <c r="V321" s="31"/>
      <c r="W321" s="31"/>
      <c r="X321" s="31"/>
      <c r="Y321" s="31"/>
      <c r="Z321" s="31"/>
      <c r="AA321" s="31"/>
      <c r="AB321" s="31"/>
      <c r="AC321" s="31"/>
      <c r="AD321" s="31"/>
      <c r="AE321" s="31"/>
      <c r="AF321" s="31"/>
      <c r="AG321" s="31"/>
      <c r="AH321" s="31"/>
      <c r="AI321" s="31"/>
      <c r="AJ321" s="31"/>
      <c r="AK321" s="31"/>
      <c r="AL321" s="28" t="str">
        <f>VLOOKUP($G321,'[42]Sheet1 (2)'!$A$1:$B$1048440,2,FALSE)</f>
        <v>No.</v>
      </c>
      <c r="AM321" s="32"/>
      <c r="AN321" s="31"/>
      <c r="AO321" s="33"/>
    </row>
    <row r="322" spans="1:41" ht="28" x14ac:dyDescent="0.25">
      <c r="A322" s="40">
        <v>249</v>
      </c>
      <c r="B322" s="45" t="s">
        <v>362</v>
      </c>
      <c r="C322" s="45" t="s">
        <v>463</v>
      </c>
      <c r="D322" s="45" t="s">
        <v>388</v>
      </c>
      <c r="E322" s="44" t="s">
        <v>446</v>
      </c>
      <c r="F322" s="115" t="s">
        <v>388</v>
      </c>
      <c r="G322" s="45" t="s">
        <v>45</v>
      </c>
      <c r="H322" s="40">
        <v>3847</v>
      </c>
      <c r="I322" s="40">
        <v>706</v>
      </c>
      <c r="J322" s="31"/>
      <c r="K322" s="31"/>
      <c r="L322" s="31"/>
      <c r="M322" s="31"/>
      <c r="N322" s="31"/>
      <c r="O322" s="31"/>
      <c r="P322" s="31"/>
      <c r="Q322" s="31"/>
      <c r="R322" s="31"/>
      <c r="S322" s="31"/>
      <c r="T322" s="31"/>
      <c r="U322" s="31"/>
      <c r="V322" s="31"/>
      <c r="W322" s="31"/>
      <c r="X322" s="31"/>
      <c r="Y322" s="31"/>
      <c r="Z322" s="31"/>
      <c r="AA322" s="31"/>
      <c r="AB322" s="31"/>
      <c r="AC322" s="31"/>
      <c r="AD322" s="31"/>
      <c r="AE322" s="31"/>
      <c r="AF322" s="31"/>
      <c r="AG322" s="31"/>
      <c r="AH322" s="31"/>
      <c r="AI322" s="31"/>
      <c r="AJ322" s="31"/>
      <c r="AK322" s="31"/>
      <c r="AL322" s="28" t="str">
        <f>VLOOKUP($G322,'[42]Sheet1 (2)'!$A$1:$B$1048440,2,FALSE)</f>
        <v>No.</v>
      </c>
      <c r="AM322" s="32"/>
      <c r="AN322" s="31"/>
      <c r="AO322" s="33"/>
    </row>
    <row r="323" spans="1:41" ht="28" x14ac:dyDescent="0.25">
      <c r="A323" s="40">
        <v>250</v>
      </c>
      <c r="B323" s="45" t="s">
        <v>362</v>
      </c>
      <c r="C323" s="45" t="s">
        <v>377</v>
      </c>
      <c r="D323" s="45" t="s">
        <v>388</v>
      </c>
      <c r="E323" s="44" t="s">
        <v>447</v>
      </c>
      <c r="F323" s="115" t="s">
        <v>388</v>
      </c>
      <c r="G323" s="45" t="s">
        <v>45</v>
      </c>
      <c r="H323" s="40">
        <v>4299</v>
      </c>
      <c r="I323" s="40">
        <v>706</v>
      </c>
      <c r="J323" s="31"/>
      <c r="K323" s="31"/>
      <c r="L323" s="31"/>
      <c r="M323" s="31"/>
      <c r="N323" s="31"/>
      <c r="O323" s="31"/>
      <c r="P323" s="31"/>
      <c r="Q323" s="31"/>
      <c r="R323" s="31"/>
      <c r="S323" s="31"/>
      <c r="T323" s="31"/>
      <c r="U323" s="31"/>
      <c r="V323" s="31"/>
      <c r="W323" s="31"/>
      <c r="X323" s="31"/>
      <c r="Y323" s="31"/>
      <c r="Z323" s="31"/>
      <c r="AA323" s="31"/>
      <c r="AB323" s="31"/>
      <c r="AC323" s="31"/>
      <c r="AD323" s="31"/>
      <c r="AE323" s="31"/>
      <c r="AF323" s="31"/>
      <c r="AG323" s="31"/>
      <c r="AH323" s="31"/>
      <c r="AI323" s="31"/>
      <c r="AJ323" s="31"/>
      <c r="AK323" s="31"/>
      <c r="AL323" s="28" t="str">
        <f>VLOOKUP($G323,'[42]Sheet1 (2)'!$A$1:$B$1048440,2,FALSE)</f>
        <v>No.</v>
      </c>
      <c r="AM323" s="32"/>
      <c r="AN323" s="31"/>
      <c r="AO323" s="33"/>
    </row>
    <row r="324" spans="1:41" ht="28" x14ac:dyDescent="0.25">
      <c r="A324" s="40">
        <v>251</v>
      </c>
      <c r="B324" s="45" t="s">
        <v>362</v>
      </c>
      <c r="C324" s="45" t="s">
        <v>384</v>
      </c>
      <c r="D324" s="45" t="s">
        <v>388</v>
      </c>
      <c r="E324" s="44" t="s">
        <v>448</v>
      </c>
      <c r="F324" s="115" t="s">
        <v>388</v>
      </c>
      <c r="G324" s="45" t="s">
        <v>45</v>
      </c>
      <c r="H324" s="40">
        <v>4325</v>
      </c>
      <c r="I324" s="40">
        <v>706</v>
      </c>
      <c r="J324" s="31"/>
      <c r="K324" s="31"/>
      <c r="L324" s="31"/>
      <c r="M324" s="31"/>
      <c r="N324" s="31"/>
      <c r="O324" s="31"/>
      <c r="P324" s="31"/>
      <c r="Q324" s="31"/>
      <c r="R324" s="31"/>
      <c r="S324" s="31"/>
      <c r="T324" s="31"/>
      <c r="U324" s="31"/>
      <c r="V324" s="31"/>
      <c r="W324" s="31"/>
      <c r="X324" s="31"/>
      <c r="Y324" s="31"/>
      <c r="Z324" s="31"/>
      <c r="AA324" s="31"/>
      <c r="AB324" s="31"/>
      <c r="AC324" s="31"/>
      <c r="AD324" s="31"/>
      <c r="AE324" s="31"/>
      <c r="AF324" s="31"/>
      <c r="AG324" s="31"/>
      <c r="AH324" s="31"/>
      <c r="AI324" s="31"/>
      <c r="AJ324" s="31"/>
      <c r="AK324" s="31"/>
      <c r="AL324" s="28" t="str">
        <f>VLOOKUP($G324,'[42]Sheet1 (2)'!$A$1:$B$1048440,2,FALSE)</f>
        <v>No.</v>
      </c>
      <c r="AM324" s="32"/>
      <c r="AN324" s="31"/>
      <c r="AO324" s="33"/>
    </row>
    <row r="325" spans="1:41" ht="28" x14ac:dyDescent="0.25">
      <c r="A325" s="40">
        <v>252</v>
      </c>
      <c r="B325" s="45" t="s">
        <v>362</v>
      </c>
      <c r="C325" s="45" t="s">
        <v>387</v>
      </c>
      <c r="D325" s="45" t="s">
        <v>388</v>
      </c>
      <c r="E325" s="44" t="s">
        <v>449</v>
      </c>
      <c r="F325" s="115" t="s">
        <v>388</v>
      </c>
      <c r="G325" s="45" t="s">
        <v>45</v>
      </c>
      <c r="H325" s="40">
        <v>5212</v>
      </c>
      <c r="I325" s="40">
        <v>706</v>
      </c>
      <c r="J325" s="31"/>
      <c r="K325" s="31"/>
      <c r="L325" s="31"/>
      <c r="M325" s="31"/>
      <c r="N325" s="31"/>
      <c r="O325" s="31"/>
      <c r="P325" s="31"/>
      <c r="Q325" s="31"/>
      <c r="R325" s="31"/>
      <c r="S325" s="31"/>
      <c r="T325" s="31"/>
      <c r="U325" s="31"/>
      <c r="V325" s="31"/>
      <c r="W325" s="31"/>
      <c r="X325" s="31"/>
      <c r="Y325" s="31"/>
      <c r="Z325" s="31"/>
      <c r="AA325" s="31"/>
      <c r="AB325" s="31"/>
      <c r="AC325" s="31"/>
      <c r="AD325" s="31"/>
      <c r="AE325" s="31"/>
      <c r="AF325" s="31"/>
      <c r="AG325" s="31"/>
      <c r="AH325" s="31"/>
      <c r="AI325" s="31"/>
      <c r="AJ325" s="31"/>
      <c r="AK325" s="31"/>
      <c r="AL325" s="28" t="str">
        <f>VLOOKUP($G325,'[42]Sheet1 (2)'!$A$1:$B$1048440,2,FALSE)</f>
        <v>No.</v>
      </c>
      <c r="AM325" s="32"/>
      <c r="AN325" s="31"/>
      <c r="AO325" s="33"/>
    </row>
    <row r="326" spans="1:41" ht="28" x14ac:dyDescent="0.25">
      <c r="A326" s="40">
        <v>253</v>
      </c>
      <c r="B326" s="45" t="s">
        <v>362</v>
      </c>
      <c r="C326" s="45" t="s">
        <v>390</v>
      </c>
      <c r="D326" s="45" t="s">
        <v>388</v>
      </c>
      <c r="E326" s="44" t="s">
        <v>450</v>
      </c>
      <c r="F326" s="115" t="s">
        <v>388</v>
      </c>
      <c r="G326" s="45" t="s">
        <v>45</v>
      </c>
      <c r="H326" s="40">
        <v>5254</v>
      </c>
      <c r="I326" s="40">
        <v>706</v>
      </c>
      <c r="J326" s="31"/>
      <c r="K326" s="31"/>
      <c r="L326" s="31"/>
      <c r="M326" s="31"/>
      <c r="N326" s="31"/>
      <c r="O326" s="31"/>
      <c r="P326" s="31"/>
      <c r="Q326" s="31"/>
      <c r="R326" s="31"/>
      <c r="S326" s="31"/>
      <c r="T326" s="31"/>
      <c r="U326" s="31"/>
      <c r="V326" s="31"/>
      <c r="W326" s="31"/>
      <c r="X326" s="31"/>
      <c r="Y326" s="31"/>
      <c r="Z326" s="31"/>
      <c r="AA326" s="31"/>
      <c r="AB326" s="31"/>
      <c r="AC326" s="31"/>
      <c r="AD326" s="31"/>
      <c r="AE326" s="31"/>
      <c r="AF326" s="31"/>
      <c r="AG326" s="31"/>
      <c r="AH326" s="31"/>
      <c r="AI326" s="31"/>
      <c r="AJ326" s="31"/>
      <c r="AK326" s="31"/>
      <c r="AL326" s="28" t="str">
        <f>VLOOKUP($G326,'[42]Sheet1 (2)'!$A$1:$B$1048440,2,FALSE)</f>
        <v>No.</v>
      </c>
      <c r="AM326" s="32"/>
      <c r="AN326" s="31"/>
      <c r="AO326" s="33"/>
    </row>
    <row r="327" spans="1:41" ht="28" x14ac:dyDescent="0.25">
      <c r="A327" s="40">
        <v>254</v>
      </c>
      <c r="B327" s="45" t="s">
        <v>362</v>
      </c>
      <c r="C327" s="45" t="s">
        <v>392</v>
      </c>
      <c r="D327" s="45" t="s">
        <v>388</v>
      </c>
      <c r="E327" s="44" t="s">
        <v>451</v>
      </c>
      <c r="F327" s="115" t="s">
        <v>388</v>
      </c>
      <c r="G327" s="45" t="s">
        <v>45</v>
      </c>
      <c r="H327" s="40">
        <v>7072</v>
      </c>
      <c r="I327" s="40">
        <v>706</v>
      </c>
      <c r="J327" s="31"/>
      <c r="K327" s="31"/>
      <c r="L327" s="31"/>
      <c r="M327" s="31"/>
      <c r="N327" s="31"/>
      <c r="O327" s="31"/>
      <c r="P327" s="31"/>
      <c r="Q327" s="31"/>
      <c r="R327" s="31"/>
      <c r="S327" s="31"/>
      <c r="T327" s="31"/>
      <c r="U327" s="31"/>
      <c r="V327" s="31"/>
      <c r="W327" s="31"/>
      <c r="X327" s="31"/>
      <c r="Y327" s="31"/>
      <c r="Z327" s="31"/>
      <c r="AA327" s="31"/>
      <c r="AB327" s="31"/>
      <c r="AC327" s="31"/>
      <c r="AD327" s="31"/>
      <c r="AE327" s="31"/>
      <c r="AF327" s="31"/>
      <c r="AG327" s="31"/>
      <c r="AH327" s="31"/>
      <c r="AI327" s="31"/>
      <c r="AJ327" s="31"/>
      <c r="AK327" s="31"/>
      <c r="AL327" s="28" t="str">
        <f>VLOOKUP($G327,'[42]Sheet1 (2)'!$A$1:$B$1048440,2,FALSE)</f>
        <v>No.</v>
      </c>
      <c r="AM327" s="32"/>
      <c r="AN327" s="31"/>
      <c r="AO327" s="33"/>
    </row>
    <row r="328" spans="1:41" ht="28" x14ac:dyDescent="0.25">
      <c r="A328" s="40">
        <v>255</v>
      </c>
      <c r="B328" s="45" t="s">
        <v>362</v>
      </c>
      <c r="C328" s="45" t="s">
        <v>437</v>
      </c>
      <c r="D328" s="45" t="s">
        <v>388</v>
      </c>
      <c r="E328" s="44" t="s">
        <v>452</v>
      </c>
      <c r="F328" s="115" t="s">
        <v>388</v>
      </c>
      <c r="G328" s="45" t="s">
        <v>45</v>
      </c>
      <c r="H328" s="40">
        <v>7148</v>
      </c>
      <c r="I328" s="40">
        <v>706</v>
      </c>
      <c r="J328" s="31"/>
      <c r="K328" s="31"/>
      <c r="L328" s="31"/>
      <c r="M328" s="31"/>
      <c r="N328" s="31"/>
      <c r="O328" s="31"/>
      <c r="P328" s="31"/>
      <c r="Q328" s="31"/>
      <c r="R328" s="31"/>
      <c r="S328" s="31"/>
      <c r="T328" s="31"/>
      <c r="U328" s="31"/>
      <c r="V328" s="31"/>
      <c r="W328" s="31"/>
      <c r="X328" s="31"/>
      <c r="Y328" s="31"/>
      <c r="Z328" s="31"/>
      <c r="AA328" s="31"/>
      <c r="AB328" s="31"/>
      <c r="AC328" s="31"/>
      <c r="AD328" s="31"/>
      <c r="AE328" s="31"/>
      <c r="AF328" s="31"/>
      <c r="AG328" s="31"/>
      <c r="AH328" s="31"/>
      <c r="AI328" s="31"/>
      <c r="AJ328" s="31"/>
      <c r="AK328" s="31"/>
      <c r="AL328" s="28" t="str">
        <f>VLOOKUP($G328,'[42]Sheet1 (2)'!$A$1:$B$1048440,2,FALSE)</f>
        <v>No.</v>
      </c>
      <c r="AM328" s="32"/>
      <c r="AN328" s="31"/>
      <c r="AO328" s="33"/>
    </row>
    <row r="329" spans="1:41" ht="308" x14ac:dyDescent="0.25">
      <c r="A329" s="43"/>
      <c r="B329" s="45" t="s">
        <v>362</v>
      </c>
      <c r="C329" s="129">
        <v>6.3</v>
      </c>
      <c r="D329" s="45" t="s">
        <v>388</v>
      </c>
      <c r="E329" s="43" t="s">
        <v>453</v>
      </c>
      <c r="F329" s="43"/>
      <c r="G329" s="43"/>
      <c r="H329" s="43"/>
      <c r="I329" s="43"/>
      <c r="J329" s="31"/>
      <c r="K329" s="31"/>
      <c r="L329" s="31"/>
      <c r="M329" s="31"/>
      <c r="N329" s="31"/>
      <c r="O329" s="31"/>
      <c r="P329" s="31"/>
      <c r="Q329" s="31"/>
      <c r="R329" s="31"/>
      <c r="S329" s="31"/>
      <c r="T329" s="31"/>
      <c r="U329" s="31"/>
      <c r="V329" s="31"/>
      <c r="W329" s="31"/>
      <c r="X329" s="31"/>
      <c r="Y329" s="31"/>
      <c r="Z329" s="31"/>
      <c r="AA329" s="31"/>
      <c r="AB329" s="31"/>
      <c r="AC329" s="31"/>
      <c r="AD329" s="31"/>
      <c r="AE329" s="31"/>
      <c r="AF329" s="31"/>
      <c r="AG329" s="31"/>
      <c r="AH329" s="31"/>
      <c r="AI329" s="31"/>
      <c r="AJ329" s="31"/>
      <c r="AK329" s="31"/>
      <c r="AL329" s="28" t="e">
        <f>VLOOKUP($G329,'[42]Sheet1 (2)'!$A$1:$B$1048440,2,FALSE)</f>
        <v>#N/A</v>
      </c>
      <c r="AM329" s="32"/>
      <c r="AN329" s="31"/>
      <c r="AO329" s="33"/>
    </row>
    <row r="330" spans="1:41" ht="28" x14ac:dyDescent="0.25">
      <c r="A330" s="40">
        <v>256</v>
      </c>
      <c r="B330" s="45" t="s">
        <v>362</v>
      </c>
      <c r="C330" s="45" t="s">
        <v>464</v>
      </c>
      <c r="D330" s="45" t="s">
        <v>388</v>
      </c>
      <c r="E330" s="44" t="s">
        <v>445</v>
      </c>
      <c r="F330" s="115" t="s">
        <v>388</v>
      </c>
      <c r="G330" s="45" t="s">
        <v>45</v>
      </c>
      <c r="H330" s="40">
        <v>4291</v>
      </c>
      <c r="I330" s="40">
        <v>706</v>
      </c>
      <c r="J330" s="31"/>
      <c r="K330" s="31"/>
      <c r="L330" s="31"/>
      <c r="M330" s="31"/>
      <c r="N330" s="31"/>
      <c r="O330" s="31"/>
      <c r="P330" s="31"/>
      <c r="Q330" s="31"/>
      <c r="R330" s="31"/>
      <c r="S330" s="31"/>
      <c r="T330" s="31"/>
      <c r="U330" s="31"/>
      <c r="V330" s="31"/>
      <c r="W330" s="31"/>
      <c r="X330" s="31"/>
      <c r="Y330" s="31"/>
      <c r="Z330" s="31"/>
      <c r="AA330" s="31"/>
      <c r="AB330" s="31"/>
      <c r="AC330" s="31"/>
      <c r="AD330" s="31"/>
      <c r="AE330" s="31"/>
      <c r="AF330" s="31"/>
      <c r="AG330" s="31"/>
      <c r="AH330" s="31"/>
      <c r="AI330" s="31"/>
      <c r="AJ330" s="31"/>
      <c r="AK330" s="31"/>
      <c r="AL330" s="28" t="str">
        <f>VLOOKUP($G330,'[42]Sheet1 (2)'!$A$1:$B$1048440,2,FALSE)</f>
        <v>No.</v>
      </c>
      <c r="AM330" s="32"/>
      <c r="AN330" s="31"/>
      <c r="AO330" s="33"/>
    </row>
    <row r="331" spans="1:41" ht="28" x14ac:dyDescent="0.25">
      <c r="A331" s="40">
        <v>257</v>
      </c>
      <c r="B331" s="45" t="s">
        <v>362</v>
      </c>
      <c r="C331" s="45" t="s">
        <v>465</v>
      </c>
      <c r="D331" s="45" t="s">
        <v>388</v>
      </c>
      <c r="E331" s="44" t="s">
        <v>454</v>
      </c>
      <c r="F331" s="115" t="s">
        <v>388</v>
      </c>
      <c r="G331" s="45" t="s">
        <v>45</v>
      </c>
      <c r="H331" s="40">
        <v>4309</v>
      </c>
      <c r="I331" s="40">
        <v>706</v>
      </c>
      <c r="J331" s="31"/>
      <c r="K331" s="31"/>
      <c r="L331" s="31"/>
      <c r="M331" s="31"/>
      <c r="N331" s="31"/>
      <c r="O331" s="31"/>
      <c r="P331" s="31"/>
      <c r="Q331" s="31"/>
      <c r="R331" s="31"/>
      <c r="S331" s="31"/>
      <c r="T331" s="31"/>
      <c r="U331" s="31"/>
      <c r="V331" s="31"/>
      <c r="W331" s="31"/>
      <c r="X331" s="31"/>
      <c r="Y331" s="31"/>
      <c r="Z331" s="31"/>
      <c r="AA331" s="31"/>
      <c r="AB331" s="31"/>
      <c r="AC331" s="31"/>
      <c r="AD331" s="31"/>
      <c r="AE331" s="31"/>
      <c r="AF331" s="31"/>
      <c r="AG331" s="31"/>
      <c r="AH331" s="31"/>
      <c r="AI331" s="31"/>
      <c r="AJ331" s="31"/>
      <c r="AK331" s="31"/>
      <c r="AL331" s="28" t="str">
        <f>VLOOKUP($G331,'[42]Sheet1 (2)'!$A$1:$B$1048440,2,FALSE)</f>
        <v>No.</v>
      </c>
      <c r="AM331" s="32"/>
      <c r="AN331" s="31"/>
      <c r="AO331" s="33"/>
    </row>
    <row r="332" spans="1:41" ht="28" x14ac:dyDescent="0.25">
      <c r="A332" s="40">
        <v>258</v>
      </c>
      <c r="B332" s="45" t="s">
        <v>362</v>
      </c>
      <c r="C332" s="45" t="s">
        <v>377</v>
      </c>
      <c r="D332" s="45" t="s">
        <v>388</v>
      </c>
      <c r="E332" s="44" t="s">
        <v>447</v>
      </c>
      <c r="F332" s="115" t="s">
        <v>388</v>
      </c>
      <c r="G332" s="45" t="s">
        <v>45</v>
      </c>
      <c r="H332" s="40">
        <v>4933</v>
      </c>
      <c r="I332" s="40">
        <v>706</v>
      </c>
      <c r="J332" s="31"/>
      <c r="K332" s="31"/>
      <c r="L332" s="31"/>
      <c r="M332" s="31"/>
      <c r="N332" s="31"/>
      <c r="O332" s="31"/>
      <c r="P332" s="31"/>
      <c r="Q332" s="31"/>
      <c r="R332" s="31"/>
      <c r="S332" s="31"/>
      <c r="T332" s="31"/>
      <c r="U332" s="31"/>
      <c r="V332" s="31"/>
      <c r="W332" s="31"/>
      <c r="X332" s="31"/>
      <c r="Y332" s="31"/>
      <c r="Z332" s="31"/>
      <c r="AA332" s="31"/>
      <c r="AB332" s="31"/>
      <c r="AC332" s="31"/>
      <c r="AD332" s="31"/>
      <c r="AE332" s="31"/>
      <c r="AF332" s="31"/>
      <c r="AG332" s="31"/>
      <c r="AH332" s="31"/>
      <c r="AI332" s="31"/>
      <c r="AJ332" s="31"/>
      <c r="AK332" s="31"/>
      <c r="AL332" s="28" t="str">
        <f>VLOOKUP($G332,'[42]Sheet1 (2)'!$A$1:$B$1048440,2,FALSE)</f>
        <v>No.</v>
      </c>
      <c r="AM332" s="32"/>
      <c r="AN332" s="31"/>
      <c r="AO332" s="33"/>
    </row>
    <row r="333" spans="1:41" ht="28" x14ac:dyDescent="0.25">
      <c r="A333" s="40">
        <v>259</v>
      </c>
      <c r="B333" s="45" t="s">
        <v>362</v>
      </c>
      <c r="C333" s="45" t="s">
        <v>384</v>
      </c>
      <c r="D333" s="45" t="s">
        <v>388</v>
      </c>
      <c r="E333" s="44" t="s">
        <v>455</v>
      </c>
      <c r="F333" s="115" t="s">
        <v>388</v>
      </c>
      <c r="G333" s="45" t="s">
        <v>45</v>
      </c>
      <c r="H333" s="40">
        <v>4958</v>
      </c>
      <c r="I333" s="40">
        <v>706</v>
      </c>
      <c r="J333" s="31"/>
      <c r="K333" s="31"/>
      <c r="L333" s="31"/>
      <c r="M333" s="31"/>
      <c r="N333" s="31"/>
      <c r="O333" s="31"/>
      <c r="P333" s="31"/>
      <c r="Q333" s="31"/>
      <c r="R333" s="31"/>
      <c r="S333" s="31"/>
      <c r="T333" s="31"/>
      <c r="U333" s="31"/>
      <c r="V333" s="31"/>
      <c r="W333" s="31"/>
      <c r="X333" s="31"/>
      <c r="Y333" s="31"/>
      <c r="Z333" s="31"/>
      <c r="AA333" s="31"/>
      <c r="AB333" s="31"/>
      <c r="AC333" s="31"/>
      <c r="AD333" s="31"/>
      <c r="AE333" s="31"/>
      <c r="AF333" s="31"/>
      <c r="AG333" s="31"/>
      <c r="AH333" s="31"/>
      <c r="AI333" s="31"/>
      <c r="AJ333" s="31"/>
      <c r="AK333" s="31"/>
      <c r="AL333" s="28" t="str">
        <f>VLOOKUP($G333,'[42]Sheet1 (2)'!$A$1:$B$1048440,2,FALSE)</f>
        <v>No.</v>
      </c>
      <c r="AM333" s="32"/>
      <c r="AN333" s="31"/>
      <c r="AO333" s="33"/>
    </row>
    <row r="334" spans="1:41" ht="28" x14ac:dyDescent="0.25">
      <c r="A334" s="40">
        <v>260</v>
      </c>
      <c r="B334" s="45" t="s">
        <v>362</v>
      </c>
      <c r="C334" s="45" t="s">
        <v>387</v>
      </c>
      <c r="D334" s="45" t="s">
        <v>388</v>
      </c>
      <c r="E334" s="44" t="s">
        <v>456</v>
      </c>
      <c r="F334" s="115" t="s">
        <v>388</v>
      </c>
      <c r="G334" s="45" t="s">
        <v>45</v>
      </c>
      <c r="H334" s="40">
        <v>6289</v>
      </c>
      <c r="I334" s="40">
        <v>706</v>
      </c>
      <c r="J334" s="31"/>
      <c r="K334" s="31"/>
      <c r="L334" s="31"/>
      <c r="M334" s="31"/>
      <c r="N334" s="31"/>
      <c r="O334" s="31"/>
      <c r="P334" s="31"/>
      <c r="Q334" s="31"/>
      <c r="R334" s="31"/>
      <c r="S334" s="31"/>
      <c r="T334" s="31"/>
      <c r="U334" s="31"/>
      <c r="V334" s="31"/>
      <c r="W334" s="31"/>
      <c r="X334" s="31"/>
      <c r="Y334" s="31"/>
      <c r="Z334" s="31"/>
      <c r="AA334" s="31"/>
      <c r="AB334" s="31"/>
      <c r="AC334" s="31"/>
      <c r="AD334" s="31"/>
      <c r="AE334" s="31"/>
      <c r="AF334" s="31"/>
      <c r="AG334" s="31"/>
      <c r="AH334" s="31"/>
      <c r="AI334" s="31"/>
      <c r="AJ334" s="31"/>
      <c r="AK334" s="31"/>
      <c r="AL334" s="28" t="str">
        <f>VLOOKUP($G334,'[42]Sheet1 (2)'!$A$1:$B$1048440,2,FALSE)</f>
        <v>No.</v>
      </c>
      <c r="AM334" s="32"/>
      <c r="AN334" s="31"/>
      <c r="AO334" s="33"/>
    </row>
    <row r="335" spans="1:41" ht="28" x14ac:dyDescent="0.25">
      <c r="A335" s="40">
        <v>261</v>
      </c>
      <c r="B335" s="45" t="s">
        <v>362</v>
      </c>
      <c r="C335" s="45" t="s">
        <v>390</v>
      </c>
      <c r="D335" s="45" t="s">
        <v>388</v>
      </c>
      <c r="E335" s="44" t="s">
        <v>457</v>
      </c>
      <c r="F335" s="115" t="s">
        <v>388</v>
      </c>
      <c r="G335" s="45" t="s">
        <v>45</v>
      </c>
      <c r="H335" s="40">
        <v>6331</v>
      </c>
      <c r="I335" s="40">
        <v>706</v>
      </c>
      <c r="J335" s="31"/>
      <c r="K335" s="31"/>
      <c r="L335" s="31"/>
      <c r="M335" s="31"/>
      <c r="N335" s="31"/>
      <c r="O335" s="31"/>
      <c r="P335" s="31"/>
      <c r="Q335" s="31"/>
      <c r="R335" s="31"/>
      <c r="S335" s="31"/>
      <c r="T335" s="31"/>
      <c r="U335" s="31"/>
      <c r="V335" s="31"/>
      <c r="W335" s="31"/>
      <c r="X335" s="31"/>
      <c r="Y335" s="31"/>
      <c r="Z335" s="31"/>
      <c r="AA335" s="31"/>
      <c r="AB335" s="31"/>
      <c r="AC335" s="31"/>
      <c r="AD335" s="31"/>
      <c r="AE335" s="31"/>
      <c r="AF335" s="31"/>
      <c r="AG335" s="31"/>
      <c r="AH335" s="31"/>
      <c r="AI335" s="31"/>
      <c r="AJ335" s="31"/>
      <c r="AK335" s="31"/>
      <c r="AL335" s="28" t="str">
        <f>VLOOKUP($G335,'[42]Sheet1 (2)'!$A$1:$B$1048440,2,FALSE)</f>
        <v>No.</v>
      </c>
      <c r="AM335" s="32"/>
      <c r="AN335" s="31"/>
      <c r="AO335" s="33"/>
    </row>
    <row r="336" spans="1:41" ht="28" x14ac:dyDescent="0.25">
      <c r="A336" s="40">
        <v>262</v>
      </c>
      <c r="B336" s="45" t="s">
        <v>362</v>
      </c>
      <c r="C336" s="45" t="s">
        <v>392</v>
      </c>
      <c r="D336" s="45" t="s">
        <v>388</v>
      </c>
      <c r="E336" s="44" t="s">
        <v>451</v>
      </c>
      <c r="F336" s="115" t="s">
        <v>388</v>
      </c>
      <c r="G336" s="45" t="s">
        <v>45</v>
      </c>
      <c r="H336" s="40">
        <v>9085</v>
      </c>
      <c r="I336" s="40">
        <v>706</v>
      </c>
      <c r="J336" s="31"/>
      <c r="K336" s="31"/>
      <c r="L336" s="31"/>
      <c r="M336" s="31"/>
      <c r="N336" s="31"/>
      <c r="O336" s="31"/>
      <c r="P336" s="31"/>
      <c r="Q336" s="31"/>
      <c r="R336" s="31"/>
      <c r="S336" s="31"/>
      <c r="T336" s="31"/>
      <c r="U336" s="31"/>
      <c r="V336" s="31"/>
      <c r="W336" s="31"/>
      <c r="X336" s="31"/>
      <c r="Y336" s="31"/>
      <c r="Z336" s="31"/>
      <c r="AA336" s="31"/>
      <c r="AB336" s="31"/>
      <c r="AC336" s="31"/>
      <c r="AD336" s="31"/>
      <c r="AE336" s="31"/>
      <c r="AF336" s="31"/>
      <c r="AG336" s="31"/>
      <c r="AH336" s="31"/>
      <c r="AI336" s="31"/>
      <c r="AJ336" s="31"/>
      <c r="AK336" s="31"/>
      <c r="AL336" s="28" t="str">
        <f>VLOOKUP($G336,'[42]Sheet1 (2)'!$A$1:$B$1048440,2,FALSE)</f>
        <v>No.</v>
      </c>
      <c r="AM336" s="32"/>
      <c r="AN336" s="31"/>
      <c r="AO336" s="33"/>
    </row>
    <row r="337" spans="1:41" ht="28" x14ac:dyDescent="0.25">
      <c r="A337" s="40">
        <v>263</v>
      </c>
      <c r="B337" s="45" t="s">
        <v>362</v>
      </c>
      <c r="C337" s="45" t="s">
        <v>437</v>
      </c>
      <c r="D337" s="45" t="s">
        <v>388</v>
      </c>
      <c r="E337" s="44" t="s">
        <v>458</v>
      </c>
      <c r="F337" s="115" t="s">
        <v>388</v>
      </c>
      <c r="G337" s="45" t="s">
        <v>45</v>
      </c>
      <c r="H337" s="40">
        <v>9160</v>
      </c>
      <c r="I337" s="40">
        <v>706</v>
      </c>
      <c r="J337" s="31"/>
      <c r="K337" s="31"/>
      <c r="L337" s="31"/>
      <c r="M337" s="31"/>
      <c r="N337" s="31"/>
      <c r="O337" s="31"/>
      <c r="P337" s="31"/>
      <c r="Q337" s="31"/>
      <c r="R337" s="31"/>
      <c r="S337" s="31"/>
      <c r="T337" s="31"/>
      <c r="U337" s="31"/>
      <c r="V337" s="31"/>
      <c r="W337" s="31"/>
      <c r="X337" s="31"/>
      <c r="Y337" s="31"/>
      <c r="Z337" s="31"/>
      <c r="AA337" s="31"/>
      <c r="AB337" s="31"/>
      <c r="AC337" s="31"/>
      <c r="AD337" s="31"/>
      <c r="AE337" s="31"/>
      <c r="AF337" s="31"/>
      <c r="AG337" s="31"/>
      <c r="AH337" s="31"/>
      <c r="AI337" s="31"/>
      <c r="AJ337" s="31"/>
      <c r="AK337" s="31"/>
      <c r="AL337" s="28" t="str">
        <f>VLOOKUP($G337,'[42]Sheet1 (2)'!$A$1:$B$1048440,2,FALSE)</f>
        <v>No.</v>
      </c>
      <c r="AM337" s="32"/>
      <c r="AN337" s="31"/>
      <c r="AO337" s="33"/>
    </row>
    <row r="338" spans="1:41" ht="308" x14ac:dyDescent="0.25">
      <c r="A338" s="43"/>
      <c r="B338" s="45" t="s">
        <v>362</v>
      </c>
      <c r="C338" s="129">
        <v>6.31</v>
      </c>
      <c r="D338" s="45" t="s">
        <v>388</v>
      </c>
      <c r="E338" s="43" t="s">
        <v>459</v>
      </c>
      <c r="F338" s="43"/>
      <c r="G338" s="43"/>
      <c r="H338" s="43"/>
      <c r="I338" s="43"/>
      <c r="J338" s="31"/>
      <c r="K338" s="31"/>
      <c r="L338" s="31"/>
      <c r="M338" s="31"/>
      <c r="N338" s="31"/>
      <c r="O338" s="31"/>
      <c r="P338" s="31"/>
      <c r="Q338" s="31"/>
      <c r="R338" s="31"/>
      <c r="S338" s="31"/>
      <c r="T338" s="31"/>
      <c r="U338" s="31"/>
      <c r="V338" s="31"/>
      <c r="W338" s="31"/>
      <c r="X338" s="31"/>
      <c r="Y338" s="31"/>
      <c r="Z338" s="31"/>
      <c r="AA338" s="31"/>
      <c r="AB338" s="31"/>
      <c r="AC338" s="31"/>
      <c r="AD338" s="31"/>
      <c r="AE338" s="31"/>
      <c r="AF338" s="31"/>
      <c r="AG338" s="31"/>
      <c r="AH338" s="31"/>
      <c r="AI338" s="31"/>
      <c r="AJ338" s="31"/>
      <c r="AK338" s="31"/>
      <c r="AL338" s="28" t="e">
        <f>VLOOKUP($G338,'[42]Sheet1 (2)'!$A$1:$B$1048440,2,FALSE)</f>
        <v>#N/A</v>
      </c>
      <c r="AM338" s="32"/>
      <c r="AN338" s="31"/>
      <c r="AO338" s="33"/>
    </row>
    <row r="339" spans="1:41" ht="28" x14ac:dyDescent="0.25">
      <c r="A339" s="40">
        <v>264</v>
      </c>
      <c r="B339" s="45" t="s">
        <v>362</v>
      </c>
      <c r="C339" s="45" t="s">
        <v>373</v>
      </c>
      <c r="D339" s="45" t="s">
        <v>388</v>
      </c>
      <c r="E339" s="44" t="s">
        <v>447</v>
      </c>
      <c r="F339" s="115" t="s">
        <v>388</v>
      </c>
      <c r="G339" s="45" t="s">
        <v>45</v>
      </c>
      <c r="H339" s="40">
        <v>6540</v>
      </c>
      <c r="I339" s="40">
        <v>706</v>
      </c>
      <c r="J339" s="31"/>
      <c r="K339" s="31"/>
      <c r="L339" s="31"/>
      <c r="M339" s="31"/>
      <c r="N339" s="31"/>
      <c r="O339" s="31"/>
      <c r="P339" s="31"/>
      <c r="Q339" s="31"/>
      <c r="R339" s="31"/>
      <c r="S339" s="31"/>
      <c r="T339" s="31"/>
      <c r="U339" s="31"/>
      <c r="V339" s="31"/>
      <c r="W339" s="31"/>
      <c r="X339" s="31"/>
      <c r="Y339" s="31"/>
      <c r="Z339" s="31"/>
      <c r="AA339" s="31"/>
      <c r="AB339" s="31"/>
      <c r="AC339" s="31"/>
      <c r="AD339" s="31"/>
      <c r="AE339" s="31"/>
      <c r="AF339" s="31"/>
      <c r="AG339" s="31"/>
      <c r="AH339" s="31"/>
      <c r="AI339" s="31"/>
      <c r="AJ339" s="31"/>
      <c r="AK339" s="31"/>
      <c r="AL339" s="28" t="str">
        <f>VLOOKUP($G339,'[42]Sheet1 (2)'!$A$1:$B$1048440,2,FALSE)</f>
        <v>No.</v>
      </c>
      <c r="AM339" s="32"/>
      <c r="AN339" s="31"/>
      <c r="AO339" s="33"/>
    </row>
    <row r="340" spans="1:41" ht="28" x14ac:dyDescent="0.25">
      <c r="A340" s="40">
        <v>265</v>
      </c>
      <c r="B340" s="45" t="s">
        <v>362</v>
      </c>
      <c r="C340" s="45" t="s">
        <v>375</v>
      </c>
      <c r="D340" s="45" t="s">
        <v>388</v>
      </c>
      <c r="E340" s="44" t="s">
        <v>448</v>
      </c>
      <c r="F340" s="115" t="s">
        <v>388</v>
      </c>
      <c r="G340" s="45" t="s">
        <v>45</v>
      </c>
      <c r="H340" s="40">
        <v>6608</v>
      </c>
      <c r="I340" s="40">
        <v>706</v>
      </c>
      <c r="J340" s="31"/>
      <c r="K340" s="31"/>
      <c r="L340" s="31"/>
      <c r="M340" s="31"/>
      <c r="N340" s="31"/>
      <c r="O340" s="31"/>
      <c r="P340" s="31"/>
      <c r="Q340" s="31"/>
      <c r="R340" s="31"/>
      <c r="S340" s="31"/>
      <c r="T340" s="31"/>
      <c r="U340" s="31"/>
      <c r="V340" s="31"/>
      <c r="W340" s="31"/>
      <c r="X340" s="31"/>
      <c r="Y340" s="31"/>
      <c r="Z340" s="31"/>
      <c r="AA340" s="31"/>
      <c r="AB340" s="31"/>
      <c r="AC340" s="31"/>
      <c r="AD340" s="31"/>
      <c r="AE340" s="31"/>
      <c r="AF340" s="31"/>
      <c r="AG340" s="31"/>
      <c r="AH340" s="31"/>
      <c r="AI340" s="31"/>
      <c r="AJ340" s="31"/>
      <c r="AK340" s="31"/>
      <c r="AL340" s="28" t="str">
        <f>VLOOKUP($G340,'[42]Sheet1 (2)'!$A$1:$B$1048440,2,FALSE)</f>
        <v>No.</v>
      </c>
      <c r="AM340" s="32"/>
      <c r="AN340" s="31"/>
      <c r="AO340" s="33"/>
    </row>
    <row r="341" spans="1:41" ht="28" x14ac:dyDescent="0.25">
      <c r="A341" s="40">
        <v>266</v>
      </c>
      <c r="B341" s="45" t="s">
        <v>362</v>
      </c>
      <c r="C341" s="45" t="s">
        <v>377</v>
      </c>
      <c r="D341" s="45" t="s">
        <v>388</v>
      </c>
      <c r="E341" s="44" t="s">
        <v>449</v>
      </c>
      <c r="F341" s="115" t="s">
        <v>388</v>
      </c>
      <c r="G341" s="45" t="s">
        <v>45</v>
      </c>
      <c r="H341" s="40">
        <v>8252</v>
      </c>
      <c r="I341" s="40">
        <v>706</v>
      </c>
      <c r="J341" s="31"/>
      <c r="K341" s="31"/>
      <c r="L341" s="31"/>
      <c r="M341" s="31"/>
      <c r="N341" s="31"/>
      <c r="O341" s="31"/>
      <c r="P341" s="31"/>
      <c r="Q341" s="31"/>
      <c r="R341" s="31"/>
      <c r="S341" s="31"/>
      <c r="T341" s="31"/>
      <c r="U341" s="31"/>
      <c r="V341" s="31"/>
      <c r="W341" s="31"/>
      <c r="X341" s="31"/>
      <c r="Y341" s="31"/>
      <c r="Z341" s="31"/>
      <c r="AA341" s="31"/>
      <c r="AB341" s="31"/>
      <c r="AC341" s="31"/>
      <c r="AD341" s="31"/>
      <c r="AE341" s="31"/>
      <c r="AF341" s="31"/>
      <c r="AG341" s="31"/>
      <c r="AH341" s="31"/>
      <c r="AI341" s="31"/>
      <c r="AJ341" s="31"/>
      <c r="AK341" s="31"/>
      <c r="AL341" s="28" t="str">
        <f>VLOOKUP($G341,'[42]Sheet1 (2)'!$A$1:$B$1048440,2,FALSE)</f>
        <v>No.</v>
      </c>
      <c r="AM341" s="32"/>
      <c r="AN341" s="31"/>
      <c r="AO341" s="33"/>
    </row>
    <row r="342" spans="1:41" ht="28" x14ac:dyDescent="0.25">
      <c r="A342" s="40">
        <v>267</v>
      </c>
      <c r="B342" s="45" t="s">
        <v>362</v>
      </c>
      <c r="C342" s="45" t="s">
        <v>384</v>
      </c>
      <c r="D342" s="45" t="s">
        <v>388</v>
      </c>
      <c r="E342" s="44" t="s">
        <v>450</v>
      </c>
      <c r="F342" s="115" t="s">
        <v>388</v>
      </c>
      <c r="G342" s="45" t="s">
        <v>45</v>
      </c>
      <c r="H342" s="40">
        <v>8350</v>
      </c>
      <c r="I342" s="40">
        <v>706</v>
      </c>
      <c r="J342" s="31"/>
      <c r="K342" s="31"/>
      <c r="L342" s="31"/>
      <c r="M342" s="31"/>
      <c r="N342" s="31"/>
      <c r="O342" s="31"/>
      <c r="P342" s="31"/>
      <c r="Q342" s="31"/>
      <c r="R342" s="31"/>
      <c r="S342" s="31"/>
      <c r="T342" s="31"/>
      <c r="U342" s="31"/>
      <c r="V342" s="31"/>
      <c r="W342" s="31"/>
      <c r="X342" s="31"/>
      <c r="Y342" s="31"/>
      <c r="Z342" s="31"/>
      <c r="AA342" s="31"/>
      <c r="AB342" s="31"/>
      <c r="AC342" s="31"/>
      <c r="AD342" s="31"/>
      <c r="AE342" s="31"/>
      <c r="AF342" s="31"/>
      <c r="AG342" s="31"/>
      <c r="AH342" s="31"/>
      <c r="AI342" s="31"/>
      <c r="AJ342" s="31"/>
      <c r="AK342" s="31"/>
      <c r="AL342" s="28" t="str">
        <f>VLOOKUP($G342,'[42]Sheet1 (2)'!$A$1:$B$1048440,2,FALSE)</f>
        <v>No.</v>
      </c>
      <c r="AM342" s="32"/>
      <c r="AN342" s="31"/>
      <c r="AO342" s="33"/>
    </row>
    <row r="343" spans="1:41" ht="294" x14ac:dyDescent="0.25">
      <c r="A343" s="43"/>
      <c r="B343" s="45" t="s">
        <v>362</v>
      </c>
      <c r="C343" s="129">
        <v>6.32</v>
      </c>
      <c r="D343" s="45" t="s">
        <v>388</v>
      </c>
      <c r="E343" s="43" t="s">
        <v>466</v>
      </c>
      <c r="F343" s="43"/>
      <c r="G343" s="43"/>
      <c r="H343" s="43"/>
      <c r="I343" s="43"/>
      <c r="J343" s="31"/>
      <c r="K343" s="31"/>
      <c r="L343" s="31"/>
      <c r="M343" s="31"/>
      <c r="N343" s="31"/>
      <c r="O343" s="31"/>
      <c r="P343" s="31"/>
      <c r="Q343" s="31"/>
      <c r="R343" s="31"/>
      <c r="S343" s="31"/>
      <c r="T343" s="31"/>
      <c r="U343" s="31"/>
      <c r="V343" s="31"/>
      <c r="W343" s="31"/>
      <c r="X343" s="31"/>
      <c r="Y343" s="31"/>
      <c r="Z343" s="31"/>
      <c r="AA343" s="31"/>
      <c r="AB343" s="31"/>
      <c r="AC343" s="31"/>
      <c r="AD343" s="31"/>
      <c r="AE343" s="31"/>
      <c r="AF343" s="31"/>
      <c r="AG343" s="31"/>
      <c r="AH343" s="31"/>
      <c r="AI343" s="31"/>
      <c r="AJ343" s="31"/>
      <c r="AK343" s="31"/>
      <c r="AL343" s="28" t="e">
        <f>VLOOKUP($G343,'[42]Sheet1 (2)'!$A$1:$B$1048440,2,FALSE)</f>
        <v>#N/A</v>
      </c>
      <c r="AM343" s="32"/>
      <c r="AN343" s="31"/>
      <c r="AO343" s="33"/>
    </row>
    <row r="344" spans="1:41" ht="28" x14ac:dyDescent="0.25">
      <c r="A344" s="40">
        <v>268</v>
      </c>
      <c r="B344" s="45" t="s">
        <v>362</v>
      </c>
      <c r="C344" s="45" t="s">
        <v>373</v>
      </c>
      <c r="D344" s="45" t="s">
        <v>388</v>
      </c>
      <c r="E344" s="44" t="s">
        <v>447</v>
      </c>
      <c r="F344" s="115" t="s">
        <v>388</v>
      </c>
      <c r="G344" s="45" t="s">
        <v>45</v>
      </c>
      <c r="H344" s="40">
        <v>8337</v>
      </c>
      <c r="I344" s="40">
        <v>706</v>
      </c>
      <c r="J344" s="31"/>
      <c r="K344" s="31"/>
      <c r="L344" s="31"/>
      <c r="M344" s="31"/>
      <c r="N344" s="31"/>
      <c r="O344" s="31"/>
      <c r="P344" s="31"/>
      <c r="Q344" s="31"/>
      <c r="R344" s="31"/>
      <c r="S344" s="31"/>
      <c r="T344" s="31"/>
      <c r="U344" s="31"/>
      <c r="V344" s="31"/>
      <c r="W344" s="31"/>
      <c r="X344" s="31"/>
      <c r="Y344" s="31"/>
      <c r="Z344" s="31"/>
      <c r="AA344" s="31"/>
      <c r="AB344" s="31"/>
      <c r="AC344" s="31"/>
      <c r="AD344" s="31"/>
      <c r="AE344" s="31"/>
      <c r="AF344" s="31"/>
      <c r="AG344" s="31"/>
      <c r="AH344" s="31"/>
      <c r="AI344" s="31"/>
      <c r="AJ344" s="31"/>
      <c r="AK344" s="31"/>
      <c r="AL344" s="28" t="str">
        <f>VLOOKUP($G344,'[42]Sheet1 (2)'!$A$1:$B$1048440,2,FALSE)</f>
        <v>No.</v>
      </c>
      <c r="AM344" s="32"/>
      <c r="AN344" s="31"/>
      <c r="AO344" s="33"/>
    </row>
    <row r="345" spans="1:41" ht="28" x14ac:dyDescent="0.25">
      <c r="A345" s="40">
        <v>269</v>
      </c>
      <c r="B345" s="45" t="s">
        <v>362</v>
      </c>
      <c r="C345" s="45" t="s">
        <v>375</v>
      </c>
      <c r="D345" s="45" t="s">
        <v>388</v>
      </c>
      <c r="E345" s="44" t="s">
        <v>455</v>
      </c>
      <c r="F345" s="115" t="s">
        <v>388</v>
      </c>
      <c r="G345" s="45" t="s">
        <v>45</v>
      </c>
      <c r="H345" s="40">
        <v>8405</v>
      </c>
      <c r="I345" s="40">
        <v>706</v>
      </c>
      <c r="J345" s="31"/>
      <c r="K345" s="31"/>
      <c r="L345" s="31"/>
      <c r="M345" s="31"/>
      <c r="N345" s="31"/>
      <c r="O345" s="31"/>
      <c r="P345" s="31"/>
      <c r="Q345" s="31"/>
      <c r="R345" s="31"/>
      <c r="S345" s="31"/>
      <c r="T345" s="31"/>
      <c r="U345" s="31"/>
      <c r="V345" s="31"/>
      <c r="W345" s="31"/>
      <c r="X345" s="31"/>
      <c r="Y345" s="31"/>
      <c r="Z345" s="31"/>
      <c r="AA345" s="31"/>
      <c r="AB345" s="31"/>
      <c r="AC345" s="31"/>
      <c r="AD345" s="31"/>
      <c r="AE345" s="31"/>
      <c r="AF345" s="31"/>
      <c r="AG345" s="31"/>
      <c r="AH345" s="31"/>
      <c r="AI345" s="31"/>
      <c r="AJ345" s="31"/>
      <c r="AK345" s="31"/>
      <c r="AL345" s="28" t="str">
        <f>VLOOKUP($G345,'[42]Sheet1 (2)'!$A$1:$B$1048440,2,FALSE)</f>
        <v>No.</v>
      </c>
      <c r="AM345" s="32"/>
      <c r="AN345" s="31"/>
      <c r="AO345" s="33"/>
    </row>
    <row r="346" spans="1:41" ht="28" x14ac:dyDescent="0.25">
      <c r="A346" s="40">
        <v>270</v>
      </c>
      <c r="B346" s="45" t="s">
        <v>362</v>
      </c>
      <c r="C346" s="45" t="s">
        <v>377</v>
      </c>
      <c r="D346" s="45" t="s">
        <v>388</v>
      </c>
      <c r="E346" s="44" t="s">
        <v>456</v>
      </c>
      <c r="F346" s="115" t="s">
        <v>388</v>
      </c>
      <c r="G346" s="45" t="s">
        <v>45</v>
      </c>
      <c r="H346" s="40">
        <v>10951</v>
      </c>
      <c r="I346" s="40">
        <v>706</v>
      </c>
      <c r="J346" s="31"/>
      <c r="K346" s="31"/>
      <c r="L346" s="31"/>
      <c r="M346" s="31"/>
      <c r="N346" s="31"/>
      <c r="O346" s="31"/>
      <c r="P346" s="31"/>
      <c r="Q346" s="31"/>
      <c r="R346" s="31"/>
      <c r="S346" s="31"/>
      <c r="T346" s="31"/>
      <c r="U346" s="31"/>
      <c r="V346" s="31"/>
      <c r="W346" s="31"/>
      <c r="X346" s="31"/>
      <c r="Y346" s="31"/>
      <c r="Z346" s="31"/>
      <c r="AA346" s="31"/>
      <c r="AB346" s="31"/>
      <c r="AC346" s="31"/>
      <c r="AD346" s="31"/>
      <c r="AE346" s="31"/>
      <c r="AF346" s="31"/>
      <c r="AG346" s="31"/>
      <c r="AH346" s="31"/>
      <c r="AI346" s="31"/>
      <c r="AJ346" s="31"/>
      <c r="AK346" s="31"/>
      <c r="AL346" s="28" t="str">
        <f>VLOOKUP($G346,'[42]Sheet1 (2)'!$A$1:$B$1048440,2,FALSE)</f>
        <v>No.</v>
      </c>
      <c r="AM346" s="32"/>
      <c r="AN346" s="31"/>
      <c r="AO346" s="33"/>
    </row>
    <row r="347" spans="1:41" ht="28" x14ac:dyDescent="0.25">
      <c r="A347" s="40">
        <v>271</v>
      </c>
      <c r="B347" s="45" t="s">
        <v>362</v>
      </c>
      <c r="C347" s="45" t="s">
        <v>384</v>
      </c>
      <c r="D347" s="45" t="s">
        <v>388</v>
      </c>
      <c r="E347" s="44" t="s">
        <v>457</v>
      </c>
      <c r="F347" s="115" t="s">
        <v>388</v>
      </c>
      <c r="G347" s="45" t="s">
        <v>45</v>
      </c>
      <c r="H347" s="40">
        <v>11049</v>
      </c>
      <c r="I347" s="40">
        <v>706</v>
      </c>
      <c r="J347" s="31"/>
      <c r="K347" s="31"/>
      <c r="L347" s="31"/>
      <c r="M347" s="31"/>
      <c r="N347" s="31"/>
      <c r="O347" s="31"/>
      <c r="P347" s="31"/>
      <c r="Q347" s="31"/>
      <c r="R347" s="31"/>
      <c r="S347" s="31"/>
      <c r="T347" s="31"/>
      <c r="U347" s="31"/>
      <c r="V347" s="31"/>
      <c r="W347" s="31"/>
      <c r="X347" s="31"/>
      <c r="Y347" s="31"/>
      <c r="Z347" s="31"/>
      <c r="AA347" s="31"/>
      <c r="AB347" s="31"/>
      <c r="AC347" s="31"/>
      <c r="AD347" s="31"/>
      <c r="AE347" s="31"/>
      <c r="AF347" s="31"/>
      <c r="AG347" s="31"/>
      <c r="AH347" s="31"/>
      <c r="AI347" s="31"/>
      <c r="AJ347" s="31"/>
      <c r="AK347" s="31"/>
      <c r="AL347" s="28" t="str">
        <f>VLOOKUP($G347,'[42]Sheet1 (2)'!$A$1:$B$1048440,2,FALSE)</f>
        <v>No.</v>
      </c>
      <c r="AM347" s="32"/>
      <c r="AN347" s="31"/>
      <c r="AO347" s="33"/>
    </row>
    <row r="348" spans="1:41" ht="378" x14ac:dyDescent="0.25">
      <c r="A348" s="43"/>
      <c r="B348" s="45" t="s">
        <v>362</v>
      </c>
      <c r="C348" s="129">
        <v>6.33</v>
      </c>
      <c r="D348" s="43"/>
      <c r="E348" s="43" t="s">
        <v>467</v>
      </c>
      <c r="F348" s="43"/>
      <c r="G348" s="47" t="s">
        <v>468</v>
      </c>
      <c r="H348" s="43"/>
      <c r="I348" s="43"/>
      <c r="J348" s="31"/>
      <c r="K348" s="31"/>
      <c r="L348" s="31"/>
      <c r="M348" s="31"/>
      <c r="N348" s="31"/>
      <c r="O348" s="31"/>
      <c r="P348" s="31"/>
      <c r="Q348" s="31"/>
      <c r="R348" s="31"/>
      <c r="S348" s="31"/>
      <c r="T348" s="31"/>
      <c r="U348" s="31"/>
      <c r="V348" s="31"/>
      <c r="W348" s="31"/>
      <c r="X348" s="31"/>
      <c r="Y348" s="31"/>
      <c r="Z348" s="31"/>
      <c r="AA348" s="31"/>
      <c r="AB348" s="31"/>
      <c r="AC348" s="31"/>
      <c r="AD348" s="31"/>
      <c r="AE348" s="31"/>
      <c r="AF348" s="31"/>
      <c r="AG348" s="31"/>
      <c r="AH348" s="31"/>
      <c r="AI348" s="31"/>
      <c r="AJ348" s="31"/>
      <c r="AK348" s="31"/>
      <c r="AL348" s="28" t="str">
        <f>VLOOKUP($G348,'[42]Sheet1 (2)'!$A$1:$B$1048440,2,FALSE)</f>
        <v>Sqm</v>
      </c>
      <c r="AM348" s="32"/>
      <c r="AN348" s="31"/>
      <c r="AO348" s="33"/>
    </row>
    <row r="349" spans="1:41" ht="42" x14ac:dyDescent="0.25">
      <c r="A349" s="40">
        <v>272</v>
      </c>
      <c r="B349" s="45" t="s">
        <v>362</v>
      </c>
      <c r="C349" s="45" t="s">
        <v>469</v>
      </c>
      <c r="D349" s="45" t="s">
        <v>388</v>
      </c>
      <c r="E349" s="44" t="s">
        <v>470</v>
      </c>
      <c r="F349" s="115" t="s">
        <v>388</v>
      </c>
      <c r="G349" s="47" t="s">
        <v>468</v>
      </c>
      <c r="H349" s="40">
        <v>9667</v>
      </c>
      <c r="I349" s="40">
        <v>675</v>
      </c>
      <c r="J349" s="31"/>
      <c r="K349" s="31"/>
      <c r="L349" s="31"/>
      <c r="M349" s="31"/>
      <c r="N349" s="31"/>
      <c r="O349" s="31"/>
      <c r="P349" s="31"/>
      <c r="Q349" s="31"/>
      <c r="R349" s="31"/>
      <c r="S349" s="31"/>
      <c r="T349" s="31"/>
      <c r="U349" s="31"/>
      <c r="V349" s="31"/>
      <c r="W349" s="31"/>
      <c r="X349" s="31"/>
      <c r="Y349" s="31"/>
      <c r="Z349" s="31"/>
      <c r="AA349" s="31"/>
      <c r="AB349" s="31"/>
      <c r="AC349" s="31"/>
      <c r="AD349" s="31"/>
      <c r="AE349" s="31"/>
      <c r="AF349" s="31"/>
      <c r="AG349" s="31"/>
      <c r="AH349" s="31"/>
      <c r="AI349" s="31"/>
      <c r="AJ349" s="31"/>
      <c r="AK349" s="31"/>
      <c r="AL349" s="28" t="str">
        <f>VLOOKUP($G349,'[42]Sheet1 (2)'!$A$1:$B$1048440,2,FALSE)</f>
        <v>Sqm</v>
      </c>
      <c r="AM349" s="32"/>
      <c r="AN349" s="31"/>
      <c r="AO349" s="33"/>
    </row>
    <row r="350" spans="1:41" ht="42" x14ac:dyDescent="0.25">
      <c r="A350" s="40">
        <v>273</v>
      </c>
      <c r="B350" s="45" t="s">
        <v>362</v>
      </c>
      <c r="C350" s="45" t="s">
        <v>471</v>
      </c>
      <c r="D350" s="45" t="s">
        <v>388</v>
      </c>
      <c r="E350" s="44" t="s">
        <v>472</v>
      </c>
      <c r="F350" s="115" t="s">
        <v>388</v>
      </c>
      <c r="G350" s="47" t="s">
        <v>468</v>
      </c>
      <c r="H350" s="40">
        <v>9788</v>
      </c>
      <c r="I350" s="40">
        <v>675</v>
      </c>
      <c r="J350" s="31"/>
      <c r="K350" s="31"/>
      <c r="L350" s="31"/>
      <c r="M350" s="31"/>
      <c r="N350" s="31"/>
      <c r="O350" s="31"/>
      <c r="P350" s="31"/>
      <c r="Q350" s="31"/>
      <c r="R350" s="31"/>
      <c r="S350" s="31"/>
      <c r="T350" s="31"/>
      <c r="U350" s="31"/>
      <c r="V350" s="31"/>
      <c r="W350" s="31"/>
      <c r="X350" s="31"/>
      <c r="Y350" s="31"/>
      <c r="Z350" s="31"/>
      <c r="AA350" s="31"/>
      <c r="AB350" s="31"/>
      <c r="AC350" s="31"/>
      <c r="AD350" s="31"/>
      <c r="AE350" s="31"/>
      <c r="AF350" s="31"/>
      <c r="AG350" s="31"/>
      <c r="AH350" s="31"/>
      <c r="AI350" s="31"/>
      <c r="AJ350" s="31"/>
      <c r="AK350" s="31"/>
      <c r="AL350" s="28" t="str">
        <f>VLOOKUP($G350,'[42]Sheet1 (2)'!$A$1:$B$1048440,2,FALSE)</f>
        <v>Sqm</v>
      </c>
      <c r="AM350" s="32"/>
      <c r="AN350" s="31"/>
      <c r="AO350" s="33"/>
    </row>
    <row r="351" spans="1:41" ht="42" x14ac:dyDescent="0.25">
      <c r="A351" s="40">
        <v>274</v>
      </c>
      <c r="B351" s="45" t="s">
        <v>362</v>
      </c>
      <c r="C351" s="45" t="s">
        <v>377</v>
      </c>
      <c r="D351" s="45" t="s">
        <v>388</v>
      </c>
      <c r="E351" s="44" t="s">
        <v>473</v>
      </c>
      <c r="F351" s="115" t="s">
        <v>388</v>
      </c>
      <c r="G351" s="47" t="s">
        <v>468</v>
      </c>
      <c r="H351" s="40">
        <v>13109</v>
      </c>
      <c r="I351" s="40">
        <v>675</v>
      </c>
      <c r="J351" s="31"/>
      <c r="K351" s="31"/>
      <c r="L351" s="31"/>
      <c r="M351" s="31"/>
      <c r="N351" s="31"/>
      <c r="O351" s="31"/>
      <c r="P351" s="31"/>
      <c r="Q351" s="31"/>
      <c r="R351" s="31"/>
      <c r="S351" s="31"/>
      <c r="T351" s="31"/>
      <c r="U351" s="31"/>
      <c r="V351" s="31"/>
      <c r="W351" s="31"/>
      <c r="X351" s="31"/>
      <c r="Y351" s="31"/>
      <c r="Z351" s="31"/>
      <c r="AA351" s="31"/>
      <c r="AB351" s="31"/>
      <c r="AC351" s="31"/>
      <c r="AD351" s="31"/>
      <c r="AE351" s="31"/>
      <c r="AF351" s="31"/>
      <c r="AG351" s="31"/>
      <c r="AH351" s="31"/>
      <c r="AI351" s="31"/>
      <c r="AJ351" s="31"/>
      <c r="AK351" s="31"/>
      <c r="AL351" s="28" t="str">
        <f>VLOOKUP($G351,'[42]Sheet1 (2)'!$A$1:$B$1048440,2,FALSE)</f>
        <v>Sqm</v>
      </c>
      <c r="AM351" s="32"/>
      <c r="AN351" s="31"/>
      <c r="AO351" s="33"/>
    </row>
    <row r="352" spans="1:41" ht="42" x14ac:dyDescent="0.25">
      <c r="A352" s="40">
        <v>275</v>
      </c>
      <c r="B352" s="45" t="s">
        <v>362</v>
      </c>
      <c r="C352" s="45" t="s">
        <v>384</v>
      </c>
      <c r="D352" s="45" t="s">
        <v>388</v>
      </c>
      <c r="E352" s="44" t="s">
        <v>474</v>
      </c>
      <c r="F352" s="115" t="s">
        <v>388</v>
      </c>
      <c r="G352" s="47" t="s">
        <v>468</v>
      </c>
      <c r="H352" s="40">
        <v>13230</v>
      </c>
      <c r="I352" s="40">
        <v>675</v>
      </c>
      <c r="J352" s="31"/>
      <c r="K352" s="31"/>
      <c r="L352" s="31"/>
      <c r="M352" s="31"/>
      <c r="N352" s="31"/>
      <c r="O352" s="31"/>
      <c r="P352" s="31"/>
      <c r="Q352" s="31"/>
      <c r="R352" s="31"/>
      <c r="S352" s="31"/>
      <c r="T352" s="31"/>
      <c r="U352" s="31"/>
      <c r="V352" s="31"/>
      <c r="W352" s="31"/>
      <c r="X352" s="31"/>
      <c r="Y352" s="31"/>
      <c r="Z352" s="31"/>
      <c r="AA352" s="31"/>
      <c r="AB352" s="31"/>
      <c r="AC352" s="31"/>
      <c r="AD352" s="31"/>
      <c r="AE352" s="31"/>
      <c r="AF352" s="31"/>
      <c r="AG352" s="31"/>
      <c r="AH352" s="31"/>
      <c r="AI352" s="31"/>
      <c r="AJ352" s="31"/>
      <c r="AK352" s="31"/>
      <c r="AL352" s="28" t="str">
        <f>VLOOKUP($G352,'[42]Sheet1 (2)'!$A$1:$B$1048440,2,FALSE)</f>
        <v>Sqm</v>
      </c>
      <c r="AM352" s="32"/>
      <c r="AN352" s="31"/>
      <c r="AO352" s="33"/>
    </row>
    <row r="353" spans="1:41" ht="378" x14ac:dyDescent="0.25">
      <c r="A353" s="43"/>
      <c r="B353" s="45" t="s">
        <v>362</v>
      </c>
      <c r="C353" s="129">
        <v>6.34</v>
      </c>
      <c r="D353" s="43"/>
      <c r="E353" s="43" t="s">
        <v>475</v>
      </c>
      <c r="F353" s="43"/>
      <c r="G353" s="43"/>
      <c r="H353" s="43"/>
      <c r="I353" s="43"/>
      <c r="J353" s="31"/>
      <c r="K353" s="31"/>
      <c r="L353" s="31"/>
      <c r="M353" s="31"/>
      <c r="N353" s="31"/>
      <c r="O353" s="31"/>
      <c r="P353" s="31"/>
      <c r="Q353" s="31"/>
      <c r="R353" s="31"/>
      <c r="S353" s="31"/>
      <c r="T353" s="31"/>
      <c r="U353" s="31"/>
      <c r="V353" s="31"/>
      <c r="W353" s="31"/>
      <c r="X353" s="31"/>
      <c r="Y353" s="31"/>
      <c r="Z353" s="31"/>
      <c r="AA353" s="31"/>
      <c r="AB353" s="31"/>
      <c r="AC353" s="31"/>
      <c r="AD353" s="31"/>
      <c r="AE353" s="31"/>
      <c r="AF353" s="31"/>
      <c r="AG353" s="31"/>
      <c r="AH353" s="31"/>
      <c r="AI353" s="31"/>
      <c r="AJ353" s="31"/>
      <c r="AK353" s="31"/>
      <c r="AL353" s="28" t="e">
        <f>VLOOKUP($G353,'[42]Sheet1 (2)'!$A$1:$B$1048440,2,FALSE)</f>
        <v>#N/A</v>
      </c>
      <c r="AM353" s="32"/>
      <c r="AN353" s="31"/>
      <c r="AO353" s="33"/>
    </row>
    <row r="354" spans="1:41" ht="42" x14ac:dyDescent="0.25">
      <c r="A354" s="40">
        <v>276</v>
      </c>
      <c r="B354" s="45" t="s">
        <v>362</v>
      </c>
      <c r="C354" s="45" t="s">
        <v>476</v>
      </c>
      <c r="D354" s="45" t="s">
        <v>388</v>
      </c>
      <c r="E354" s="44" t="s">
        <v>470</v>
      </c>
      <c r="F354" s="115" t="s">
        <v>388</v>
      </c>
      <c r="G354" s="47" t="s">
        <v>468</v>
      </c>
      <c r="H354" s="48">
        <v>12364</v>
      </c>
      <c r="I354" s="40">
        <v>679</v>
      </c>
      <c r="J354" s="31"/>
      <c r="K354" s="31"/>
      <c r="L354" s="31"/>
      <c r="M354" s="31"/>
      <c r="N354" s="31"/>
      <c r="O354" s="31"/>
      <c r="P354" s="31"/>
      <c r="Q354" s="31"/>
      <c r="R354" s="31"/>
      <c r="S354" s="31"/>
      <c r="T354" s="31"/>
      <c r="U354" s="31"/>
      <c r="V354" s="31"/>
      <c r="W354" s="31"/>
      <c r="X354" s="31"/>
      <c r="Y354" s="31"/>
      <c r="Z354" s="31"/>
      <c r="AA354" s="31"/>
      <c r="AB354" s="31"/>
      <c r="AC354" s="31"/>
      <c r="AD354" s="31"/>
      <c r="AE354" s="31"/>
      <c r="AF354" s="31"/>
      <c r="AG354" s="31"/>
      <c r="AH354" s="31"/>
      <c r="AI354" s="31"/>
      <c r="AJ354" s="31"/>
      <c r="AK354" s="31"/>
      <c r="AL354" s="28" t="str">
        <f>VLOOKUP($G354,'[42]Sheet1 (2)'!$A$1:$B$1048440,2,FALSE)</f>
        <v>Sqm</v>
      </c>
      <c r="AM354" s="32"/>
      <c r="AN354" s="31"/>
      <c r="AO354" s="33"/>
    </row>
    <row r="355" spans="1:41" ht="42" x14ac:dyDescent="0.25">
      <c r="A355" s="40">
        <v>277</v>
      </c>
      <c r="B355" s="45" t="s">
        <v>362</v>
      </c>
      <c r="C355" s="45" t="s">
        <v>477</v>
      </c>
      <c r="D355" s="45" t="s">
        <v>388</v>
      </c>
      <c r="E355" s="44" t="s">
        <v>478</v>
      </c>
      <c r="F355" s="115" t="s">
        <v>388</v>
      </c>
      <c r="G355" s="47" t="s">
        <v>468</v>
      </c>
      <c r="H355" s="48">
        <v>12485</v>
      </c>
      <c r="I355" s="40">
        <v>679</v>
      </c>
      <c r="J355" s="31"/>
      <c r="K355" s="31"/>
      <c r="L355" s="31"/>
      <c r="M355" s="31"/>
      <c r="N355" s="31"/>
      <c r="O355" s="31"/>
      <c r="P355" s="31"/>
      <c r="Q355" s="31"/>
      <c r="R355" s="31"/>
      <c r="S355" s="31"/>
      <c r="T355" s="31"/>
      <c r="U355" s="31"/>
      <c r="V355" s="31"/>
      <c r="W355" s="31"/>
      <c r="X355" s="31"/>
      <c r="Y355" s="31"/>
      <c r="Z355" s="31"/>
      <c r="AA355" s="31"/>
      <c r="AB355" s="31"/>
      <c r="AC355" s="31"/>
      <c r="AD355" s="31"/>
      <c r="AE355" s="31"/>
      <c r="AF355" s="31"/>
      <c r="AG355" s="31"/>
      <c r="AH355" s="31"/>
      <c r="AI355" s="31"/>
      <c r="AJ355" s="31"/>
      <c r="AK355" s="31"/>
      <c r="AL355" s="28" t="str">
        <f>VLOOKUP($G355,'[42]Sheet1 (2)'!$A$1:$B$1048440,2,FALSE)</f>
        <v>Sqm</v>
      </c>
      <c r="AM355" s="32"/>
      <c r="AN355" s="31"/>
      <c r="AO355" s="33"/>
    </row>
    <row r="356" spans="1:41" ht="42" x14ac:dyDescent="0.25">
      <c r="A356" s="40">
        <v>278</v>
      </c>
      <c r="B356" s="45" t="s">
        <v>362</v>
      </c>
      <c r="C356" s="45" t="s">
        <v>479</v>
      </c>
      <c r="D356" s="45" t="s">
        <v>388</v>
      </c>
      <c r="E356" s="44" t="s">
        <v>480</v>
      </c>
      <c r="F356" s="115" t="s">
        <v>388</v>
      </c>
      <c r="G356" s="47" t="s">
        <v>468</v>
      </c>
      <c r="H356" s="48">
        <v>15805</v>
      </c>
      <c r="I356" s="40">
        <v>679</v>
      </c>
      <c r="J356" s="31"/>
      <c r="K356" s="31"/>
      <c r="L356" s="31"/>
      <c r="M356" s="31"/>
      <c r="N356" s="31"/>
      <c r="O356" s="31"/>
      <c r="P356" s="31"/>
      <c r="Q356" s="31"/>
      <c r="R356" s="31"/>
      <c r="S356" s="31"/>
      <c r="T356" s="31"/>
      <c r="U356" s="31"/>
      <c r="V356" s="31"/>
      <c r="W356" s="31"/>
      <c r="X356" s="31"/>
      <c r="Y356" s="31"/>
      <c r="Z356" s="31"/>
      <c r="AA356" s="31"/>
      <c r="AB356" s="31"/>
      <c r="AC356" s="31"/>
      <c r="AD356" s="31"/>
      <c r="AE356" s="31"/>
      <c r="AF356" s="31"/>
      <c r="AG356" s="31"/>
      <c r="AH356" s="31"/>
      <c r="AI356" s="31"/>
      <c r="AJ356" s="31"/>
      <c r="AK356" s="31"/>
      <c r="AL356" s="28" t="str">
        <f>VLOOKUP($G356,'[42]Sheet1 (2)'!$A$1:$B$1048440,2,FALSE)</f>
        <v>Sqm</v>
      </c>
      <c r="AM356" s="32"/>
      <c r="AN356" s="31"/>
      <c r="AO356" s="33"/>
    </row>
    <row r="357" spans="1:41" ht="42" x14ac:dyDescent="0.25">
      <c r="A357" s="40">
        <v>279</v>
      </c>
      <c r="B357" s="45" t="s">
        <v>362</v>
      </c>
      <c r="C357" s="45" t="s">
        <v>481</v>
      </c>
      <c r="D357" s="45" t="s">
        <v>388</v>
      </c>
      <c r="E357" s="44" t="s">
        <v>482</v>
      </c>
      <c r="F357" s="115" t="s">
        <v>388</v>
      </c>
      <c r="G357" s="47" t="s">
        <v>468</v>
      </c>
      <c r="H357" s="48">
        <v>15926</v>
      </c>
      <c r="I357" s="40">
        <v>679</v>
      </c>
      <c r="J357" s="31"/>
      <c r="K357" s="31"/>
      <c r="L357" s="31"/>
      <c r="M357" s="31"/>
      <c r="N357" s="31"/>
      <c r="O357" s="31"/>
      <c r="P357" s="31"/>
      <c r="Q357" s="31"/>
      <c r="R357" s="31"/>
      <c r="S357" s="31"/>
      <c r="T357" s="31"/>
      <c r="U357" s="31"/>
      <c r="V357" s="31"/>
      <c r="W357" s="31"/>
      <c r="X357" s="31"/>
      <c r="Y357" s="31"/>
      <c r="Z357" s="31"/>
      <c r="AA357" s="31"/>
      <c r="AB357" s="31"/>
      <c r="AC357" s="31"/>
      <c r="AD357" s="31"/>
      <c r="AE357" s="31"/>
      <c r="AF357" s="31"/>
      <c r="AG357" s="31"/>
      <c r="AH357" s="31"/>
      <c r="AI357" s="31"/>
      <c r="AJ357" s="31"/>
      <c r="AK357" s="31"/>
      <c r="AL357" s="28" t="str">
        <f>VLOOKUP($G357,'[42]Sheet1 (2)'!$A$1:$B$1048440,2,FALSE)</f>
        <v>Sqm</v>
      </c>
      <c r="AM357" s="32"/>
      <c r="AN357" s="31"/>
      <c r="AO357" s="33"/>
    </row>
    <row r="358" spans="1:41" ht="336" x14ac:dyDescent="0.25">
      <c r="A358" s="43"/>
      <c r="B358" s="45" t="s">
        <v>362</v>
      </c>
      <c r="C358" s="129">
        <v>6.35</v>
      </c>
      <c r="D358" s="45" t="s">
        <v>388</v>
      </c>
      <c r="E358" s="43" t="s">
        <v>483</v>
      </c>
      <c r="F358" s="43"/>
      <c r="G358" s="43"/>
      <c r="H358" s="43"/>
      <c r="I358" s="43"/>
      <c r="J358" s="31"/>
      <c r="K358" s="31"/>
      <c r="L358" s="31"/>
      <c r="M358" s="31"/>
      <c r="N358" s="31"/>
      <c r="O358" s="31"/>
      <c r="P358" s="31"/>
      <c r="Q358" s="31"/>
      <c r="R358" s="31"/>
      <c r="S358" s="31"/>
      <c r="T358" s="31"/>
      <c r="U358" s="31"/>
      <c r="V358" s="31"/>
      <c r="W358" s="31"/>
      <c r="X358" s="31"/>
      <c r="Y358" s="31"/>
      <c r="Z358" s="31"/>
      <c r="AA358" s="31"/>
      <c r="AB358" s="31"/>
      <c r="AC358" s="31"/>
      <c r="AD358" s="31"/>
      <c r="AE358" s="31"/>
      <c r="AF358" s="31"/>
      <c r="AG358" s="31"/>
      <c r="AH358" s="31"/>
      <c r="AI358" s="31"/>
      <c r="AJ358" s="31"/>
      <c r="AK358" s="31"/>
      <c r="AL358" s="28" t="e">
        <f>VLOOKUP($G358,'[42]Sheet1 (2)'!$A$1:$B$1048440,2,FALSE)</f>
        <v>#N/A</v>
      </c>
      <c r="AM358" s="32"/>
      <c r="AN358" s="31"/>
      <c r="AO358" s="33"/>
    </row>
    <row r="359" spans="1:41" ht="42" x14ac:dyDescent="0.25">
      <c r="A359" s="40">
        <v>280</v>
      </c>
      <c r="B359" s="45" t="s">
        <v>362</v>
      </c>
      <c r="C359" s="45" t="s">
        <v>373</v>
      </c>
      <c r="D359" s="45" t="s">
        <v>388</v>
      </c>
      <c r="E359" s="44" t="s">
        <v>484</v>
      </c>
      <c r="F359" s="115" t="s">
        <v>388</v>
      </c>
      <c r="G359" s="47" t="s">
        <v>468</v>
      </c>
      <c r="H359" s="40">
        <v>6761</v>
      </c>
      <c r="I359" s="40">
        <v>173</v>
      </c>
      <c r="J359" s="31"/>
      <c r="K359" s="31"/>
      <c r="L359" s="31"/>
      <c r="M359" s="31"/>
      <c r="N359" s="31"/>
      <c r="O359" s="31"/>
      <c r="P359" s="31"/>
      <c r="Q359" s="31"/>
      <c r="R359" s="31"/>
      <c r="S359" s="31"/>
      <c r="T359" s="31"/>
      <c r="U359" s="31"/>
      <c r="V359" s="31"/>
      <c r="W359" s="31"/>
      <c r="X359" s="31"/>
      <c r="Y359" s="31"/>
      <c r="Z359" s="31"/>
      <c r="AA359" s="31"/>
      <c r="AB359" s="31"/>
      <c r="AC359" s="31"/>
      <c r="AD359" s="31"/>
      <c r="AE359" s="31"/>
      <c r="AF359" s="31"/>
      <c r="AG359" s="31"/>
      <c r="AH359" s="31"/>
      <c r="AI359" s="31"/>
      <c r="AJ359" s="31"/>
      <c r="AK359" s="31"/>
      <c r="AL359" s="28" t="str">
        <f>VLOOKUP($G359,'[42]Sheet1 (2)'!$A$1:$B$1048440,2,FALSE)</f>
        <v>Sqm</v>
      </c>
      <c r="AM359" s="32"/>
      <c r="AN359" s="31"/>
      <c r="AO359" s="33"/>
    </row>
    <row r="360" spans="1:41" ht="42" x14ac:dyDescent="0.25">
      <c r="A360" s="40">
        <v>281</v>
      </c>
      <c r="B360" s="45" t="s">
        <v>362</v>
      </c>
      <c r="C360" s="45" t="s">
        <v>375</v>
      </c>
      <c r="D360" s="45" t="s">
        <v>388</v>
      </c>
      <c r="E360" s="44" t="s">
        <v>485</v>
      </c>
      <c r="F360" s="115" t="s">
        <v>388</v>
      </c>
      <c r="G360" s="47" t="s">
        <v>468</v>
      </c>
      <c r="H360" s="40">
        <v>6882</v>
      </c>
      <c r="I360" s="40">
        <v>173</v>
      </c>
      <c r="J360" s="31"/>
      <c r="K360" s="31"/>
      <c r="L360" s="31"/>
      <c r="M360" s="31"/>
      <c r="N360" s="31"/>
      <c r="O360" s="31"/>
      <c r="P360" s="31"/>
      <c r="Q360" s="31"/>
      <c r="R360" s="31"/>
      <c r="S360" s="31"/>
      <c r="T360" s="31"/>
      <c r="U360" s="31"/>
      <c r="V360" s="31"/>
      <c r="W360" s="31"/>
      <c r="X360" s="31"/>
      <c r="Y360" s="31"/>
      <c r="Z360" s="31"/>
      <c r="AA360" s="31"/>
      <c r="AB360" s="31"/>
      <c r="AC360" s="31"/>
      <c r="AD360" s="31"/>
      <c r="AE360" s="31"/>
      <c r="AF360" s="31"/>
      <c r="AG360" s="31"/>
      <c r="AH360" s="31"/>
      <c r="AI360" s="31"/>
      <c r="AJ360" s="31"/>
      <c r="AK360" s="31"/>
      <c r="AL360" s="28" t="str">
        <f>VLOOKUP($G360,'[42]Sheet1 (2)'!$A$1:$B$1048440,2,FALSE)</f>
        <v>Sqm</v>
      </c>
      <c r="AM360" s="32"/>
      <c r="AN360" s="31"/>
      <c r="AO360" s="33"/>
    </row>
    <row r="361" spans="1:41" ht="42" x14ac:dyDescent="0.25">
      <c r="A361" s="40">
        <v>282</v>
      </c>
      <c r="B361" s="45" t="s">
        <v>362</v>
      </c>
      <c r="C361" s="45" t="s">
        <v>377</v>
      </c>
      <c r="D361" s="45" t="s">
        <v>388</v>
      </c>
      <c r="E361" s="44" t="s">
        <v>486</v>
      </c>
      <c r="F361" s="115" t="s">
        <v>388</v>
      </c>
      <c r="G361" s="47" t="s">
        <v>468</v>
      </c>
      <c r="H361" s="40">
        <v>10202</v>
      </c>
      <c r="I361" s="40">
        <v>173</v>
      </c>
      <c r="J361" s="31"/>
      <c r="K361" s="31"/>
      <c r="L361" s="31"/>
      <c r="M361" s="31"/>
      <c r="N361" s="31"/>
      <c r="O361" s="31"/>
      <c r="P361" s="31"/>
      <c r="Q361" s="31"/>
      <c r="R361" s="31"/>
      <c r="S361" s="31"/>
      <c r="T361" s="31"/>
      <c r="U361" s="31"/>
      <c r="V361" s="31"/>
      <c r="W361" s="31"/>
      <c r="X361" s="31"/>
      <c r="Y361" s="31"/>
      <c r="Z361" s="31"/>
      <c r="AA361" s="31"/>
      <c r="AB361" s="31"/>
      <c r="AC361" s="31"/>
      <c r="AD361" s="31"/>
      <c r="AE361" s="31"/>
      <c r="AF361" s="31"/>
      <c r="AG361" s="31"/>
      <c r="AH361" s="31"/>
      <c r="AI361" s="31"/>
      <c r="AJ361" s="31"/>
      <c r="AK361" s="31"/>
      <c r="AL361" s="28" t="str">
        <f>VLOOKUP($G361,'[42]Sheet1 (2)'!$A$1:$B$1048440,2,FALSE)</f>
        <v>Sqm</v>
      </c>
      <c r="AM361" s="32"/>
      <c r="AN361" s="31"/>
      <c r="AO361" s="33"/>
    </row>
    <row r="362" spans="1:41" ht="42" x14ac:dyDescent="0.25">
      <c r="A362" s="40">
        <v>283</v>
      </c>
      <c r="B362" s="45" t="s">
        <v>362</v>
      </c>
      <c r="C362" s="45" t="s">
        <v>384</v>
      </c>
      <c r="D362" s="45" t="s">
        <v>388</v>
      </c>
      <c r="E362" s="44" t="s">
        <v>487</v>
      </c>
      <c r="F362" s="115" t="s">
        <v>388</v>
      </c>
      <c r="G362" s="47" t="s">
        <v>468</v>
      </c>
      <c r="H362" s="40">
        <v>10323</v>
      </c>
      <c r="I362" s="40">
        <v>173</v>
      </c>
      <c r="J362" s="31"/>
      <c r="K362" s="31"/>
      <c r="L362" s="31"/>
      <c r="M362" s="31"/>
      <c r="N362" s="31"/>
      <c r="O362" s="31"/>
      <c r="P362" s="31"/>
      <c r="Q362" s="31"/>
      <c r="R362" s="31"/>
      <c r="S362" s="31"/>
      <c r="T362" s="31"/>
      <c r="U362" s="31"/>
      <c r="V362" s="31"/>
      <c r="W362" s="31"/>
      <c r="X362" s="31"/>
      <c r="Y362" s="31"/>
      <c r="Z362" s="31"/>
      <c r="AA362" s="31"/>
      <c r="AB362" s="31"/>
      <c r="AC362" s="31"/>
      <c r="AD362" s="31"/>
      <c r="AE362" s="31"/>
      <c r="AF362" s="31"/>
      <c r="AG362" s="31"/>
      <c r="AH362" s="31"/>
      <c r="AI362" s="31"/>
      <c r="AJ362" s="31"/>
      <c r="AK362" s="31"/>
      <c r="AL362" s="28" t="str">
        <f>VLOOKUP($G362,'[42]Sheet1 (2)'!$A$1:$B$1048440,2,FALSE)</f>
        <v>Sqm</v>
      </c>
      <c r="AM362" s="32"/>
      <c r="AN362" s="31"/>
      <c r="AO362" s="33"/>
    </row>
    <row r="363" spans="1:41" ht="224" x14ac:dyDescent="0.25">
      <c r="A363" s="40">
        <v>284</v>
      </c>
      <c r="B363" s="45" t="s">
        <v>362</v>
      </c>
      <c r="C363" s="37">
        <v>6.36</v>
      </c>
      <c r="D363" s="45" t="s">
        <v>388</v>
      </c>
      <c r="E363" s="44" t="s">
        <v>488</v>
      </c>
      <c r="F363" s="115" t="s">
        <v>388</v>
      </c>
      <c r="G363" s="45" t="s">
        <v>45</v>
      </c>
      <c r="H363" s="40">
        <v>9963</v>
      </c>
      <c r="I363" s="40">
        <v>3021</v>
      </c>
      <c r="J363" s="31"/>
      <c r="K363" s="31"/>
      <c r="L363" s="31"/>
      <c r="M363" s="31"/>
      <c r="N363" s="31"/>
      <c r="O363" s="31"/>
      <c r="P363" s="31"/>
      <c r="Q363" s="31"/>
      <c r="R363" s="31"/>
      <c r="S363" s="31"/>
      <c r="T363" s="31"/>
      <c r="U363" s="31"/>
      <c r="V363" s="31"/>
      <c r="W363" s="31"/>
      <c r="X363" s="31"/>
      <c r="Y363" s="31"/>
      <c r="Z363" s="31"/>
      <c r="AA363" s="31"/>
      <c r="AB363" s="31"/>
      <c r="AC363" s="31"/>
      <c r="AD363" s="31"/>
      <c r="AE363" s="31"/>
      <c r="AF363" s="31"/>
      <c r="AG363" s="31"/>
      <c r="AH363" s="31"/>
      <c r="AI363" s="31"/>
      <c r="AJ363" s="31"/>
      <c r="AK363" s="31"/>
      <c r="AL363" s="28" t="str">
        <f>VLOOKUP($G363,'[42]Sheet1 (2)'!$A$1:$B$1048440,2,FALSE)</f>
        <v>No.</v>
      </c>
      <c r="AM363" s="32"/>
      <c r="AN363" s="31"/>
      <c r="AO363" s="33"/>
    </row>
    <row r="364" spans="1:41" ht="70" x14ac:dyDescent="0.25">
      <c r="A364" s="40">
        <v>285</v>
      </c>
      <c r="B364" s="45" t="s">
        <v>362</v>
      </c>
      <c r="C364" s="37">
        <v>6.37</v>
      </c>
      <c r="D364" s="45" t="s">
        <v>363</v>
      </c>
      <c r="E364" s="44" t="s">
        <v>489</v>
      </c>
      <c r="F364" s="44" t="s">
        <v>490</v>
      </c>
      <c r="G364" s="45" t="s">
        <v>45</v>
      </c>
      <c r="H364" s="40">
        <v>2008</v>
      </c>
      <c r="I364" s="40">
        <v>265</v>
      </c>
      <c r="J364" s="31"/>
      <c r="K364" s="31"/>
      <c r="L364" s="31"/>
      <c r="M364" s="31"/>
      <c r="N364" s="31"/>
      <c r="O364" s="31"/>
      <c r="P364" s="31"/>
      <c r="Q364" s="31"/>
      <c r="R364" s="31"/>
      <c r="S364" s="31"/>
      <c r="T364" s="31"/>
      <c r="U364" s="31"/>
      <c r="V364" s="31"/>
      <c r="W364" s="31"/>
      <c r="X364" s="31"/>
      <c r="Y364" s="31"/>
      <c r="Z364" s="31"/>
      <c r="AA364" s="31"/>
      <c r="AB364" s="31"/>
      <c r="AC364" s="31"/>
      <c r="AD364" s="31"/>
      <c r="AE364" s="31"/>
      <c r="AF364" s="31"/>
      <c r="AG364" s="31"/>
      <c r="AH364" s="31"/>
      <c r="AI364" s="31"/>
      <c r="AJ364" s="31"/>
      <c r="AK364" s="31"/>
      <c r="AL364" s="28" t="str">
        <f>VLOOKUP($G364,'[42]Sheet1 (2)'!$A$1:$B$1048440,2,FALSE)</f>
        <v>No.</v>
      </c>
      <c r="AM364" s="32"/>
      <c r="AN364" s="31"/>
      <c r="AO364" s="33"/>
    </row>
    <row r="365" spans="1:41" ht="238" x14ac:dyDescent="0.25">
      <c r="A365" s="40">
        <v>286</v>
      </c>
      <c r="B365" s="45" t="s">
        <v>362</v>
      </c>
      <c r="C365" s="37">
        <v>6.38</v>
      </c>
      <c r="D365" s="45" t="s">
        <v>491</v>
      </c>
      <c r="E365" s="44" t="s">
        <v>492</v>
      </c>
      <c r="F365" s="115" t="s">
        <v>491</v>
      </c>
      <c r="G365" s="45" t="s">
        <v>45</v>
      </c>
      <c r="H365" s="40">
        <v>4702</v>
      </c>
      <c r="I365" s="40">
        <v>953</v>
      </c>
      <c r="J365" s="31"/>
      <c r="K365" s="31"/>
      <c r="L365" s="31"/>
      <c r="M365" s="31"/>
      <c r="N365" s="31"/>
      <c r="O365" s="31"/>
      <c r="P365" s="31"/>
      <c r="Q365" s="31"/>
      <c r="R365" s="31"/>
      <c r="S365" s="31"/>
      <c r="T365" s="31"/>
      <c r="U365" s="31"/>
      <c r="V365" s="31"/>
      <c r="W365" s="31"/>
      <c r="X365" s="31"/>
      <c r="Y365" s="31"/>
      <c r="Z365" s="31"/>
      <c r="AA365" s="31"/>
      <c r="AB365" s="31"/>
      <c r="AC365" s="31"/>
      <c r="AD365" s="31"/>
      <c r="AE365" s="31"/>
      <c r="AF365" s="31"/>
      <c r="AG365" s="31"/>
      <c r="AH365" s="31"/>
      <c r="AI365" s="31"/>
      <c r="AJ365" s="31"/>
      <c r="AK365" s="31"/>
      <c r="AL365" s="28" t="str">
        <f>VLOOKUP($G365,'[42]Sheet1 (2)'!$A$1:$B$1048440,2,FALSE)</f>
        <v>No.</v>
      </c>
      <c r="AM365" s="32"/>
      <c r="AN365" s="31"/>
      <c r="AO365" s="33"/>
    </row>
    <row r="366" spans="1:41" ht="238" x14ac:dyDescent="0.25">
      <c r="A366" s="40">
        <v>287</v>
      </c>
      <c r="B366" s="45" t="s">
        <v>362</v>
      </c>
      <c r="C366" s="37">
        <v>6.39</v>
      </c>
      <c r="D366" s="45" t="s">
        <v>491</v>
      </c>
      <c r="E366" s="44" t="s">
        <v>493</v>
      </c>
      <c r="F366" s="130" t="s">
        <v>491</v>
      </c>
      <c r="G366" s="45" t="s">
        <v>45</v>
      </c>
      <c r="H366" s="40">
        <v>5805</v>
      </c>
      <c r="I366" s="40">
        <v>953</v>
      </c>
      <c r="J366" s="31"/>
      <c r="K366" s="31"/>
      <c r="L366" s="31"/>
      <c r="M366" s="31"/>
      <c r="N366" s="31"/>
      <c r="O366" s="31"/>
      <c r="P366" s="31"/>
      <c r="Q366" s="31"/>
      <c r="R366" s="31"/>
      <c r="S366" s="31"/>
      <c r="T366" s="31"/>
      <c r="U366" s="31"/>
      <c r="V366" s="31"/>
      <c r="W366" s="31"/>
      <c r="X366" s="31"/>
      <c r="Y366" s="31"/>
      <c r="Z366" s="31"/>
      <c r="AA366" s="31"/>
      <c r="AB366" s="31"/>
      <c r="AC366" s="31"/>
      <c r="AD366" s="31"/>
      <c r="AE366" s="31"/>
      <c r="AF366" s="31"/>
      <c r="AG366" s="31"/>
      <c r="AH366" s="31"/>
      <c r="AI366" s="31"/>
      <c r="AJ366" s="31"/>
      <c r="AK366" s="31"/>
      <c r="AL366" s="28" t="str">
        <f>VLOOKUP($G366,'[42]Sheet1 (2)'!$A$1:$B$1048440,2,FALSE)</f>
        <v>No.</v>
      </c>
      <c r="AM366" s="32"/>
      <c r="AN366" s="31"/>
      <c r="AO366" s="33"/>
    </row>
    <row r="367" spans="1:41" ht="182" x14ac:dyDescent="0.25">
      <c r="A367" s="40">
        <v>288</v>
      </c>
      <c r="B367" s="45" t="s">
        <v>362</v>
      </c>
      <c r="C367" s="37">
        <v>6.4</v>
      </c>
      <c r="D367" s="45" t="s">
        <v>491</v>
      </c>
      <c r="E367" s="43" t="s">
        <v>494</v>
      </c>
      <c r="F367" s="130" t="s">
        <v>491</v>
      </c>
      <c r="G367" s="45" t="s">
        <v>45</v>
      </c>
      <c r="H367" s="40">
        <v>5106</v>
      </c>
      <c r="I367" s="40">
        <v>1625</v>
      </c>
      <c r="J367" s="31"/>
      <c r="K367" s="31"/>
      <c r="L367" s="31"/>
      <c r="M367" s="31"/>
      <c r="N367" s="31"/>
      <c r="O367" s="31"/>
      <c r="P367" s="31"/>
      <c r="Q367" s="31"/>
      <c r="R367" s="31"/>
      <c r="S367" s="31"/>
      <c r="T367" s="31"/>
      <c r="U367" s="31"/>
      <c r="V367" s="31"/>
      <c r="W367" s="31"/>
      <c r="X367" s="31"/>
      <c r="Y367" s="31"/>
      <c r="Z367" s="31"/>
      <c r="AA367" s="31"/>
      <c r="AB367" s="31"/>
      <c r="AC367" s="31"/>
      <c r="AD367" s="31"/>
      <c r="AE367" s="31"/>
      <c r="AF367" s="31"/>
      <c r="AG367" s="31"/>
      <c r="AH367" s="31"/>
      <c r="AI367" s="31"/>
      <c r="AJ367" s="31"/>
      <c r="AK367" s="31"/>
      <c r="AL367" s="28" t="str">
        <f>VLOOKUP($G367,'[42]Sheet1 (2)'!$A$1:$B$1048440,2,FALSE)</f>
        <v>No.</v>
      </c>
      <c r="AM367" s="32"/>
      <c r="AN367" s="31"/>
      <c r="AO367" s="33"/>
    </row>
    <row r="368" spans="1:41" ht="238" x14ac:dyDescent="0.25">
      <c r="A368" s="40">
        <v>289</v>
      </c>
      <c r="B368" s="45" t="s">
        <v>362</v>
      </c>
      <c r="C368" s="37">
        <v>6.41</v>
      </c>
      <c r="D368" s="45" t="s">
        <v>491</v>
      </c>
      <c r="E368" s="44" t="s">
        <v>495</v>
      </c>
      <c r="F368" s="130" t="s">
        <v>491</v>
      </c>
      <c r="G368" s="45" t="s">
        <v>45</v>
      </c>
      <c r="H368" s="40">
        <v>17458</v>
      </c>
      <c r="I368" s="40">
        <v>2310</v>
      </c>
      <c r="J368" s="31"/>
      <c r="K368" s="31"/>
      <c r="L368" s="31"/>
      <c r="M368" s="31"/>
      <c r="N368" s="31"/>
      <c r="O368" s="31"/>
      <c r="P368" s="31"/>
      <c r="Q368" s="31"/>
      <c r="R368" s="31"/>
      <c r="S368" s="31"/>
      <c r="T368" s="31"/>
      <c r="U368" s="31"/>
      <c r="V368" s="31"/>
      <c r="W368" s="31"/>
      <c r="X368" s="31"/>
      <c r="Y368" s="31"/>
      <c r="Z368" s="31"/>
      <c r="AA368" s="31"/>
      <c r="AB368" s="31"/>
      <c r="AC368" s="31"/>
      <c r="AD368" s="31"/>
      <c r="AE368" s="31"/>
      <c r="AF368" s="31"/>
      <c r="AG368" s="31"/>
      <c r="AH368" s="31"/>
      <c r="AI368" s="31"/>
      <c r="AJ368" s="31"/>
      <c r="AK368" s="31"/>
      <c r="AL368" s="28" t="str">
        <f>VLOOKUP($G368,'[42]Sheet1 (2)'!$A$1:$B$1048440,2,FALSE)</f>
        <v>No.</v>
      </c>
      <c r="AM368" s="32"/>
      <c r="AN368" s="31"/>
      <c r="AO368" s="33"/>
    </row>
    <row r="369" spans="1:41" ht="252" x14ac:dyDescent="0.25">
      <c r="A369" s="40">
        <v>290</v>
      </c>
      <c r="B369" s="45" t="s">
        <v>362</v>
      </c>
      <c r="C369" s="37">
        <v>6.42</v>
      </c>
      <c r="D369" s="45" t="s">
        <v>491</v>
      </c>
      <c r="E369" s="43" t="s">
        <v>496</v>
      </c>
      <c r="F369" s="130" t="s">
        <v>491</v>
      </c>
      <c r="G369" s="45" t="s">
        <v>45</v>
      </c>
      <c r="H369" s="48">
        <v>20480</v>
      </c>
      <c r="I369" s="48">
        <v>2310</v>
      </c>
      <c r="J369" s="31"/>
      <c r="K369" s="31"/>
      <c r="L369" s="31"/>
      <c r="M369" s="31"/>
      <c r="N369" s="31"/>
      <c r="O369" s="31"/>
      <c r="P369" s="31"/>
      <c r="Q369" s="31"/>
      <c r="R369" s="31"/>
      <c r="S369" s="31"/>
      <c r="T369" s="31"/>
      <c r="U369" s="31"/>
      <c r="V369" s="31"/>
      <c r="W369" s="31"/>
      <c r="X369" s="31"/>
      <c r="Y369" s="31"/>
      <c r="Z369" s="31"/>
      <c r="AA369" s="31"/>
      <c r="AB369" s="31"/>
      <c r="AC369" s="31"/>
      <c r="AD369" s="31"/>
      <c r="AE369" s="31"/>
      <c r="AF369" s="31"/>
      <c r="AG369" s="31"/>
      <c r="AH369" s="31"/>
      <c r="AI369" s="31"/>
      <c r="AJ369" s="31"/>
      <c r="AK369" s="31"/>
      <c r="AL369" s="28" t="str">
        <f>VLOOKUP($G369,'[42]Sheet1 (2)'!$A$1:$B$1048440,2,FALSE)</f>
        <v>No.</v>
      </c>
      <c r="AM369" s="32"/>
      <c r="AN369" s="31"/>
      <c r="AO369" s="33"/>
    </row>
    <row r="370" spans="1:41" ht="210" x14ac:dyDescent="0.25">
      <c r="A370" s="40">
        <v>291</v>
      </c>
      <c r="B370" s="45" t="s">
        <v>362</v>
      </c>
      <c r="C370" s="37">
        <v>6.43</v>
      </c>
      <c r="D370" s="45" t="s">
        <v>491</v>
      </c>
      <c r="E370" s="44" t="s">
        <v>497</v>
      </c>
      <c r="F370" s="130" t="s">
        <v>491</v>
      </c>
      <c r="G370" s="45" t="s">
        <v>45</v>
      </c>
      <c r="H370" s="48">
        <v>19712</v>
      </c>
      <c r="I370" s="48">
        <v>2144</v>
      </c>
      <c r="J370" s="31"/>
      <c r="K370" s="31"/>
      <c r="L370" s="31"/>
      <c r="M370" s="31"/>
      <c r="N370" s="31"/>
      <c r="O370" s="31"/>
      <c r="P370" s="31"/>
      <c r="Q370" s="31"/>
      <c r="R370" s="31"/>
      <c r="S370" s="31"/>
      <c r="T370" s="31"/>
      <c r="U370" s="31"/>
      <c r="V370" s="31"/>
      <c r="W370" s="31"/>
      <c r="X370" s="31"/>
      <c r="Y370" s="31"/>
      <c r="Z370" s="31"/>
      <c r="AA370" s="31"/>
      <c r="AB370" s="31"/>
      <c r="AC370" s="31"/>
      <c r="AD370" s="31"/>
      <c r="AE370" s="31"/>
      <c r="AF370" s="31"/>
      <c r="AG370" s="31"/>
      <c r="AH370" s="31"/>
      <c r="AI370" s="31"/>
      <c r="AJ370" s="31"/>
      <c r="AK370" s="31"/>
      <c r="AL370" s="28" t="str">
        <f>VLOOKUP($G370,'[42]Sheet1 (2)'!$A$1:$B$1048440,2,FALSE)</f>
        <v>No.</v>
      </c>
      <c r="AM370" s="32"/>
      <c r="AN370" s="31"/>
      <c r="AO370" s="33"/>
    </row>
    <row r="371" spans="1:41" ht="238" x14ac:dyDescent="0.25">
      <c r="A371" s="40">
        <v>292</v>
      </c>
      <c r="B371" s="45" t="s">
        <v>362</v>
      </c>
      <c r="C371" s="37">
        <v>6.44</v>
      </c>
      <c r="D371" s="45" t="s">
        <v>491</v>
      </c>
      <c r="E371" s="43" t="s">
        <v>498</v>
      </c>
      <c r="F371" s="130" t="s">
        <v>491</v>
      </c>
      <c r="G371" s="45" t="s">
        <v>45</v>
      </c>
      <c r="H371" s="48">
        <v>19448</v>
      </c>
      <c r="I371" s="48">
        <v>2512</v>
      </c>
      <c r="J371" s="31"/>
      <c r="K371" s="31"/>
      <c r="L371" s="31"/>
      <c r="M371" s="31"/>
      <c r="N371" s="31"/>
      <c r="O371" s="31"/>
      <c r="P371" s="31"/>
      <c r="Q371" s="31"/>
      <c r="R371" s="31"/>
      <c r="S371" s="31"/>
      <c r="T371" s="31"/>
      <c r="U371" s="31"/>
      <c r="V371" s="31"/>
      <c r="W371" s="31"/>
      <c r="X371" s="31"/>
      <c r="Y371" s="31"/>
      <c r="Z371" s="31"/>
      <c r="AA371" s="31"/>
      <c r="AB371" s="31"/>
      <c r="AC371" s="31"/>
      <c r="AD371" s="31"/>
      <c r="AE371" s="31"/>
      <c r="AF371" s="31"/>
      <c r="AG371" s="31"/>
      <c r="AH371" s="31"/>
      <c r="AI371" s="31"/>
      <c r="AJ371" s="31"/>
      <c r="AK371" s="31"/>
      <c r="AL371" s="28" t="str">
        <f>VLOOKUP($G371,'[42]Sheet1 (2)'!$A$1:$B$1048440,2,FALSE)</f>
        <v>No.</v>
      </c>
      <c r="AM371" s="32"/>
      <c r="AN371" s="31"/>
      <c r="AO371" s="33"/>
    </row>
    <row r="372" spans="1:41" ht="238" x14ac:dyDescent="0.25">
      <c r="A372" s="40">
        <v>293</v>
      </c>
      <c r="B372" s="45" t="s">
        <v>362</v>
      </c>
      <c r="C372" s="37">
        <v>6.45</v>
      </c>
      <c r="D372" s="45" t="s">
        <v>491</v>
      </c>
      <c r="E372" s="44" t="s">
        <v>499</v>
      </c>
      <c r="F372" s="130" t="s">
        <v>491</v>
      </c>
      <c r="G372" s="45" t="s">
        <v>45</v>
      </c>
      <c r="H372" s="48">
        <v>23816</v>
      </c>
      <c r="I372" s="48">
        <v>2382</v>
      </c>
      <c r="J372" s="31"/>
      <c r="K372" s="31"/>
      <c r="L372" s="31"/>
      <c r="M372" s="31"/>
      <c r="N372" s="31"/>
      <c r="O372" s="31"/>
      <c r="P372" s="31"/>
      <c r="Q372" s="31"/>
      <c r="R372" s="31"/>
      <c r="S372" s="31"/>
      <c r="T372" s="31"/>
      <c r="U372" s="31"/>
      <c r="V372" s="31"/>
      <c r="W372" s="31"/>
      <c r="X372" s="31"/>
      <c r="Y372" s="31"/>
      <c r="Z372" s="31"/>
      <c r="AA372" s="31"/>
      <c r="AB372" s="31"/>
      <c r="AC372" s="31"/>
      <c r="AD372" s="31"/>
      <c r="AE372" s="31"/>
      <c r="AF372" s="31"/>
      <c r="AG372" s="31"/>
      <c r="AH372" s="31"/>
      <c r="AI372" s="31"/>
      <c r="AJ372" s="31"/>
      <c r="AK372" s="31"/>
      <c r="AL372" s="28" t="str">
        <f>VLOOKUP($G372,'[42]Sheet1 (2)'!$A$1:$B$1048440,2,FALSE)</f>
        <v>No.</v>
      </c>
      <c r="AM372" s="32"/>
      <c r="AN372" s="31"/>
      <c r="AO372" s="33"/>
    </row>
    <row r="373" spans="1:41" ht="224" x14ac:dyDescent="0.25">
      <c r="A373" s="40">
        <v>294</v>
      </c>
      <c r="B373" s="45" t="s">
        <v>362</v>
      </c>
      <c r="C373" s="37">
        <v>6.46</v>
      </c>
      <c r="D373" s="45" t="s">
        <v>491</v>
      </c>
      <c r="E373" s="43" t="s">
        <v>500</v>
      </c>
      <c r="F373" s="130" t="s">
        <v>491</v>
      </c>
      <c r="G373" s="45" t="s">
        <v>45</v>
      </c>
      <c r="H373" s="40">
        <v>23960</v>
      </c>
      <c r="I373" s="48">
        <v>2499</v>
      </c>
      <c r="J373" s="31"/>
      <c r="K373" s="31"/>
      <c r="L373" s="31"/>
      <c r="M373" s="31"/>
      <c r="N373" s="31"/>
      <c r="O373" s="31"/>
      <c r="P373" s="31"/>
      <c r="Q373" s="31"/>
      <c r="R373" s="31"/>
      <c r="S373" s="31"/>
      <c r="T373" s="31"/>
      <c r="U373" s="31"/>
      <c r="V373" s="31"/>
      <c r="W373" s="31"/>
      <c r="X373" s="31"/>
      <c r="Y373" s="31"/>
      <c r="Z373" s="31"/>
      <c r="AA373" s="31"/>
      <c r="AB373" s="31"/>
      <c r="AC373" s="31"/>
      <c r="AD373" s="31"/>
      <c r="AE373" s="31"/>
      <c r="AF373" s="31"/>
      <c r="AG373" s="31"/>
      <c r="AH373" s="31"/>
      <c r="AI373" s="31"/>
      <c r="AJ373" s="31"/>
      <c r="AK373" s="31"/>
      <c r="AL373" s="28" t="str">
        <f>VLOOKUP($G373,'[42]Sheet1 (2)'!$A$1:$B$1048440,2,FALSE)</f>
        <v>No.</v>
      </c>
      <c r="AM373" s="32"/>
      <c r="AN373" s="31"/>
      <c r="AO373" s="33"/>
    </row>
    <row r="374" spans="1:41" ht="224" x14ac:dyDescent="0.25">
      <c r="A374" s="40">
        <v>295</v>
      </c>
      <c r="B374" s="45" t="s">
        <v>362</v>
      </c>
      <c r="C374" s="37">
        <v>6.47</v>
      </c>
      <c r="D374" s="45" t="s">
        <v>491</v>
      </c>
      <c r="E374" s="44" t="s">
        <v>501</v>
      </c>
      <c r="F374" s="130" t="s">
        <v>491</v>
      </c>
      <c r="G374" s="45" t="s">
        <v>45</v>
      </c>
      <c r="H374" s="40">
        <v>7814</v>
      </c>
      <c r="I374" s="48">
        <v>1482</v>
      </c>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28" t="str">
        <f>VLOOKUP($G374,'[42]Sheet1 (2)'!$A$1:$B$1048440,2,FALSE)</f>
        <v>No.</v>
      </c>
      <c r="AM374" s="71"/>
      <c r="AN374" s="31"/>
      <c r="AO374" s="33"/>
    </row>
    <row r="375" spans="1:41" ht="210" x14ac:dyDescent="0.25">
      <c r="A375" s="40">
        <v>296</v>
      </c>
      <c r="B375" s="45" t="s">
        <v>362</v>
      </c>
      <c r="C375" s="37">
        <v>6.48</v>
      </c>
      <c r="D375" s="45" t="s">
        <v>502</v>
      </c>
      <c r="E375" s="43" t="s">
        <v>503</v>
      </c>
      <c r="F375" s="130" t="s">
        <v>502</v>
      </c>
      <c r="G375" s="45" t="s">
        <v>45</v>
      </c>
      <c r="H375" s="40">
        <v>11535</v>
      </c>
      <c r="I375" s="48">
        <v>1280</v>
      </c>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28" t="str">
        <f>VLOOKUP($G375,'[42]Sheet1 (2)'!$A$1:$B$1048440,2,FALSE)</f>
        <v>No.</v>
      </c>
      <c r="AM375" s="71"/>
      <c r="AN375" s="31"/>
      <c r="AO375" s="33"/>
    </row>
    <row r="376" spans="1:41" ht="224" x14ac:dyDescent="0.25">
      <c r="A376" s="40">
        <v>297</v>
      </c>
      <c r="B376" s="45" t="s">
        <v>362</v>
      </c>
      <c r="C376" s="37">
        <v>6.49</v>
      </c>
      <c r="D376" s="45" t="s">
        <v>491</v>
      </c>
      <c r="E376" s="44" t="s">
        <v>504</v>
      </c>
      <c r="F376" s="130" t="s">
        <v>491</v>
      </c>
      <c r="G376" s="45" t="s">
        <v>45</v>
      </c>
      <c r="H376" s="40">
        <v>11497</v>
      </c>
      <c r="I376" s="48">
        <v>1182</v>
      </c>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28" t="str">
        <f>VLOOKUP($G376,'[42]Sheet1 (2)'!$A$1:$B$1048440,2,FALSE)</f>
        <v>No.</v>
      </c>
      <c r="AM376" s="71"/>
      <c r="AN376" s="31"/>
      <c r="AO376" s="33"/>
    </row>
    <row r="377" spans="1:41" ht="154" x14ac:dyDescent="0.25">
      <c r="A377" s="40">
        <v>298</v>
      </c>
      <c r="B377" s="45" t="s">
        <v>362</v>
      </c>
      <c r="C377" s="37">
        <v>6.5</v>
      </c>
      <c r="D377" s="45" t="s">
        <v>491</v>
      </c>
      <c r="E377" s="44" t="s">
        <v>505</v>
      </c>
      <c r="F377" s="130" t="s">
        <v>491</v>
      </c>
      <c r="G377" s="45" t="s">
        <v>45</v>
      </c>
      <c r="H377" s="40">
        <v>7461</v>
      </c>
      <c r="I377" s="48">
        <v>1147</v>
      </c>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28" t="str">
        <f>VLOOKUP($G377,'[42]Sheet1 (2)'!$A$1:$B$1048440,2,FALSE)</f>
        <v>No.</v>
      </c>
      <c r="AM377" s="71"/>
      <c r="AN377" s="31"/>
      <c r="AO377" s="33"/>
    </row>
    <row r="378" spans="1:41" ht="196" x14ac:dyDescent="0.25">
      <c r="A378" s="40">
        <v>299</v>
      </c>
      <c r="B378" s="45" t="s">
        <v>362</v>
      </c>
      <c r="C378" s="37">
        <v>6.51</v>
      </c>
      <c r="D378" s="45" t="s">
        <v>491</v>
      </c>
      <c r="E378" s="44" t="s">
        <v>506</v>
      </c>
      <c r="F378" s="130" t="s">
        <v>491</v>
      </c>
      <c r="G378" s="45" t="s">
        <v>45</v>
      </c>
      <c r="H378" s="40">
        <v>8971</v>
      </c>
      <c r="I378" s="48">
        <v>1072</v>
      </c>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28" t="str">
        <f>VLOOKUP($G378,'[42]Sheet1 (2)'!$A$1:$B$1048440,2,FALSE)</f>
        <v>No.</v>
      </c>
      <c r="AM378" s="71"/>
      <c r="AN378" s="31"/>
      <c r="AO378" s="33"/>
    </row>
    <row r="379" spans="1:41" ht="224" x14ac:dyDescent="0.25">
      <c r="A379" s="40">
        <v>300</v>
      </c>
      <c r="B379" s="45" t="s">
        <v>362</v>
      </c>
      <c r="C379" s="37">
        <v>6.52</v>
      </c>
      <c r="D379" s="45" t="s">
        <v>491</v>
      </c>
      <c r="E379" s="43" t="s">
        <v>507</v>
      </c>
      <c r="F379" s="130" t="s">
        <v>491</v>
      </c>
      <c r="G379" s="45" t="s">
        <v>45</v>
      </c>
      <c r="H379" s="40">
        <v>8625</v>
      </c>
      <c r="I379" s="40">
        <v>931</v>
      </c>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28" t="str">
        <f>VLOOKUP($G379,'[42]Sheet1 (2)'!$A$1:$B$1048440,2,FALSE)</f>
        <v>No.</v>
      </c>
      <c r="AM379" s="71"/>
      <c r="AN379" s="31"/>
      <c r="AO379" s="33"/>
    </row>
    <row r="380" spans="1:41" ht="238" x14ac:dyDescent="0.25">
      <c r="A380" s="40">
        <v>301</v>
      </c>
      <c r="B380" s="45" t="s">
        <v>362</v>
      </c>
      <c r="C380" s="37">
        <v>6.53</v>
      </c>
      <c r="D380" s="45" t="s">
        <v>491</v>
      </c>
      <c r="E380" s="43" t="s">
        <v>508</v>
      </c>
      <c r="F380" s="130" t="s">
        <v>491</v>
      </c>
      <c r="G380" s="45" t="s">
        <v>45</v>
      </c>
      <c r="H380" s="40">
        <v>4110</v>
      </c>
      <c r="I380" s="40">
        <v>875</v>
      </c>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28" t="str">
        <f>VLOOKUP($G380,'[42]Sheet1 (2)'!$A$1:$B$1048440,2,FALSE)</f>
        <v>No.</v>
      </c>
      <c r="AM380" s="71"/>
      <c r="AN380" s="31"/>
      <c r="AO380" s="33"/>
    </row>
    <row r="381" spans="1:41" ht="224" x14ac:dyDescent="0.25">
      <c r="A381" s="40">
        <v>302</v>
      </c>
      <c r="B381" s="45" t="s">
        <v>362</v>
      </c>
      <c r="C381" s="37">
        <v>6.54</v>
      </c>
      <c r="D381" s="45" t="s">
        <v>491</v>
      </c>
      <c r="E381" s="44" t="s">
        <v>509</v>
      </c>
      <c r="F381" s="130" t="s">
        <v>491</v>
      </c>
      <c r="G381" s="45" t="s">
        <v>45</v>
      </c>
      <c r="H381" s="40">
        <v>4739</v>
      </c>
      <c r="I381" s="40">
        <v>875</v>
      </c>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28" t="str">
        <f>VLOOKUP($G381,'[42]Sheet1 (2)'!$A$1:$B$1048440,2,FALSE)</f>
        <v>No.</v>
      </c>
      <c r="AM381" s="71"/>
      <c r="AN381" s="31"/>
      <c r="AO381" s="33"/>
    </row>
    <row r="382" spans="1:41" ht="238" x14ac:dyDescent="0.25">
      <c r="A382" s="40">
        <v>303</v>
      </c>
      <c r="B382" s="45" t="s">
        <v>362</v>
      </c>
      <c r="C382" s="37">
        <v>6.55</v>
      </c>
      <c r="D382" s="45" t="s">
        <v>491</v>
      </c>
      <c r="E382" s="44" t="s">
        <v>510</v>
      </c>
      <c r="F382" s="130" t="s">
        <v>491</v>
      </c>
      <c r="G382" s="45" t="s">
        <v>45</v>
      </c>
      <c r="H382" s="48">
        <v>14129</v>
      </c>
      <c r="I382" s="48">
        <v>1917</v>
      </c>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28" t="str">
        <f>VLOOKUP($G382,'[42]Sheet1 (2)'!$A$1:$B$1048440,2,FALSE)</f>
        <v>No.</v>
      </c>
      <c r="AM382" s="71"/>
      <c r="AN382" s="31"/>
      <c r="AO382" s="33"/>
    </row>
    <row r="383" spans="1:41" ht="210" x14ac:dyDescent="0.25">
      <c r="A383" s="40">
        <v>304</v>
      </c>
      <c r="B383" s="45" t="s">
        <v>362</v>
      </c>
      <c r="C383" s="37">
        <v>6.56</v>
      </c>
      <c r="D383" s="45" t="s">
        <v>491</v>
      </c>
      <c r="E383" s="44" t="s">
        <v>511</v>
      </c>
      <c r="F383" s="130" t="s">
        <v>491</v>
      </c>
      <c r="G383" s="45" t="s">
        <v>45</v>
      </c>
      <c r="H383" s="48">
        <v>15169</v>
      </c>
      <c r="I383" s="48">
        <v>1917</v>
      </c>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28" t="str">
        <f>VLOOKUP($G383,'[42]Sheet1 (2)'!$A$1:$B$1048440,2,FALSE)</f>
        <v>No.</v>
      </c>
      <c r="AM383" s="71"/>
      <c r="AN383" s="31"/>
      <c r="AO383" s="33"/>
    </row>
    <row r="384" spans="1:41" ht="210" x14ac:dyDescent="0.25">
      <c r="A384" s="40">
        <v>305</v>
      </c>
      <c r="B384" s="45" t="s">
        <v>362</v>
      </c>
      <c r="C384" s="37">
        <v>6.57</v>
      </c>
      <c r="D384" s="45" t="s">
        <v>491</v>
      </c>
      <c r="E384" s="44" t="s">
        <v>512</v>
      </c>
      <c r="F384" s="130" t="s">
        <v>491</v>
      </c>
      <c r="G384" s="45" t="s">
        <v>45</v>
      </c>
      <c r="H384" s="48">
        <v>16160</v>
      </c>
      <c r="I384" s="48">
        <v>1917</v>
      </c>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28" t="str">
        <f>VLOOKUP($G384,'[42]Sheet1 (2)'!$A$1:$B$1048440,2,FALSE)</f>
        <v>No.</v>
      </c>
      <c r="AM384" s="71"/>
      <c r="AN384" s="31"/>
      <c r="AO384" s="33"/>
    </row>
    <row r="385" spans="1:41" ht="182" x14ac:dyDescent="0.25">
      <c r="A385" s="36">
        <v>306</v>
      </c>
      <c r="B385" s="45" t="s">
        <v>362</v>
      </c>
      <c r="C385" s="131">
        <v>6.58</v>
      </c>
      <c r="D385" s="45" t="s">
        <v>491</v>
      </c>
      <c r="E385" s="44" t="s">
        <v>513</v>
      </c>
      <c r="F385" s="115" t="s">
        <v>491</v>
      </c>
      <c r="G385" s="42" t="s">
        <v>514</v>
      </c>
      <c r="H385" s="36">
        <v>11059</v>
      </c>
      <c r="I385" s="36">
        <v>1233</v>
      </c>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28" t="str">
        <f>VLOOKUP($G385,'[42]Sheet1 (2)'!$A$1:$B$1048440,2,FALSE)</f>
        <v>Sqm</v>
      </c>
      <c r="AM385" s="71"/>
      <c r="AN385" s="31"/>
      <c r="AO385" s="33"/>
    </row>
    <row r="386" spans="1:41" ht="15" x14ac:dyDescent="0.25">
      <c r="A386" s="68"/>
      <c r="B386" s="132"/>
      <c r="C386" s="133"/>
      <c r="D386" s="134"/>
      <c r="E386" s="135" t="s">
        <v>515</v>
      </c>
      <c r="F386" s="134"/>
      <c r="G386" s="136"/>
      <c r="H386" s="137"/>
      <c r="I386" s="137"/>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28" t="e">
        <f>VLOOKUP($G386,'[42]Sheet1 (2)'!$A$1:$B$1048440,2,FALSE)</f>
        <v>#N/A</v>
      </c>
      <c r="AM386" s="71"/>
      <c r="AN386" s="31"/>
      <c r="AO386" s="33"/>
    </row>
    <row r="387" spans="1:41" ht="126" x14ac:dyDescent="0.25">
      <c r="A387" s="26">
        <v>307</v>
      </c>
      <c r="B387" s="25" t="s">
        <v>515</v>
      </c>
      <c r="C387" s="22">
        <v>7.01</v>
      </c>
      <c r="D387" s="25" t="s">
        <v>516</v>
      </c>
      <c r="E387" s="23" t="s">
        <v>517</v>
      </c>
      <c r="F387" s="39" t="s">
        <v>516</v>
      </c>
      <c r="G387" s="21" t="s">
        <v>80</v>
      </c>
      <c r="H387" s="103">
        <v>554</v>
      </c>
      <c r="I387" s="26">
        <v>171</v>
      </c>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28" t="str">
        <f>VLOOKUP($G387,'[42]Sheet1 (2)'!$A$1:$B$1048440,2,FALSE)</f>
        <v>Rmt.</v>
      </c>
      <c r="AM387" s="71"/>
      <c r="AN387" s="31"/>
      <c r="AO387" s="33"/>
    </row>
    <row r="388" spans="1:41" ht="126" x14ac:dyDescent="0.25">
      <c r="A388" s="26">
        <v>308</v>
      </c>
      <c r="B388" s="25" t="s">
        <v>515</v>
      </c>
      <c r="C388" s="22">
        <v>7.02</v>
      </c>
      <c r="D388" s="25" t="s">
        <v>516</v>
      </c>
      <c r="E388" s="23" t="s">
        <v>518</v>
      </c>
      <c r="F388" s="39" t="s">
        <v>516</v>
      </c>
      <c r="G388" s="21" t="s">
        <v>80</v>
      </c>
      <c r="H388" s="103">
        <v>519</v>
      </c>
      <c r="I388" s="26">
        <v>164</v>
      </c>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28" t="str">
        <f>VLOOKUP($G388,'[42]Sheet1 (2)'!$A$1:$B$1048440,2,FALSE)</f>
        <v>Rmt.</v>
      </c>
      <c r="AM388" s="71"/>
      <c r="AN388" s="31"/>
      <c r="AO388" s="33"/>
    </row>
    <row r="389" spans="1:41" ht="112" x14ac:dyDescent="0.25">
      <c r="A389" s="26">
        <v>309</v>
      </c>
      <c r="B389" s="25" t="s">
        <v>515</v>
      </c>
      <c r="C389" s="22">
        <v>7.03</v>
      </c>
      <c r="D389" s="25" t="s">
        <v>516</v>
      </c>
      <c r="E389" s="23" t="s">
        <v>519</v>
      </c>
      <c r="F389" s="39" t="s">
        <v>516</v>
      </c>
      <c r="G389" s="21" t="s">
        <v>80</v>
      </c>
      <c r="H389" s="103">
        <v>492</v>
      </c>
      <c r="I389" s="26">
        <v>159</v>
      </c>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28" t="str">
        <f>VLOOKUP($G389,'[42]Sheet1 (2)'!$A$1:$B$1048440,2,FALSE)</f>
        <v>Rmt.</v>
      </c>
      <c r="AM389" s="71"/>
      <c r="AN389" s="31"/>
      <c r="AO389" s="33"/>
    </row>
    <row r="390" spans="1:41" ht="126" x14ac:dyDescent="0.25">
      <c r="A390" s="26">
        <v>310</v>
      </c>
      <c r="B390" s="25" t="s">
        <v>515</v>
      </c>
      <c r="C390" s="22">
        <v>7.04</v>
      </c>
      <c r="D390" s="25" t="s">
        <v>516</v>
      </c>
      <c r="E390" s="23" t="s">
        <v>520</v>
      </c>
      <c r="F390" s="39" t="s">
        <v>516</v>
      </c>
      <c r="G390" s="21" t="s">
        <v>80</v>
      </c>
      <c r="H390" s="103">
        <v>972</v>
      </c>
      <c r="I390" s="26">
        <v>213</v>
      </c>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28" t="str">
        <f>VLOOKUP($G390,'[42]Sheet1 (2)'!$A$1:$B$1048440,2,FALSE)</f>
        <v>Rmt.</v>
      </c>
      <c r="AM390" s="71"/>
      <c r="AN390" s="31"/>
      <c r="AO390" s="33"/>
    </row>
    <row r="391" spans="1:41" ht="126" x14ac:dyDescent="0.25">
      <c r="A391" s="26">
        <v>311</v>
      </c>
      <c r="B391" s="25" t="s">
        <v>515</v>
      </c>
      <c r="C391" s="22">
        <v>7.05</v>
      </c>
      <c r="D391" s="25" t="s">
        <v>516</v>
      </c>
      <c r="E391" s="23" t="s">
        <v>521</v>
      </c>
      <c r="F391" s="39" t="s">
        <v>516</v>
      </c>
      <c r="G391" s="21" t="s">
        <v>80</v>
      </c>
      <c r="H391" s="103">
        <v>858</v>
      </c>
      <c r="I391" s="26">
        <v>189</v>
      </c>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28" t="str">
        <f>VLOOKUP($G391,'[42]Sheet1 (2)'!$A$1:$B$1048440,2,FALSE)</f>
        <v>Rmt.</v>
      </c>
      <c r="AM391" s="71"/>
      <c r="AN391" s="31"/>
      <c r="AO391" s="33"/>
    </row>
    <row r="392" spans="1:41" ht="126" x14ac:dyDescent="0.25">
      <c r="A392" s="26">
        <v>312</v>
      </c>
      <c r="B392" s="25" t="s">
        <v>515</v>
      </c>
      <c r="C392" s="22">
        <v>7.06</v>
      </c>
      <c r="D392" s="25" t="s">
        <v>516</v>
      </c>
      <c r="E392" s="23" t="s">
        <v>522</v>
      </c>
      <c r="F392" s="39" t="s">
        <v>516</v>
      </c>
      <c r="G392" s="21" t="s">
        <v>80</v>
      </c>
      <c r="H392" s="103">
        <v>774</v>
      </c>
      <c r="I392" s="26">
        <v>174</v>
      </c>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28" t="str">
        <f>VLOOKUP($G392,'[42]Sheet1 (2)'!$A$1:$B$1048440,2,FALSE)</f>
        <v>Rmt.</v>
      </c>
      <c r="AM392" s="71"/>
      <c r="AN392" s="31"/>
      <c r="AO392" s="33"/>
    </row>
    <row r="393" spans="1:41" ht="98" x14ac:dyDescent="0.25">
      <c r="A393" s="26">
        <v>313</v>
      </c>
      <c r="B393" s="25" t="s">
        <v>515</v>
      </c>
      <c r="C393" s="22">
        <v>7.07</v>
      </c>
      <c r="D393" s="24" t="s">
        <v>352</v>
      </c>
      <c r="E393" s="23" t="s">
        <v>523</v>
      </c>
      <c r="F393" s="25" t="s">
        <v>524</v>
      </c>
      <c r="G393" s="21" t="s">
        <v>80</v>
      </c>
      <c r="H393" s="26">
        <v>3214</v>
      </c>
      <c r="I393" s="26">
        <v>171</v>
      </c>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28" t="str">
        <f>VLOOKUP($G393,'[42]Sheet1 (2)'!$A$1:$B$1048440,2,FALSE)</f>
        <v>Rmt.</v>
      </c>
      <c r="AM393" s="71"/>
      <c r="AN393" s="31"/>
      <c r="AO393" s="33"/>
    </row>
    <row r="394" spans="1:41" ht="98" x14ac:dyDescent="0.25">
      <c r="A394" s="26">
        <v>314</v>
      </c>
      <c r="B394" s="25" t="s">
        <v>515</v>
      </c>
      <c r="C394" s="22">
        <v>7.08</v>
      </c>
      <c r="D394" s="24" t="s">
        <v>352</v>
      </c>
      <c r="E394" s="23" t="s">
        <v>525</v>
      </c>
      <c r="F394" s="25" t="s">
        <v>524</v>
      </c>
      <c r="G394" s="21" t="s">
        <v>80</v>
      </c>
      <c r="H394" s="26">
        <v>2156</v>
      </c>
      <c r="I394" s="26">
        <v>128</v>
      </c>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28" t="str">
        <f>VLOOKUP($G394,'[42]Sheet1 (2)'!$A$1:$B$1048440,2,FALSE)</f>
        <v>Rmt.</v>
      </c>
      <c r="AM394" s="71"/>
      <c r="AN394" s="31"/>
      <c r="AO394" s="33"/>
    </row>
    <row r="395" spans="1:41" ht="70" x14ac:dyDescent="0.25">
      <c r="A395" s="26">
        <v>315</v>
      </c>
      <c r="B395" s="25" t="s">
        <v>515</v>
      </c>
      <c r="C395" s="22">
        <v>7.09</v>
      </c>
      <c r="D395" s="24" t="s">
        <v>352</v>
      </c>
      <c r="E395" s="24" t="s">
        <v>526</v>
      </c>
      <c r="F395" s="25" t="s">
        <v>524</v>
      </c>
      <c r="G395" s="21" t="s">
        <v>80</v>
      </c>
      <c r="H395" s="26">
        <v>2797</v>
      </c>
      <c r="I395" s="26">
        <v>182</v>
      </c>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28" t="str">
        <f>VLOOKUP($G395,'[42]Sheet1 (2)'!$A$1:$B$1048440,2,FALSE)</f>
        <v>Rmt.</v>
      </c>
      <c r="AM395" s="71"/>
      <c r="AN395" s="31"/>
      <c r="AO395" s="33"/>
    </row>
    <row r="396" spans="1:41" ht="84" x14ac:dyDescent="0.25">
      <c r="A396" s="26">
        <v>316</v>
      </c>
      <c r="B396" s="25" t="s">
        <v>515</v>
      </c>
      <c r="C396" s="22">
        <v>7.1</v>
      </c>
      <c r="D396" s="24" t="s">
        <v>352</v>
      </c>
      <c r="E396" s="24" t="s">
        <v>527</v>
      </c>
      <c r="F396" s="25" t="s">
        <v>524</v>
      </c>
      <c r="G396" s="21" t="s">
        <v>80</v>
      </c>
      <c r="H396" s="26">
        <v>3241</v>
      </c>
      <c r="I396" s="26">
        <v>249</v>
      </c>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28" t="str">
        <f>VLOOKUP($G396,'[42]Sheet1 (2)'!$A$1:$B$1048440,2,FALSE)</f>
        <v>Rmt.</v>
      </c>
      <c r="AM396" s="71"/>
      <c r="AN396" s="31"/>
      <c r="AO396" s="33"/>
    </row>
    <row r="397" spans="1:41" ht="84" x14ac:dyDescent="0.25">
      <c r="A397" s="26">
        <v>317</v>
      </c>
      <c r="B397" s="25" t="s">
        <v>515</v>
      </c>
      <c r="C397" s="22">
        <v>7.11</v>
      </c>
      <c r="D397" s="25" t="s">
        <v>72</v>
      </c>
      <c r="E397" s="23" t="s">
        <v>528</v>
      </c>
      <c r="F397" s="25" t="s">
        <v>529</v>
      </c>
      <c r="G397" s="25" t="s">
        <v>58</v>
      </c>
      <c r="H397" s="26">
        <v>6378</v>
      </c>
      <c r="I397" s="26">
        <v>447</v>
      </c>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28" t="e">
        <f>VLOOKUP($G397,'[42]Sheet1 (2)'!$A$1:$B$1048440,2,FALSE)</f>
        <v>#N/A</v>
      </c>
      <c r="AM397" s="71"/>
      <c r="AN397" s="31"/>
      <c r="AO397" s="33"/>
    </row>
    <row r="398" spans="1:41" ht="112" x14ac:dyDescent="0.25">
      <c r="A398" s="26">
        <v>318</v>
      </c>
      <c r="B398" s="25" t="s">
        <v>515</v>
      </c>
      <c r="C398" s="22">
        <v>7.12</v>
      </c>
      <c r="D398" s="25" t="s">
        <v>72</v>
      </c>
      <c r="E398" s="24" t="s">
        <v>530</v>
      </c>
      <c r="F398" s="24" t="s">
        <v>531</v>
      </c>
      <c r="G398" s="25" t="s">
        <v>58</v>
      </c>
      <c r="H398" s="26">
        <v>578</v>
      </c>
      <c r="I398" s="26">
        <v>0</v>
      </c>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28" t="e">
        <f>VLOOKUP($G398,'[42]Sheet1 (2)'!$A$1:$B$1048440,2,FALSE)</f>
        <v>#N/A</v>
      </c>
      <c r="AM398" s="71"/>
      <c r="AN398" s="31"/>
      <c r="AO398" s="33"/>
    </row>
    <row r="399" spans="1:41" ht="126" x14ac:dyDescent="0.25">
      <c r="A399" s="26">
        <v>319</v>
      </c>
      <c r="B399" s="25" t="s">
        <v>515</v>
      </c>
      <c r="C399" s="22">
        <v>7.13</v>
      </c>
      <c r="D399" s="25" t="s">
        <v>72</v>
      </c>
      <c r="E399" s="23" t="s">
        <v>532</v>
      </c>
      <c r="F399" s="24" t="s">
        <v>531</v>
      </c>
      <c r="G399" s="25" t="s">
        <v>58</v>
      </c>
      <c r="H399" s="26">
        <v>1148</v>
      </c>
      <c r="I399" s="26">
        <v>0</v>
      </c>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28" t="e">
        <f>VLOOKUP($G399,'[42]Sheet1 (2)'!$A$1:$B$1048440,2,FALSE)</f>
        <v>#N/A</v>
      </c>
      <c r="AM399" s="71"/>
      <c r="AN399" s="31"/>
      <c r="AO399" s="33"/>
    </row>
    <row r="400" spans="1:41" ht="126" x14ac:dyDescent="0.25">
      <c r="A400" s="26">
        <v>320</v>
      </c>
      <c r="B400" s="25" t="s">
        <v>515</v>
      </c>
      <c r="C400" s="22">
        <v>7.14</v>
      </c>
      <c r="D400" s="25" t="s">
        <v>72</v>
      </c>
      <c r="E400" s="23" t="s">
        <v>533</v>
      </c>
      <c r="F400" s="24" t="s">
        <v>531</v>
      </c>
      <c r="G400" s="25" t="s">
        <v>58</v>
      </c>
      <c r="H400" s="26">
        <v>574</v>
      </c>
      <c r="I400" s="26">
        <v>43</v>
      </c>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28" t="e">
        <f>VLOOKUP($G400,'[42]Sheet1 (2)'!$A$1:$B$1048440,2,FALSE)</f>
        <v>#N/A</v>
      </c>
      <c r="AM400" s="71"/>
      <c r="AN400" s="31"/>
      <c r="AO400" s="33"/>
    </row>
    <row r="401" spans="1:41" ht="126" x14ac:dyDescent="0.25">
      <c r="A401" s="26">
        <v>321</v>
      </c>
      <c r="B401" s="25" t="s">
        <v>515</v>
      </c>
      <c r="C401" s="22">
        <v>7.15</v>
      </c>
      <c r="D401" s="25" t="s">
        <v>72</v>
      </c>
      <c r="E401" s="24" t="s">
        <v>534</v>
      </c>
      <c r="F401" s="24" t="s">
        <v>531</v>
      </c>
      <c r="G401" s="25" t="s">
        <v>58</v>
      </c>
      <c r="H401" s="26">
        <v>14</v>
      </c>
      <c r="I401" s="26">
        <v>1</v>
      </c>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28" t="e">
        <f>VLOOKUP($G401,'[42]Sheet1 (2)'!$A$1:$B$1048440,2,FALSE)</f>
        <v>#N/A</v>
      </c>
      <c r="AM401" s="71"/>
      <c r="AN401" s="31"/>
      <c r="AO401" s="33"/>
    </row>
    <row r="402" spans="1:41" ht="84" x14ac:dyDescent="0.25">
      <c r="A402" s="26">
        <v>322</v>
      </c>
      <c r="B402" s="25" t="s">
        <v>515</v>
      </c>
      <c r="C402" s="22">
        <v>7.16</v>
      </c>
      <c r="D402" s="25" t="s">
        <v>535</v>
      </c>
      <c r="E402" s="23" t="s">
        <v>536</v>
      </c>
      <c r="F402" s="39" t="s">
        <v>535</v>
      </c>
      <c r="G402" s="21" t="s">
        <v>217</v>
      </c>
      <c r="H402" s="26">
        <v>180</v>
      </c>
      <c r="I402" s="26">
        <v>81</v>
      </c>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28" t="str">
        <f>VLOOKUP($G402,'[42]Sheet1 (2)'!$A$1:$B$1048440,2,FALSE)</f>
        <v>Sqm</v>
      </c>
      <c r="AM402" s="71"/>
      <c r="AN402" s="31"/>
      <c r="AO402" s="33"/>
    </row>
    <row r="403" spans="1:41" ht="84" x14ac:dyDescent="0.25">
      <c r="A403" s="26">
        <v>323</v>
      </c>
      <c r="B403" s="25" t="s">
        <v>515</v>
      </c>
      <c r="C403" s="22">
        <v>7.17</v>
      </c>
      <c r="D403" s="25" t="s">
        <v>535</v>
      </c>
      <c r="E403" s="23" t="s">
        <v>537</v>
      </c>
      <c r="F403" s="39" t="s">
        <v>535</v>
      </c>
      <c r="G403" s="21" t="s">
        <v>217</v>
      </c>
      <c r="H403" s="26">
        <v>180</v>
      </c>
      <c r="I403" s="26">
        <v>81</v>
      </c>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28" t="str">
        <f>VLOOKUP($G403,'[42]Sheet1 (2)'!$A$1:$B$1048440,2,FALSE)</f>
        <v>Sqm</v>
      </c>
      <c r="AM403" s="71"/>
      <c r="AN403" s="31"/>
      <c r="AO403" s="33"/>
    </row>
    <row r="404" spans="1:41" ht="84" x14ac:dyDescent="0.25">
      <c r="A404" s="26">
        <v>324</v>
      </c>
      <c r="B404" s="25" t="s">
        <v>515</v>
      </c>
      <c r="C404" s="22">
        <v>7.18</v>
      </c>
      <c r="D404" s="25" t="s">
        <v>535</v>
      </c>
      <c r="E404" s="23" t="s">
        <v>538</v>
      </c>
      <c r="F404" s="39" t="s">
        <v>535</v>
      </c>
      <c r="G404" s="21" t="s">
        <v>217</v>
      </c>
      <c r="H404" s="26">
        <v>180</v>
      </c>
      <c r="I404" s="26">
        <v>81</v>
      </c>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28" t="str">
        <f>VLOOKUP($G404,'[42]Sheet1 (2)'!$A$1:$B$1048440,2,FALSE)</f>
        <v>Sqm</v>
      </c>
      <c r="AM404" s="71"/>
      <c r="AN404" s="31"/>
      <c r="AO404" s="33"/>
    </row>
    <row r="405" spans="1:41" ht="84" x14ac:dyDescent="0.25">
      <c r="A405" s="26">
        <v>325</v>
      </c>
      <c r="B405" s="25" t="s">
        <v>515</v>
      </c>
      <c r="C405" s="22">
        <v>7.19</v>
      </c>
      <c r="D405" s="25" t="s">
        <v>535</v>
      </c>
      <c r="E405" s="23" t="s">
        <v>539</v>
      </c>
      <c r="F405" s="39" t="s">
        <v>535</v>
      </c>
      <c r="G405" s="21" t="s">
        <v>217</v>
      </c>
      <c r="H405" s="26">
        <v>171</v>
      </c>
      <c r="I405" s="26">
        <v>80</v>
      </c>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28" t="str">
        <f>VLOOKUP($G405,'[42]Sheet1 (2)'!$A$1:$B$1048440,2,FALSE)</f>
        <v>Sqm</v>
      </c>
      <c r="AM405" s="71"/>
      <c r="AN405" s="31"/>
      <c r="AO405" s="33"/>
    </row>
    <row r="406" spans="1:41" ht="84" x14ac:dyDescent="0.25">
      <c r="A406" s="26">
        <v>326</v>
      </c>
      <c r="B406" s="25" t="s">
        <v>515</v>
      </c>
      <c r="C406" s="22">
        <v>7.2</v>
      </c>
      <c r="D406" s="25" t="s">
        <v>535</v>
      </c>
      <c r="E406" s="23" t="s">
        <v>540</v>
      </c>
      <c r="F406" s="39" t="s">
        <v>535</v>
      </c>
      <c r="G406" s="21" t="s">
        <v>217</v>
      </c>
      <c r="H406" s="26">
        <v>257</v>
      </c>
      <c r="I406" s="26">
        <v>103</v>
      </c>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28" t="str">
        <f>VLOOKUP($G406,'[42]Sheet1 (2)'!$A$1:$B$1048440,2,FALSE)</f>
        <v>Sqm</v>
      </c>
      <c r="AM406" s="71"/>
      <c r="AN406" s="31"/>
      <c r="AO406" s="33"/>
    </row>
    <row r="407" spans="1:41" ht="140" x14ac:dyDescent="0.25">
      <c r="A407" s="26">
        <v>327</v>
      </c>
      <c r="B407" s="25" t="s">
        <v>515</v>
      </c>
      <c r="C407" s="22">
        <v>7.21</v>
      </c>
      <c r="D407" s="24" t="s">
        <v>352</v>
      </c>
      <c r="E407" s="24" t="s">
        <v>541</v>
      </c>
      <c r="F407" s="21" t="s">
        <v>542</v>
      </c>
      <c r="G407" s="25" t="s">
        <v>47</v>
      </c>
      <c r="H407" s="26">
        <v>4309</v>
      </c>
      <c r="I407" s="26">
        <v>614</v>
      </c>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28" t="str">
        <f>VLOOKUP($G407,'[42]Sheet1 (2)'!$A$1:$B$1048440,2,FALSE)</f>
        <v>Cum</v>
      </c>
      <c r="AM407" s="71"/>
      <c r="AN407" s="31"/>
      <c r="AO407" s="33"/>
    </row>
    <row r="408" spans="1:41" ht="140" x14ac:dyDescent="0.25">
      <c r="A408" s="26">
        <v>328</v>
      </c>
      <c r="B408" s="25" t="s">
        <v>515</v>
      </c>
      <c r="C408" s="22">
        <v>7.22</v>
      </c>
      <c r="D408" s="24" t="s">
        <v>352</v>
      </c>
      <c r="E408" s="24" t="s">
        <v>543</v>
      </c>
      <c r="F408" s="21" t="s">
        <v>542</v>
      </c>
      <c r="G408" s="25" t="s">
        <v>47</v>
      </c>
      <c r="H408" s="26">
        <v>4292</v>
      </c>
      <c r="I408" s="26">
        <v>726</v>
      </c>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28" t="str">
        <f>VLOOKUP($G408,'[42]Sheet1 (2)'!$A$1:$B$1048440,2,FALSE)</f>
        <v>Cum</v>
      </c>
      <c r="AM408" s="71"/>
      <c r="AN408" s="31"/>
      <c r="AO408" s="33"/>
    </row>
    <row r="409" spans="1:41" ht="84" x14ac:dyDescent="0.25">
      <c r="A409" s="26">
        <v>329</v>
      </c>
      <c r="B409" s="25" t="s">
        <v>515</v>
      </c>
      <c r="C409" s="22">
        <v>7.23</v>
      </c>
      <c r="D409" s="25" t="s">
        <v>535</v>
      </c>
      <c r="E409" s="23" t="s">
        <v>544</v>
      </c>
      <c r="F409" s="39" t="s">
        <v>535</v>
      </c>
      <c r="G409" s="21" t="s">
        <v>217</v>
      </c>
      <c r="H409" s="26">
        <v>176</v>
      </c>
      <c r="I409" s="26">
        <v>78</v>
      </c>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28" t="str">
        <f>VLOOKUP($G409,'[42]Sheet1 (2)'!$A$1:$B$1048440,2,FALSE)</f>
        <v>Sqm</v>
      </c>
      <c r="AM409" s="71"/>
      <c r="AN409" s="31"/>
      <c r="AO409" s="33"/>
    </row>
    <row r="410" spans="1:41" ht="84" x14ac:dyDescent="0.25">
      <c r="A410" s="26">
        <v>330</v>
      </c>
      <c r="B410" s="25" t="s">
        <v>515</v>
      </c>
      <c r="C410" s="22">
        <v>7.24</v>
      </c>
      <c r="D410" s="25" t="s">
        <v>545</v>
      </c>
      <c r="E410" s="23" t="s">
        <v>546</v>
      </c>
      <c r="F410" s="39" t="s">
        <v>535</v>
      </c>
      <c r="G410" s="21" t="s">
        <v>217</v>
      </c>
      <c r="H410" s="26">
        <v>176</v>
      </c>
      <c r="I410" s="26">
        <v>78</v>
      </c>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28" t="str">
        <f>VLOOKUP($G410,'[42]Sheet1 (2)'!$A$1:$B$1048440,2,FALSE)</f>
        <v>Sqm</v>
      </c>
      <c r="AM410" s="71"/>
      <c r="AN410" s="31"/>
      <c r="AO410" s="33"/>
    </row>
    <row r="411" spans="1:41" ht="84" x14ac:dyDescent="0.25">
      <c r="A411" s="26">
        <v>331</v>
      </c>
      <c r="B411" s="25" t="s">
        <v>515</v>
      </c>
      <c r="C411" s="22">
        <v>7.25</v>
      </c>
      <c r="D411" s="25" t="s">
        <v>218</v>
      </c>
      <c r="E411" s="23" t="s">
        <v>547</v>
      </c>
      <c r="F411" s="39" t="s">
        <v>218</v>
      </c>
      <c r="G411" s="25" t="s">
        <v>45</v>
      </c>
      <c r="H411" s="26">
        <v>371</v>
      </c>
      <c r="I411" s="26">
        <v>347</v>
      </c>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28" t="str">
        <f>VLOOKUP($G411,'[42]Sheet1 (2)'!$A$1:$B$1048440,2,FALSE)</f>
        <v>No.</v>
      </c>
      <c r="AM411" s="71"/>
      <c r="AN411" s="31"/>
      <c r="AO411" s="33"/>
    </row>
    <row r="412" spans="1:41" ht="84" x14ac:dyDescent="0.25">
      <c r="A412" s="26">
        <v>332</v>
      </c>
      <c r="B412" s="25" t="s">
        <v>515</v>
      </c>
      <c r="C412" s="22">
        <v>7.29</v>
      </c>
      <c r="D412" s="25" t="s">
        <v>548</v>
      </c>
      <c r="E412" s="24" t="s">
        <v>549</v>
      </c>
      <c r="F412" s="39" t="s">
        <v>548</v>
      </c>
      <c r="G412" s="21" t="s">
        <v>217</v>
      </c>
      <c r="H412" s="26">
        <v>910</v>
      </c>
      <c r="I412" s="26">
        <v>89</v>
      </c>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28" t="str">
        <f>VLOOKUP($G412,'[42]Sheet1 (2)'!$A$1:$B$1048440,2,FALSE)</f>
        <v>Sqm</v>
      </c>
      <c r="AM412" s="71"/>
      <c r="AN412" s="31"/>
      <c r="AO412" s="33"/>
    </row>
    <row r="413" spans="1:41" ht="154" x14ac:dyDescent="0.25">
      <c r="A413" s="26">
        <v>333</v>
      </c>
      <c r="B413" s="25" t="s">
        <v>515</v>
      </c>
      <c r="C413" s="22">
        <v>7.3</v>
      </c>
      <c r="D413" s="25" t="s">
        <v>550</v>
      </c>
      <c r="E413" s="24" t="s">
        <v>551</v>
      </c>
      <c r="F413" s="39" t="s">
        <v>550</v>
      </c>
      <c r="G413" s="21" t="s">
        <v>80</v>
      </c>
      <c r="H413" s="26">
        <v>4912</v>
      </c>
      <c r="I413" s="26">
        <v>263</v>
      </c>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28" t="str">
        <f>VLOOKUP($G413,'[42]Sheet1 (2)'!$A$1:$B$1048440,2,FALSE)</f>
        <v>Rmt.</v>
      </c>
      <c r="AM413" s="71"/>
      <c r="AN413" s="31"/>
      <c r="AO413" s="33"/>
    </row>
    <row r="414" spans="1:41" ht="140" x14ac:dyDescent="0.25">
      <c r="A414" s="26">
        <v>334</v>
      </c>
      <c r="B414" s="25" t="s">
        <v>515</v>
      </c>
      <c r="C414" s="22">
        <v>7.31</v>
      </c>
      <c r="D414" s="25" t="s">
        <v>550</v>
      </c>
      <c r="E414" s="24" t="s">
        <v>552</v>
      </c>
      <c r="F414" s="39" t="s">
        <v>550</v>
      </c>
      <c r="G414" s="21" t="s">
        <v>80</v>
      </c>
      <c r="H414" s="26">
        <v>6520</v>
      </c>
      <c r="I414" s="26">
        <v>263</v>
      </c>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28" t="str">
        <f>VLOOKUP($G414,'[42]Sheet1 (2)'!$A$1:$B$1048440,2,FALSE)</f>
        <v>Rmt.</v>
      </c>
      <c r="AM414" s="71"/>
      <c r="AN414" s="31"/>
      <c r="AO414" s="33"/>
    </row>
    <row r="415" spans="1:41" ht="196" x14ac:dyDescent="0.25">
      <c r="A415" s="26">
        <v>335</v>
      </c>
      <c r="B415" s="25" t="s">
        <v>515</v>
      </c>
      <c r="C415" s="22">
        <v>7.32</v>
      </c>
      <c r="D415" s="25" t="s">
        <v>553</v>
      </c>
      <c r="E415" s="24" t="s">
        <v>554</v>
      </c>
      <c r="F415" s="39" t="s">
        <v>553</v>
      </c>
      <c r="G415" s="21" t="s">
        <v>80</v>
      </c>
      <c r="H415" s="26">
        <v>3092</v>
      </c>
      <c r="I415" s="26">
        <v>158</v>
      </c>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28" t="str">
        <f>VLOOKUP($G415,'[42]Sheet1 (2)'!$A$1:$B$1048440,2,FALSE)</f>
        <v>Rmt.</v>
      </c>
      <c r="AM415" s="71"/>
      <c r="AN415" s="31"/>
      <c r="AO415" s="33"/>
    </row>
    <row r="416" spans="1:41" ht="126" x14ac:dyDescent="0.25">
      <c r="A416" s="26">
        <v>336</v>
      </c>
      <c r="B416" s="25" t="s">
        <v>515</v>
      </c>
      <c r="C416" s="22">
        <v>7.33</v>
      </c>
      <c r="D416" s="25" t="s">
        <v>553</v>
      </c>
      <c r="E416" s="24" t="s">
        <v>555</v>
      </c>
      <c r="F416" s="39" t="s">
        <v>553</v>
      </c>
      <c r="G416" s="21" t="s">
        <v>80</v>
      </c>
      <c r="H416" s="26">
        <v>2255</v>
      </c>
      <c r="I416" s="26">
        <v>78</v>
      </c>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28" t="str">
        <f>VLOOKUP($G416,'[42]Sheet1 (2)'!$A$1:$B$1048440,2,FALSE)</f>
        <v>Rmt.</v>
      </c>
      <c r="AM416" s="71"/>
      <c r="AN416" s="31"/>
      <c r="AO416" s="33"/>
    </row>
    <row r="417" spans="1:41" ht="126" x14ac:dyDescent="0.25">
      <c r="A417" s="26">
        <v>337</v>
      </c>
      <c r="B417" s="25" t="s">
        <v>515</v>
      </c>
      <c r="C417" s="22">
        <v>7.34</v>
      </c>
      <c r="D417" s="25" t="s">
        <v>553</v>
      </c>
      <c r="E417" s="24" t="s">
        <v>556</v>
      </c>
      <c r="F417" s="39" t="s">
        <v>553</v>
      </c>
      <c r="G417" s="21" t="s">
        <v>80</v>
      </c>
      <c r="H417" s="26">
        <v>1437</v>
      </c>
      <c r="I417" s="26">
        <v>105</v>
      </c>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28" t="str">
        <f>VLOOKUP($G417,'[42]Sheet1 (2)'!$A$1:$B$1048440,2,FALSE)</f>
        <v>Rmt.</v>
      </c>
      <c r="AM417" s="71"/>
      <c r="AN417" s="31"/>
      <c r="AO417" s="33"/>
    </row>
    <row r="418" spans="1:41" ht="154" x14ac:dyDescent="0.25">
      <c r="A418" s="26">
        <v>338</v>
      </c>
      <c r="B418" s="25" t="s">
        <v>515</v>
      </c>
      <c r="C418" s="22">
        <v>7.35</v>
      </c>
      <c r="D418" s="25" t="s">
        <v>557</v>
      </c>
      <c r="E418" s="24" t="s">
        <v>558</v>
      </c>
      <c r="F418" s="39" t="s">
        <v>557</v>
      </c>
      <c r="G418" s="21" t="s">
        <v>80</v>
      </c>
      <c r="H418" s="26">
        <v>4058</v>
      </c>
      <c r="I418" s="26">
        <v>119</v>
      </c>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28" t="str">
        <f>VLOOKUP($G418,'[42]Sheet1 (2)'!$A$1:$B$1048440,2,FALSE)</f>
        <v>Rmt.</v>
      </c>
      <c r="AM418" s="71"/>
      <c r="AN418" s="31"/>
      <c r="AO418" s="33"/>
    </row>
    <row r="419" spans="1:41" ht="154" x14ac:dyDescent="0.25">
      <c r="A419" s="26">
        <v>339</v>
      </c>
      <c r="B419" s="25" t="s">
        <v>515</v>
      </c>
      <c r="C419" s="22">
        <v>7.36</v>
      </c>
      <c r="D419" s="25" t="s">
        <v>557</v>
      </c>
      <c r="E419" s="24" t="s">
        <v>559</v>
      </c>
      <c r="F419" s="39" t="s">
        <v>557</v>
      </c>
      <c r="G419" s="21" t="s">
        <v>80</v>
      </c>
      <c r="H419" s="26">
        <v>4213</v>
      </c>
      <c r="I419" s="26">
        <v>119</v>
      </c>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28" t="str">
        <f>VLOOKUP($G419,'[42]Sheet1 (2)'!$A$1:$B$1048440,2,FALSE)</f>
        <v>Rmt.</v>
      </c>
      <c r="AM419" s="71"/>
      <c r="AN419" s="31"/>
      <c r="AO419" s="33"/>
    </row>
    <row r="420" spans="1:41" ht="154" x14ac:dyDescent="0.25">
      <c r="A420" s="26">
        <v>340</v>
      </c>
      <c r="B420" s="25" t="s">
        <v>515</v>
      </c>
      <c r="C420" s="22">
        <v>7.37</v>
      </c>
      <c r="D420" s="25" t="s">
        <v>557</v>
      </c>
      <c r="E420" s="24" t="s">
        <v>560</v>
      </c>
      <c r="F420" s="39" t="s">
        <v>557</v>
      </c>
      <c r="G420" s="21" t="s">
        <v>80</v>
      </c>
      <c r="H420" s="26">
        <v>4234</v>
      </c>
      <c r="I420" s="26">
        <v>119</v>
      </c>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28" t="str">
        <f>VLOOKUP($G420,'[42]Sheet1 (2)'!$A$1:$B$1048440,2,FALSE)</f>
        <v>Rmt.</v>
      </c>
      <c r="AM420" s="71"/>
      <c r="AN420" s="31"/>
      <c r="AO420" s="33"/>
    </row>
    <row r="421" spans="1:41" ht="15" x14ac:dyDescent="0.25">
      <c r="A421" s="68"/>
      <c r="B421" s="132"/>
      <c r="C421" s="133"/>
      <c r="D421" s="134"/>
      <c r="E421" s="111" t="s">
        <v>561</v>
      </c>
      <c r="F421" s="134"/>
      <c r="G421" s="136"/>
      <c r="H421" s="137"/>
      <c r="I421" s="137"/>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28" t="e">
        <f>VLOOKUP($G421,'[42]Sheet1 (2)'!$A$1:$B$1048440,2,FALSE)</f>
        <v>#N/A</v>
      </c>
      <c r="AM421" s="71"/>
      <c r="AN421" s="31"/>
      <c r="AO421" s="33"/>
    </row>
    <row r="422" spans="1:41" ht="84" x14ac:dyDescent="0.35">
      <c r="A422" s="26">
        <v>341</v>
      </c>
      <c r="B422" s="21" t="s">
        <v>561</v>
      </c>
      <c r="C422" s="22">
        <v>8.01</v>
      </c>
      <c r="D422" s="25" t="s">
        <v>524</v>
      </c>
      <c r="E422" s="24" t="s">
        <v>562</v>
      </c>
      <c r="F422" s="24" t="s">
        <v>531</v>
      </c>
      <c r="G422" s="21" t="s">
        <v>217</v>
      </c>
      <c r="H422" s="26">
        <v>73</v>
      </c>
      <c r="I422" s="26">
        <v>71</v>
      </c>
      <c r="J422" s="72"/>
      <c r="K422" s="72"/>
      <c r="L422" s="72"/>
      <c r="M422" s="72"/>
      <c r="N422" s="72"/>
      <c r="O422" s="72"/>
      <c r="P422" s="72"/>
      <c r="Q422" s="72"/>
      <c r="R422" s="72"/>
      <c r="S422" s="72"/>
      <c r="T422" s="72"/>
      <c r="U422" s="72"/>
      <c r="V422" s="73"/>
      <c r="W422" s="72"/>
      <c r="X422" s="72"/>
      <c r="Y422" s="74"/>
      <c r="Z422" s="72"/>
      <c r="AA422" s="72"/>
      <c r="AB422" s="72"/>
      <c r="AC422" s="72"/>
      <c r="AD422" s="72"/>
      <c r="AE422" s="72"/>
      <c r="AF422" s="72"/>
      <c r="AG422" s="72"/>
      <c r="AH422" s="72"/>
      <c r="AI422" s="72"/>
      <c r="AJ422" s="75"/>
      <c r="AK422" s="72"/>
      <c r="AL422" s="28" t="str">
        <f>VLOOKUP($G422,'[42]Sheet1 (2)'!$A$1:$B$1048440,2,FALSE)</f>
        <v>Sqm</v>
      </c>
      <c r="AM422" s="116"/>
      <c r="AN422" s="31"/>
      <c r="AO422" s="33"/>
    </row>
    <row r="423" spans="1:41" ht="62.5" x14ac:dyDescent="0.35">
      <c r="A423" s="26">
        <v>342</v>
      </c>
      <c r="B423" s="21" t="s">
        <v>561</v>
      </c>
      <c r="C423" s="22">
        <v>8.02</v>
      </c>
      <c r="D423" s="25" t="s">
        <v>524</v>
      </c>
      <c r="E423" s="24" t="s">
        <v>563</v>
      </c>
      <c r="F423" s="24" t="s">
        <v>531</v>
      </c>
      <c r="G423" s="21" t="s">
        <v>217</v>
      </c>
      <c r="H423" s="26">
        <v>94</v>
      </c>
      <c r="I423" s="26">
        <v>60</v>
      </c>
      <c r="J423" s="72"/>
      <c r="K423" s="72"/>
      <c r="L423" s="72"/>
      <c r="M423" s="72">
        <v>0.1</v>
      </c>
      <c r="N423" s="72"/>
      <c r="O423" s="108"/>
      <c r="P423" s="72"/>
      <c r="Q423" s="72"/>
      <c r="R423" s="72">
        <f>0.1/3</f>
        <v>3.3333333333333333E-2</v>
      </c>
      <c r="S423" s="72"/>
      <c r="T423" s="72"/>
      <c r="U423" s="72"/>
      <c r="V423" s="73"/>
      <c r="W423" s="72"/>
      <c r="X423" s="72"/>
      <c r="Y423" s="74"/>
      <c r="Z423" s="72"/>
      <c r="AA423" s="72"/>
      <c r="AB423" s="72"/>
      <c r="AC423" s="72"/>
      <c r="AD423" s="72"/>
      <c r="AE423" s="72"/>
      <c r="AF423" s="72"/>
      <c r="AG423" s="72"/>
      <c r="AH423" s="72"/>
      <c r="AI423" s="72"/>
      <c r="AJ423" s="75"/>
      <c r="AK423" s="72"/>
      <c r="AL423" s="28" t="str">
        <f>VLOOKUP($G423,'[42]Sheet1 (2)'!$A$1:$B$1048440,2,FALSE)</f>
        <v>Sqm</v>
      </c>
      <c r="AM423" s="116"/>
      <c r="AN423" s="31"/>
      <c r="AO423" s="33"/>
    </row>
    <row r="424" spans="1:41" ht="84" x14ac:dyDescent="0.35">
      <c r="A424" s="26">
        <v>343</v>
      </c>
      <c r="B424" s="21" t="s">
        <v>561</v>
      </c>
      <c r="C424" s="22">
        <v>8.0299999999999994</v>
      </c>
      <c r="D424" s="25" t="s">
        <v>564</v>
      </c>
      <c r="E424" s="24" t="s">
        <v>565</v>
      </c>
      <c r="F424" s="25" t="s">
        <v>564</v>
      </c>
      <c r="G424" s="25" t="s">
        <v>47</v>
      </c>
      <c r="H424" s="26">
        <v>199</v>
      </c>
      <c r="I424" s="26">
        <v>128</v>
      </c>
      <c r="J424" s="72"/>
      <c r="K424" s="72"/>
      <c r="L424" s="72"/>
      <c r="M424" s="72">
        <v>1</v>
      </c>
      <c r="N424" s="72"/>
      <c r="O424" s="108"/>
      <c r="P424" s="72"/>
      <c r="Q424" s="72"/>
      <c r="R424" s="108">
        <v>0.33</v>
      </c>
      <c r="S424" s="72"/>
      <c r="T424" s="72"/>
      <c r="U424" s="72"/>
      <c r="V424" s="73"/>
      <c r="W424" s="72"/>
      <c r="X424" s="72"/>
      <c r="Y424" s="74"/>
      <c r="Z424" s="72"/>
      <c r="AA424" s="72"/>
      <c r="AB424" s="72"/>
      <c r="AC424" s="72"/>
      <c r="AD424" s="72"/>
      <c r="AE424" s="72"/>
      <c r="AF424" s="72"/>
      <c r="AG424" s="72"/>
      <c r="AH424" s="72"/>
      <c r="AI424" s="72"/>
      <c r="AJ424" s="75"/>
      <c r="AK424" s="72"/>
      <c r="AL424" s="28" t="str">
        <f>VLOOKUP($G424,'[42]Sheet1 (2)'!$A$1:$B$1048440,2,FALSE)</f>
        <v>Cum</v>
      </c>
      <c r="AM424" s="116"/>
      <c r="AN424" s="31"/>
      <c r="AO424" s="33"/>
    </row>
    <row r="425" spans="1:41" ht="56" x14ac:dyDescent="0.35">
      <c r="A425" s="26">
        <v>344</v>
      </c>
      <c r="B425" s="21" t="s">
        <v>561</v>
      </c>
      <c r="C425" s="22">
        <v>8.0399999999999991</v>
      </c>
      <c r="D425" s="25" t="s">
        <v>566</v>
      </c>
      <c r="E425" s="24" t="s">
        <v>567</v>
      </c>
      <c r="F425" s="25" t="s">
        <v>566</v>
      </c>
      <c r="G425" s="21" t="s">
        <v>217</v>
      </c>
      <c r="H425" s="26">
        <v>52</v>
      </c>
      <c r="I425" s="26">
        <v>20</v>
      </c>
      <c r="J425" s="72"/>
      <c r="K425" s="72"/>
      <c r="L425" s="72"/>
      <c r="M425" s="72"/>
      <c r="N425" s="72"/>
      <c r="O425" s="72"/>
      <c r="P425" s="72"/>
      <c r="Q425" s="72"/>
      <c r="R425" s="108">
        <v>0.15</v>
      </c>
      <c r="S425" s="72"/>
      <c r="T425" s="72"/>
      <c r="U425" s="72"/>
      <c r="V425" s="73"/>
      <c r="W425" s="72"/>
      <c r="X425" s="72"/>
      <c r="Y425" s="74"/>
      <c r="Z425" s="72"/>
      <c r="AA425" s="72"/>
      <c r="AB425" s="72"/>
      <c r="AC425" s="72"/>
      <c r="AD425" s="72"/>
      <c r="AE425" s="72"/>
      <c r="AF425" s="72"/>
      <c r="AG425" s="72"/>
      <c r="AH425" s="72"/>
      <c r="AI425" s="72"/>
      <c r="AJ425" s="75"/>
      <c r="AK425" s="72"/>
      <c r="AL425" s="28" t="str">
        <f>VLOOKUP($G425,'[42]Sheet1 (2)'!$A$1:$B$1048440,2,FALSE)</f>
        <v>Sqm</v>
      </c>
      <c r="AM425" s="116"/>
      <c r="AN425" s="31"/>
      <c r="AO425" s="33"/>
    </row>
    <row r="426" spans="1:41" ht="42" x14ac:dyDescent="0.35">
      <c r="A426" s="26">
        <v>345</v>
      </c>
      <c r="B426" s="21" t="s">
        <v>561</v>
      </c>
      <c r="C426" s="22">
        <v>8.0500000000000007</v>
      </c>
      <c r="D426" s="25" t="s">
        <v>566</v>
      </c>
      <c r="E426" s="24" t="s">
        <v>568</v>
      </c>
      <c r="F426" s="25" t="s">
        <v>566</v>
      </c>
      <c r="G426" s="21" t="s">
        <v>217</v>
      </c>
      <c r="H426" s="26">
        <v>21</v>
      </c>
      <c r="I426" s="26">
        <v>20</v>
      </c>
      <c r="J426" s="72"/>
      <c r="K426" s="72"/>
      <c r="L426" s="72"/>
      <c r="M426" s="72"/>
      <c r="N426" s="72"/>
      <c r="O426" s="72"/>
      <c r="P426" s="72"/>
      <c r="Q426" s="72"/>
      <c r="R426" s="72"/>
      <c r="S426" s="72"/>
      <c r="T426" s="72"/>
      <c r="U426" s="72"/>
      <c r="V426" s="73"/>
      <c r="W426" s="72"/>
      <c r="X426" s="72"/>
      <c r="Y426" s="74"/>
      <c r="Z426" s="72"/>
      <c r="AA426" s="72"/>
      <c r="AB426" s="72"/>
      <c r="AC426" s="72"/>
      <c r="AD426" s="72"/>
      <c r="AE426" s="72"/>
      <c r="AF426" s="72"/>
      <c r="AG426" s="72"/>
      <c r="AH426" s="72"/>
      <c r="AI426" s="72"/>
      <c r="AJ426" s="75"/>
      <c r="AK426" s="72"/>
      <c r="AL426" s="28" t="str">
        <f>VLOOKUP($G426,'[42]Sheet1 (2)'!$A$1:$B$1048440,2,FALSE)</f>
        <v>Sqm</v>
      </c>
      <c r="AM426" s="116"/>
      <c r="AN426" s="31"/>
      <c r="AO426" s="33"/>
    </row>
    <row r="427" spans="1:41" ht="84" x14ac:dyDescent="0.35">
      <c r="A427" s="26">
        <v>346</v>
      </c>
      <c r="B427" s="21" t="s">
        <v>561</v>
      </c>
      <c r="C427" s="22">
        <v>8.06</v>
      </c>
      <c r="D427" s="25" t="s">
        <v>569</v>
      </c>
      <c r="E427" s="24" t="s">
        <v>570</v>
      </c>
      <c r="F427" s="25" t="s">
        <v>569</v>
      </c>
      <c r="G427" s="25" t="s">
        <v>47</v>
      </c>
      <c r="H427" s="26">
        <v>8939</v>
      </c>
      <c r="I427" s="26">
        <v>1064</v>
      </c>
      <c r="J427" s="72"/>
      <c r="K427" s="72"/>
      <c r="L427" s="72"/>
      <c r="M427" s="72"/>
      <c r="N427" s="72"/>
      <c r="O427" s="72"/>
      <c r="P427" s="72"/>
      <c r="Q427" s="72"/>
      <c r="R427" s="72"/>
      <c r="S427" s="72"/>
      <c r="T427" s="72"/>
      <c r="U427" s="72"/>
      <c r="V427" s="73"/>
      <c r="W427" s="72"/>
      <c r="X427" s="72"/>
      <c r="Y427" s="74"/>
      <c r="Z427" s="72">
        <v>1.41</v>
      </c>
      <c r="AA427" s="72">
        <v>7.4800000000000005E-2</v>
      </c>
      <c r="AB427" s="72">
        <v>6.0000000000000001E-3</v>
      </c>
      <c r="AC427" s="72"/>
      <c r="AD427" s="72">
        <v>7.4800000000000005E-2</v>
      </c>
      <c r="AE427" s="72">
        <v>6.0000000000000001E-3</v>
      </c>
      <c r="AF427" s="108">
        <v>1.41</v>
      </c>
      <c r="AG427" s="108">
        <v>13.33</v>
      </c>
      <c r="AH427" s="72"/>
      <c r="AI427" s="72"/>
      <c r="AJ427" s="75"/>
      <c r="AK427" s="72"/>
      <c r="AL427" s="28" t="str">
        <f>VLOOKUP($G427,'[42]Sheet1 (2)'!$A$1:$B$1048440,2,FALSE)</f>
        <v>Cum</v>
      </c>
      <c r="AM427" s="116"/>
      <c r="AN427" s="31"/>
      <c r="AO427" s="33"/>
    </row>
    <row r="428" spans="1:41" ht="42" x14ac:dyDescent="0.35">
      <c r="A428" s="26">
        <v>347</v>
      </c>
      <c r="B428" s="21" t="s">
        <v>561</v>
      </c>
      <c r="C428" s="22">
        <v>8.07</v>
      </c>
      <c r="D428" s="25" t="s">
        <v>524</v>
      </c>
      <c r="E428" s="24" t="s">
        <v>571</v>
      </c>
      <c r="F428" s="24" t="s">
        <v>531</v>
      </c>
      <c r="G428" s="21" t="s">
        <v>217</v>
      </c>
      <c r="H428" s="26">
        <v>230</v>
      </c>
      <c r="I428" s="26">
        <v>7</v>
      </c>
      <c r="J428" s="72"/>
      <c r="K428" s="72"/>
      <c r="L428" s="72"/>
      <c r="M428" s="72"/>
      <c r="N428" s="72"/>
      <c r="O428" s="72"/>
      <c r="P428" s="72"/>
      <c r="Q428" s="72"/>
      <c r="R428" s="72"/>
      <c r="S428" s="72"/>
      <c r="T428" s="72"/>
      <c r="U428" s="72"/>
      <c r="V428" s="73"/>
      <c r="W428" s="72"/>
      <c r="X428" s="72"/>
      <c r="Y428" s="74"/>
      <c r="Z428" s="107">
        <f>0.027+0.006</f>
        <v>3.3000000000000002E-2</v>
      </c>
      <c r="AA428" s="107">
        <f>(1.46+0.86)/1000</f>
        <v>2.32E-3</v>
      </c>
      <c r="AB428" s="72"/>
      <c r="AC428" s="72"/>
      <c r="AD428" s="107">
        <f>(1.46+0.86)/1000</f>
        <v>2.32E-3</v>
      </c>
      <c r="AE428" s="72"/>
      <c r="AF428" s="72">
        <v>0.04</v>
      </c>
      <c r="AG428" s="72"/>
      <c r="AH428" s="72"/>
      <c r="AI428" s="72"/>
      <c r="AJ428" s="75"/>
      <c r="AK428" s="72"/>
      <c r="AL428" s="28" t="str">
        <f>VLOOKUP($G428,'[42]Sheet1 (2)'!$A$1:$B$1048440,2,FALSE)</f>
        <v>Sqm</v>
      </c>
      <c r="AM428" s="116"/>
      <c r="AN428" s="31"/>
      <c r="AO428" s="33"/>
    </row>
    <row r="429" spans="1:41" ht="56" x14ac:dyDescent="0.35">
      <c r="A429" s="26">
        <v>348</v>
      </c>
      <c r="B429" s="21" t="s">
        <v>561</v>
      </c>
      <c r="C429" s="22">
        <v>8.08</v>
      </c>
      <c r="D429" s="25" t="s">
        <v>569</v>
      </c>
      <c r="E429" s="24" t="s">
        <v>572</v>
      </c>
      <c r="F429" s="25" t="s">
        <v>569</v>
      </c>
      <c r="G429" s="21" t="s">
        <v>217</v>
      </c>
      <c r="H429" s="26">
        <v>342</v>
      </c>
      <c r="I429" s="26">
        <v>119</v>
      </c>
      <c r="J429" s="72"/>
      <c r="K429" s="72"/>
      <c r="L429" s="72"/>
      <c r="M429" s="72"/>
      <c r="N429" s="72"/>
      <c r="O429" s="72"/>
      <c r="P429" s="72"/>
      <c r="Q429" s="72"/>
      <c r="R429" s="72"/>
      <c r="S429" s="72"/>
      <c r="T429" s="72"/>
      <c r="U429" s="72"/>
      <c r="V429" s="73"/>
      <c r="W429" s="72"/>
      <c r="X429" s="72"/>
      <c r="Y429" s="74"/>
      <c r="Z429" s="107">
        <f>0.027+0.006</f>
        <v>3.3000000000000002E-2</v>
      </c>
      <c r="AA429" s="107">
        <f>(1.46+0.86)/1000</f>
        <v>2.32E-3</v>
      </c>
      <c r="AB429" s="72">
        <f>0.3/1000</f>
        <v>2.9999999999999997E-4</v>
      </c>
      <c r="AC429" s="72"/>
      <c r="AD429" s="107">
        <f>(1.46+0.86)/1000</f>
        <v>2.32E-3</v>
      </c>
      <c r="AE429" s="72">
        <f>0.3/1000</f>
        <v>2.9999999999999997E-4</v>
      </c>
      <c r="AF429" s="72">
        <v>0.04</v>
      </c>
      <c r="AG429" s="72"/>
      <c r="AH429" s="72"/>
      <c r="AI429" s="72"/>
      <c r="AJ429" s="75"/>
      <c r="AK429" s="72"/>
      <c r="AL429" s="28" t="str">
        <f>VLOOKUP($G429,'[42]Sheet1 (2)'!$A$1:$B$1048440,2,FALSE)</f>
        <v>Sqm</v>
      </c>
      <c r="AM429" s="116"/>
      <c r="AN429" s="31"/>
      <c r="AO429" s="33"/>
    </row>
    <row r="430" spans="1:41" ht="84" x14ac:dyDescent="0.35">
      <c r="A430" s="26">
        <v>349</v>
      </c>
      <c r="B430" s="21" t="s">
        <v>561</v>
      </c>
      <c r="C430" s="22">
        <v>8.09</v>
      </c>
      <c r="D430" s="25" t="s">
        <v>524</v>
      </c>
      <c r="E430" s="24" t="s">
        <v>573</v>
      </c>
      <c r="F430" s="24" t="s">
        <v>531</v>
      </c>
      <c r="G430" s="21" t="s">
        <v>217</v>
      </c>
      <c r="H430" s="26">
        <v>104</v>
      </c>
      <c r="I430" s="26">
        <v>17</v>
      </c>
      <c r="J430" s="72"/>
      <c r="K430" s="72"/>
      <c r="L430" s="108">
        <v>0.1</v>
      </c>
      <c r="M430" s="72"/>
      <c r="N430" s="72"/>
      <c r="O430" s="72"/>
      <c r="P430" s="72"/>
      <c r="Q430" s="72"/>
      <c r="R430" s="72">
        <v>3.3000000000000002E-2</v>
      </c>
      <c r="S430" s="72"/>
      <c r="T430" s="72"/>
      <c r="U430" s="72"/>
      <c r="V430" s="73"/>
      <c r="W430" s="72"/>
      <c r="X430" s="72"/>
      <c r="Y430" s="74"/>
      <c r="Z430" s="72"/>
      <c r="AA430" s="72"/>
      <c r="AB430" s="72"/>
      <c r="AC430" s="72"/>
      <c r="AD430" s="72"/>
      <c r="AE430" s="72"/>
      <c r="AF430" s="72"/>
      <c r="AG430" s="72"/>
      <c r="AH430" s="72"/>
      <c r="AI430" s="72"/>
      <c r="AJ430" s="75"/>
      <c r="AK430" s="72"/>
      <c r="AL430" s="28" t="str">
        <f>VLOOKUP($G430,'[42]Sheet1 (2)'!$A$1:$B$1048440,2,FALSE)</f>
        <v>Sqm</v>
      </c>
      <c r="AM430" s="116"/>
      <c r="AN430" s="31"/>
      <c r="AO430" s="33"/>
    </row>
    <row r="431" spans="1:41" ht="112" x14ac:dyDescent="0.35">
      <c r="A431" s="26">
        <v>350</v>
      </c>
      <c r="B431" s="21" t="s">
        <v>561</v>
      </c>
      <c r="C431" s="22">
        <v>8.1</v>
      </c>
      <c r="D431" s="25" t="s">
        <v>524</v>
      </c>
      <c r="E431" s="24" t="s">
        <v>574</v>
      </c>
      <c r="F431" s="24" t="s">
        <v>531</v>
      </c>
      <c r="G431" s="21" t="s">
        <v>217</v>
      </c>
      <c r="H431" s="26">
        <v>115</v>
      </c>
      <c r="I431" s="26">
        <v>14</v>
      </c>
      <c r="J431" s="72"/>
      <c r="K431" s="72"/>
      <c r="L431" s="95">
        <f>0.1*30%</f>
        <v>0.03</v>
      </c>
      <c r="M431" s="72"/>
      <c r="N431" s="72"/>
      <c r="O431" s="72"/>
      <c r="P431" s="72"/>
      <c r="Q431" s="72"/>
      <c r="R431" s="72">
        <v>3.3000000000000002E-2</v>
      </c>
      <c r="S431" s="72"/>
      <c r="T431" s="72"/>
      <c r="U431" s="72"/>
      <c r="V431" s="73"/>
      <c r="W431" s="72"/>
      <c r="X431" s="72"/>
      <c r="Y431" s="74"/>
      <c r="Z431" s="72"/>
      <c r="AA431" s="72"/>
      <c r="AB431" s="72"/>
      <c r="AC431" s="72"/>
      <c r="AD431" s="72"/>
      <c r="AE431" s="72"/>
      <c r="AF431" s="72"/>
      <c r="AG431" s="72"/>
      <c r="AH431" s="72"/>
      <c r="AI431" s="72"/>
      <c r="AJ431" s="75"/>
      <c r="AK431" s="72"/>
      <c r="AL431" s="28" t="str">
        <f>VLOOKUP($G431,'[42]Sheet1 (2)'!$A$1:$B$1048440,2,FALSE)</f>
        <v>Sqm</v>
      </c>
      <c r="AM431" s="116"/>
      <c r="AN431" s="31"/>
      <c r="AO431" s="33"/>
    </row>
    <row r="432" spans="1:41" ht="42" x14ac:dyDescent="0.35">
      <c r="A432" s="26">
        <v>351</v>
      </c>
      <c r="B432" s="21" t="s">
        <v>561</v>
      </c>
      <c r="C432" s="22">
        <v>8.11</v>
      </c>
      <c r="D432" s="25" t="s">
        <v>524</v>
      </c>
      <c r="E432" s="24" t="s">
        <v>575</v>
      </c>
      <c r="F432" s="24" t="s">
        <v>531</v>
      </c>
      <c r="G432" s="21" t="s">
        <v>217</v>
      </c>
      <c r="H432" s="26">
        <v>250</v>
      </c>
      <c r="I432" s="26">
        <v>58</v>
      </c>
      <c r="J432" s="72"/>
      <c r="K432" s="72"/>
      <c r="L432" s="95">
        <v>0.1</v>
      </c>
      <c r="M432" s="72"/>
      <c r="N432" s="72"/>
      <c r="O432" s="95"/>
      <c r="P432" s="72"/>
      <c r="Q432" s="72"/>
      <c r="R432" s="95">
        <v>3.3000000000000002E-2</v>
      </c>
      <c r="S432" s="72"/>
      <c r="T432" s="72"/>
      <c r="U432" s="72"/>
      <c r="V432" s="73"/>
      <c r="W432" s="72"/>
      <c r="X432" s="72"/>
      <c r="Y432" s="74"/>
      <c r="Z432" s="72"/>
      <c r="AA432" s="72"/>
      <c r="AB432" s="72"/>
      <c r="AC432" s="72"/>
      <c r="AD432" s="72"/>
      <c r="AE432" s="72"/>
      <c r="AF432" s="72"/>
      <c r="AG432" s="72"/>
      <c r="AH432" s="72"/>
      <c r="AI432" s="72"/>
      <c r="AJ432" s="75"/>
      <c r="AK432" s="72"/>
      <c r="AL432" s="28" t="str">
        <f>VLOOKUP($G432,'[42]Sheet1 (2)'!$A$1:$B$1048440,2,FALSE)</f>
        <v>Sqm</v>
      </c>
      <c r="AM432" s="116"/>
      <c r="AN432" s="31"/>
      <c r="AO432" s="33"/>
    </row>
    <row r="433" spans="1:41" ht="42" x14ac:dyDescent="0.35">
      <c r="A433" s="26">
        <v>352</v>
      </c>
      <c r="B433" s="21" t="s">
        <v>561</v>
      </c>
      <c r="C433" s="22">
        <v>8.1199999999999992</v>
      </c>
      <c r="D433" s="25" t="s">
        <v>524</v>
      </c>
      <c r="E433" s="24" t="s">
        <v>576</v>
      </c>
      <c r="F433" s="24" t="s">
        <v>531</v>
      </c>
      <c r="G433" s="21" t="s">
        <v>80</v>
      </c>
      <c r="H433" s="26">
        <v>18</v>
      </c>
      <c r="I433" s="26">
        <v>18</v>
      </c>
      <c r="J433" s="72"/>
      <c r="K433" s="72"/>
      <c r="L433" s="72"/>
      <c r="M433" s="72"/>
      <c r="N433" s="72"/>
      <c r="O433" s="72"/>
      <c r="P433" s="72"/>
      <c r="Q433" s="72"/>
      <c r="R433" s="72"/>
      <c r="S433" s="72"/>
      <c r="T433" s="72"/>
      <c r="U433" s="72"/>
      <c r="V433" s="73"/>
      <c r="W433" s="72"/>
      <c r="X433" s="72"/>
      <c r="Y433" s="74"/>
      <c r="Z433" s="72"/>
      <c r="AA433" s="72"/>
      <c r="AB433" s="72"/>
      <c r="AC433" s="72"/>
      <c r="AD433" s="72"/>
      <c r="AE433" s="72"/>
      <c r="AF433" s="72"/>
      <c r="AG433" s="72"/>
      <c r="AH433" s="72"/>
      <c r="AI433" s="72"/>
      <c r="AJ433" s="75"/>
      <c r="AK433" s="72"/>
      <c r="AL433" s="28" t="str">
        <f>VLOOKUP($G433,'[42]Sheet1 (2)'!$A$1:$B$1048440,2,FALSE)</f>
        <v>Rmt.</v>
      </c>
      <c r="AM433" s="116"/>
      <c r="AN433" s="31"/>
      <c r="AO433" s="33"/>
    </row>
    <row r="434" spans="1:41" ht="42" x14ac:dyDescent="0.35">
      <c r="A434" s="26">
        <v>353</v>
      </c>
      <c r="B434" s="21" t="s">
        <v>561</v>
      </c>
      <c r="C434" s="22">
        <v>8.1300000000000008</v>
      </c>
      <c r="D434" s="25" t="s">
        <v>524</v>
      </c>
      <c r="E434" s="24" t="s">
        <v>577</v>
      </c>
      <c r="F434" s="24" t="s">
        <v>531</v>
      </c>
      <c r="G434" s="25" t="s">
        <v>45</v>
      </c>
      <c r="H434" s="26">
        <v>2423</v>
      </c>
      <c r="I434" s="26">
        <v>1161</v>
      </c>
      <c r="J434" s="72"/>
      <c r="K434" s="72"/>
      <c r="L434" s="72"/>
      <c r="M434" s="72"/>
      <c r="N434" s="72"/>
      <c r="O434" s="72"/>
      <c r="P434" s="72"/>
      <c r="Q434" s="72"/>
      <c r="R434" s="72"/>
      <c r="S434" s="72"/>
      <c r="T434" s="72"/>
      <c r="U434" s="72"/>
      <c r="V434" s="73"/>
      <c r="W434" s="72"/>
      <c r="X434" s="72"/>
      <c r="Y434" s="74"/>
      <c r="Z434" s="72"/>
      <c r="AA434" s="72"/>
      <c r="AB434" s="72"/>
      <c r="AC434" s="72"/>
      <c r="AD434" s="72"/>
      <c r="AE434" s="72"/>
      <c r="AF434" s="72"/>
      <c r="AG434" s="72"/>
      <c r="AH434" s="72"/>
      <c r="AI434" s="72"/>
      <c r="AJ434" s="75"/>
      <c r="AK434" s="72"/>
      <c r="AL434" s="28" t="str">
        <f>VLOOKUP($G434,'[42]Sheet1 (2)'!$A$1:$B$1048440,2,FALSE)</f>
        <v>No.</v>
      </c>
      <c r="AM434" s="116"/>
      <c r="AN434" s="31"/>
      <c r="AO434" s="33"/>
    </row>
    <row r="435" spans="1:41" ht="42" x14ac:dyDescent="0.35">
      <c r="A435" s="26">
        <v>354</v>
      </c>
      <c r="B435" s="21" t="s">
        <v>561</v>
      </c>
      <c r="C435" s="22">
        <v>8.14</v>
      </c>
      <c r="D435" s="25" t="s">
        <v>524</v>
      </c>
      <c r="E435" s="24" t="s">
        <v>578</v>
      </c>
      <c r="F435" s="24" t="s">
        <v>531</v>
      </c>
      <c r="G435" s="25" t="s">
        <v>58</v>
      </c>
      <c r="H435" s="26">
        <v>4798</v>
      </c>
      <c r="I435" s="26">
        <v>3127</v>
      </c>
      <c r="J435" s="72"/>
      <c r="K435" s="72"/>
      <c r="L435" s="72"/>
      <c r="M435" s="72"/>
      <c r="N435" s="72"/>
      <c r="O435" s="72"/>
      <c r="P435" s="72"/>
      <c r="Q435" s="72"/>
      <c r="R435" s="72"/>
      <c r="S435" s="72"/>
      <c r="T435" s="72"/>
      <c r="U435" s="72"/>
      <c r="V435" s="73"/>
      <c r="W435" s="72"/>
      <c r="X435" s="72"/>
      <c r="Y435" s="74"/>
      <c r="Z435" s="72"/>
      <c r="AA435" s="72"/>
      <c r="AB435" s="72"/>
      <c r="AC435" s="72"/>
      <c r="AD435" s="72"/>
      <c r="AE435" s="72"/>
      <c r="AF435" s="72"/>
      <c r="AG435" s="72"/>
      <c r="AH435" s="72"/>
      <c r="AI435" s="72"/>
      <c r="AJ435" s="75"/>
      <c r="AK435" s="72"/>
      <c r="AL435" s="28" t="e">
        <f>VLOOKUP($G435,'[42]Sheet1 (2)'!$A$1:$B$1048440,2,FALSE)</f>
        <v>#N/A</v>
      </c>
      <c r="AM435" s="116"/>
      <c r="AN435" s="31"/>
      <c r="AO435" s="33"/>
    </row>
    <row r="436" spans="1:41" ht="56" x14ac:dyDescent="0.35">
      <c r="A436" s="26">
        <v>355</v>
      </c>
      <c r="B436" s="21" t="s">
        <v>561</v>
      </c>
      <c r="C436" s="22">
        <v>8.15</v>
      </c>
      <c r="D436" s="25" t="s">
        <v>524</v>
      </c>
      <c r="E436" s="24" t="s">
        <v>579</v>
      </c>
      <c r="F436" s="24" t="s">
        <v>531</v>
      </c>
      <c r="G436" s="25" t="s">
        <v>58</v>
      </c>
      <c r="H436" s="26">
        <v>1086</v>
      </c>
      <c r="I436" s="26">
        <v>755</v>
      </c>
      <c r="J436" s="72"/>
      <c r="K436" s="72"/>
      <c r="L436" s="72"/>
      <c r="M436" s="72"/>
      <c r="N436" s="72"/>
      <c r="O436" s="72"/>
      <c r="P436" s="72"/>
      <c r="Q436" s="72"/>
      <c r="R436" s="72"/>
      <c r="S436" s="72"/>
      <c r="T436" s="72"/>
      <c r="U436" s="72"/>
      <c r="V436" s="73"/>
      <c r="W436" s="72"/>
      <c r="X436" s="72"/>
      <c r="Y436" s="74"/>
      <c r="Z436" s="72"/>
      <c r="AA436" s="72"/>
      <c r="AB436" s="72"/>
      <c r="AC436" s="72"/>
      <c r="AD436" s="72"/>
      <c r="AE436" s="72"/>
      <c r="AF436" s="72"/>
      <c r="AG436" s="72"/>
      <c r="AH436" s="72"/>
      <c r="AI436" s="72"/>
      <c r="AJ436" s="75"/>
      <c r="AK436" s="72"/>
      <c r="AL436" s="28" t="e">
        <f>VLOOKUP($G436,'[42]Sheet1 (2)'!$A$1:$B$1048440,2,FALSE)</f>
        <v>#N/A</v>
      </c>
      <c r="AM436" s="116"/>
      <c r="AN436" s="31"/>
      <c r="AO436" s="33"/>
    </row>
    <row r="437" spans="1:41" ht="42" x14ac:dyDescent="0.35">
      <c r="A437" s="26">
        <v>356</v>
      </c>
      <c r="B437" s="21" t="s">
        <v>561</v>
      </c>
      <c r="C437" s="22">
        <v>8.16</v>
      </c>
      <c r="D437" s="25" t="s">
        <v>524</v>
      </c>
      <c r="E437" s="24" t="s">
        <v>580</v>
      </c>
      <c r="F437" s="24" t="s">
        <v>531</v>
      </c>
      <c r="G437" s="25" t="s">
        <v>45</v>
      </c>
      <c r="H437" s="26">
        <v>258</v>
      </c>
      <c r="I437" s="26">
        <v>186</v>
      </c>
      <c r="J437" s="72"/>
      <c r="K437" s="72"/>
      <c r="L437" s="72"/>
      <c r="M437" s="72"/>
      <c r="N437" s="72"/>
      <c r="O437" s="72"/>
      <c r="P437" s="72"/>
      <c r="Q437" s="72"/>
      <c r="R437" s="72"/>
      <c r="S437" s="72"/>
      <c r="T437" s="72"/>
      <c r="U437" s="72"/>
      <c r="V437" s="73"/>
      <c r="W437" s="72"/>
      <c r="X437" s="72"/>
      <c r="Y437" s="74"/>
      <c r="Z437" s="72"/>
      <c r="AA437" s="72"/>
      <c r="AB437" s="72"/>
      <c r="AC437" s="72"/>
      <c r="AD437" s="72"/>
      <c r="AE437" s="72"/>
      <c r="AF437" s="72"/>
      <c r="AG437" s="72"/>
      <c r="AH437" s="72"/>
      <c r="AI437" s="72"/>
      <c r="AJ437" s="75"/>
      <c r="AK437" s="72"/>
      <c r="AL437" s="28" t="str">
        <f>VLOOKUP($G437,'[42]Sheet1 (2)'!$A$1:$B$1048440,2,FALSE)</f>
        <v>No.</v>
      </c>
      <c r="AM437" s="116"/>
      <c r="AN437" s="31"/>
      <c r="AO437" s="33"/>
    </row>
    <row r="438" spans="1:41" ht="42" x14ac:dyDescent="0.35">
      <c r="A438" s="26">
        <v>357</v>
      </c>
      <c r="B438" s="21" t="s">
        <v>561</v>
      </c>
      <c r="C438" s="22">
        <v>8.17</v>
      </c>
      <c r="D438" s="25" t="s">
        <v>524</v>
      </c>
      <c r="E438" s="24" t="s">
        <v>581</v>
      </c>
      <c r="F438" s="24" t="s">
        <v>531</v>
      </c>
      <c r="G438" s="21" t="s">
        <v>217</v>
      </c>
      <c r="H438" s="26">
        <v>8</v>
      </c>
      <c r="I438" s="26">
        <v>8</v>
      </c>
      <c r="J438" s="72"/>
      <c r="K438" s="72"/>
      <c r="L438" s="72"/>
      <c r="M438" s="72"/>
      <c r="N438" s="72"/>
      <c r="O438" s="72"/>
      <c r="P438" s="72"/>
      <c r="Q438" s="72"/>
      <c r="R438" s="72"/>
      <c r="S438" s="72"/>
      <c r="T438" s="72"/>
      <c r="U438" s="72"/>
      <c r="V438" s="73"/>
      <c r="W438" s="72"/>
      <c r="X438" s="72"/>
      <c r="Y438" s="74"/>
      <c r="Z438" s="72"/>
      <c r="AA438" s="72"/>
      <c r="AB438" s="72"/>
      <c r="AC438" s="72"/>
      <c r="AD438" s="72"/>
      <c r="AE438" s="72"/>
      <c r="AF438" s="72"/>
      <c r="AG438" s="72"/>
      <c r="AH438" s="72"/>
      <c r="AI438" s="72"/>
      <c r="AJ438" s="75"/>
      <c r="AK438" s="72"/>
      <c r="AL438" s="28" t="str">
        <f>VLOOKUP($G438,'[42]Sheet1 (2)'!$A$1:$B$1048440,2,FALSE)</f>
        <v>Sqm</v>
      </c>
      <c r="AM438" s="116"/>
      <c r="AN438" s="31"/>
      <c r="AO438" s="33"/>
    </row>
    <row r="439" spans="1:41" ht="42" x14ac:dyDescent="0.35">
      <c r="A439" s="26">
        <v>358</v>
      </c>
      <c r="B439" s="21" t="s">
        <v>561</v>
      </c>
      <c r="C439" s="22">
        <v>8.18</v>
      </c>
      <c r="D439" s="25" t="s">
        <v>524</v>
      </c>
      <c r="E439" s="24" t="s">
        <v>582</v>
      </c>
      <c r="F439" s="24" t="s">
        <v>531</v>
      </c>
      <c r="G439" s="25" t="s">
        <v>58</v>
      </c>
      <c r="H439" s="26">
        <v>1081</v>
      </c>
      <c r="I439" s="26">
        <v>474</v>
      </c>
      <c r="J439" s="72"/>
      <c r="K439" s="72"/>
      <c r="L439" s="72"/>
      <c r="M439" s="72"/>
      <c r="N439" s="72"/>
      <c r="O439" s="72"/>
      <c r="P439" s="72"/>
      <c r="Q439" s="72"/>
      <c r="R439" s="72"/>
      <c r="S439" s="72"/>
      <c r="T439" s="72"/>
      <c r="U439" s="72"/>
      <c r="V439" s="73"/>
      <c r="W439" s="72"/>
      <c r="X439" s="72"/>
      <c r="Y439" s="74"/>
      <c r="Z439" s="72"/>
      <c r="AA439" s="72"/>
      <c r="AB439" s="72"/>
      <c r="AC439" s="72"/>
      <c r="AD439" s="72"/>
      <c r="AE439" s="72"/>
      <c r="AF439" s="72"/>
      <c r="AG439" s="72"/>
      <c r="AH439" s="72"/>
      <c r="AI439" s="72"/>
      <c r="AJ439" s="75"/>
      <c r="AK439" s="72"/>
      <c r="AL439" s="28" t="e">
        <f>VLOOKUP($G439,'[42]Sheet1 (2)'!$A$1:$B$1048440,2,FALSE)</f>
        <v>#N/A</v>
      </c>
      <c r="AM439" s="116"/>
      <c r="AN439" s="31"/>
      <c r="AO439" s="33"/>
    </row>
    <row r="440" spans="1:41" ht="42" x14ac:dyDescent="0.35">
      <c r="A440" s="26">
        <v>359</v>
      </c>
      <c r="B440" s="21" t="s">
        <v>561</v>
      </c>
      <c r="C440" s="22">
        <v>8.19</v>
      </c>
      <c r="D440" s="25" t="s">
        <v>524</v>
      </c>
      <c r="E440" s="24" t="s">
        <v>583</v>
      </c>
      <c r="F440" s="24" t="s">
        <v>531</v>
      </c>
      <c r="G440" s="21" t="s">
        <v>80</v>
      </c>
      <c r="H440" s="26">
        <v>435</v>
      </c>
      <c r="I440" s="26">
        <v>239</v>
      </c>
      <c r="J440" s="72"/>
      <c r="K440" s="72"/>
      <c r="L440" s="72"/>
      <c r="M440" s="72"/>
      <c r="N440" s="72"/>
      <c r="O440" s="72"/>
      <c r="P440" s="72"/>
      <c r="Q440" s="72"/>
      <c r="R440" s="72"/>
      <c r="S440" s="72"/>
      <c r="T440" s="72"/>
      <c r="U440" s="72"/>
      <c r="V440" s="73"/>
      <c r="W440" s="72"/>
      <c r="X440" s="72"/>
      <c r="Y440" s="74"/>
      <c r="Z440" s="72"/>
      <c r="AA440" s="72"/>
      <c r="AB440" s="72"/>
      <c r="AC440" s="72"/>
      <c r="AD440" s="72"/>
      <c r="AE440" s="72"/>
      <c r="AF440" s="72"/>
      <c r="AG440" s="72"/>
      <c r="AH440" s="72"/>
      <c r="AI440" s="72"/>
      <c r="AJ440" s="75"/>
      <c r="AK440" s="72"/>
      <c r="AL440" s="28" t="str">
        <f>VLOOKUP($G440,'[42]Sheet1 (2)'!$A$1:$B$1048440,2,FALSE)</f>
        <v>Rmt.</v>
      </c>
      <c r="AM440" s="116"/>
      <c r="AN440" s="31"/>
      <c r="AO440" s="33"/>
    </row>
    <row r="441" spans="1:41" ht="42" x14ac:dyDescent="0.35">
      <c r="A441" s="26">
        <v>360</v>
      </c>
      <c r="B441" s="21" t="s">
        <v>561</v>
      </c>
      <c r="C441" s="22">
        <v>8.1999999999999993</v>
      </c>
      <c r="D441" s="25" t="s">
        <v>524</v>
      </c>
      <c r="E441" s="24" t="s">
        <v>584</v>
      </c>
      <c r="F441" s="24" t="s">
        <v>531</v>
      </c>
      <c r="G441" s="21" t="s">
        <v>80</v>
      </c>
      <c r="H441" s="26">
        <v>835</v>
      </c>
      <c r="I441" s="26">
        <v>345</v>
      </c>
      <c r="J441" s="72"/>
      <c r="K441" s="72"/>
      <c r="L441" s="72"/>
      <c r="M441" s="72"/>
      <c r="N441" s="72"/>
      <c r="O441" s="72"/>
      <c r="P441" s="72"/>
      <c r="Q441" s="72"/>
      <c r="R441" s="72"/>
      <c r="S441" s="72"/>
      <c r="T441" s="72"/>
      <c r="U441" s="72"/>
      <c r="V441" s="73"/>
      <c r="W441" s="72"/>
      <c r="X441" s="72"/>
      <c r="Y441" s="74"/>
      <c r="Z441" s="72"/>
      <c r="AA441" s="72"/>
      <c r="AB441" s="72"/>
      <c r="AC441" s="72"/>
      <c r="AD441" s="72"/>
      <c r="AE441" s="72"/>
      <c r="AF441" s="72"/>
      <c r="AG441" s="72"/>
      <c r="AH441" s="72"/>
      <c r="AI441" s="72"/>
      <c r="AJ441" s="75"/>
      <c r="AK441" s="72"/>
      <c r="AL441" s="28" t="str">
        <f>VLOOKUP($G441,'[42]Sheet1 (2)'!$A$1:$B$1048440,2,FALSE)</f>
        <v>Rmt.</v>
      </c>
      <c r="AM441" s="116"/>
      <c r="AN441" s="31"/>
      <c r="AO441" s="33"/>
    </row>
    <row r="442" spans="1:41" ht="42" x14ac:dyDescent="0.35">
      <c r="A442" s="26">
        <v>361</v>
      </c>
      <c r="B442" s="21" t="s">
        <v>561</v>
      </c>
      <c r="C442" s="22">
        <v>8.2100000000000009</v>
      </c>
      <c r="D442" s="25" t="s">
        <v>524</v>
      </c>
      <c r="E442" s="24" t="s">
        <v>585</v>
      </c>
      <c r="F442" s="24" t="s">
        <v>531</v>
      </c>
      <c r="G442" s="21" t="s">
        <v>80</v>
      </c>
      <c r="H442" s="26">
        <v>506</v>
      </c>
      <c r="I442" s="26">
        <v>395</v>
      </c>
      <c r="J442" s="72"/>
      <c r="K442" s="72"/>
      <c r="L442" s="72"/>
      <c r="M442" s="72"/>
      <c r="N442" s="72"/>
      <c r="O442" s="72"/>
      <c r="P442" s="72"/>
      <c r="Q442" s="72"/>
      <c r="R442" s="72"/>
      <c r="S442" s="72"/>
      <c r="T442" s="72"/>
      <c r="U442" s="72"/>
      <c r="V442" s="73"/>
      <c r="W442" s="72"/>
      <c r="X442" s="72"/>
      <c r="Y442" s="74"/>
      <c r="Z442" s="72"/>
      <c r="AA442" s="72"/>
      <c r="AB442" s="72"/>
      <c r="AC442" s="72"/>
      <c r="AD442" s="72"/>
      <c r="AE442" s="72"/>
      <c r="AF442" s="72"/>
      <c r="AG442" s="72"/>
      <c r="AH442" s="72"/>
      <c r="AI442" s="72"/>
      <c r="AJ442" s="75"/>
      <c r="AK442" s="72"/>
      <c r="AL442" s="28" t="str">
        <f>VLOOKUP($G442,'[42]Sheet1 (2)'!$A$1:$B$1048440,2,FALSE)</f>
        <v>Rmt.</v>
      </c>
      <c r="AM442" s="116"/>
      <c r="AN442" s="31"/>
      <c r="AO442" s="33"/>
    </row>
    <row r="443" spans="1:41" ht="42" x14ac:dyDescent="0.35">
      <c r="A443" s="40">
        <v>362</v>
      </c>
      <c r="B443" s="42" t="s">
        <v>561</v>
      </c>
      <c r="C443" s="37">
        <v>8.2200000000000006</v>
      </c>
      <c r="D443" s="45" t="s">
        <v>524</v>
      </c>
      <c r="E443" s="44" t="s">
        <v>586</v>
      </c>
      <c r="F443" s="44" t="s">
        <v>531</v>
      </c>
      <c r="G443" s="42" t="s">
        <v>217</v>
      </c>
      <c r="H443" s="40">
        <v>26</v>
      </c>
      <c r="I443" s="40">
        <v>15</v>
      </c>
      <c r="J443" s="72"/>
      <c r="K443" s="72"/>
      <c r="L443" s="72"/>
      <c r="M443" s="72"/>
      <c r="N443" s="72"/>
      <c r="O443" s="72"/>
      <c r="P443" s="72"/>
      <c r="Q443" s="72"/>
      <c r="R443" s="72"/>
      <c r="S443" s="72"/>
      <c r="T443" s="72"/>
      <c r="U443" s="72"/>
      <c r="V443" s="73"/>
      <c r="W443" s="72"/>
      <c r="X443" s="72"/>
      <c r="Y443" s="74"/>
      <c r="Z443" s="72"/>
      <c r="AA443" s="72"/>
      <c r="AB443" s="72"/>
      <c r="AC443" s="72"/>
      <c r="AD443" s="72"/>
      <c r="AE443" s="72"/>
      <c r="AF443" s="72"/>
      <c r="AG443" s="72"/>
      <c r="AH443" s="72"/>
      <c r="AI443" s="72"/>
      <c r="AJ443" s="75"/>
      <c r="AK443" s="72"/>
      <c r="AL443" s="28" t="str">
        <f>VLOOKUP($G443,'[42]Sheet1 (2)'!$A$1:$B$1048440,2,FALSE)</f>
        <v>Sqm</v>
      </c>
      <c r="AM443" s="116"/>
      <c r="AN443" s="31"/>
      <c r="AO443" s="33"/>
    </row>
    <row r="444" spans="1:41" ht="84" x14ac:dyDescent="0.35">
      <c r="A444" s="40">
        <v>363</v>
      </c>
      <c r="B444" s="42" t="s">
        <v>561</v>
      </c>
      <c r="C444" s="37">
        <v>8.23</v>
      </c>
      <c r="D444" s="45" t="s">
        <v>524</v>
      </c>
      <c r="E444" s="44" t="s">
        <v>587</v>
      </c>
      <c r="F444" s="44" t="s">
        <v>531</v>
      </c>
      <c r="G444" s="42" t="s">
        <v>217</v>
      </c>
      <c r="H444" s="40">
        <v>10</v>
      </c>
      <c r="I444" s="40">
        <v>0</v>
      </c>
      <c r="J444" s="72"/>
      <c r="K444" s="72"/>
      <c r="L444" s="72"/>
      <c r="M444" s="72"/>
      <c r="N444" s="72"/>
      <c r="O444" s="72"/>
      <c r="P444" s="72"/>
      <c r="Q444" s="72"/>
      <c r="R444" s="72"/>
      <c r="S444" s="72"/>
      <c r="T444" s="72"/>
      <c r="U444" s="72"/>
      <c r="V444" s="73"/>
      <c r="W444" s="72"/>
      <c r="X444" s="72"/>
      <c r="Y444" s="74"/>
      <c r="Z444" s="72"/>
      <c r="AA444" s="72"/>
      <c r="AB444" s="72"/>
      <c r="AC444" s="72"/>
      <c r="AD444" s="72"/>
      <c r="AE444" s="72"/>
      <c r="AF444" s="72"/>
      <c r="AG444" s="72"/>
      <c r="AH444" s="72"/>
      <c r="AI444" s="72"/>
      <c r="AJ444" s="75"/>
      <c r="AK444" s="72"/>
      <c r="AL444" s="28" t="str">
        <f>VLOOKUP($G444,'[42]Sheet1 (2)'!$A$1:$B$1048440,2,FALSE)</f>
        <v>Sqm</v>
      </c>
      <c r="AM444" s="116"/>
      <c r="AN444" s="31"/>
      <c r="AO444" s="33"/>
    </row>
    <row r="445" spans="1:41" ht="154" x14ac:dyDescent="0.35">
      <c r="A445" s="40">
        <v>364</v>
      </c>
      <c r="B445" s="42" t="s">
        <v>561</v>
      </c>
      <c r="C445" s="37">
        <v>8.24</v>
      </c>
      <c r="D445" s="45" t="s">
        <v>72</v>
      </c>
      <c r="E445" s="44" t="s">
        <v>588</v>
      </c>
      <c r="F445" s="44" t="s">
        <v>531</v>
      </c>
      <c r="G445" s="42" t="s">
        <v>217</v>
      </c>
      <c r="H445" s="40">
        <v>938</v>
      </c>
      <c r="I445" s="40">
        <v>48</v>
      </c>
      <c r="J445" s="72"/>
      <c r="K445" s="72"/>
      <c r="L445" s="72"/>
      <c r="M445" s="72"/>
      <c r="N445" s="72"/>
      <c r="O445" s="72"/>
      <c r="P445" s="72"/>
      <c r="Q445" s="72"/>
      <c r="R445" s="72"/>
      <c r="S445" s="72"/>
      <c r="T445" s="72"/>
      <c r="U445" s="72"/>
      <c r="V445" s="73"/>
      <c r="W445" s="72"/>
      <c r="X445" s="72"/>
      <c r="Y445" s="74"/>
      <c r="Z445" s="72"/>
      <c r="AA445" s="72"/>
      <c r="AB445" s="72"/>
      <c r="AC445" s="72"/>
      <c r="AD445" s="72"/>
      <c r="AE445" s="72"/>
      <c r="AF445" s="72"/>
      <c r="AG445" s="72"/>
      <c r="AH445" s="72"/>
      <c r="AI445" s="72"/>
      <c r="AJ445" s="75"/>
      <c r="AK445" s="72"/>
      <c r="AL445" s="28" t="str">
        <f>VLOOKUP($G445,'[42]Sheet1 (2)'!$A$1:$B$1048440,2,FALSE)</f>
        <v>Sqm</v>
      </c>
      <c r="AM445" s="116"/>
      <c r="AN445" s="31"/>
      <c r="AO445" s="33"/>
    </row>
    <row r="446" spans="1:41" ht="168" x14ac:dyDescent="0.35">
      <c r="A446" s="40">
        <v>365</v>
      </c>
      <c r="B446" s="42" t="s">
        <v>561</v>
      </c>
      <c r="C446" s="37">
        <v>8.25</v>
      </c>
      <c r="D446" s="45" t="s">
        <v>589</v>
      </c>
      <c r="E446" s="44" t="s">
        <v>590</v>
      </c>
      <c r="F446" s="44" t="s">
        <v>531</v>
      </c>
      <c r="G446" s="42" t="s">
        <v>217</v>
      </c>
      <c r="H446" s="40">
        <v>136</v>
      </c>
      <c r="I446" s="40">
        <v>6</v>
      </c>
      <c r="J446" s="72"/>
      <c r="K446" s="72"/>
      <c r="L446" s="72"/>
      <c r="M446" s="72"/>
      <c r="N446" s="72"/>
      <c r="O446" s="72"/>
      <c r="P446" s="72"/>
      <c r="Q446" s="72"/>
      <c r="R446" s="72"/>
      <c r="S446" s="72"/>
      <c r="T446" s="72"/>
      <c r="U446" s="72"/>
      <c r="V446" s="73"/>
      <c r="W446" s="72"/>
      <c r="X446" s="72"/>
      <c r="Y446" s="74"/>
      <c r="Z446" s="72">
        <v>2.3E-2</v>
      </c>
      <c r="AA446" s="72">
        <f>(0.95)/1000</f>
        <v>9.5E-4</v>
      </c>
      <c r="AB446" s="72">
        <f>0.5/1000</f>
        <v>5.0000000000000001E-4</v>
      </c>
      <c r="AC446" s="72"/>
      <c r="AD446" s="72">
        <f>(0.95)/1000</f>
        <v>9.5E-4</v>
      </c>
      <c r="AE446" s="72">
        <f>0.5/1000</f>
        <v>5.0000000000000001E-4</v>
      </c>
      <c r="AF446" s="95">
        <v>0.02</v>
      </c>
      <c r="AG446" s="72"/>
      <c r="AH446" s="72"/>
      <c r="AI446" s="72"/>
      <c r="AJ446" s="75"/>
      <c r="AK446" s="72"/>
      <c r="AL446" s="28" t="str">
        <f>VLOOKUP($G446,'[42]Sheet1 (2)'!$A$1:$B$1048440,2,FALSE)</f>
        <v>Sqm</v>
      </c>
      <c r="AM446" s="116"/>
      <c r="AN446" s="31"/>
      <c r="AO446" s="33"/>
    </row>
    <row r="447" spans="1:41" ht="168" x14ac:dyDescent="0.35">
      <c r="A447" s="40">
        <v>366</v>
      </c>
      <c r="B447" s="42" t="s">
        <v>561</v>
      </c>
      <c r="C447" s="37">
        <v>8.26</v>
      </c>
      <c r="D447" s="45" t="s">
        <v>589</v>
      </c>
      <c r="E447" s="44" t="s">
        <v>591</v>
      </c>
      <c r="F447" s="44" t="s">
        <v>531</v>
      </c>
      <c r="G447" s="42" t="s">
        <v>217</v>
      </c>
      <c r="H447" s="40">
        <v>127</v>
      </c>
      <c r="I447" s="40">
        <v>4</v>
      </c>
      <c r="J447" s="72"/>
      <c r="K447" s="72"/>
      <c r="L447" s="72"/>
      <c r="M447" s="72"/>
      <c r="N447" s="72"/>
      <c r="O447" s="72"/>
      <c r="P447" s="72"/>
      <c r="Q447" s="72"/>
      <c r="R447" s="72"/>
      <c r="S447" s="72"/>
      <c r="T447" s="72"/>
      <c r="U447" s="72"/>
      <c r="V447" s="73"/>
      <c r="W447" s="72"/>
      <c r="X447" s="72"/>
      <c r="Y447" s="74"/>
      <c r="Z447" s="72">
        <v>2.3E-2</v>
      </c>
      <c r="AA447" s="72">
        <f>(0.95)/1000</f>
        <v>9.5E-4</v>
      </c>
      <c r="AB447" s="72">
        <f>0.5/1000</f>
        <v>5.0000000000000001E-4</v>
      </c>
      <c r="AC447" s="72"/>
      <c r="AD447" s="72">
        <f>(0.95)/1000</f>
        <v>9.5E-4</v>
      </c>
      <c r="AE447" s="72">
        <f>0.5/1000</f>
        <v>5.0000000000000001E-4</v>
      </c>
      <c r="AF447" s="95">
        <v>0.02</v>
      </c>
      <c r="AG447" s="72"/>
      <c r="AH447" s="72"/>
      <c r="AI447" s="72"/>
      <c r="AJ447" s="75"/>
      <c r="AK447" s="72"/>
      <c r="AL447" s="28" t="str">
        <f>VLOOKUP($G447,'[42]Sheet1 (2)'!$A$1:$B$1048440,2,FALSE)</f>
        <v>Sqm</v>
      </c>
      <c r="AM447" s="116"/>
      <c r="AN447" s="31"/>
      <c r="AO447" s="33"/>
    </row>
    <row r="448" spans="1:41" ht="70" x14ac:dyDescent="0.35">
      <c r="A448" s="40">
        <v>367</v>
      </c>
      <c r="B448" s="42" t="s">
        <v>561</v>
      </c>
      <c r="C448" s="37">
        <v>8.27</v>
      </c>
      <c r="D448" s="45" t="s">
        <v>516</v>
      </c>
      <c r="E448" s="43" t="s">
        <v>592</v>
      </c>
      <c r="F448" s="44" t="s">
        <v>531</v>
      </c>
      <c r="G448" s="42" t="s">
        <v>80</v>
      </c>
      <c r="H448" s="40">
        <v>353</v>
      </c>
      <c r="I448" s="40">
        <v>48</v>
      </c>
      <c r="J448" s="72"/>
      <c r="K448" s="72"/>
      <c r="L448" s="72"/>
      <c r="M448" s="95">
        <v>0.27</v>
      </c>
      <c r="N448" s="72"/>
      <c r="O448" s="72"/>
      <c r="P448" s="72"/>
      <c r="Q448" s="72"/>
      <c r="R448" s="72">
        <v>0.09</v>
      </c>
      <c r="S448" s="72"/>
      <c r="T448" s="72"/>
      <c r="U448" s="72"/>
      <c r="V448" s="73"/>
      <c r="W448" s="72"/>
      <c r="X448" s="72"/>
      <c r="Y448" s="74"/>
      <c r="Z448" s="72"/>
      <c r="AA448" s="72"/>
      <c r="AB448" s="72"/>
      <c r="AC448" s="72"/>
      <c r="AD448" s="72"/>
      <c r="AE448" s="72"/>
      <c r="AF448" s="72"/>
      <c r="AG448" s="72"/>
      <c r="AH448" s="72"/>
      <c r="AI448" s="72"/>
      <c r="AJ448" s="75"/>
      <c r="AK448" s="72"/>
      <c r="AL448" s="28" t="str">
        <f>VLOOKUP($G448,'[42]Sheet1 (2)'!$A$1:$B$1048440,2,FALSE)</f>
        <v>Rmt.</v>
      </c>
      <c r="AM448" s="116"/>
      <c r="AN448" s="31"/>
      <c r="AO448" s="33"/>
    </row>
    <row r="449" spans="1:41" ht="182" x14ac:dyDescent="0.35">
      <c r="A449" s="40">
        <v>368</v>
      </c>
      <c r="B449" s="42" t="s">
        <v>561</v>
      </c>
      <c r="C449" s="37">
        <v>8.2799999999999994</v>
      </c>
      <c r="D449" s="44" t="s">
        <v>531</v>
      </c>
      <c r="E449" s="44" t="s">
        <v>593</v>
      </c>
      <c r="F449" s="43"/>
      <c r="G449" s="42" t="s">
        <v>217</v>
      </c>
      <c r="H449" s="40">
        <v>881</v>
      </c>
      <c r="I449" s="40">
        <v>101</v>
      </c>
      <c r="J449" s="72"/>
      <c r="K449" s="72"/>
      <c r="L449" s="72"/>
      <c r="M449" s="95"/>
      <c r="N449" s="72"/>
      <c r="O449" s="72"/>
      <c r="P449" s="72"/>
      <c r="Q449" s="72"/>
      <c r="R449" s="72"/>
      <c r="S449" s="72"/>
      <c r="T449" s="72"/>
      <c r="U449" s="72"/>
      <c r="V449" s="73"/>
      <c r="W449" s="72"/>
      <c r="X449" s="72"/>
      <c r="Y449" s="74"/>
      <c r="Z449" s="72"/>
      <c r="AA449" s="72"/>
      <c r="AB449" s="72"/>
      <c r="AC449" s="72"/>
      <c r="AD449" s="72"/>
      <c r="AE449" s="72"/>
      <c r="AF449" s="72"/>
      <c r="AG449" s="72"/>
      <c r="AH449" s="72"/>
      <c r="AI449" s="72"/>
      <c r="AJ449" s="75"/>
      <c r="AK449" s="72"/>
      <c r="AL449" s="28" t="str">
        <f>VLOOKUP($G449,'[42]Sheet1 (2)'!$A$1:$B$1048440,2,FALSE)</f>
        <v>Sqm</v>
      </c>
      <c r="AM449" s="116"/>
      <c r="AN449" s="31"/>
      <c r="AO449" s="33"/>
    </row>
    <row r="450" spans="1:41" ht="392" x14ac:dyDescent="0.35">
      <c r="A450" s="40">
        <v>369</v>
      </c>
      <c r="B450" s="42" t="s">
        <v>561</v>
      </c>
      <c r="C450" s="37">
        <v>8.2899999999999991</v>
      </c>
      <c r="D450" s="44" t="s">
        <v>531</v>
      </c>
      <c r="E450" s="44" t="s">
        <v>594</v>
      </c>
      <c r="F450" s="43"/>
      <c r="G450" s="45" t="s">
        <v>45</v>
      </c>
      <c r="H450" s="40">
        <v>1290</v>
      </c>
      <c r="I450" s="40">
        <v>97</v>
      </c>
      <c r="J450" s="72"/>
      <c r="K450" s="72"/>
      <c r="L450" s="72"/>
      <c r="M450" s="95"/>
      <c r="N450" s="72"/>
      <c r="O450" s="72"/>
      <c r="P450" s="72"/>
      <c r="Q450" s="72"/>
      <c r="R450" s="72"/>
      <c r="S450" s="72"/>
      <c r="T450" s="72"/>
      <c r="U450" s="72"/>
      <c r="V450" s="73"/>
      <c r="W450" s="72"/>
      <c r="X450" s="72"/>
      <c r="Y450" s="74"/>
      <c r="Z450" s="72"/>
      <c r="AA450" s="72"/>
      <c r="AB450" s="72"/>
      <c r="AC450" s="72"/>
      <c r="AD450" s="72"/>
      <c r="AE450" s="72"/>
      <c r="AF450" s="72"/>
      <c r="AG450" s="72"/>
      <c r="AH450" s="72"/>
      <c r="AI450" s="72"/>
      <c r="AJ450" s="75"/>
      <c r="AK450" s="72"/>
      <c r="AL450" s="28" t="str">
        <f>VLOOKUP($G450,'[42]Sheet1 (2)'!$A$1:$B$1048440,2,FALSE)</f>
        <v>No.</v>
      </c>
      <c r="AM450" s="116"/>
      <c r="AN450" s="31"/>
      <c r="AO450" s="33"/>
    </row>
    <row r="451" spans="1:41" ht="182" x14ac:dyDescent="0.35">
      <c r="A451" s="40">
        <v>370</v>
      </c>
      <c r="B451" s="42" t="s">
        <v>561</v>
      </c>
      <c r="C451" s="37">
        <v>8.3000000000000007</v>
      </c>
      <c r="D451" s="44" t="s">
        <v>531</v>
      </c>
      <c r="E451" s="44" t="s">
        <v>595</v>
      </c>
      <c r="F451" s="43"/>
      <c r="G451" s="45" t="s">
        <v>45</v>
      </c>
      <c r="H451" s="40">
        <v>1127</v>
      </c>
      <c r="I451" s="40">
        <v>97</v>
      </c>
      <c r="J451" s="72"/>
      <c r="K451" s="72"/>
      <c r="L451" s="72"/>
      <c r="M451" s="95"/>
      <c r="N451" s="72"/>
      <c r="O451" s="72"/>
      <c r="P451" s="72"/>
      <c r="Q451" s="72"/>
      <c r="R451" s="72"/>
      <c r="S451" s="72"/>
      <c r="T451" s="72"/>
      <c r="U451" s="72"/>
      <c r="V451" s="73"/>
      <c r="W451" s="72"/>
      <c r="X451" s="72"/>
      <c r="Y451" s="74"/>
      <c r="Z451" s="72"/>
      <c r="AA451" s="72"/>
      <c r="AB451" s="72"/>
      <c r="AC451" s="72"/>
      <c r="AD451" s="72"/>
      <c r="AE451" s="72"/>
      <c r="AF451" s="72"/>
      <c r="AG451" s="72"/>
      <c r="AH451" s="72"/>
      <c r="AI451" s="72"/>
      <c r="AJ451" s="75"/>
      <c r="AK451" s="72"/>
      <c r="AL451" s="28" t="str">
        <f>VLOOKUP($G451,'[42]Sheet1 (2)'!$A$1:$B$1048440,2,FALSE)</f>
        <v>No.</v>
      </c>
      <c r="AM451" s="116"/>
      <c r="AN451" s="31"/>
      <c r="AO451" s="33"/>
    </row>
    <row r="452" spans="1:41" ht="140" x14ac:dyDescent="0.35">
      <c r="A452" s="40">
        <v>371</v>
      </c>
      <c r="B452" s="42" t="s">
        <v>561</v>
      </c>
      <c r="C452" s="37">
        <v>8.31</v>
      </c>
      <c r="D452" s="44" t="s">
        <v>531</v>
      </c>
      <c r="E452" s="44" t="s">
        <v>596</v>
      </c>
      <c r="F452" s="43"/>
      <c r="G452" s="45" t="s">
        <v>45</v>
      </c>
      <c r="H452" s="40">
        <v>125</v>
      </c>
      <c r="I452" s="40">
        <v>125</v>
      </c>
      <c r="J452" s="72"/>
      <c r="K452" s="72"/>
      <c r="L452" s="72"/>
      <c r="M452" s="95"/>
      <c r="N452" s="72"/>
      <c r="O452" s="72"/>
      <c r="P452" s="72"/>
      <c r="Q452" s="72"/>
      <c r="R452" s="72"/>
      <c r="S452" s="72"/>
      <c r="T452" s="72"/>
      <c r="U452" s="72"/>
      <c r="V452" s="73"/>
      <c r="W452" s="72"/>
      <c r="X452" s="72"/>
      <c r="Y452" s="74"/>
      <c r="Z452" s="72"/>
      <c r="AA452" s="72"/>
      <c r="AB452" s="72"/>
      <c r="AC452" s="72"/>
      <c r="AD452" s="72"/>
      <c r="AE452" s="72"/>
      <c r="AF452" s="72"/>
      <c r="AG452" s="72"/>
      <c r="AH452" s="72"/>
      <c r="AI452" s="72"/>
      <c r="AJ452" s="75"/>
      <c r="AK452" s="72"/>
      <c r="AL452" s="28" t="str">
        <f>VLOOKUP($G452,'[42]Sheet1 (2)'!$A$1:$B$1048440,2,FALSE)</f>
        <v>No.</v>
      </c>
      <c r="AM452" s="116"/>
      <c r="AN452" s="31"/>
      <c r="AO452" s="33"/>
    </row>
    <row r="453" spans="1:41" ht="140" x14ac:dyDescent="0.35">
      <c r="A453" s="40">
        <v>372</v>
      </c>
      <c r="B453" s="42" t="s">
        <v>561</v>
      </c>
      <c r="C453" s="37">
        <v>8.32</v>
      </c>
      <c r="D453" s="45" t="s">
        <v>597</v>
      </c>
      <c r="E453" s="43" t="s">
        <v>598</v>
      </c>
      <c r="F453" s="44" t="s">
        <v>531</v>
      </c>
      <c r="G453" s="42" t="s">
        <v>514</v>
      </c>
      <c r="H453" s="40">
        <v>715</v>
      </c>
      <c r="I453" s="40">
        <v>121</v>
      </c>
      <c r="J453" s="72"/>
      <c r="K453" s="72"/>
      <c r="L453" s="72"/>
      <c r="M453" s="95"/>
      <c r="N453" s="72"/>
      <c r="O453" s="72"/>
      <c r="P453" s="72"/>
      <c r="Q453" s="72"/>
      <c r="R453" s="72"/>
      <c r="S453" s="72"/>
      <c r="T453" s="72"/>
      <c r="U453" s="72"/>
      <c r="V453" s="73"/>
      <c r="W453" s="72"/>
      <c r="X453" s="72"/>
      <c r="Y453" s="74"/>
      <c r="Z453" s="72"/>
      <c r="AA453" s="72"/>
      <c r="AB453" s="72"/>
      <c r="AC453" s="72"/>
      <c r="AD453" s="72"/>
      <c r="AE453" s="72"/>
      <c r="AF453" s="72"/>
      <c r="AG453" s="72"/>
      <c r="AH453" s="72"/>
      <c r="AI453" s="72"/>
      <c r="AJ453" s="75"/>
      <c r="AK453" s="72"/>
      <c r="AL453" s="28" t="str">
        <f>VLOOKUP($G453,'[42]Sheet1 (2)'!$A$1:$B$1048440,2,FALSE)</f>
        <v>Sqm</v>
      </c>
      <c r="AM453" s="116"/>
      <c r="AN453" s="31"/>
      <c r="AO453" s="33"/>
    </row>
    <row r="454" spans="1:41" ht="140" x14ac:dyDescent="0.25">
      <c r="A454" s="40">
        <v>373</v>
      </c>
      <c r="B454" s="42" t="s">
        <v>561</v>
      </c>
      <c r="C454" s="37">
        <v>8.33</v>
      </c>
      <c r="D454" s="45" t="s">
        <v>599</v>
      </c>
      <c r="E454" s="43" t="s">
        <v>600</v>
      </c>
      <c r="F454" s="44" t="s">
        <v>531</v>
      </c>
      <c r="G454" s="42" t="s">
        <v>514</v>
      </c>
      <c r="H454" s="40">
        <v>552</v>
      </c>
      <c r="I454" s="40">
        <v>121</v>
      </c>
      <c r="J454" s="78"/>
      <c r="K454" s="79"/>
      <c r="L454" s="93"/>
      <c r="M454" s="99"/>
      <c r="N454" s="100"/>
      <c r="O454" s="93"/>
      <c r="P454" s="79"/>
      <c r="Q454" s="79"/>
      <c r="R454" s="79"/>
      <c r="S454" s="100"/>
      <c r="T454" s="100"/>
      <c r="U454" s="100"/>
      <c r="V454" s="101"/>
      <c r="W454" s="100"/>
      <c r="X454" s="100"/>
      <c r="Y454" s="102"/>
      <c r="Z454" s="99"/>
      <c r="AA454" s="99"/>
      <c r="AB454" s="99"/>
      <c r="AC454" s="99"/>
      <c r="AD454" s="99"/>
      <c r="AE454" s="99"/>
      <c r="AF454" s="99"/>
      <c r="AG454" s="99"/>
      <c r="AH454" s="99"/>
      <c r="AI454" s="99"/>
      <c r="AJ454" s="75"/>
      <c r="AK454" s="99"/>
      <c r="AL454" s="28" t="str">
        <f>VLOOKUP($G454,'[42]Sheet1 (2)'!$A$1:$B$1048440,2,FALSE)</f>
        <v>Sqm</v>
      </c>
      <c r="AM454" s="76" t="s">
        <v>262</v>
      </c>
      <c r="AN454" s="31"/>
      <c r="AO454" s="33"/>
    </row>
    <row r="455" spans="1:41" ht="168" x14ac:dyDescent="0.25">
      <c r="A455" s="40">
        <v>374</v>
      </c>
      <c r="B455" s="42" t="s">
        <v>561</v>
      </c>
      <c r="C455" s="37">
        <v>8.34</v>
      </c>
      <c r="D455" s="45" t="s">
        <v>259</v>
      </c>
      <c r="E455" s="44" t="s">
        <v>601</v>
      </c>
      <c r="F455" s="44" t="s">
        <v>531</v>
      </c>
      <c r="G455" s="42" t="s">
        <v>514</v>
      </c>
      <c r="H455" s="49">
        <v>331</v>
      </c>
      <c r="I455" s="40">
        <v>5</v>
      </c>
      <c r="J455" s="72"/>
      <c r="K455" s="72"/>
      <c r="L455" s="104"/>
      <c r="M455" s="99">
        <v>0.09</v>
      </c>
      <c r="N455" s="100"/>
      <c r="O455" s="93">
        <f>0.18/10</f>
        <v>1.7999999999999999E-2</v>
      </c>
      <c r="P455" s="79"/>
      <c r="Q455" s="79"/>
      <c r="R455" s="79"/>
      <c r="S455" s="100"/>
      <c r="T455" s="100"/>
      <c r="U455" s="100"/>
      <c r="V455" s="101"/>
      <c r="W455" s="100"/>
      <c r="X455" s="100"/>
      <c r="Y455" s="102"/>
      <c r="Z455" s="99"/>
      <c r="AA455" s="99"/>
      <c r="AB455" s="99">
        <f>(2+0.3)/1000</f>
        <v>2.3E-3</v>
      </c>
      <c r="AC455" s="99"/>
      <c r="AD455" s="99">
        <f>(2+0.3)/1000</f>
        <v>2.3E-3</v>
      </c>
      <c r="AE455" s="99"/>
      <c r="AF455" s="99"/>
      <c r="AG455" s="99"/>
      <c r="AH455" s="99"/>
      <c r="AI455" s="99"/>
      <c r="AJ455" s="75"/>
      <c r="AK455" s="99"/>
      <c r="AL455" s="28" t="str">
        <f>VLOOKUP($G455,'[42]Sheet1 (2)'!$A$1:$B$1048440,2,FALSE)</f>
        <v>Sqm</v>
      </c>
      <c r="AM455" s="76" t="s">
        <v>262</v>
      </c>
      <c r="AN455" s="31"/>
      <c r="AO455" s="33"/>
    </row>
    <row r="456" spans="1:41" ht="154" x14ac:dyDescent="0.25">
      <c r="A456" s="40">
        <v>375</v>
      </c>
      <c r="B456" s="42" t="s">
        <v>561</v>
      </c>
      <c r="C456" s="37">
        <v>8.35</v>
      </c>
      <c r="D456" s="45" t="s">
        <v>259</v>
      </c>
      <c r="E456" s="43" t="s">
        <v>602</v>
      </c>
      <c r="F456" s="44" t="s">
        <v>531</v>
      </c>
      <c r="G456" s="42" t="s">
        <v>514</v>
      </c>
      <c r="H456" s="49">
        <v>265</v>
      </c>
      <c r="I456" s="40">
        <v>4</v>
      </c>
      <c r="J456" s="31"/>
      <c r="K456" s="31"/>
      <c r="L456" s="31"/>
      <c r="M456" s="99">
        <v>0.06</v>
      </c>
      <c r="N456" s="100"/>
      <c r="O456" s="93">
        <f>0.18/10</f>
        <v>1.7999999999999999E-2</v>
      </c>
      <c r="P456" s="79"/>
      <c r="Q456" s="79"/>
      <c r="R456" s="79"/>
      <c r="S456" s="100"/>
      <c r="T456" s="100"/>
      <c r="U456" s="100"/>
      <c r="V456" s="101"/>
      <c r="W456" s="100"/>
      <c r="X456" s="100"/>
      <c r="Y456" s="102"/>
      <c r="Z456" s="99"/>
      <c r="AA456" s="99"/>
      <c r="AB456" s="99">
        <f>(1.75+0.3)/1000</f>
        <v>2.0499999999999997E-3</v>
      </c>
      <c r="AC456" s="99"/>
      <c r="AD456" s="99">
        <f>(1.75+0.3)/1000</f>
        <v>2.0499999999999997E-3</v>
      </c>
      <c r="AE456" s="99"/>
      <c r="AF456" s="99"/>
      <c r="AG456" s="99"/>
      <c r="AH456" s="99"/>
      <c r="AI456" s="99"/>
      <c r="AJ456" s="75"/>
      <c r="AK456" s="99"/>
      <c r="AL456" s="28" t="str">
        <f>VLOOKUP($G456,'[42]Sheet1 (2)'!$A$1:$B$1048440,2,FALSE)</f>
        <v>Sqm</v>
      </c>
      <c r="AM456" s="76" t="s">
        <v>277</v>
      </c>
      <c r="AN456" s="31"/>
      <c r="AO456" s="33"/>
    </row>
    <row r="457" spans="1:41" ht="17.5" x14ac:dyDescent="0.25">
      <c r="A457" s="40"/>
      <c r="B457" s="42"/>
      <c r="C457" s="37"/>
      <c r="D457" s="45"/>
      <c r="E457" s="138" t="s">
        <v>603</v>
      </c>
      <c r="F457" s="44"/>
      <c r="G457" s="42"/>
      <c r="H457" s="49"/>
      <c r="I457" s="40"/>
      <c r="J457" s="31"/>
      <c r="K457" s="31"/>
      <c r="L457" s="31"/>
      <c r="M457" s="139"/>
      <c r="N457" s="101"/>
      <c r="O457" s="140"/>
      <c r="P457" s="141"/>
      <c r="Q457" s="141"/>
      <c r="R457" s="141"/>
      <c r="S457" s="101"/>
      <c r="T457" s="101"/>
      <c r="U457" s="101"/>
      <c r="V457" s="101"/>
      <c r="W457" s="101"/>
      <c r="X457" s="101"/>
      <c r="Y457" s="102"/>
      <c r="Z457" s="139"/>
      <c r="AA457" s="139"/>
      <c r="AB457" s="139"/>
      <c r="AC457" s="139"/>
      <c r="AD457" s="139"/>
      <c r="AE457" s="139"/>
      <c r="AF457" s="139"/>
      <c r="AG457" s="139"/>
      <c r="AH457" s="139"/>
      <c r="AI457" s="139"/>
      <c r="AJ457" s="142"/>
      <c r="AK457" s="139"/>
      <c r="AL457" s="28" t="e">
        <f>VLOOKUP($G457,'[42]Sheet1 (2)'!$A$1:$B$1048440,2,FALSE)</f>
        <v>#N/A</v>
      </c>
      <c r="AM457" s="76"/>
      <c r="AN457" s="31"/>
      <c r="AO457" s="33"/>
    </row>
    <row r="458" spans="1:41" ht="46.5" x14ac:dyDescent="0.25">
      <c r="A458" s="26">
        <v>376</v>
      </c>
      <c r="B458" s="35" t="s">
        <v>604</v>
      </c>
      <c r="C458" s="22">
        <v>11.01</v>
      </c>
      <c r="D458" s="25" t="s">
        <v>605</v>
      </c>
      <c r="E458" s="23" t="s">
        <v>606</v>
      </c>
      <c r="F458" s="25" t="s">
        <v>607</v>
      </c>
      <c r="G458" s="143" t="s">
        <v>47</v>
      </c>
      <c r="H458" s="26">
        <v>1701</v>
      </c>
      <c r="I458" s="26">
        <v>443</v>
      </c>
      <c r="J458" s="31"/>
      <c r="K458" s="31"/>
      <c r="L458" s="31"/>
      <c r="M458" s="31"/>
      <c r="N458" s="31">
        <v>1.33</v>
      </c>
      <c r="O458" s="31"/>
      <c r="P458" s="31"/>
      <c r="Q458" s="31"/>
      <c r="R458" s="31"/>
      <c r="S458" s="31">
        <v>0.3</v>
      </c>
      <c r="T458" s="31"/>
      <c r="U458" s="31"/>
      <c r="V458" s="31"/>
      <c r="W458" s="31"/>
      <c r="X458" s="31"/>
      <c r="Y458" s="31"/>
      <c r="Z458" s="31"/>
      <c r="AA458" s="31"/>
      <c r="AB458" s="31"/>
      <c r="AC458" s="31"/>
      <c r="AD458" s="31"/>
      <c r="AE458" s="31"/>
      <c r="AF458" s="31"/>
      <c r="AG458" s="31"/>
      <c r="AH458" s="31"/>
      <c r="AI458" s="31"/>
      <c r="AJ458" s="31"/>
      <c r="AK458" s="31"/>
      <c r="AL458" s="28" t="str">
        <f>VLOOKUP($G458,'[42]Sheet1 (2)'!$A$1:$B$1048440,2,FALSE)</f>
        <v>Cum</v>
      </c>
      <c r="AM458" s="32"/>
      <c r="AN458" s="31"/>
      <c r="AO458" s="33"/>
    </row>
    <row r="459" spans="1:41" ht="84" x14ac:dyDescent="0.35">
      <c r="A459" s="26">
        <v>377</v>
      </c>
      <c r="B459" s="24" t="s">
        <v>608</v>
      </c>
      <c r="C459" s="22">
        <v>11.02</v>
      </c>
      <c r="D459" s="25" t="s">
        <v>609</v>
      </c>
      <c r="E459" s="24" t="s">
        <v>610</v>
      </c>
      <c r="F459" s="25" t="s">
        <v>611</v>
      </c>
      <c r="G459" s="143" t="s">
        <v>47</v>
      </c>
      <c r="H459" s="26">
        <v>6061</v>
      </c>
      <c r="I459" s="26">
        <v>1538</v>
      </c>
      <c r="J459" s="72">
        <f>4.4/20</f>
        <v>0.22000000000000003</v>
      </c>
      <c r="K459" s="72"/>
      <c r="L459" s="72">
        <v>0.94</v>
      </c>
      <c r="M459" s="80"/>
      <c r="N459" s="72"/>
      <c r="O459" s="80"/>
      <c r="P459" s="72">
        <v>0.47</v>
      </c>
      <c r="Q459" s="31"/>
      <c r="R459" s="31"/>
      <c r="S459" s="31"/>
      <c r="T459" s="31"/>
      <c r="U459" s="31"/>
      <c r="V459" s="31"/>
      <c r="W459" s="31"/>
      <c r="X459" s="31"/>
      <c r="Y459" s="31"/>
      <c r="Z459" s="31"/>
      <c r="AA459" s="31"/>
      <c r="AB459" s="31"/>
      <c r="AC459" s="31"/>
      <c r="AD459" s="31"/>
      <c r="AE459" s="31"/>
      <c r="AF459" s="31"/>
      <c r="AG459" s="31"/>
      <c r="AH459" s="31"/>
      <c r="AI459" s="31"/>
      <c r="AJ459" s="31"/>
      <c r="AK459" s="31"/>
      <c r="AL459" s="28" t="str">
        <f>VLOOKUP($G459,'[42]Sheet1 (2)'!$A$1:$B$1048440,2,FALSE)</f>
        <v>Cum</v>
      </c>
      <c r="AM459" s="32" t="s">
        <v>612</v>
      </c>
      <c r="AN459" s="31"/>
      <c r="AO459" s="33"/>
    </row>
    <row r="460" spans="1:41" ht="70" x14ac:dyDescent="0.35">
      <c r="A460" s="26">
        <v>380</v>
      </c>
      <c r="B460" s="24" t="s">
        <v>608</v>
      </c>
      <c r="C460" s="22">
        <v>11.03</v>
      </c>
      <c r="D460" s="23"/>
      <c r="E460" s="24" t="s">
        <v>613</v>
      </c>
      <c r="F460" s="23"/>
      <c r="G460" s="143" t="s">
        <v>47</v>
      </c>
      <c r="H460" s="26">
        <v>5728</v>
      </c>
      <c r="I460" s="26">
        <v>1538</v>
      </c>
      <c r="J460" s="72">
        <f>4.4/20</f>
        <v>0.22000000000000003</v>
      </c>
      <c r="K460" s="72"/>
      <c r="L460" s="72">
        <v>0.94</v>
      </c>
      <c r="M460" s="80"/>
      <c r="N460" s="72"/>
      <c r="O460" s="80"/>
      <c r="P460" s="72">
        <v>0.47</v>
      </c>
      <c r="Q460" s="31"/>
      <c r="R460" s="31"/>
      <c r="S460" s="31"/>
      <c r="T460" s="31"/>
      <c r="U460" s="31"/>
      <c r="V460" s="31"/>
      <c r="W460" s="31"/>
      <c r="X460" s="31"/>
      <c r="Y460" s="31"/>
      <c r="Z460" s="31"/>
      <c r="AA460" s="31"/>
      <c r="AB460" s="31"/>
      <c r="AC460" s="31"/>
      <c r="AD460" s="31"/>
      <c r="AE460" s="31"/>
      <c r="AF460" s="31"/>
      <c r="AG460" s="31"/>
      <c r="AH460" s="31"/>
      <c r="AI460" s="31"/>
      <c r="AJ460" s="31"/>
      <c r="AK460" s="31"/>
      <c r="AL460" s="28" t="str">
        <f>VLOOKUP($G460,'[42]Sheet1 (2)'!$A$1:$B$1048440,2,FALSE)</f>
        <v>Cum</v>
      </c>
      <c r="AM460" s="32" t="s">
        <v>612</v>
      </c>
      <c r="AN460" s="31"/>
      <c r="AO460" s="33"/>
    </row>
    <row r="461" spans="1:41" ht="84" x14ac:dyDescent="0.35">
      <c r="A461" s="26">
        <v>381</v>
      </c>
      <c r="B461" s="24" t="s">
        <v>608</v>
      </c>
      <c r="C461" s="22">
        <v>11.04</v>
      </c>
      <c r="D461" s="25" t="s">
        <v>614</v>
      </c>
      <c r="E461" s="24" t="s">
        <v>615</v>
      </c>
      <c r="F461" s="25" t="s">
        <v>616</v>
      </c>
      <c r="G461" s="143" t="s">
        <v>47</v>
      </c>
      <c r="H461" s="26">
        <v>5695</v>
      </c>
      <c r="I461" s="26">
        <v>1538</v>
      </c>
      <c r="J461" s="72">
        <f>3.4/20</f>
        <v>0.16999999999999998</v>
      </c>
      <c r="K461" s="72"/>
      <c r="L461" s="72">
        <v>0.94</v>
      </c>
      <c r="M461" s="80"/>
      <c r="N461" s="80"/>
      <c r="O461" s="80"/>
      <c r="P461" s="72">
        <v>0.47</v>
      </c>
      <c r="Q461" s="31"/>
      <c r="R461" s="31"/>
      <c r="S461" s="31"/>
      <c r="T461" s="31"/>
      <c r="U461" s="31"/>
      <c r="V461" s="31"/>
      <c r="W461" s="31"/>
      <c r="X461" s="31"/>
      <c r="Y461" s="31"/>
      <c r="Z461" s="31"/>
      <c r="AA461" s="31"/>
      <c r="AB461" s="31"/>
      <c r="AC461" s="31"/>
      <c r="AD461" s="31"/>
      <c r="AE461" s="31"/>
      <c r="AF461" s="31"/>
      <c r="AG461" s="31"/>
      <c r="AH461" s="31"/>
      <c r="AI461" s="31"/>
      <c r="AJ461" s="31"/>
      <c r="AK461" s="31"/>
      <c r="AL461" s="28" t="str">
        <f>VLOOKUP($G461,'[42]Sheet1 (2)'!$A$1:$B$1048440,2,FALSE)</f>
        <v>Cum</v>
      </c>
      <c r="AM461" s="32" t="s">
        <v>617</v>
      </c>
      <c r="AN461" s="31"/>
      <c r="AO461" s="33"/>
    </row>
    <row r="462" spans="1:41" ht="70" x14ac:dyDescent="0.35">
      <c r="A462" s="26">
        <v>382</v>
      </c>
      <c r="B462" s="24" t="s">
        <v>608</v>
      </c>
      <c r="C462" s="22">
        <v>11.06</v>
      </c>
      <c r="D462" s="25" t="s">
        <v>618</v>
      </c>
      <c r="E462" s="23" t="s">
        <v>619</v>
      </c>
      <c r="F462" s="25" t="s">
        <v>620</v>
      </c>
      <c r="G462" s="144" t="s">
        <v>621</v>
      </c>
      <c r="H462" s="26">
        <v>2334</v>
      </c>
      <c r="I462" s="26">
        <v>982</v>
      </c>
      <c r="J462" s="72">
        <f>1.7/20</f>
        <v>8.4999999999999992E-2</v>
      </c>
      <c r="K462" s="72"/>
      <c r="L462" s="72"/>
      <c r="M462" s="80"/>
      <c r="N462" s="72">
        <v>1</v>
      </c>
      <c r="O462" s="80"/>
      <c r="P462" s="72">
        <v>0.35</v>
      </c>
      <c r="Q462" s="31"/>
      <c r="R462" s="31"/>
      <c r="S462" s="31"/>
      <c r="T462" s="31"/>
      <c r="U462" s="31"/>
      <c r="V462" s="31"/>
      <c r="W462" s="31"/>
      <c r="X462" s="31"/>
      <c r="Y462" s="31"/>
      <c r="Z462" s="31"/>
      <c r="AA462" s="31"/>
      <c r="AB462" s="31"/>
      <c r="AC462" s="31"/>
      <c r="AD462" s="31"/>
      <c r="AE462" s="31"/>
      <c r="AF462" s="31"/>
      <c r="AG462" s="31"/>
      <c r="AH462" s="31"/>
      <c r="AI462" s="31"/>
      <c r="AJ462" s="31"/>
      <c r="AK462" s="31"/>
      <c r="AL462" s="28" t="str">
        <f>VLOOKUP($G462,'[42]Sheet1 (2)'!$A$1:$B$1048440,2,FALSE)</f>
        <v>Sqm</v>
      </c>
      <c r="AM462" s="32"/>
      <c r="AN462" s="31"/>
      <c r="AO462" s="33"/>
    </row>
    <row r="463" spans="1:41" ht="84" x14ac:dyDescent="0.35">
      <c r="A463" s="26">
        <v>383</v>
      </c>
      <c r="B463" s="24" t="s">
        <v>608</v>
      </c>
      <c r="C463" s="22">
        <v>11.07</v>
      </c>
      <c r="D463" s="25" t="s">
        <v>622</v>
      </c>
      <c r="E463" s="24" t="s">
        <v>623</v>
      </c>
      <c r="F463" s="25" t="s">
        <v>624</v>
      </c>
      <c r="G463" s="143" t="s">
        <v>47</v>
      </c>
      <c r="H463" s="26">
        <v>5597</v>
      </c>
      <c r="I463" s="26">
        <v>2168</v>
      </c>
      <c r="J463" s="72">
        <f>1.7/20</f>
        <v>8.4999999999999992E-2</v>
      </c>
      <c r="K463" s="72"/>
      <c r="L463" s="72"/>
      <c r="M463" s="80"/>
      <c r="N463" s="72">
        <v>1.1599999999999999</v>
      </c>
      <c r="O463" s="80"/>
      <c r="P463" s="72">
        <v>0.35</v>
      </c>
      <c r="Q463" s="31"/>
      <c r="R463" s="31"/>
      <c r="S463" s="31"/>
      <c r="T463" s="31"/>
      <c r="U463" s="31"/>
      <c r="V463" s="31"/>
      <c r="W463" s="31"/>
      <c r="X463" s="31"/>
      <c r="Y463" s="31"/>
      <c r="Z463" s="31"/>
      <c r="AA463" s="31"/>
      <c r="AB463" s="31"/>
      <c r="AC463" s="31"/>
      <c r="AD463" s="31"/>
      <c r="AE463" s="31"/>
      <c r="AF463" s="31"/>
      <c r="AG463" s="31"/>
      <c r="AH463" s="31"/>
      <c r="AI463" s="31"/>
      <c r="AJ463" s="31"/>
      <c r="AK463" s="31"/>
      <c r="AL463" s="28" t="str">
        <f>VLOOKUP($G463,'[42]Sheet1 (2)'!$A$1:$B$1048440,2,FALSE)</f>
        <v>Cum</v>
      </c>
      <c r="AM463" s="32"/>
      <c r="AN463" s="31"/>
      <c r="AO463" s="33"/>
    </row>
    <row r="464" spans="1:41" ht="56" x14ac:dyDescent="0.25">
      <c r="A464" s="26">
        <v>384</v>
      </c>
      <c r="B464" s="24" t="s">
        <v>608</v>
      </c>
      <c r="C464" s="22">
        <v>11.08</v>
      </c>
      <c r="D464" s="25" t="s">
        <v>625</v>
      </c>
      <c r="E464" s="23" t="s">
        <v>626</v>
      </c>
      <c r="F464" s="25" t="s">
        <v>627</v>
      </c>
      <c r="G464" s="21" t="s">
        <v>80</v>
      </c>
      <c r="H464" s="26">
        <v>1949</v>
      </c>
      <c r="I464" s="26">
        <v>432</v>
      </c>
      <c r="J464" s="31"/>
      <c r="K464" s="31"/>
      <c r="L464" s="31"/>
      <c r="M464" s="31"/>
      <c r="N464" s="31"/>
      <c r="O464" s="31"/>
      <c r="P464" s="31"/>
      <c r="Q464" s="31"/>
      <c r="R464" s="31"/>
      <c r="S464" s="31"/>
      <c r="T464" s="31"/>
      <c r="U464" s="31"/>
      <c r="V464" s="31"/>
      <c r="W464" s="31"/>
      <c r="X464" s="31"/>
      <c r="Y464" s="31"/>
      <c r="Z464" s="31"/>
      <c r="AA464" s="31"/>
      <c r="AB464" s="31"/>
      <c r="AC464" s="31"/>
      <c r="AD464" s="31"/>
      <c r="AE464" s="31"/>
      <c r="AF464" s="31"/>
      <c r="AG464" s="31"/>
      <c r="AH464" s="31"/>
      <c r="AI464" s="31"/>
      <c r="AJ464" s="31"/>
      <c r="AK464" s="31">
        <v>1</v>
      </c>
      <c r="AL464" s="28" t="str">
        <f>VLOOKUP($G464,'[42]Sheet1 (2)'!$A$1:$B$1048440,2,FALSE)</f>
        <v>Rmt.</v>
      </c>
      <c r="AM464" s="32"/>
      <c r="AN464" s="31"/>
      <c r="AO464" s="33"/>
    </row>
    <row r="465" spans="1:41" ht="56" x14ac:dyDescent="0.25">
      <c r="A465" s="26">
        <v>385</v>
      </c>
      <c r="B465" s="24" t="s">
        <v>608</v>
      </c>
      <c r="C465" s="22">
        <v>11.09</v>
      </c>
      <c r="D465" s="25" t="s">
        <v>625</v>
      </c>
      <c r="E465" s="23" t="s">
        <v>628</v>
      </c>
      <c r="F465" s="25" t="s">
        <v>627</v>
      </c>
      <c r="G465" s="21" t="s">
        <v>80</v>
      </c>
      <c r="H465" s="26">
        <v>2733</v>
      </c>
      <c r="I465" s="26">
        <v>432</v>
      </c>
      <c r="J465" s="31"/>
      <c r="K465" s="31"/>
      <c r="L465" s="31"/>
      <c r="M465" s="31"/>
      <c r="N465" s="31"/>
      <c r="O465" s="31"/>
      <c r="P465" s="31"/>
      <c r="Q465" s="31"/>
      <c r="R465" s="31"/>
      <c r="S465" s="31"/>
      <c r="T465" s="31"/>
      <c r="U465" s="31"/>
      <c r="V465" s="31"/>
      <c r="W465" s="31"/>
      <c r="X465" s="31"/>
      <c r="Y465" s="31"/>
      <c r="Z465" s="31"/>
      <c r="AA465" s="31"/>
      <c r="AB465" s="31"/>
      <c r="AC465" s="31"/>
      <c r="AD465" s="31"/>
      <c r="AE465" s="31"/>
      <c r="AF465" s="31"/>
      <c r="AG465" s="31"/>
      <c r="AH465" s="31"/>
      <c r="AI465" s="31"/>
      <c r="AJ465" s="31"/>
      <c r="AK465" s="31">
        <v>1</v>
      </c>
      <c r="AL465" s="28" t="str">
        <f>VLOOKUP($G465,'[42]Sheet1 (2)'!$A$1:$B$1048440,2,FALSE)</f>
        <v>Rmt.</v>
      </c>
      <c r="AM465" s="32"/>
      <c r="AN465" s="31"/>
      <c r="AO465" s="33"/>
    </row>
    <row r="466" spans="1:41" ht="56" x14ac:dyDescent="0.25">
      <c r="A466" s="26">
        <v>386</v>
      </c>
      <c r="B466" s="24" t="s">
        <v>608</v>
      </c>
      <c r="C466" s="22">
        <v>11.1</v>
      </c>
      <c r="D466" s="25" t="s">
        <v>625</v>
      </c>
      <c r="E466" s="23" t="s">
        <v>629</v>
      </c>
      <c r="F466" s="25" t="s">
        <v>627</v>
      </c>
      <c r="G466" s="21" t="s">
        <v>80</v>
      </c>
      <c r="H466" s="26">
        <v>4099</v>
      </c>
      <c r="I466" s="26">
        <v>432</v>
      </c>
      <c r="J466" s="31"/>
      <c r="K466" s="31"/>
      <c r="L466" s="31"/>
      <c r="M466" s="31"/>
      <c r="N466" s="31"/>
      <c r="O466" s="31"/>
      <c r="P466" s="31"/>
      <c r="Q466" s="31"/>
      <c r="R466" s="31"/>
      <c r="S466" s="31"/>
      <c r="T466" s="31"/>
      <c r="U466" s="31"/>
      <c r="V466" s="31"/>
      <c r="W466" s="31"/>
      <c r="X466" s="31"/>
      <c r="Y466" s="31"/>
      <c r="Z466" s="31"/>
      <c r="AA466" s="31"/>
      <c r="AB466" s="31"/>
      <c r="AC466" s="31"/>
      <c r="AD466" s="31"/>
      <c r="AE466" s="31"/>
      <c r="AF466" s="31"/>
      <c r="AG466" s="31"/>
      <c r="AH466" s="31"/>
      <c r="AI466" s="31"/>
      <c r="AJ466" s="31"/>
      <c r="AK466" s="31">
        <v>1</v>
      </c>
      <c r="AL466" s="28" t="str">
        <f>VLOOKUP($G466,'[42]Sheet1 (2)'!$A$1:$B$1048440,2,FALSE)</f>
        <v>Rmt.</v>
      </c>
      <c r="AM466" s="32"/>
      <c r="AN466" s="31"/>
      <c r="AO466" s="33"/>
    </row>
    <row r="467" spans="1:41" ht="56" x14ac:dyDescent="0.25">
      <c r="A467" s="26">
        <v>387</v>
      </c>
      <c r="B467" s="24" t="s">
        <v>608</v>
      </c>
      <c r="C467" s="22">
        <v>11.11</v>
      </c>
      <c r="D467" s="25" t="s">
        <v>625</v>
      </c>
      <c r="E467" s="23" t="s">
        <v>630</v>
      </c>
      <c r="F467" s="25" t="s">
        <v>627</v>
      </c>
      <c r="G467" s="21" t="s">
        <v>80</v>
      </c>
      <c r="H467" s="26">
        <v>4844</v>
      </c>
      <c r="I467" s="26">
        <v>432</v>
      </c>
      <c r="J467" s="31"/>
      <c r="K467" s="31"/>
      <c r="L467" s="31"/>
      <c r="M467" s="31"/>
      <c r="N467" s="31"/>
      <c r="O467" s="31"/>
      <c r="P467" s="31"/>
      <c r="Q467" s="31"/>
      <c r="R467" s="31"/>
      <c r="S467" s="31"/>
      <c r="T467" s="31"/>
      <c r="U467" s="31"/>
      <c r="V467" s="31"/>
      <c r="W467" s="31"/>
      <c r="X467" s="31"/>
      <c r="Y467" s="31"/>
      <c r="Z467" s="31"/>
      <c r="AA467" s="31"/>
      <c r="AB467" s="31"/>
      <c r="AC467" s="31"/>
      <c r="AD467" s="31"/>
      <c r="AE467" s="31"/>
      <c r="AF467" s="31"/>
      <c r="AG467" s="31"/>
      <c r="AH467" s="31"/>
      <c r="AI467" s="31"/>
      <c r="AJ467" s="31"/>
      <c r="AK467" s="31">
        <v>1</v>
      </c>
      <c r="AL467" s="28" t="str">
        <f>VLOOKUP($G467,'[42]Sheet1 (2)'!$A$1:$B$1048440,2,FALSE)</f>
        <v>Rmt.</v>
      </c>
      <c r="AM467" s="32"/>
      <c r="AN467" s="31"/>
      <c r="AO467" s="33"/>
    </row>
    <row r="468" spans="1:41" ht="56" x14ac:dyDescent="0.25">
      <c r="A468" s="26">
        <v>388</v>
      </c>
      <c r="B468" s="24" t="s">
        <v>608</v>
      </c>
      <c r="C468" s="22">
        <v>11.12</v>
      </c>
      <c r="D468" s="25" t="s">
        <v>625</v>
      </c>
      <c r="E468" s="23" t="s">
        <v>631</v>
      </c>
      <c r="F468" s="25" t="s">
        <v>627</v>
      </c>
      <c r="G468" s="21" t="s">
        <v>80</v>
      </c>
      <c r="H468" s="26">
        <v>5465</v>
      </c>
      <c r="I468" s="26">
        <v>432</v>
      </c>
      <c r="J468" s="31"/>
      <c r="K468" s="31"/>
      <c r="L468" s="31"/>
      <c r="M468" s="31"/>
      <c r="N468" s="31"/>
      <c r="O468" s="31"/>
      <c r="P468" s="31"/>
      <c r="Q468" s="31"/>
      <c r="R468" s="31"/>
      <c r="S468" s="31"/>
      <c r="T468" s="31"/>
      <c r="U468" s="31"/>
      <c r="V468" s="31"/>
      <c r="W468" s="31"/>
      <c r="X468" s="31"/>
      <c r="Y468" s="31"/>
      <c r="Z468" s="31"/>
      <c r="AA468" s="31"/>
      <c r="AB468" s="31"/>
      <c r="AC468" s="31"/>
      <c r="AD468" s="31"/>
      <c r="AE468" s="31"/>
      <c r="AF468" s="31"/>
      <c r="AG468" s="31"/>
      <c r="AH468" s="31"/>
      <c r="AI468" s="31"/>
      <c r="AJ468" s="31"/>
      <c r="AK468" s="31">
        <v>1</v>
      </c>
      <c r="AL468" s="28" t="str">
        <f>VLOOKUP($G468,'[42]Sheet1 (2)'!$A$1:$B$1048440,2,FALSE)</f>
        <v>Rmt.</v>
      </c>
      <c r="AM468" s="32"/>
      <c r="AN468" s="31"/>
      <c r="AO468" s="33"/>
    </row>
    <row r="469" spans="1:41" ht="56" x14ac:dyDescent="0.25">
      <c r="A469" s="26">
        <v>389</v>
      </c>
      <c r="B469" s="24" t="s">
        <v>608</v>
      </c>
      <c r="C469" s="22">
        <v>11.13</v>
      </c>
      <c r="D469" s="25" t="s">
        <v>625</v>
      </c>
      <c r="E469" s="23" t="s">
        <v>632</v>
      </c>
      <c r="F469" s="25" t="s">
        <v>627</v>
      </c>
      <c r="G469" s="145" t="s">
        <v>80</v>
      </c>
      <c r="H469" s="26">
        <v>7670</v>
      </c>
      <c r="I469" s="26">
        <v>432</v>
      </c>
      <c r="J469" s="31"/>
      <c r="K469" s="31"/>
      <c r="L469" s="31"/>
      <c r="M469" s="31"/>
      <c r="N469" s="31"/>
      <c r="O469" s="31"/>
      <c r="P469" s="31"/>
      <c r="Q469" s="31"/>
      <c r="R469" s="31"/>
      <c r="S469" s="31"/>
      <c r="T469" s="31"/>
      <c r="U469" s="31"/>
      <c r="V469" s="31"/>
      <c r="W469" s="31"/>
      <c r="X469" s="31"/>
      <c r="Y469" s="31"/>
      <c r="Z469" s="31"/>
      <c r="AA469" s="31"/>
      <c r="AB469" s="31"/>
      <c r="AC469" s="31"/>
      <c r="AD469" s="31"/>
      <c r="AE469" s="31"/>
      <c r="AF469" s="31"/>
      <c r="AG469" s="31"/>
      <c r="AH469" s="31"/>
      <c r="AI469" s="31"/>
      <c r="AJ469" s="31"/>
      <c r="AK469" s="31">
        <v>1</v>
      </c>
      <c r="AL469" s="28" t="str">
        <f>VLOOKUP($G469,'[42]Sheet1 (2)'!$A$1:$B$1048440,2,FALSE)</f>
        <v>Rmt.</v>
      </c>
      <c r="AM469" s="32"/>
      <c r="AN469" s="31"/>
      <c r="AO469" s="33"/>
    </row>
    <row r="470" spans="1:41" ht="46.5" x14ac:dyDescent="0.25">
      <c r="A470" s="26">
        <v>390</v>
      </c>
      <c r="B470" s="35" t="s">
        <v>604</v>
      </c>
      <c r="C470" s="22">
        <v>11.14</v>
      </c>
      <c r="D470" s="25" t="s">
        <v>625</v>
      </c>
      <c r="E470" s="23" t="s">
        <v>633</v>
      </c>
      <c r="F470" s="25" t="s">
        <v>627</v>
      </c>
      <c r="G470" s="145" t="s">
        <v>80</v>
      </c>
      <c r="H470" s="26">
        <v>4792</v>
      </c>
      <c r="I470" s="26">
        <v>727</v>
      </c>
      <c r="J470" s="31"/>
      <c r="K470" s="31"/>
      <c r="L470" s="31"/>
      <c r="M470" s="31"/>
      <c r="N470" s="31"/>
      <c r="O470" s="31"/>
      <c r="P470" s="31"/>
      <c r="Q470" s="31"/>
      <c r="R470" s="31"/>
      <c r="S470" s="31"/>
      <c r="T470" s="31"/>
      <c r="U470" s="31"/>
      <c r="V470" s="31"/>
      <c r="W470" s="31"/>
      <c r="X470" s="31"/>
      <c r="Y470" s="31"/>
      <c r="Z470" s="31"/>
      <c r="AA470" s="31"/>
      <c r="AB470" s="31"/>
      <c r="AC470" s="31"/>
      <c r="AD470" s="31"/>
      <c r="AE470" s="31"/>
      <c r="AF470" s="31"/>
      <c r="AG470" s="31"/>
      <c r="AH470" s="31"/>
      <c r="AI470" s="31"/>
      <c r="AJ470" s="31"/>
      <c r="AK470" s="31">
        <v>1</v>
      </c>
      <c r="AL470" s="28" t="str">
        <f>VLOOKUP($G470,'[42]Sheet1 (2)'!$A$1:$B$1048440,2,FALSE)</f>
        <v>Rmt.</v>
      </c>
      <c r="AM470" s="32"/>
      <c r="AN470" s="31"/>
      <c r="AO470" s="33"/>
    </row>
    <row r="471" spans="1:41" ht="46.5" x14ac:dyDescent="0.25">
      <c r="A471" s="26">
        <v>391</v>
      </c>
      <c r="B471" s="35" t="s">
        <v>604</v>
      </c>
      <c r="C471" s="22">
        <v>11.15</v>
      </c>
      <c r="D471" s="25" t="s">
        <v>625</v>
      </c>
      <c r="E471" s="23" t="s">
        <v>634</v>
      </c>
      <c r="F471" s="25" t="s">
        <v>627</v>
      </c>
      <c r="G471" s="145" t="s">
        <v>80</v>
      </c>
      <c r="H471" s="26">
        <v>7456</v>
      </c>
      <c r="I471" s="26">
        <v>727</v>
      </c>
      <c r="J471" s="31"/>
      <c r="K471" s="31"/>
      <c r="L471" s="31"/>
      <c r="M471" s="31"/>
      <c r="N471" s="31"/>
      <c r="O471" s="31"/>
      <c r="P471" s="31"/>
      <c r="Q471" s="31"/>
      <c r="R471" s="31"/>
      <c r="S471" s="31"/>
      <c r="T471" s="31"/>
      <c r="U471" s="31"/>
      <c r="V471" s="31"/>
      <c r="W471" s="31"/>
      <c r="X471" s="31"/>
      <c r="Y471" s="31"/>
      <c r="Z471" s="31"/>
      <c r="AA471" s="31"/>
      <c r="AB471" s="31"/>
      <c r="AC471" s="31"/>
      <c r="AD471" s="31"/>
      <c r="AE471" s="31"/>
      <c r="AF471" s="31"/>
      <c r="AG471" s="31"/>
      <c r="AH471" s="31"/>
      <c r="AI471" s="31"/>
      <c r="AJ471" s="31"/>
      <c r="AK471" s="31">
        <v>1</v>
      </c>
      <c r="AL471" s="28" t="str">
        <f>VLOOKUP($G471,'[42]Sheet1 (2)'!$A$1:$B$1048440,2,FALSE)</f>
        <v>Rmt.</v>
      </c>
      <c r="AM471" s="32"/>
      <c r="AN471" s="31"/>
      <c r="AO471" s="33"/>
    </row>
    <row r="472" spans="1:41" ht="46.5" x14ac:dyDescent="0.25">
      <c r="A472" s="26">
        <v>392</v>
      </c>
      <c r="B472" s="35" t="s">
        <v>604</v>
      </c>
      <c r="C472" s="22">
        <v>11.16</v>
      </c>
      <c r="D472" s="25" t="s">
        <v>625</v>
      </c>
      <c r="E472" s="23" t="s">
        <v>635</v>
      </c>
      <c r="F472" s="25" t="s">
        <v>627</v>
      </c>
      <c r="G472" s="145" t="s">
        <v>80</v>
      </c>
      <c r="H472" s="26">
        <v>8272</v>
      </c>
      <c r="I472" s="26">
        <v>727</v>
      </c>
      <c r="J472" s="31"/>
      <c r="K472" s="31"/>
      <c r="L472" s="31"/>
      <c r="M472" s="31"/>
      <c r="N472" s="31"/>
      <c r="O472" s="31"/>
      <c r="P472" s="31"/>
      <c r="Q472" s="31"/>
      <c r="R472" s="31"/>
      <c r="S472" s="31"/>
      <c r="T472" s="31"/>
      <c r="U472" s="31"/>
      <c r="V472" s="31"/>
      <c r="W472" s="31"/>
      <c r="X472" s="31"/>
      <c r="Y472" s="31"/>
      <c r="Z472" s="31"/>
      <c r="AA472" s="31"/>
      <c r="AB472" s="31"/>
      <c r="AC472" s="31"/>
      <c r="AD472" s="31"/>
      <c r="AE472" s="31"/>
      <c r="AF472" s="31"/>
      <c r="AG472" s="31"/>
      <c r="AH472" s="31"/>
      <c r="AI472" s="31"/>
      <c r="AJ472" s="31"/>
      <c r="AK472" s="31">
        <v>1</v>
      </c>
      <c r="AL472" s="28" t="str">
        <f>VLOOKUP($G472,'[42]Sheet1 (2)'!$A$1:$B$1048440,2,FALSE)</f>
        <v>Rmt.</v>
      </c>
      <c r="AM472" s="32"/>
      <c r="AN472" s="31"/>
      <c r="AO472" s="33"/>
    </row>
    <row r="473" spans="1:41" ht="46.5" x14ac:dyDescent="0.25">
      <c r="A473" s="26">
        <v>393</v>
      </c>
      <c r="B473" s="35" t="s">
        <v>604</v>
      </c>
      <c r="C473" s="22">
        <v>11.17</v>
      </c>
      <c r="D473" s="25" t="s">
        <v>625</v>
      </c>
      <c r="E473" s="23" t="s">
        <v>636</v>
      </c>
      <c r="F473" s="25" t="s">
        <v>627</v>
      </c>
      <c r="G473" s="145" t="s">
        <v>80</v>
      </c>
      <c r="H473" s="26">
        <v>9114</v>
      </c>
      <c r="I473" s="26">
        <v>727</v>
      </c>
      <c r="J473" s="31"/>
      <c r="K473" s="31"/>
      <c r="L473" s="31"/>
      <c r="M473" s="31"/>
      <c r="N473" s="31"/>
      <c r="O473" s="31"/>
      <c r="P473" s="31"/>
      <c r="Q473" s="31"/>
      <c r="R473" s="31"/>
      <c r="S473" s="31"/>
      <c r="T473" s="31"/>
      <c r="U473" s="31"/>
      <c r="V473" s="31"/>
      <c r="W473" s="31"/>
      <c r="X473" s="31"/>
      <c r="Y473" s="31"/>
      <c r="Z473" s="31"/>
      <c r="AA473" s="31"/>
      <c r="AB473" s="31"/>
      <c r="AC473" s="31"/>
      <c r="AD473" s="31"/>
      <c r="AE473" s="31"/>
      <c r="AF473" s="31"/>
      <c r="AG473" s="31"/>
      <c r="AH473" s="31"/>
      <c r="AI473" s="31"/>
      <c r="AJ473" s="31"/>
      <c r="AK473" s="31">
        <v>1</v>
      </c>
      <c r="AL473" s="28" t="str">
        <f>VLOOKUP($G473,'[42]Sheet1 (2)'!$A$1:$B$1048440,2,FALSE)</f>
        <v>Rmt.</v>
      </c>
      <c r="AM473" s="32"/>
      <c r="AN473" s="31"/>
      <c r="AO473" s="33"/>
    </row>
    <row r="474" spans="1:41" ht="46.5" x14ac:dyDescent="0.25">
      <c r="A474" s="26">
        <v>394</v>
      </c>
      <c r="B474" s="35" t="s">
        <v>604</v>
      </c>
      <c r="C474" s="22">
        <v>11.18</v>
      </c>
      <c r="D474" s="25" t="s">
        <v>625</v>
      </c>
      <c r="E474" s="23" t="s">
        <v>637</v>
      </c>
      <c r="F474" s="25" t="s">
        <v>627</v>
      </c>
      <c r="G474" s="145" t="s">
        <v>80</v>
      </c>
      <c r="H474" s="26">
        <v>11790</v>
      </c>
      <c r="I474" s="26">
        <v>727</v>
      </c>
      <c r="J474" s="31"/>
      <c r="K474" s="31"/>
      <c r="L474" s="31"/>
      <c r="M474" s="31"/>
      <c r="N474" s="31"/>
      <c r="O474" s="31"/>
      <c r="P474" s="31"/>
      <c r="Q474" s="31"/>
      <c r="R474" s="31"/>
      <c r="S474" s="31"/>
      <c r="T474" s="31"/>
      <c r="U474" s="31"/>
      <c r="V474" s="31"/>
      <c r="W474" s="31"/>
      <c r="X474" s="31"/>
      <c r="Y474" s="31"/>
      <c r="Z474" s="31"/>
      <c r="AA474" s="31"/>
      <c r="AB474" s="31"/>
      <c r="AC474" s="31"/>
      <c r="AD474" s="31"/>
      <c r="AE474" s="31"/>
      <c r="AF474" s="31"/>
      <c r="AG474" s="31"/>
      <c r="AH474" s="31"/>
      <c r="AI474" s="31"/>
      <c r="AJ474" s="31"/>
      <c r="AK474" s="31">
        <v>1</v>
      </c>
      <c r="AL474" s="28" t="str">
        <f>VLOOKUP($G474,'[42]Sheet1 (2)'!$A$1:$B$1048440,2,FALSE)</f>
        <v>Rmt.</v>
      </c>
      <c r="AM474" s="32"/>
      <c r="AN474" s="31"/>
      <c r="AO474" s="33"/>
    </row>
    <row r="475" spans="1:41" ht="46.5" x14ac:dyDescent="0.25">
      <c r="A475" s="26">
        <v>395</v>
      </c>
      <c r="B475" s="35" t="s">
        <v>604</v>
      </c>
      <c r="C475" s="22">
        <v>11.19</v>
      </c>
      <c r="D475" s="25" t="s">
        <v>625</v>
      </c>
      <c r="E475" s="23" t="s">
        <v>638</v>
      </c>
      <c r="F475" s="25" t="s">
        <v>639</v>
      </c>
      <c r="G475" s="145" t="s">
        <v>80</v>
      </c>
      <c r="H475" s="26">
        <v>9085</v>
      </c>
      <c r="I475" s="26">
        <v>727</v>
      </c>
      <c r="J475" s="31"/>
      <c r="K475" s="31"/>
      <c r="L475" s="31"/>
      <c r="M475" s="31"/>
      <c r="N475" s="31"/>
      <c r="O475" s="31"/>
      <c r="P475" s="31"/>
      <c r="Q475" s="31"/>
      <c r="R475" s="31"/>
      <c r="S475" s="31"/>
      <c r="T475" s="31"/>
      <c r="U475" s="31"/>
      <c r="V475" s="31"/>
      <c r="W475" s="31"/>
      <c r="X475" s="31"/>
      <c r="Y475" s="31"/>
      <c r="Z475" s="31"/>
      <c r="AA475" s="31"/>
      <c r="AB475" s="31"/>
      <c r="AC475" s="31"/>
      <c r="AD475" s="31"/>
      <c r="AE475" s="31"/>
      <c r="AF475" s="31"/>
      <c r="AG475" s="31"/>
      <c r="AH475" s="31"/>
      <c r="AI475" s="31"/>
      <c r="AJ475" s="31"/>
      <c r="AK475" s="31">
        <v>1</v>
      </c>
      <c r="AL475" s="28" t="str">
        <f>VLOOKUP($G475,'[42]Sheet1 (2)'!$A$1:$B$1048440,2,FALSE)</f>
        <v>Rmt.</v>
      </c>
      <c r="AM475" s="32"/>
      <c r="AN475" s="31"/>
      <c r="AO475" s="33"/>
    </row>
    <row r="476" spans="1:41" ht="46.5" x14ac:dyDescent="0.25">
      <c r="A476" s="26">
        <v>396</v>
      </c>
      <c r="B476" s="35" t="s">
        <v>604</v>
      </c>
      <c r="C476" s="22">
        <v>11.2</v>
      </c>
      <c r="D476" s="25" t="s">
        <v>625</v>
      </c>
      <c r="E476" s="23" t="s">
        <v>640</v>
      </c>
      <c r="F476" s="25" t="s">
        <v>639</v>
      </c>
      <c r="G476" s="145" t="s">
        <v>80</v>
      </c>
      <c r="H476" s="26">
        <v>11082</v>
      </c>
      <c r="I476" s="26">
        <v>727</v>
      </c>
      <c r="J476" s="31"/>
      <c r="K476" s="31"/>
      <c r="L476" s="31"/>
      <c r="M476" s="31"/>
      <c r="N476" s="31"/>
      <c r="O476" s="31"/>
      <c r="P476" s="31"/>
      <c r="Q476" s="31"/>
      <c r="R476" s="31"/>
      <c r="S476" s="31"/>
      <c r="T476" s="31"/>
      <c r="U476" s="31"/>
      <c r="V476" s="31"/>
      <c r="W476" s="31"/>
      <c r="X476" s="31"/>
      <c r="Y476" s="31"/>
      <c r="Z476" s="31"/>
      <c r="AA476" s="31"/>
      <c r="AB476" s="31"/>
      <c r="AC476" s="31"/>
      <c r="AD476" s="31"/>
      <c r="AE476" s="31"/>
      <c r="AF476" s="31"/>
      <c r="AG476" s="31"/>
      <c r="AH476" s="31"/>
      <c r="AI476" s="31"/>
      <c r="AJ476" s="31"/>
      <c r="AK476" s="31">
        <v>1</v>
      </c>
      <c r="AL476" s="28" t="str">
        <f>VLOOKUP($G476,'[42]Sheet1 (2)'!$A$1:$B$1048440,2,FALSE)</f>
        <v>Rmt.</v>
      </c>
      <c r="AM476" s="32"/>
      <c r="AN476" s="31"/>
      <c r="AO476" s="33"/>
    </row>
    <row r="477" spans="1:41" ht="46.5" x14ac:dyDescent="0.25">
      <c r="A477" s="26">
        <v>397</v>
      </c>
      <c r="B477" s="35" t="s">
        <v>604</v>
      </c>
      <c r="C477" s="22">
        <v>11.21</v>
      </c>
      <c r="D477" s="25" t="s">
        <v>625</v>
      </c>
      <c r="E477" s="23" t="s">
        <v>641</v>
      </c>
      <c r="F477" s="25" t="s">
        <v>639</v>
      </c>
      <c r="G477" s="145" t="s">
        <v>80</v>
      </c>
      <c r="H477" s="26">
        <v>12983</v>
      </c>
      <c r="I477" s="26">
        <v>727</v>
      </c>
      <c r="J477" s="31"/>
      <c r="K477" s="31"/>
      <c r="L477" s="31"/>
      <c r="M477" s="31"/>
      <c r="N477" s="31"/>
      <c r="O477" s="31"/>
      <c r="P477" s="31"/>
      <c r="Q477" s="31"/>
      <c r="R477" s="31"/>
      <c r="S477" s="31"/>
      <c r="T477" s="31"/>
      <c r="U477" s="31"/>
      <c r="V477" s="31"/>
      <c r="W477" s="31"/>
      <c r="X477" s="31"/>
      <c r="Y477" s="31"/>
      <c r="Z477" s="31"/>
      <c r="AA477" s="31"/>
      <c r="AB477" s="31"/>
      <c r="AC477" s="31"/>
      <c r="AD477" s="31"/>
      <c r="AE477" s="31"/>
      <c r="AF477" s="31"/>
      <c r="AG477" s="31"/>
      <c r="AH477" s="31"/>
      <c r="AI477" s="31"/>
      <c r="AJ477" s="31"/>
      <c r="AK477" s="31">
        <v>1</v>
      </c>
      <c r="AL477" s="28" t="str">
        <f>VLOOKUP($G477,'[42]Sheet1 (2)'!$A$1:$B$1048440,2,FALSE)</f>
        <v>Rmt.</v>
      </c>
      <c r="AM477" s="32"/>
      <c r="AN477" s="31"/>
      <c r="AO477" s="33"/>
    </row>
    <row r="478" spans="1:41" ht="98" x14ac:dyDescent="0.25">
      <c r="A478" s="26">
        <v>398</v>
      </c>
      <c r="B478" s="24" t="s">
        <v>608</v>
      </c>
      <c r="C478" s="22">
        <v>11.22</v>
      </c>
      <c r="D478" s="25" t="s">
        <v>642</v>
      </c>
      <c r="E478" s="24" t="s">
        <v>643</v>
      </c>
      <c r="F478" s="25" t="s">
        <v>644</v>
      </c>
      <c r="G478" s="146" t="s">
        <v>47</v>
      </c>
      <c r="H478" s="26">
        <v>8321</v>
      </c>
      <c r="I478" s="26">
        <v>3169</v>
      </c>
      <c r="J478" s="72">
        <f>4.4/20</f>
        <v>0.22000000000000003</v>
      </c>
      <c r="K478" s="72"/>
      <c r="L478" s="72">
        <f t="shared" ref="L478:L485" si="3">0.57+0.28</f>
        <v>0.85</v>
      </c>
      <c r="M478" s="94"/>
      <c r="N478" s="94"/>
      <c r="O478" s="94"/>
      <c r="P478" s="72">
        <v>0.42499999999999999</v>
      </c>
      <c r="Q478" s="31"/>
      <c r="R478" s="31"/>
      <c r="S478" s="31"/>
      <c r="T478" s="31"/>
      <c r="U478" s="31"/>
      <c r="V478" s="31"/>
      <c r="W478" s="31"/>
      <c r="X478" s="31"/>
      <c r="Y478" s="31"/>
      <c r="Z478" s="31"/>
      <c r="AA478" s="31"/>
      <c r="AB478" s="31"/>
      <c r="AC478" s="31"/>
      <c r="AD478" s="31"/>
      <c r="AE478" s="31"/>
      <c r="AF478" s="31"/>
      <c r="AG478" s="31"/>
      <c r="AH478" s="31"/>
      <c r="AI478" s="31"/>
      <c r="AJ478" s="31"/>
      <c r="AK478" s="31"/>
      <c r="AL478" s="28" t="str">
        <f>VLOOKUP($G478,'[42]Sheet1 (2)'!$A$1:$B$1048440,2,FALSE)</f>
        <v>Cum</v>
      </c>
      <c r="AM478" s="32" t="s">
        <v>645</v>
      </c>
      <c r="AN478" s="31"/>
      <c r="AO478" s="33"/>
    </row>
    <row r="479" spans="1:41" ht="42" x14ac:dyDescent="0.25">
      <c r="A479" s="26">
        <v>399</v>
      </c>
      <c r="B479" s="35" t="s">
        <v>604</v>
      </c>
      <c r="C479" s="22">
        <v>11.24</v>
      </c>
      <c r="D479" s="25" t="s">
        <v>646</v>
      </c>
      <c r="E479" s="23" t="s">
        <v>647</v>
      </c>
      <c r="F479" s="25" t="s">
        <v>648</v>
      </c>
      <c r="G479" s="146" t="s">
        <v>47</v>
      </c>
      <c r="H479" s="26">
        <v>660</v>
      </c>
      <c r="I479" s="26">
        <v>225</v>
      </c>
      <c r="J479" s="31"/>
      <c r="K479" s="31"/>
      <c r="L479" s="31"/>
      <c r="M479" s="31"/>
      <c r="N479" s="31"/>
      <c r="O479" s="31"/>
      <c r="P479" s="31"/>
      <c r="Q479" s="31"/>
      <c r="R479" s="31">
        <v>1</v>
      </c>
      <c r="S479" s="31"/>
      <c r="T479" s="31"/>
      <c r="U479" s="31"/>
      <c r="V479" s="31"/>
      <c r="W479" s="31"/>
      <c r="X479" s="31"/>
      <c r="Y479" s="31"/>
      <c r="Z479" s="31"/>
      <c r="AA479" s="31"/>
      <c r="AB479" s="31"/>
      <c r="AC479" s="31"/>
      <c r="AD479" s="31"/>
      <c r="AE479" s="31"/>
      <c r="AF479" s="31"/>
      <c r="AG479" s="31"/>
      <c r="AH479" s="31"/>
      <c r="AI479" s="31"/>
      <c r="AJ479" s="31"/>
      <c r="AK479" s="31"/>
      <c r="AL479" s="28" t="str">
        <f>VLOOKUP($G479,'[42]Sheet1 (2)'!$A$1:$B$1048440,2,FALSE)</f>
        <v>Cum</v>
      </c>
      <c r="AM479" s="32" t="s">
        <v>649</v>
      </c>
      <c r="AN479" s="31"/>
      <c r="AO479" s="33"/>
    </row>
    <row r="480" spans="1:41" ht="112" x14ac:dyDescent="0.25">
      <c r="A480" s="26">
        <v>400</v>
      </c>
      <c r="B480" s="24" t="s">
        <v>608</v>
      </c>
      <c r="C480" s="22">
        <v>11.25</v>
      </c>
      <c r="D480" s="25" t="s">
        <v>650</v>
      </c>
      <c r="E480" s="23" t="s">
        <v>651</v>
      </c>
      <c r="F480" s="23" t="s">
        <v>652</v>
      </c>
      <c r="G480" s="146" t="s">
        <v>47</v>
      </c>
      <c r="H480" s="26">
        <v>7225</v>
      </c>
      <c r="I480" s="26">
        <v>1530</v>
      </c>
      <c r="J480" s="72">
        <f>6.4/20</f>
        <v>0.32</v>
      </c>
      <c r="K480" s="72"/>
      <c r="L480" s="72">
        <f t="shared" si="3"/>
        <v>0.85</v>
      </c>
      <c r="M480" s="94"/>
      <c r="N480" s="94"/>
      <c r="O480" s="94"/>
      <c r="P480" s="72">
        <v>0.42499999999999999</v>
      </c>
      <c r="Q480" s="31"/>
      <c r="R480" s="31"/>
      <c r="S480" s="31"/>
      <c r="T480" s="31"/>
      <c r="U480" s="31"/>
      <c r="V480" s="31"/>
      <c r="W480" s="31"/>
      <c r="X480" s="31"/>
      <c r="Y480" s="31"/>
      <c r="Z480" s="31"/>
      <c r="AA480" s="31"/>
      <c r="AB480" s="31"/>
      <c r="AC480" s="31"/>
      <c r="AD480" s="31"/>
      <c r="AE480" s="31"/>
      <c r="AF480" s="31"/>
      <c r="AG480" s="31"/>
      <c r="AH480" s="31"/>
      <c r="AI480" s="31"/>
      <c r="AJ480" s="31"/>
      <c r="AK480" s="31"/>
      <c r="AL480" s="28" t="str">
        <f>VLOOKUP($G480,'[42]Sheet1 (2)'!$A$1:$B$1048440,2,FALSE)</f>
        <v>Cum</v>
      </c>
      <c r="AM480" s="32" t="s">
        <v>653</v>
      </c>
      <c r="AN480" s="31"/>
      <c r="AO480" s="33"/>
    </row>
    <row r="481" spans="1:41" ht="42" x14ac:dyDescent="0.25">
      <c r="A481" s="26">
        <v>401</v>
      </c>
      <c r="B481" s="35" t="s">
        <v>604</v>
      </c>
      <c r="C481" s="22">
        <v>11.27</v>
      </c>
      <c r="D481" s="25" t="s">
        <v>646</v>
      </c>
      <c r="E481" s="23" t="s">
        <v>654</v>
      </c>
      <c r="F481" s="25" t="s">
        <v>655</v>
      </c>
      <c r="G481" s="25" t="s">
        <v>45</v>
      </c>
      <c r="H481" s="26">
        <v>963</v>
      </c>
      <c r="I481" s="26">
        <v>194</v>
      </c>
      <c r="J481" s="31"/>
      <c r="K481" s="31"/>
      <c r="L481" s="31"/>
      <c r="M481" s="31"/>
      <c r="N481" s="31"/>
      <c r="O481" s="31"/>
      <c r="P481" s="31"/>
      <c r="Q481" s="31"/>
      <c r="R481" s="31"/>
      <c r="S481" s="31"/>
      <c r="T481" s="31"/>
      <c r="U481" s="31"/>
      <c r="V481" s="31"/>
      <c r="W481" s="31"/>
      <c r="X481" s="31"/>
      <c r="Y481" s="31"/>
      <c r="Z481" s="31"/>
      <c r="AA481" s="31"/>
      <c r="AB481" s="31"/>
      <c r="AC481" s="31"/>
      <c r="AD481" s="31"/>
      <c r="AE481" s="31"/>
      <c r="AF481" s="31"/>
      <c r="AG481" s="31"/>
      <c r="AH481" s="31"/>
      <c r="AI481" s="31"/>
      <c r="AJ481" s="31"/>
      <c r="AK481" s="31"/>
      <c r="AL481" s="28" t="str">
        <f>VLOOKUP($G481,'[42]Sheet1 (2)'!$A$1:$B$1048440,2,FALSE)</f>
        <v>No.</v>
      </c>
      <c r="AM481" s="32" t="s">
        <v>656</v>
      </c>
      <c r="AN481" s="31"/>
      <c r="AO481" s="33"/>
    </row>
    <row r="482" spans="1:41" ht="98" x14ac:dyDescent="0.25">
      <c r="A482" s="26">
        <v>402</v>
      </c>
      <c r="B482" s="24" t="s">
        <v>608</v>
      </c>
      <c r="C482" s="22">
        <v>11.28</v>
      </c>
      <c r="D482" s="25" t="s">
        <v>650</v>
      </c>
      <c r="E482" s="24" t="s">
        <v>657</v>
      </c>
      <c r="F482" s="25" t="s">
        <v>658</v>
      </c>
      <c r="G482" s="146" t="s">
        <v>47</v>
      </c>
      <c r="H482" s="26">
        <v>8717</v>
      </c>
      <c r="I482" s="121">
        <v>3169</v>
      </c>
      <c r="J482" s="72">
        <f>4.05/20</f>
        <v>0.20249999999999999</v>
      </c>
      <c r="K482" s="72"/>
      <c r="L482" s="72">
        <f t="shared" si="3"/>
        <v>0.85</v>
      </c>
      <c r="M482" s="94"/>
      <c r="N482" s="94"/>
      <c r="O482" s="94"/>
      <c r="P482" s="72">
        <v>0.42499999999999999</v>
      </c>
      <c r="Q482" s="31"/>
      <c r="R482" s="31"/>
      <c r="S482" s="31"/>
      <c r="T482" s="31"/>
      <c r="U482" s="31"/>
      <c r="V482" s="31"/>
      <c r="W482" s="31"/>
      <c r="X482" s="31"/>
      <c r="Y482" s="31"/>
      <c r="Z482" s="31"/>
      <c r="AA482" s="31"/>
      <c r="AB482" s="31"/>
      <c r="AC482" s="31"/>
      <c r="AD482" s="31"/>
      <c r="AE482" s="31"/>
      <c r="AF482" s="31"/>
      <c r="AG482" s="31"/>
      <c r="AH482" s="31"/>
      <c r="AI482" s="31"/>
      <c r="AJ482" s="31"/>
      <c r="AK482" s="31"/>
      <c r="AL482" s="28" t="str">
        <f>VLOOKUP($G482,'[42]Sheet1 (2)'!$A$1:$B$1048440,2,FALSE)</f>
        <v>Cum</v>
      </c>
      <c r="AM482" s="32" t="s">
        <v>659</v>
      </c>
      <c r="AN482" s="31"/>
      <c r="AO482" s="33"/>
    </row>
    <row r="483" spans="1:41" ht="84" x14ac:dyDescent="0.25">
      <c r="A483" s="26">
        <v>403</v>
      </c>
      <c r="B483" s="24" t="s">
        <v>608</v>
      </c>
      <c r="C483" s="22">
        <v>11.29</v>
      </c>
      <c r="D483" s="25" t="s">
        <v>650</v>
      </c>
      <c r="E483" s="23" t="s">
        <v>660</v>
      </c>
      <c r="F483" s="25" t="s">
        <v>658</v>
      </c>
      <c r="G483" s="146" t="s">
        <v>47</v>
      </c>
      <c r="H483" s="26">
        <v>9747</v>
      </c>
      <c r="I483" s="121">
        <v>3169</v>
      </c>
      <c r="J483" s="72">
        <f>7/20</f>
        <v>0.35</v>
      </c>
      <c r="K483" s="72"/>
      <c r="L483" s="72">
        <f t="shared" si="3"/>
        <v>0.85</v>
      </c>
      <c r="M483" s="94"/>
      <c r="N483" s="94"/>
      <c r="O483" s="94"/>
      <c r="P483" s="72">
        <v>0.42499999999999999</v>
      </c>
      <c r="Q483" s="31"/>
      <c r="R483" s="31"/>
      <c r="S483" s="31"/>
      <c r="T483" s="31"/>
      <c r="U483" s="31"/>
      <c r="V483" s="31"/>
      <c r="W483" s="31"/>
      <c r="X483" s="31"/>
      <c r="Y483" s="31"/>
      <c r="Z483" s="31"/>
      <c r="AA483" s="31"/>
      <c r="AB483" s="31"/>
      <c r="AC483" s="31"/>
      <c r="AD483" s="31"/>
      <c r="AE483" s="31"/>
      <c r="AF483" s="31"/>
      <c r="AG483" s="31"/>
      <c r="AH483" s="31"/>
      <c r="AI483" s="31"/>
      <c r="AJ483" s="31"/>
      <c r="AK483" s="31"/>
      <c r="AL483" s="28" t="str">
        <f>VLOOKUP($G483,'[42]Sheet1 (2)'!$A$1:$B$1048440,2,FALSE)</f>
        <v>Cum</v>
      </c>
      <c r="AM483" s="32" t="s">
        <v>661</v>
      </c>
      <c r="AN483" s="31"/>
      <c r="AO483" s="33"/>
    </row>
    <row r="484" spans="1:41" ht="84" x14ac:dyDescent="0.25">
      <c r="A484" s="26">
        <v>404</v>
      </c>
      <c r="B484" s="24" t="s">
        <v>608</v>
      </c>
      <c r="C484" s="22">
        <v>11.3</v>
      </c>
      <c r="D484" s="25" t="s">
        <v>650</v>
      </c>
      <c r="E484" s="24" t="s">
        <v>662</v>
      </c>
      <c r="F484" s="25" t="s">
        <v>663</v>
      </c>
      <c r="G484" s="146" t="s">
        <v>47</v>
      </c>
      <c r="H484" s="26">
        <v>9106</v>
      </c>
      <c r="I484" s="121">
        <v>3169</v>
      </c>
      <c r="J484" s="72">
        <f>6.4/20</f>
        <v>0.32</v>
      </c>
      <c r="K484" s="72"/>
      <c r="L484" s="72">
        <f t="shared" si="3"/>
        <v>0.85</v>
      </c>
      <c r="M484" s="94"/>
      <c r="N484" s="94"/>
      <c r="O484" s="94"/>
      <c r="P484" s="72">
        <v>0.42499999999999999</v>
      </c>
      <c r="Q484" s="31"/>
      <c r="R484" s="31"/>
      <c r="S484" s="31"/>
      <c r="T484" s="31"/>
      <c r="U484" s="31"/>
      <c r="V484" s="31"/>
      <c r="W484" s="31"/>
      <c r="X484" s="31"/>
      <c r="Y484" s="31"/>
      <c r="Z484" s="31"/>
      <c r="AA484" s="31"/>
      <c r="AB484" s="31"/>
      <c r="AC484" s="31"/>
      <c r="AD484" s="31"/>
      <c r="AE484" s="31"/>
      <c r="AF484" s="31"/>
      <c r="AG484" s="31"/>
      <c r="AH484" s="31"/>
      <c r="AI484" s="31"/>
      <c r="AJ484" s="31"/>
      <c r="AK484" s="31"/>
      <c r="AL484" s="28" t="str">
        <f>VLOOKUP($G484,'[42]Sheet1 (2)'!$A$1:$B$1048440,2,FALSE)</f>
        <v>Cum</v>
      </c>
      <c r="AM484" s="32" t="s">
        <v>664</v>
      </c>
      <c r="AN484" s="31"/>
      <c r="AO484" s="33"/>
    </row>
    <row r="485" spans="1:41" ht="84" x14ac:dyDescent="0.25">
      <c r="A485" s="26">
        <v>405</v>
      </c>
      <c r="B485" s="24" t="s">
        <v>608</v>
      </c>
      <c r="C485" s="22">
        <v>11.31</v>
      </c>
      <c r="D485" s="25" t="s">
        <v>650</v>
      </c>
      <c r="E485" s="24" t="s">
        <v>665</v>
      </c>
      <c r="F485" s="25" t="s">
        <v>666</v>
      </c>
      <c r="G485" s="146" t="s">
        <v>47</v>
      </c>
      <c r="H485" s="26">
        <v>9258</v>
      </c>
      <c r="I485" s="121">
        <v>3169</v>
      </c>
      <c r="J485" s="72">
        <f>7/20</f>
        <v>0.35</v>
      </c>
      <c r="K485" s="72"/>
      <c r="L485" s="72">
        <f t="shared" si="3"/>
        <v>0.85</v>
      </c>
      <c r="M485" s="94"/>
      <c r="N485" s="94"/>
      <c r="O485" s="94"/>
      <c r="P485" s="72">
        <v>0.42499999999999999</v>
      </c>
      <c r="Q485" s="31"/>
      <c r="R485" s="31"/>
      <c r="S485" s="31"/>
      <c r="T485" s="31"/>
      <c r="U485" s="31"/>
      <c r="V485" s="31"/>
      <c r="W485" s="31"/>
      <c r="X485" s="31"/>
      <c r="Y485" s="31"/>
      <c r="Z485" s="31"/>
      <c r="AA485" s="31"/>
      <c r="AB485" s="31"/>
      <c r="AC485" s="31"/>
      <c r="AD485" s="31"/>
      <c r="AE485" s="31"/>
      <c r="AF485" s="31"/>
      <c r="AG485" s="31"/>
      <c r="AH485" s="31"/>
      <c r="AI485" s="31"/>
      <c r="AJ485" s="31"/>
      <c r="AK485" s="31"/>
      <c r="AL485" s="28" t="str">
        <f>VLOOKUP($G485,'[42]Sheet1 (2)'!$A$1:$B$1048440,2,FALSE)</f>
        <v>Cum</v>
      </c>
      <c r="AM485" s="32" t="s">
        <v>667</v>
      </c>
      <c r="AN485" s="31"/>
      <c r="AO485" s="33"/>
    </row>
    <row r="486" spans="1:41" ht="17.5" x14ac:dyDescent="0.25">
      <c r="A486" s="26"/>
      <c r="B486" s="24"/>
      <c r="C486" s="22"/>
      <c r="D486" s="25"/>
      <c r="E486" s="147" t="s">
        <v>668</v>
      </c>
      <c r="F486" s="25"/>
      <c r="G486" s="25"/>
      <c r="H486" s="26"/>
      <c r="I486" s="121"/>
      <c r="J486" s="148"/>
      <c r="K486" s="148"/>
      <c r="L486" s="148"/>
      <c r="M486" s="97"/>
      <c r="N486" s="97"/>
      <c r="O486" s="97"/>
      <c r="P486" s="148"/>
      <c r="Q486" s="31"/>
      <c r="R486" s="31"/>
      <c r="S486" s="31"/>
      <c r="T486" s="31"/>
      <c r="U486" s="31"/>
      <c r="V486" s="31"/>
      <c r="W486" s="31"/>
      <c r="X486" s="31"/>
      <c r="Y486" s="31"/>
      <c r="Z486" s="31"/>
      <c r="AA486" s="31"/>
      <c r="AB486" s="31"/>
      <c r="AC486" s="31"/>
      <c r="AD486" s="31"/>
      <c r="AE486" s="31"/>
      <c r="AF486" s="31"/>
      <c r="AG486" s="31"/>
      <c r="AH486" s="31"/>
      <c r="AI486" s="31"/>
      <c r="AJ486" s="31"/>
      <c r="AK486" s="31"/>
      <c r="AL486" s="28" t="e">
        <f>VLOOKUP($G486,'[42]Sheet1 (2)'!$A$1:$B$1048440,2,FALSE)</f>
        <v>#N/A</v>
      </c>
      <c r="AM486" s="32"/>
      <c r="AN486" s="31"/>
      <c r="AO486" s="33"/>
    </row>
    <row r="487" spans="1:41" ht="84" x14ac:dyDescent="0.25">
      <c r="A487" s="26">
        <v>406</v>
      </c>
      <c r="B487" s="25" t="s">
        <v>668</v>
      </c>
      <c r="C487" s="22">
        <v>12.02</v>
      </c>
      <c r="D487" s="25" t="s">
        <v>669</v>
      </c>
      <c r="E487" s="24" t="s">
        <v>670</v>
      </c>
      <c r="F487" s="21" t="s">
        <v>671</v>
      </c>
      <c r="G487" s="25" t="s">
        <v>47</v>
      </c>
      <c r="H487" s="26">
        <v>239</v>
      </c>
      <c r="I487" s="26">
        <v>239</v>
      </c>
      <c r="J487" s="31"/>
      <c r="K487" s="31"/>
      <c r="L487" s="31"/>
      <c r="M487" s="31"/>
      <c r="N487" s="31"/>
      <c r="O487" s="31"/>
      <c r="P487" s="31"/>
      <c r="Q487" s="31"/>
      <c r="R487" s="31"/>
      <c r="S487" s="31"/>
      <c r="T487" s="31"/>
      <c r="U487" s="31"/>
      <c r="V487" s="31"/>
      <c r="W487" s="31"/>
      <c r="X487" s="31"/>
      <c r="Y487" s="31"/>
      <c r="Z487" s="31"/>
      <c r="AA487" s="31"/>
      <c r="AB487" s="31"/>
      <c r="AC487" s="31"/>
      <c r="AD487" s="31"/>
      <c r="AE487" s="31"/>
      <c r="AF487" s="31"/>
      <c r="AG487" s="31"/>
      <c r="AH487" s="31"/>
      <c r="AI487" s="31"/>
      <c r="AJ487" s="31"/>
      <c r="AK487" s="31"/>
      <c r="AL487" s="28" t="str">
        <f>VLOOKUP($G487,'[42]Sheet1 (2)'!$A$1:$B$1048440,2,FALSE)</f>
        <v>Cum</v>
      </c>
      <c r="AM487" s="32"/>
      <c r="AN487" s="31"/>
      <c r="AO487" s="33"/>
    </row>
    <row r="488" spans="1:41" ht="84" x14ac:dyDescent="0.25">
      <c r="A488" s="26"/>
      <c r="B488" s="25"/>
      <c r="C488" s="149" t="s">
        <v>672</v>
      </c>
      <c r="D488" s="150" t="s">
        <v>669</v>
      </c>
      <c r="E488" s="151" t="s">
        <v>673</v>
      </c>
      <c r="F488" s="152" t="s">
        <v>671</v>
      </c>
      <c r="G488" s="150" t="s">
        <v>47</v>
      </c>
      <c r="H488" s="153">
        <f>H487*10%+H487</f>
        <v>262.89999999999998</v>
      </c>
      <c r="I488" s="153">
        <f>I487*10%+I487</f>
        <v>262.89999999999998</v>
      </c>
      <c r="J488" s="18"/>
      <c r="K488" s="18"/>
      <c r="L488" s="18"/>
      <c r="M488" s="18"/>
      <c r="N488" s="18"/>
      <c r="O488" s="18"/>
      <c r="P488" s="18"/>
      <c r="Q488" s="31"/>
      <c r="R488" s="31"/>
      <c r="S488" s="31"/>
      <c r="T488" s="31"/>
      <c r="U488" s="31"/>
      <c r="V488" s="31"/>
      <c r="W488" s="31"/>
      <c r="X488" s="31"/>
      <c r="Y488" s="31"/>
      <c r="Z488" s="31"/>
      <c r="AA488" s="31"/>
      <c r="AB488" s="31"/>
      <c r="AC488" s="31"/>
      <c r="AD488" s="31"/>
      <c r="AE488" s="31"/>
      <c r="AF488" s="31"/>
      <c r="AG488" s="31"/>
      <c r="AH488" s="31"/>
      <c r="AI488" s="31"/>
      <c r="AJ488" s="31"/>
      <c r="AK488" s="31"/>
      <c r="AL488" s="28" t="str">
        <f>VLOOKUP($G488,'[42]Sheet1 (2)'!$A$1:$B$1048440,2,FALSE)</f>
        <v>Cum</v>
      </c>
      <c r="AM488" s="32"/>
      <c r="AN488" s="31"/>
      <c r="AO488" s="33"/>
    </row>
    <row r="489" spans="1:41" ht="84" x14ac:dyDescent="0.25">
      <c r="A489" s="26"/>
      <c r="B489" s="25"/>
      <c r="C489" s="149" t="s">
        <v>674</v>
      </c>
      <c r="D489" s="150" t="s">
        <v>669</v>
      </c>
      <c r="E489" s="151" t="s">
        <v>675</v>
      </c>
      <c r="F489" s="152" t="s">
        <v>671</v>
      </c>
      <c r="G489" s="150" t="s">
        <v>47</v>
      </c>
      <c r="H489" s="153">
        <f>H487*20%+H487</f>
        <v>286.8</v>
      </c>
      <c r="I489" s="153">
        <f>I487*20%+I487</f>
        <v>286.8</v>
      </c>
      <c r="J489" s="18"/>
      <c r="K489" s="18"/>
      <c r="L489" s="18"/>
      <c r="M489" s="18"/>
      <c r="N489" s="18"/>
      <c r="O489" s="18"/>
      <c r="P489" s="18"/>
      <c r="Q489" s="31"/>
      <c r="R489" s="31"/>
      <c r="S489" s="31"/>
      <c r="T489" s="31"/>
      <c r="U489" s="31"/>
      <c r="V489" s="31"/>
      <c r="W489" s="31"/>
      <c r="X489" s="31"/>
      <c r="Y489" s="31"/>
      <c r="Z489" s="31"/>
      <c r="AA489" s="31"/>
      <c r="AB489" s="31"/>
      <c r="AC489" s="31"/>
      <c r="AD489" s="31"/>
      <c r="AE489" s="31"/>
      <c r="AF489" s="31"/>
      <c r="AG489" s="31"/>
      <c r="AH489" s="31"/>
      <c r="AI489" s="31"/>
      <c r="AJ489" s="31"/>
      <c r="AK489" s="31"/>
      <c r="AL489" s="28" t="str">
        <f>VLOOKUP($G489,'[42]Sheet1 (2)'!$A$1:$B$1048440,2,FALSE)</f>
        <v>Cum</v>
      </c>
      <c r="AM489" s="32"/>
      <c r="AN489" s="31"/>
      <c r="AO489" s="33"/>
    </row>
    <row r="490" spans="1:41" ht="70" x14ac:dyDescent="0.25">
      <c r="A490" s="26"/>
      <c r="B490" s="25"/>
      <c r="C490" s="149" t="s">
        <v>676</v>
      </c>
      <c r="D490" s="150" t="s">
        <v>669</v>
      </c>
      <c r="E490" s="151" t="s">
        <v>677</v>
      </c>
      <c r="F490" s="152" t="s">
        <v>671</v>
      </c>
      <c r="G490" s="150" t="s">
        <v>47</v>
      </c>
      <c r="H490" s="153">
        <f>H487*30%+H487</f>
        <v>310.7</v>
      </c>
      <c r="I490" s="153">
        <f>I487*30%+I487</f>
        <v>310.7</v>
      </c>
      <c r="J490" s="18"/>
      <c r="K490" s="18"/>
      <c r="L490" s="18"/>
      <c r="M490" s="18"/>
      <c r="N490" s="18"/>
      <c r="O490" s="18"/>
      <c r="P490" s="18"/>
      <c r="Q490" s="31"/>
      <c r="R490" s="31"/>
      <c r="S490" s="31"/>
      <c r="T490" s="31"/>
      <c r="U490" s="31"/>
      <c r="V490" s="31"/>
      <c r="W490" s="31"/>
      <c r="X490" s="31"/>
      <c r="Y490" s="31"/>
      <c r="Z490" s="31"/>
      <c r="AA490" s="31"/>
      <c r="AB490" s="31"/>
      <c r="AC490" s="31"/>
      <c r="AD490" s="31"/>
      <c r="AE490" s="31"/>
      <c r="AF490" s="31"/>
      <c r="AG490" s="31"/>
      <c r="AH490" s="31"/>
      <c r="AI490" s="31"/>
      <c r="AJ490" s="31"/>
      <c r="AK490" s="31"/>
      <c r="AL490" s="28" t="str">
        <f>VLOOKUP($G490,'[42]Sheet1 (2)'!$A$1:$B$1048440,2,FALSE)</f>
        <v>Cum</v>
      </c>
      <c r="AM490" s="32"/>
      <c r="AN490" s="31"/>
      <c r="AO490" s="33"/>
    </row>
    <row r="491" spans="1:41" ht="84" x14ac:dyDescent="0.25">
      <c r="A491" s="26">
        <v>407</v>
      </c>
      <c r="B491" s="25" t="s">
        <v>668</v>
      </c>
      <c r="C491" s="22">
        <v>12.03</v>
      </c>
      <c r="D491" s="25" t="s">
        <v>669</v>
      </c>
      <c r="E491" s="24" t="s">
        <v>678</v>
      </c>
      <c r="F491" s="21" t="s">
        <v>671</v>
      </c>
      <c r="G491" s="25" t="s">
        <v>47</v>
      </c>
      <c r="H491" s="26">
        <v>90</v>
      </c>
      <c r="I491" s="26">
        <v>14</v>
      </c>
      <c r="J491" s="154"/>
      <c r="K491" s="154"/>
      <c r="L491" s="154"/>
      <c r="M491" s="155"/>
      <c r="N491" s="155"/>
      <c r="O491" s="155"/>
      <c r="P491" s="154"/>
      <c r="Q491" s="31"/>
      <c r="R491" s="31"/>
      <c r="S491" s="31"/>
      <c r="T491" s="31"/>
      <c r="U491" s="31"/>
      <c r="V491" s="31"/>
      <c r="W491" s="31"/>
      <c r="X491" s="31"/>
      <c r="Y491" s="31"/>
      <c r="Z491" s="31"/>
      <c r="AA491" s="31"/>
      <c r="AB491" s="31"/>
      <c r="AC491" s="31"/>
      <c r="AD491" s="31"/>
      <c r="AE491" s="31"/>
      <c r="AF491" s="31"/>
      <c r="AG491" s="31"/>
      <c r="AH491" s="31"/>
      <c r="AI491" s="31"/>
      <c r="AJ491" s="31"/>
      <c r="AK491" s="31"/>
      <c r="AL491" s="28" t="str">
        <f>VLOOKUP($G491,'[42]Sheet1 (2)'!$A$1:$B$1048440,2,FALSE)</f>
        <v>Cum</v>
      </c>
      <c r="AM491" s="32"/>
      <c r="AN491" s="31"/>
      <c r="AO491" s="33"/>
    </row>
    <row r="492" spans="1:41" ht="84" x14ac:dyDescent="0.25">
      <c r="A492" s="26"/>
      <c r="B492" s="25"/>
      <c r="C492" s="149" t="s">
        <v>679</v>
      </c>
      <c r="D492" s="150" t="s">
        <v>669</v>
      </c>
      <c r="E492" s="151" t="s">
        <v>680</v>
      </c>
      <c r="F492" s="152" t="s">
        <v>671</v>
      </c>
      <c r="G492" s="150" t="s">
        <v>47</v>
      </c>
      <c r="H492" s="153">
        <f>H491*10%+H491</f>
        <v>99</v>
      </c>
      <c r="I492" s="153">
        <f>I491*10%+I491</f>
        <v>15.4</v>
      </c>
      <c r="J492" s="154"/>
      <c r="K492" s="154"/>
      <c r="L492" s="154"/>
      <c r="M492" s="155"/>
      <c r="N492" s="155"/>
      <c r="O492" s="155"/>
      <c r="P492" s="154"/>
      <c r="Q492" s="31"/>
      <c r="R492" s="31"/>
      <c r="S492" s="31"/>
      <c r="T492" s="31"/>
      <c r="U492" s="31"/>
      <c r="V492" s="31"/>
      <c r="W492" s="31"/>
      <c r="X492" s="31"/>
      <c r="Y492" s="31"/>
      <c r="Z492" s="31"/>
      <c r="AA492" s="31"/>
      <c r="AB492" s="31"/>
      <c r="AC492" s="31"/>
      <c r="AD492" s="31"/>
      <c r="AE492" s="31"/>
      <c r="AF492" s="31"/>
      <c r="AG492" s="31"/>
      <c r="AH492" s="31"/>
      <c r="AI492" s="31"/>
      <c r="AJ492" s="31"/>
      <c r="AK492" s="31"/>
      <c r="AL492" s="28" t="str">
        <f>VLOOKUP($G492,'[42]Sheet1 (2)'!$A$1:$B$1048440,2,FALSE)</f>
        <v>Cum</v>
      </c>
      <c r="AM492" s="32"/>
      <c r="AN492" s="31"/>
      <c r="AO492" s="33"/>
    </row>
    <row r="493" spans="1:41" ht="84" x14ac:dyDescent="0.25">
      <c r="A493" s="26"/>
      <c r="B493" s="25"/>
      <c r="C493" s="149" t="s">
        <v>681</v>
      </c>
      <c r="D493" s="150" t="s">
        <v>669</v>
      </c>
      <c r="E493" s="151" t="s">
        <v>682</v>
      </c>
      <c r="F493" s="152" t="s">
        <v>671</v>
      </c>
      <c r="G493" s="150" t="s">
        <v>47</v>
      </c>
      <c r="H493" s="153">
        <f>H491*20%+H491</f>
        <v>108</v>
      </c>
      <c r="I493" s="153">
        <f>I491*20%+I491</f>
        <v>16.8</v>
      </c>
      <c r="J493" s="154"/>
      <c r="K493" s="154"/>
      <c r="L493" s="154"/>
      <c r="M493" s="155"/>
      <c r="N493" s="155"/>
      <c r="O493" s="155"/>
      <c r="P493" s="154"/>
      <c r="Q493" s="31"/>
      <c r="R493" s="31"/>
      <c r="S493" s="31"/>
      <c r="T493" s="31"/>
      <c r="U493" s="31"/>
      <c r="V493" s="31"/>
      <c r="W493" s="31"/>
      <c r="X493" s="31"/>
      <c r="Y493" s="31"/>
      <c r="Z493" s="31"/>
      <c r="AA493" s="31"/>
      <c r="AB493" s="31"/>
      <c r="AC493" s="31"/>
      <c r="AD493" s="31"/>
      <c r="AE493" s="31"/>
      <c r="AF493" s="31"/>
      <c r="AG493" s="31"/>
      <c r="AH493" s="31"/>
      <c r="AI493" s="31"/>
      <c r="AJ493" s="31"/>
      <c r="AK493" s="31"/>
      <c r="AL493" s="28" t="str">
        <f>VLOOKUP($G493,'[42]Sheet1 (2)'!$A$1:$B$1048440,2,FALSE)</f>
        <v>Cum</v>
      </c>
      <c r="AM493" s="32"/>
      <c r="AN493" s="31"/>
      <c r="AO493" s="33"/>
    </row>
    <row r="494" spans="1:41" ht="70" x14ac:dyDescent="0.25">
      <c r="A494" s="26"/>
      <c r="B494" s="25"/>
      <c r="C494" s="149" t="s">
        <v>683</v>
      </c>
      <c r="D494" s="150" t="s">
        <v>669</v>
      </c>
      <c r="E494" s="151" t="s">
        <v>684</v>
      </c>
      <c r="F494" s="152" t="s">
        <v>671</v>
      </c>
      <c r="G494" s="150" t="s">
        <v>47</v>
      </c>
      <c r="H494" s="153">
        <f>H491*30%+H491</f>
        <v>117</v>
      </c>
      <c r="I494" s="153">
        <f>I491*30%+I491</f>
        <v>18.2</v>
      </c>
      <c r="J494" s="154"/>
      <c r="K494" s="154"/>
      <c r="L494" s="154"/>
      <c r="M494" s="155"/>
      <c r="N494" s="155"/>
      <c r="O494" s="155"/>
      <c r="P494" s="154"/>
      <c r="Q494" s="31"/>
      <c r="R494" s="31"/>
      <c r="S494" s="31"/>
      <c r="T494" s="31"/>
      <c r="U494" s="31"/>
      <c r="V494" s="31"/>
      <c r="W494" s="31"/>
      <c r="X494" s="31"/>
      <c r="Y494" s="31"/>
      <c r="Z494" s="31"/>
      <c r="AA494" s="31"/>
      <c r="AB494" s="31"/>
      <c r="AC494" s="31"/>
      <c r="AD494" s="31"/>
      <c r="AE494" s="31"/>
      <c r="AF494" s="31"/>
      <c r="AG494" s="31"/>
      <c r="AH494" s="31"/>
      <c r="AI494" s="31"/>
      <c r="AJ494" s="31"/>
      <c r="AK494" s="31"/>
      <c r="AL494" s="28" t="str">
        <f>VLOOKUP($G494,'[42]Sheet1 (2)'!$A$1:$B$1048440,2,FALSE)</f>
        <v>Cum</v>
      </c>
      <c r="AM494" s="32"/>
      <c r="AN494" s="31"/>
      <c r="AO494" s="33"/>
    </row>
    <row r="495" spans="1:41" ht="14.5" x14ac:dyDescent="0.25">
      <c r="A495" s="26"/>
      <c r="B495" s="25"/>
      <c r="C495" s="22"/>
      <c r="D495" s="25"/>
      <c r="E495" s="23"/>
      <c r="F495" s="21"/>
      <c r="G495" s="25"/>
      <c r="H495" s="26"/>
      <c r="I495" s="26"/>
      <c r="J495" s="154"/>
      <c r="K495" s="154"/>
      <c r="L495" s="154"/>
      <c r="M495" s="155"/>
      <c r="N495" s="155"/>
      <c r="O495" s="155"/>
      <c r="P495" s="154"/>
      <c r="Q495" s="31"/>
      <c r="R495" s="31"/>
      <c r="S495" s="31"/>
      <c r="T495" s="31"/>
      <c r="U495" s="31"/>
      <c r="V495" s="31"/>
      <c r="W495" s="31"/>
      <c r="X495" s="31"/>
      <c r="Y495" s="31"/>
      <c r="Z495" s="31"/>
      <c r="AA495" s="31"/>
      <c r="AB495" s="31"/>
      <c r="AC495" s="31"/>
      <c r="AD495" s="31"/>
      <c r="AE495" s="31"/>
      <c r="AF495" s="31"/>
      <c r="AG495" s="31"/>
      <c r="AH495" s="31"/>
      <c r="AI495" s="31"/>
      <c r="AJ495" s="31"/>
      <c r="AK495" s="31"/>
      <c r="AL495" s="28"/>
      <c r="AM495" s="32"/>
      <c r="AN495" s="31"/>
      <c r="AO495" s="33"/>
    </row>
    <row r="496" spans="1:41" ht="98" x14ac:dyDescent="0.25">
      <c r="A496" s="26">
        <v>408</v>
      </c>
      <c r="B496" s="25" t="s">
        <v>668</v>
      </c>
      <c r="C496" s="22">
        <v>12.04</v>
      </c>
      <c r="D496" s="25" t="s">
        <v>685</v>
      </c>
      <c r="E496" s="23" t="s">
        <v>686</v>
      </c>
      <c r="F496" s="21" t="s">
        <v>671</v>
      </c>
      <c r="G496" s="25" t="s">
        <v>47</v>
      </c>
      <c r="H496" s="26">
        <v>241</v>
      </c>
      <c r="I496" s="26">
        <v>116</v>
      </c>
      <c r="J496" s="154"/>
      <c r="K496" s="154"/>
      <c r="L496" s="154"/>
      <c r="M496" s="155"/>
      <c r="N496" s="155"/>
      <c r="O496" s="155"/>
      <c r="P496" s="154"/>
      <c r="Q496" s="31"/>
      <c r="R496" s="31"/>
      <c r="S496" s="31"/>
      <c r="T496" s="31"/>
      <c r="U496" s="31"/>
      <c r="V496" s="31"/>
      <c r="W496" s="31"/>
      <c r="X496" s="31"/>
      <c r="Y496" s="31"/>
      <c r="Z496" s="31"/>
      <c r="AA496" s="31"/>
      <c r="AB496" s="31"/>
      <c r="AC496" s="31"/>
      <c r="AD496" s="31"/>
      <c r="AE496" s="31"/>
      <c r="AF496" s="31"/>
      <c r="AG496" s="31"/>
      <c r="AH496" s="31"/>
      <c r="AI496" s="31"/>
      <c r="AJ496" s="31">
        <v>1</v>
      </c>
      <c r="AK496" s="31"/>
      <c r="AL496" s="28" t="str">
        <f>VLOOKUP($G496,'[42]Sheet1 (2)'!$A$1:$B$1048440,2,FALSE)</f>
        <v>Cum</v>
      </c>
      <c r="AM496" s="32"/>
      <c r="AN496" s="31"/>
      <c r="AO496" s="33"/>
    </row>
    <row r="497" spans="1:41" ht="70" x14ac:dyDescent="0.25">
      <c r="A497" s="26"/>
      <c r="B497" s="25"/>
      <c r="C497" s="149" t="s">
        <v>687</v>
      </c>
      <c r="D497" s="150" t="s">
        <v>685</v>
      </c>
      <c r="E497" s="151" t="s">
        <v>688</v>
      </c>
      <c r="F497" s="152" t="s">
        <v>671</v>
      </c>
      <c r="G497" s="150" t="s">
        <v>47</v>
      </c>
      <c r="H497" s="153">
        <f>H496*10%+H496</f>
        <v>265.10000000000002</v>
      </c>
      <c r="I497" s="153">
        <f>I496*10%+I496</f>
        <v>127.6</v>
      </c>
      <c r="J497" s="154"/>
      <c r="K497" s="154"/>
      <c r="L497" s="154"/>
      <c r="M497" s="155"/>
      <c r="N497" s="155"/>
      <c r="O497" s="155"/>
      <c r="P497" s="154"/>
      <c r="Q497" s="31"/>
      <c r="R497" s="31"/>
      <c r="S497" s="31"/>
      <c r="T497" s="31"/>
      <c r="U497" s="31"/>
      <c r="V497" s="31"/>
      <c r="W497" s="31"/>
      <c r="X497" s="31"/>
      <c r="Y497" s="31"/>
      <c r="Z497" s="31"/>
      <c r="AA497" s="31"/>
      <c r="AB497" s="31"/>
      <c r="AC497" s="31"/>
      <c r="AD497" s="31"/>
      <c r="AE497" s="31"/>
      <c r="AF497" s="31"/>
      <c r="AG497" s="31"/>
      <c r="AH497" s="31"/>
      <c r="AI497" s="31"/>
      <c r="AJ497" s="31"/>
      <c r="AK497" s="31"/>
      <c r="AL497" s="28"/>
      <c r="AM497" s="32"/>
      <c r="AN497" s="31"/>
      <c r="AO497" s="33"/>
    </row>
    <row r="498" spans="1:41" ht="70" x14ac:dyDescent="0.25">
      <c r="A498" s="26"/>
      <c r="B498" s="25"/>
      <c r="C498" s="149" t="s">
        <v>689</v>
      </c>
      <c r="D498" s="150" t="s">
        <v>685</v>
      </c>
      <c r="E498" s="151" t="s">
        <v>690</v>
      </c>
      <c r="F498" s="152" t="s">
        <v>671</v>
      </c>
      <c r="G498" s="150" t="s">
        <v>47</v>
      </c>
      <c r="H498" s="153">
        <f>H496*20%+H496</f>
        <v>289.2</v>
      </c>
      <c r="I498" s="153">
        <f>I496*20%+I496</f>
        <v>139.19999999999999</v>
      </c>
      <c r="J498" s="154"/>
      <c r="K498" s="154"/>
      <c r="L498" s="154"/>
      <c r="M498" s="155"/>
      <c r="N498" s="155"/>
      <c r="O498" s="155"/>
      <c r="P498" s="154"/>
      <c r="Q498" s="31"/>
      <c r="R498" s="31"/>
      <c r="S498" s="31"/>
      <c r="T498" s="31"/>
      <c r="U498" s="31"/>
      <c r="V498" s="31"/>
      <c r="W498" s="31"/>
      <c r="X498" s="31"/>
      <c r="Y498" s="31"/>
      <c r="Z498" s="31"/>
      <c r="AA498" s="31"/>
      <c r="AB498" s="31"/>
      <c r="AC498" s="31"/>
      <c r="AD498" s="31"/>
      <c r="AE498" s="31"/>
      <c r="AF498" s="31"/>
      <c r="AG498" s="31"/>
      <c r="AH498" s="31"/>
      <c r="AI498" s="31"/>
      <c r="AJ498" s="31"/>
      <c r="AK498" s="31"/>
      <c r="AL498" s="28"/>
      <c r="AM498" s="32"/>
      <c r="AN498" s="31"/>
      <c r="AO498" s="33"/>
    </row>
    <row r="499" spans="1:41" ht="56" x14ac:dyDescent="0.25">
      <c r="A499" s="26"/>
      <c r="B499" s="25"/>
      <c r="C499" s="149" t="s">
        <v>691</v>
      </c>
      <c r="D499" s="150" t="s">
        <v>685</v>
      </c>
      <c r="E499" s="151" t="s">
        <v>692</v>
      </c>
      <c r="F499" s="152" t="s">
        <v>671</v>
      </c>
      <c r="G499" s="150" t="s">
        <v>47</v>
      </c>
      <c r="H499" s="153">
        <f>H496*30%+H496</f>
        <v>313.3</v>
      </c>
      <c r="I499" s="153">
        <f>I496*30%+I496</f>
        <v>150.80000000000001</v>
      </c>
      <c r="J499" s="154"/>
      <c r="K499" s="154"/>
      <c r="L499" s="154"/>
      <c r="M499" s="155"/>
      <c r="N499" s="155"/>
      <c r="O499" s="155"/>
      <c r="P499" s="154"/>
      <c r="Q499" s="31"/>
      <c r="R499" s="31"/>
      <c r="S499" s="31"/>
      <c r="T499" s="31"/>
      <c r="U499" s="31"/>
      <c r="V499" s="31"/>
      <c r="W499" s="31"/>
      <c r="X499" s="31"/>
      <c r="Y499" s="31"/>
      <c r="Z499" s="31"/>
      <c r="AA499" s="31"/>
      <c r="AB499" s="31"/>
      <c r="AC499" s="31"/>
      <c r="AD499" s="31"/>
      <c r="AE499" s="31"/>
      <c r="AF499" s="31"/>
      <c r="AG499" s="31"/>
      <c r="AH499" s="31"/>
      <c r="AI499" s="31"/>
      <c r="AJ499" s="31"/>
      <c r="AK499" s="31"/>
      <c r="AL499" s="28"/>
      <c r="AM499" s="32"/>
      <c r="AN499" s="31"/>
      <c r="AO499" s="33"/>
    </row>
    <row r="500" spans="1:41" ht="98" x14ac:dyDescent="0.25">
      <c r="A500" s="26">
        <v>409</v>
      </c>
      <c r="B500" s="25" t="s">
        <v>668</v>
      </c>
      <c r="C500" s="22">
        <v>12.06</v>
      </c>
      <c r="D500" s="25" t="s">
        <v>693</v>
      </c>
      <c r="E500" s="23" t="s">
        <v>694</v>
      </c>
      <c r="F500" s="21" t="s">
        <v>671</v>
      </c>
      <c r="G500" s="25" t="s">
        <v>47</v>
      </c>
      <c r="H500" s="26">
        <v>286</v>
      </c>
      <c r="I500" s="26">
        <v>155</v>
      </c>
      <c r="J500" s="154"/>
      <c r="K500" s="154"/>
      <c r="L500" s="154"/>
      <c r="M500" s="155"/>
      <c r="N500" s="155"/>
      <c r="O500" s="155"/>
      <c r="P500" s="154"/>
      <c r="Q500" s="31"/>
      <c r="R500" s="31"/>
      <c r="S500" s="31"/>
      <c r="T500" s="31"/>
      <c r="U500" s="31"/>
      <c r="V500" s="31"/>
      <c r="W500" s="31"/>
      <c r="X500" s="31"/>
      <c r="Y500" s="31"/>
      <c r="Z500" s="31"/>
      <c r="AA500" s="31"/>
      <c r="AB500" s="31"/>
      <c r="AC500" s="31"/>
      <c r="AD500" s="31"/>
      <c r="AE500" s="31"/>
      <c r="AF500" s="31"/>
      <c r="AG500" s="31"/>
      <c r="AH500" s="31"/>
      <c r="AI500" s="31"/>
      <c r="AJ500" s="31">
        <v>1</v>
      </c>
      <c r="AK500" s="31"/>
      <c r="AL500" s="28" t="str">
        <f>VLOOKUP($G500,'[42]Sheet1 (2)'!$A$1:$B$1048440,2,FALSE)</f>
        <v>Cum</v>
      </c>
      <c r="AM500" s="32"/>
      <c r="AN500" s="31"/>
      <c r="AO500" s="33"/>
    </row>
    <row r="501" spans="1:41" ht="70" x14ac:dyDescent="0.25">
      <c r="A501" s="26"/>
      <c r="B501" s="25"/>
      <c r="C501" s="149" t="s">
        <v>695</v>
      </c>
      <c r="D501" s="150" t="s">
        <v>693</v>
      </c>
      <c r="E501" s="151" t="s">
        <v>696</v>
      </c>
      <c r="F501" s="152" t="s">
        <v>671</v>
      </c>
      <c r="G501" s="150" t="s">
        <v>47</v>
      </c>
      <c r="H501" s="153">
        <f>H500*10%+H500</f>
        <v>314.60000000000002</v>
      </c>
      <c r="I501" s="153">
        <f>I500*10%+I500</f>
        <v>170.5</v>
      </c>
      <c r="J501" s="154"/>
      <c r="K501" s="154"/>
      <c r="L501" s="154"/>
      <c r="M501" s="155"/>
      <c r="N501" s="155"/>
      <c r="O501" s="155"/>
      <c r="P501" s="154"/>
      <c r="Q501" s="31"/>
      <c r="R501" s="31"/>
      <c r="S501" s="31"/>
      <c r="T501" s="31"/>
      <c r="U501" s="31"/>
      <c r="V501" s="31"/>
      <c r="W501" s="31"/>
      <c r="X501" s="31"/>
      <c r="Y501" s="31"/>
      <c r="Z501" s="31"/>
      <c r="AA501" s="31"/>
      <c r="AB501" s="31"/>
      <c r="AC501" s="31"/>
      <c r="AD501" s="31"/>
      <c r="AE501" s="31"/>
      <c r="AF501" s="31"/>
      <c r="AG501" s="31"/>
      <c r="AH501" s="31"/>
      <c r="AI501" s="31"/>
      <c r="AJ501" s="31"/>
      <c r="AK501" s="31"/>
      <c r="AL501" s="28" t="str">
        <f>VLOOKUP($G501,'[42]Sheet1 (2)'!$A$1:$B$1048440,2,FALSE)</f>
        <v>Cum</v>
      </c>
      <c r="AM501" s="32"/>
      <c r="AN501" s="31"/>
      <c r="AO501" s="33"/>
    </row>
    <row r="502" spans="1:41" ht="70" x14ac:dyDescent="0.25">
      <c r="A502" s="26"/>
      <c r="B502" s="25"/>
      <c r="C502" s="149" t="s">
        <v>697</v>
      </c>
      <c r="D502" s="150" t="s">
        <v>693</v>
      </c>
      <c r="E502" s="151" t="s">
        <v>698</v>
      </c>
      <c r="F502" s="152" t="s">
        <v>671</v>
      </c>
      <c r="G502" s="150" t="s">
        <v>47</v>
      </c>
      <c r="H502" s="153">
        <f>H500*20%+H500</f>
        <v>343.2</v>
      </c>
      <c r="I502" s="153">
        <f>I500*20%+I500</f>
        <v>186</v>
      </c>
      <c r="J502" s="154"/>
      <c r="K502" s="154"/>
      <c r="L502" s="154"/>
      <c r="M502" s="155"/>
      <c r="N502" s="155"/>
      <c r="O502" s="155"/>
      <c r="P502" s="154"/>
      <c r="Q502" s="31"/>
      <c r="R502" s="31"/>
      <c r="S502" s="31"/>
      <c r="T502" s="31"/>
      <c r="U502" s="31"/>
      <c r="V502" s="31"/>
      <c r="W502" s="31"/>
      <c r="X502" s="31"/>
      <c r="Y502" s="31"/>
      <c r="Z502" s="31"/>
      <c r="AA502" s="31"/>
      <c r="AB502" s="31"/>
      <c r="AC502" s="31"/>
      <c r="AD502" s="31"/>
      <c r="AE502" s="31"/>
      <c r="AF502" s="31"/>
      <c r="AG502" s="31"/>
      <c r="AH502" s="31"/>
      <c r="AI502" s="31"/>
      <c r="AJ502" s="31"/>
      <c r="AK502" s="31"/>
      <c r="AL502" s="28" t="str">
        <f>VLOOKUP($G502,'[42]Sheet1 (2)'!$A$1:$B$1048440,2,FALSE)</f>
        <v>Cum</v>
      </c>
      <c r="AM502" s="32"/>
      <c r="AN502" s="31"/>
      <c r="AO502" s="33"/>
    </row>
    <row r="503" spans="1:41" ht="56" x14ac:dyDescent="0.25">
      <c r="A503" s="26"/>
      <c r="B503" s="25"/>
      <c r="C503" s="149" t="s">
        <v>699</v>
      </c>
      <c r="D503" s="150" t="s">
        <v>693</v>
      </c>
      <c r="E503" s="151" t="s">
        <v>700</v>
      </c>
      <c r="F503" s="152" t="s">
        <v>671</v>
      </c>
      <c r="G503" s="150" t="s">
        <v>47</v>
      </c>
      <c r="H503" s="153">
        <f>H500*30%+H500</f>
        <v>371.8</v>
      </c>
      <c r="I503" s="153">
        <f>I500*30%+I500</f>
        <v>201.5</v>
      </c>
      <c r="J503" s="154"/>
      <c r="K503" s="154"/>
      <c r="L503" s="154"/>
      <c r="M503" s="155"/>
      <c r="N503" s="155"/>
      <c r="O503" s="155"/>
      <c r="P503" s="154"/>
      <c r="Q503" s="31"/>
      <c r="R503" s="31"/>
      <c r="S503" s="31"/>
      <c r="T503" s="31"/>
      <c r="U503" s="31"/>
      <c r="V503" s="31"/>
      <c r="W503" s="31"/>
      <c r="X503" s="31"/>
      <c r="Y503" s="31"/>
      <c r="Z503" s="31"/>
      <c r="AA503" s="31"/>
      <c r="AB503" s="31"/>
      <c r="AC503" s="31"/>
      <c r="AD503" s="31"/>
      <c r="AE503" s="31"/>
      <c r="AF503" s="31"/>
      <c r="AG503" s="31"/>
      <c r="AH503" s="31"/>
      <c r="AI503" s="31"/>
      <c r="AJ503" s="31"/>
      <c r="AK503" s="31"/>
      <c r="AL503" s="28" t="str">
        <f>VLOOKUP($G503,'[42]Sheet1 (2)'!$A$1:$B$1048440,2,FALSE)</f>
        <v>Cum</v>
      </c>
      <c r="AM503" s="32"/>
      <c r="AN503" s="31"/>
      <c r="AO503" s="33"/>
    </row>
    <row r="504" spans="1:41" ht="14.5" x14ac:dyDescent="0.25">
      <c r="A504" s="26"/>
      <c r="B504" s="25"/>
      <c r="C504" s="22"/>
      <c r="D504" s="25"/>
      <c r="E504" s="23"/>
      <c r="F504" s="21"/>
      <c r="G504" s="25"/>
      <c r="H504" s="26"/>
      <c r="I504" s="26"/>
      <c r="J504" s="154"/>
      <c r="K504" s="154"/>
      <c r="L504" s="154"/>
      <c r="M504" s="155"/>
      <c r="N504" s="155"/>
      <c r="O504" s="155"/>
      <c r="P504" s="154"/>
      <c r="Q504" s="31"/>
      <c r="R504" s="31"/>
      <c r="S504" s="31"/>
      <c r="T504" s="31"/>
      <c r="U504" s="31"/>
      <c r="V504" s="31"/>
      <c r="W504" s="31"/>
      <c r="X504" s="31"/>
      <c r="Y504" s="31"/>
      <c r="Z504" s="31"/>
      <c r="AA504" s="31"/>
      <c r="AB504" s="31"/>
      <c r="AC504" s="31"/>
      <c r="AD504" s="31"/>
      <c r="AE504" s="31"/>
      <c r="AF504" s="31"/>
      <c r="AG504" s="31"/>
      <c r="AH504" s="31"/>
      <c r="AI504" s="31"/>
      <c r="AJ504" s="31"/>
      <c r="AK504" s="31"/>
      <c r="AL504" s="28"/>
      <c r="AM504" s="32"/>
      <c r="AN504" s="31"/>
      <c r="AO504" s="33"/>
    </row>
    <row r="505" spans="1:41" ht="98" x14ac:dyDescent="0.25">
      <c r="A505" s="26">
        <v>410</v>
      </c>
      <c r="B505" s="25" t="s">
        <v>668</v>
      </c>
      <c r="C505" s="22">
        <v>12.08</v>
      </c>
      <c r="D505" s="25" t="s">
        <v>701</v>
      </c>
      <c r="E505" s="23" t="s">
        <v>702</v>
      </c>
      <c r="F505" s="21" t="s">
        <v>671</v>
      </c>
      <c r="G505" s="25" t="s">
        <v>47</v>
      </c>
      <c r="H505" s="26">
        <v>557</v>
      </c>
      <c r="I505" s="26">
        <v>232</v>
      </c>
      <c r="J505" s="154"/>
      <c r="K505" s="154"/>
      <c r="L505" s="154"/>
      <c r="M505" s="155"/>
      <c r="N505" s="155"/>
      <c r="O505" s="155"/>
      <c r="P505" s="154"/>
      <c r="Q505" s="31"/>
      <c r="R505" s="31"/>
      <c r="S505" s="31"/>
      <c r="T505" s="31"/>
      <c r="U505" s="31"/>
      <c r="V505" s="31"/>
      <c r="W505" s="31"/>
      <c r="X505" s="31"/>
      <c r="Y505" s="31"/>
      <c r="Z505" s="31"/>
      <c r="AA505" s="31"/>
      <c r="AB505" s="31"/>
      <c r="AC505" s="31"/>
      <c r="AD505" s="31"/>
      <c r="AE505" s="31"/>
      <c r="AF505" s="31"/>
      <c r="AG505" s="31"/>
      <c r="AH505" s="31"/>
      <c r="AI505" s="31"/>
      <c r="AJ505" s="31">
        <v>1</v>
      </c>
      <c r="AK505" s="31"/>
      <c r="AL505" s="28" t="str">
        <f>VLOOKUP($G505,'[42]Sheet1 (2)'!$A$1:$B$1048440,2,FALSE)</f>
        <v>Cum</v>
      </c>
      <c r="AM505" s="32"/>
      <c r="AN505" s="31"/>
      <c r="AO505" s="33"/>
    </row>
    <row r="506" spans="1:41" ht="70" x14ac:dyDescent="0.25">
      <c r="A506" s="26"/>
      <c r="B506" s="25"/>
      <c r="C506" s="149" t="s">
        <v>703</v>
      </c>
      <c r="D506" s="150" t="s">
        <v>701</v>
      </c>
      <c r="E506" s="151" t="s">
        <v>704</v>
      </c>
      <c r="F506" s="152" t="s">
        <v>671</v>
      </c>
      <c r="G506" s="150" t="s">
        <v>47</v>
      </c>
      <c r="H506" s="153">
        <f>H505*10%+H505</f>
        <v>612.70000000000005</v>
      </c>
      <c r="I506" s="153">
        <f>I505*10%+I505</f>
        <v>255.2</v>
      </c>
      <c r="J506" s="156"/>
      <c r="K506" s="156"/>
      <c r="L506" s="156"/>
      <c r="M506" s="157"/>
      <c r="N506" s="157"/>
      <c r="O506" s="157"/>
      <c r="P506" s="156"/>
      <c r="Q506" s="31"/>
      <c r="R506" s="31"/>
      <c r="S506" s="31"/>
      <c r="T506" s="31"/>
      <c r="U506" s="31"/>
      <c r="V506" s="31"/>
      <c r="W506" s="31"/>
      <c r="X506" s="31"/>
      <c r="Y506" s="31"/>
      <c r="Z506" s="31"/>
      <c r="AA506" s="31"/>
      <c r="AB506" s="31"/>
      <c r="AC506" s="31"/>
      <c r="AD506" s="31"/>
      <c r="AE506" s="31"/>
      <c r="AF506" s="31"/>
      <c r="AG506" s="31"/>
      <c r="AH506" s="31"/>
      <c r="AI506" s="31"/>
      <c r="AJ506" s="31"/>
      <c r="AK506" s="31"/>
      <c r="AL506" s="28"/>
      <c r="AM506" s="32"/>
      <c r="AN506" s="31"/>
      <c r="AO506" s="33"/>
    </row>
    <row r="507" spans="1:41" ht="70" x14ac:dyDescent="0.25">
      <c r="A507" s="26"/>
      <c r="B507" s="25"/>
      <c r="C507" s="149" t="s">
        <v>705</v>
      </c>
      <c r="D507" s="150" t="s">
        <v>701</v>
      </c>
      <c r="E507" s="151" t="s">
        <v>706</v>
      </c>
      <c r="F507" s="152" t="s">
        <v>671</v>
      </c>
      <c r="G507" s="150" t="s">
        <v>47</v>
      </c>
      <c r="H507" s="153">
        <f>H505*20%+H505</f>
        <v>668.4</v>
      </c>
      <c r="I507" s="153">
        <f>I505*20%+I505</f>
        <v>278.39999999999998</v>
      </c>
      <c r="J507" s="156"/>
      <c r="K507" s="156"/>
      <c r="L507" s="156"/>
      <c r="M507" s="157"/>
      <c r="N507" s="157"/>
      <c r="O507" s="157"/>
      <c r="P507" s="156"/>
      <c r="Q507" s="31"/>
      <c r="R507" s="31"/>
      <c r="S507" s="31"/>
      <c r="T507" s="31"/>
      <c r="U507" s="31"/>
      <c r="V507" s="31"/>
      <c r="W507" s="31"/>
      <c r="X507" s="31"/>
      <c r="Y507" s="31"/>
      <c r="Z507" s="31"/>
      <c r="AA507" s="31"/>
      <c r="AB507" s="31"/>
      <c r="AC507" s="31"/>
      <c r="AD507" s="31"/>
      <c r="AE507" s="31"/>
      <c r="AF507" s="31"/>
      <c r="AG507" s="31"/>
      <c r="AH507" s="31"/>
      <c r="AI507" s="31"/>
      <c r="AJ507" s="31"/>
      <c r="AK507" s="31"/>
      <c r="AL507" s="28"/>
      <c r="AM507" s="32"/>
      <c r="AN507" s="31"/>
      <c r="AO507" s="33"/>
    </row>
    <row r="508" spans="1:41" ht="56" x14ac:dyDescent="0.25">
      <c r="A508" s="26"/>
      <c r="B508" s="25"/>
      <c r="C508" s="149" t="s">
        <v>707</v>
      </c>
      <c r="D508" s="150" t="s">
        <v>701</v>
      </c>
      <c r="E508" s="151" t="s">
        <v>708</v>
      </c>
      <c r="F508" s="152" t="s">
        <v>671</v>
      </c>
      <c r="G508" s="150" t="s">
        <v>47</v>
      </c>
      <c r="H508" s="153">
        <f>H505*30%+H505</f>
        <v>724.1</v>
      </c>
      <c r="I508" s="153">
        <f>I505*30%+I505</f>
        <v>301.60000000000002</v>
      </c>
      <c r="J508" s="156"/>
      <c r="K508" s="156"/>
      <c r="L508" s="156"/>
      <c r="M508" s="157"/>
      <c r="N508" s="157"/>
      <c r="O508" s="157"/>
      <c r="P508" s="156"/>
      <c r="Q508" s="31"/>
      <c r="R508" s="31"/>
      <c r="S508" s="31"/>
      <c r="T508" s="31"/>
      <c r="U508" s="31"/>
      <c r="V508" s="31"/>
      <c r="W508" s="31"/>
      <c r="X508" s="31"/>
      <c r="Y508" s="31"/>
      <c r="Z508" s="31"/>
      <c r="AA508" s="31"/>
      <c r="AB508" s="31"/>
      <c r="AC508" s="31"/>
      <c r="AD508" s="31"/>
      <c r="AE508" s="31"/>
      <c r="AF508" s="31"/>
      <c r="AG508" s="31"/>
      <c r="AH508" s="31"/>
      <c r="AI508" s="31"/>
      <c r="AJ508" s="31"/>
      <c r="AK508" s="31"/>
      <c r="AL508" s="28"/>
      <c r="AM508" s="32"/>
      <c r="AN508" s="31"/>
      <c r="AO508" s="33"/>
    </row>
    <row r="509" spans="1:41" ht="14.5" x14ac:dyDescent="0.25">
      <c r="A509" s="26"/>
      <c r="B509" s="25"/>
      <c r="C509" s="22"/>
      <c r="D509" s="25"/>
      <c r="E509" s="23"/>
      <c r="F509" s="21"/>
      <c r="G509" s="25"/>
      <c r="H509" s="26"/>
      <c r="I509" s="26"/>
      <c r="J509" s="156"/>
      <c r="K509" s="156"/>
      <c r="L509" s="156"/>
      <c r="M509" s="157"/>
      <c r="N509" s="157"/>
      <c r="O509" s="157"/>
      <c r="P509" s="156"/>
      <c r="Q509" s="31"/>
      <c r="R509" s="31"/>
      <c r="S509" s="31"/>
      <c r="T509" s="31"/>
      <c r="U509" s="31"/>
      <c r="V509" s="31"/>
      <c r="W509" s="31"/>
      <c r="X509" s="31"/>
      <c r="Y509" s="31"/>
      <c r="Z509" s="31"/>
      <c r="AA509" s="31"/>
      <c r="AB509" s="31"/>
      <c r="AC509" s="31"/>
      <c r="AD509" s="31"/>
      <c r="AE509" s="31"/>
      <c r="AF509" s="31"/>
      <c r="AG509" s="31"/>
      <c r="AH509" s="31"/>
      <c r="AI509" s="31"/>
      <c r="AJ509" s="31"/>
      <c r="AK509" s="31"/>
      <c r="AL509" s="28"/>
      <c r="AM509" s="32"/>
      <c r="AN509" s="31"/>
      <c r="AO509" s="33"/>
    </row>
    <row r="510" spans="1:41" ht="98" x14ac:dyDescent="0.25">
      <c r="A510" s="26">
        <v>411</v>
      </c>
      <c r="B510" s="25" t="s">
        <v>668</v>
      </c>
      <c r="C510" s="22">
        <v>12.09</v>
      </c>
      <c r="D510" s="25" t="s">
        <v>709</v>
      </c>
      <c r="E510" s="23" t="s">
        <v>710</v>
      </c>
      <c r="F510" s="21" t="s">
        <v>671</v>
      </c>
      <c r="G510" s="25" t="s">
        <v>47</v>
      </c>
      <c r="H510" s="26">
        <v>1232</v>
      </c>
      <c r="I510" s="26">
        <v>378</v>
      </c>
      <c r="J510" s="31"/>
      <c r="K510" s="31"/>
      <c r="L510" s="31"/>
      <c r="M510" s="31"/>
      <c r="N510" s="31"/>
      <c r="O510" s="31"/>
      <c r="P510" s="31"/>
      <c r="Q510" s="31"/>
      <c r="R510" s="31"/>
      <c r="S510" s="31"/>
      <c r="T510" s="31"/>
      <c r="U510" s="31"/>
      <c r="V510" s="31"/>
      <c r="W510" s="31"/>
      <c r="X510" s="31"/>
      <c r="Y510" s="31"/>
      <c r="Z510" s="31"/>
      <c r="AA510" s="31"/>
      <c r="AB510" s="31"/>
      <c r="AC510" s="31"/>
      <c r="AD510" s="31"/>
      <c r="AE510" s="31"/>
      <c r="AF510" s="31"/>
      <c r="AG510" s="31"/>
      <c r="AH510" s="31"/>
      <c r="AI510" s="31"/>
      <c r="AJ510" s="31"/>
      <c r="AK510" s="31"/>
      <c r="AL510" s="28" t="str">
        <f>VLOOKUP($G510,'[42]Sheet1 (2)'!$A$1:$B$1048440,2,FALSE)</f>
        <v>Cum</v>
      </c>
      <c r="AM510" s="32"/>
      <c r="AN510" s="31"/>
      <c r="AO510" s="33"/>
    </row>
    <row r="511" spans="1:41" ht="70" x14ac:dyDescent="0.25">
      <c r="A511" s="26"/>
      <c r="B511" s="25"/>
      <c r="C511" s="149" t="s">
        <v>711</v>
      </c>
      <c r="D511" s="150" t="s">
        <v>709</v>
      </c>
      <c r="E511" s="151" t="s">
        <v>712</v>
      </c>
      <c r="F511" s="152" t="s">
        <v>671</v>
      </c>
      <c r="G511" s="150" t="s">
        <v>47</v>
      </c>
      <c r="H511" s="153">
        <f>H510*10%+H510</f>
        <v>1355.2</v>
      </c>
      <c r="I511" s="153">
        <f>I510*10%+I510</f>
        <v>415.8</v>
      </c>
      <c r="J511" s="31"/>
      <c r="K511" s="31"/>
      <c r="L511" s="31"/>
      <c r="M511" s="31"/>
      <c r="N511" s="31"/>
      <c r="O511" s="31"/>
      <c r="P511" s="31"/>
      <c r="Q511" s="31"/>
      <c r="R511" s="31"/>
      <c r="S511" s="31"/>
      <c r="T511" s="31"/>
      <c r="U511" s="31"/>
      <c r="V511" s="31"/>
      <c r="W511" s="31"/>
      <c r="X511" s="31"/>
      <c r="Y511" s="31"/>
      <c r="Z511" s="31"/>
      <c r="AA511" s="31"/>
      <c r="AB511" s="31"/>
      <c r="AC511" s="31"/>
      <c r="AD511" s="31"/>
      <c r="AE511" s="31"/>
      <c r="AF511" s="31"/>
      <c r="AG511" s="31"/>
      <c r="AH511" s="31"/>
      <c r="AI511" s="31"/>
      <c r="AJ511" s="31"/>
      <c r="AK511" s="31"/>
      <c r="AL511" s="28"/>
      <c r="AM511" s="32"/>
      <c r="AN511" s="31"/>
      <c r="AO511" s="33"/>
    </row>
    <row r="512" spans="1:41" ht="70" x14ac:dyDescent="0.25">
      <c r="A512" s="26"/>
      <c r="B512" s="25"/>
      <c r="C512" s="149" t="s">
        <v>713</v>
      </c>
      <c r="D512" s="150" t="s">
        <v>709</v>
      </c>
      <c r="E512" s="151" t="s">
        <v>714</v>
      </c>
      <c r="F512" s="152" t="s">
        <v>671</v>
      </c>
      <c r="G512" s="150" t="s">
        <v>47</v>
      </c>
      <c r="H512" s="153">
        <f>H510*20%+H510</f>
        <v>1478.4</v>
      </c>
      <c r="I512" s="153">
        <f>I510*20%+I510</f>
        <v>453.6</v>
      </c>
      <c r="J512" s="31"/>
      <c r="K512" s="31"/>
      <c r="L512" s="31"/>
      <c r="M512" s="31"/>
      <c r="N512" s="31"/>
      <c r="O512" s="31"/>
      <c r="P512" s="31"/>
      <c r="Q512" s="31"/>
      <c r="R512" s="31"/>
      <c r="S512" s="31"/>
      <c r="T512" s="31"/>
      <c r="U512" s="31"/>
      <c r="V512" s="31"/>
      <c r="W512" s="31"/>
      <c r="X512" s="31"/>
      <c r="Y512" s="31"/>
      <c r="Z512" s="31"/>
      <c r="AA512" s="31"/>
      <c r="AB512" s="31"/>
      <c r="AC512" s="31"/>
      <c r="AD512" s="31"/>
      <c r="AE512" s="31"/>
      <c r="AF512" s="31"/>
      <c r="AG512" s="31"/>
      <c r="AH512" s="31"/>
      <c r="AI512" s="31"/>
      <c r="AJ512" s="31"/>
      <c r="AK512" s="31"/>
      <c r="AL512" s="28"/>
      <c r="AM512" s="32"/>
      <c r="AN512" s="31"/>
      <c r="AO512" s="33"/>
    </row>
    <row r="513" spans="1:41" ht="56" x14ac:dyDescent="0.25">
      <c r="A513" s="26"/>
      <c r="B513" s="25"/>
      <c r="C513" s="149" t="s">
        <v>715</v>
      </c>
      <c r="D513" s="150" t="s">
        <v>709</v>
      </c>
      <c r="E513" s="151" t="s">
        <v>716</v>
      </c>
      <c r="F513" s="152" t="s">
        <v>671</v>
      </c>
      <c r="G513" s="150" t="s">
        <v>47</v>
      </c>
      <c r="H513" s="153">
        <f>H510*30%+H510</f>
        <v>1601.6</v>
      </c>
      <c r="I513" s="153">
        <f>I510*30%+I510</f>
        <v>491.4</v>
      </c>
      <c r="J513" s="31"/>
      <c r="K513" s="31"/>
      <c r="L513" s="31"/>
      <c r="M513" s="31"/>
      <c r="N513" s="31"/>
      <c r="O513" s="31"/>
      <c r="P513" s="31"/>
      <c r="Q513" s="31"/>
      <c r="R513" s="31"/>
      <c r="S513" s="31"/>
      <c r="T513" s="31"/>
      <c r="U513" s="31"/>
      <c r="V513" s="31"/>
      <c r="W513" s="31"/>
      <c r="X513" s="31"/>
      <c r="Y513" s="31"/>
      <c r="Z513" s="31"/>
      <c r="AA513" s="31"/>
      <c r="AB513" s="31"/>
      <c r="AC513" s="31"/>
      <c r="AD513" s="31"/>
      <c r="AE513" s="31"/>
      <c r="AF513" s="31"/>
      <c r="AG513" s="31"/>
      <c r="AH513" s="31"/>
      <c r="AI513" s="31"/>
      <c r="AJ513" s="31"/>
      <c r="AK513" s="31"/>
      <c r="AL513" s="28"/>
      <c r="AM513" s="32"/>
      <c r="AN513" s="31"/>
      <c r="AO513" s="33"/>
    </row>
    <row r="514" spans="1:41" ht="112" x14ac:dyDescent="0.25">
      <c r="A514" s="26">
        <v>412</v>
      </c>
      <c r="B514" s="25" t="s">
        <v>668</v>
      </c>
      <c r="C514" s="22">
        <v>12.1</v>
      </c>
      <c r="D514" s="25" t="s">
        <v>709</v>
      </c>
      <c r="E514" s="23" t="s">
        <v>717</v>
      </c>
      <c r="F514" s="21" t="s">
        <v>671</v>
      </c>
      <c r="G514" s="25" t="s">
        <v>47</v>
      </c>
      <c r="H514" s="26">
        <v>1328</v>
      </c>
      <c r="I514" s="26">
        <v>416</v>
      </c>
      <c r="J514" s="31"/>
      <c r="K514" s="31"/>
      <c r="L514" s="31"/>
      <c r="M514" s="31"/>
      <c r="N514" s="31"/>
      <c r="O514" s="31"/>
      <c r="P514" s="31"/>
      <c r="Q514" s="31"/>
      <c r="R514" s="31"/>
      <c r="S514" s="31"/>
      <c r="T514" s="31"/>
      <c r="U514" s="31"/>
      <c r="V514" s="31"/>
      <c r="W514" s="31"/>
      <c r="X514" s="31"/>
      <c r="Y514" s="31"/>
      <c r="Z514" s="31"/>
      <c r="AA514" s="31"/>
      <c r="AB514" s="31"/>
      <c r="AC514" s="31"/>
      <c r="AD514" s="31"/>
      <c r="AE514" s="31"/>
      <c r="AF514" s="31"/>
      <c r="AG514" s="31"/>
      <c r="AH514" s="31"/>
      <c r="AI514" s="31"/>
      <c r="AJ514" s="31"/>
      <c r="AK514" s="31"/>
      <c r="AL514" s="28" t="str">
        <f>VLOOKUP($G514,'[42]Sheet1 (2)'!$A$1:$B$1048440,2,FALSE)</f>
        <v>Cum</v>
      </c>
      <c r="AM514" s="32"/>
      <c r="AN514" s="31"/>
      <c r="AO514" s="33"/>
    </row>
    <row r="515" spans="1:41" ht="84" x14ac:dyDescent="0.25">
      <c r="A515" s="26"/>
      <c r="B515" s="25"/>
      <c r="C515" s="149" t="s">
        <v>718</v>
      </c>
      <c r="D515" s="150" t="s">
        <v>709</v>
      </c>
      <c r="E515" s="151" t="s">
        <v>719</v>
      </c>
      <c r="F515" s="152" t="s">
        <v>671</v>
      </c>
      <c r="G515" s="150" t="s">
        <v>47</v>
      </c>
      <c r="H515" s="153">
        <f>H514*10%+H514</f>
        <v>1460.8</v>
      </c>
      <c r="I515" s="153">
        <f>I514*10%+I514</f>
        <v>457.6</v>
      </c>
      <c r="J515" s="31"/>
      <c r="K515" s="31"/>
      <c r="L515" s="31"/>
      <c r="M515" s="31"/>
      <c r="N515" s="31"/>
      <c r="O515" s="31"/>
      <c r="P515" s="31"/>
      <c r="Q515" s="31"/>
      <c r="R515" s="31"/>
      <c r="S515" s="31"/>
      <c r="T515" s="31"/>
      <c r="U515" s="31"/>
      <c r="V515" s="31"/>
      <c r="W515" s="31"/>
      <c r="X515" s="31"/>
      <c r="Y515" s="31"/>
      <c r="Z515" s="31"/>
      <c r="AA515" s="31"/>
      <c r="AB515" s="31"/>
      <c r="AC515" s="31"/>
      <c r="AD515" s="31"/>
      <c r="AE515" s="31"/>
      <c r="AF515" s="31"/>
      <c r="AG515" s="31"/>
      <c r="AH515" s="31"/>
      <c r="AI515" s="31"/>
      <c r="AJ515" s="31"/>
      <c r="AK515" s="31"/>
      <c r="AL515" s="28"/>
      <c r="AM515" s="32"/>
      <c r="AN515" s="31"/>
      <c r="AO515" s="33"/>
    </row>
    <row r="516" spans="1:41" ht="84" x14ac:dyDescent="0.25">
      <c r="A516" s="26"/>
      <c r="B516" s="25"/>
      <c r="C516" s="149" t="s">
        <v>720</v>
      </c>
      <c r="D516" s="150" t="s">
        <v>709</v>
      </c>
      <c r="E516" s="151" t="s">
        <v>721</v>
      </c>
      <c r="F516" s="152" t="s">
        <v>671</v>
      </c>
      <c r="G516" s="150" t="s">
        <v>47</v>
      </c>
      <c r="H516" s="153">
        <f>H514*20%+H514</f>
        <v>1593.6</v>
      </c>
      <c r="I516" s="153">
        <f>I514*20%+I514</f>
        <v>499.2</v>
      </c>
      <c r="J516" s="31"/>
      <c r="K516" s="31"/>
      <c r="L516" s="31"/>
      <c r="M516" s="31"/>
      <c r="N516" s="31"/>
      <c r="O516" s="31"/>
      <c r="P516" s="31"/>
      <c r="Q516" s="31"/>
      <c r="R516" s="31"/>
      <c r="S516" s="31"/>
      <c r="T516" s="31"/>
      <c r="U516" s="31"/>
      <c r="V516" s="31"/>
      <c r="W516" s="31"/>
      <c r="X516" s="31"/>
      <c r="Y516" s="31"/>
      <c r="Z516" s="31"/>
      <c r="AA516" s="31"/>
      <c r="AB516" s="31"/>
      <c r="AC516" s="31"/>
      <c r="AD516" s="31"/>
      <c r="AE516" s="31"/>
      <c r="AF516" s="31"/>
      <c r="AG516" s="31"/>
      <c r="AH516" s="31"/>
      <c r="AI516" s="31"/>
      <c r="AJ516" s="31"/>
      <c r="AK516" s="31"/>
      <c r="AL516" s="28"/>
      <c r="AM516" s="32"/>
      <c r="AN516" s="31"/>
      <c r="AO516" s="33"/>
    </row>
    <row r="517" spans="1:41" ht="70" x14ac:dyDescent="0.25">
      <c r="A517" s="26"/>
      <c r="B517" s="25"/>
      <c r="C517" s="149" t="s">
        <v>722</v>
      </c>
      <c r="D517" s="150" t="s">
        <v>709</v>
      </c>
      <c r="E517" s="151" t="s">
        <v>723</v>
      </c>
      <c r="F517" s="152" t="s">
        <v>671</v>
      </c>
      <c r="G517" s="150" t="s">
        <v>47</v>
      </c>
      <c r="H517" s="153">
        <f>H514*30%+H514</f>
        <v>1726.4</v>
      </c>
      <c r="I517" s="153">
        <f>I514*30%+I514</f>
        <v>540.79999999999995</v>
      </c>
      <c r="J517" s="31"/>
      <c r="K517" s="31"/>
      <c r="L517" s="31"/>
      <c r="M517" s="31"/>
      <c r="N517" s="31"/>
      <c r="O517" s="31"/>
      <c r="P517" s="31"/>
      <c r="Q517" s="31"/>
      <c r="R517" s="31"/>
      <c r="S517" s="31"/>
      <c r="T517" s="31"/>
      <c r="U517" s="31"/>
      <c r="V517" s="31"/>
      <c r="W517" s="31"/>
      <c r="X517" s="31"/>
      <c r="Y517" s="31"/>
      <c r="Z517" s="31"/>
      <c r="AA517" s="31"/>
      <c r="AB517" s="31"/>
      <c r="AC517" s="31"/>
      <c r="AD517" s="31"/>
      <c r="AE517" s="31"/>
      <c r="AF517" s="31"/>
      <c r="AG517" s="31"/>
      <c r="AH517" s="31"/>
      <c r="AI517" s="31"/>
      <c r="AJ517" s="31"/>
      <c r="AK517" s="31"/>
      <c r="AL517" s="28"/>
      <c r="AM517" s="32"/>
      <c r="AN517" s="31"/>
      <c r="AO517" s="33"/>
    </row>
    <row r="518" spans="1:41" ht="112" x14ac:dyDescent="0.25">
      <c r="A518" s="26">
        <v>413</v>
      </c>
      <c r="B518" s="25" t="s">
        <v>668</v>
      </c>
      <c r="C518" s="22">
        <v>12.11</v>
      </c>
      <c r="D518" s="25" t="s">
        <v>724</v>
      </c>
      <c r="E518" s="23" t="s">
        <v>725</v>
      </c>
      <c r="F518" s="21" t="s">
        <v>726</v>
      </c>
      <c r="G518" s="25" t="s">
        <v>47</v>
      </c>
      <c r="H518" s="26">
        <v>1932</v>
      </c>
      <c r="I518" s="26">
        <v>1932</v>
      </c>
      <c r="J518" s="31"/>
      <c r="K518" s="31"/>
      <c r="L518" s="31"/>
      <c r="M518" s="31"/>
      <c r="N518" s="31"/>
      <c r="O518" s="31"/>
      <c r="P518" s="31"/>
      <c r="Q518" s="31"/>
      <c r="R518" s="31"/>
      <c r="S518" s="31"/>
      <c r="T518" s="31"/>
      <c r="U518" s="31"/>
      <c r="V518" s="31"/>
      <c r="W518" s="31"/>
      <c r="X518" s="31"/>
      <c r="Y518" s="31"/>
      <c r="Z518" s="31"/>
      <c r="AA518" s="31"/>
      <c r="AB518" s="31"/>
      <c r="AC518" s="31"/>
      <c r="AD518" s="31"/>
      <c r="AE518" s="31"/>
      <c r="AF518" s="31"/>
      <c r="AG518" s="31"/>
      <c r="AH518" s="31"/>
      <c r="AI518" s="31"/>
      <c r="AJ518" s="31"/>
      <c r="AK518" s="31"/>
      <c r="AL518" s="28" t="str">
        <f>VLOOKUP($G518,'[42]Sheet1 (2)'!$A$1:$B$1048440,2,FALSE)</f>
        <v>Cum</v>
      </c>
      <c r="AM518" s="32"/>
      <c r="AN518" s="31"/>
      <c r="AO518" s="33"/>
    </row>
    <row r="519" spans="1:41" ht="84" x14ac:dyDescent="0.25">
      <c r="A519" s="26"/>
      <c r="B519" s="25"/>
      <c r="C519" s="149" t="s">
        <v>727</v>
      </c>
      <c r="D519" s="150" t="s">
        <v>724</v>
      </c>
      <c r="E519" s="151" t="s">
        <v>728</v>
      </c>
      <c r="F519" s="152" t="s">
        <v>671</v>
      </c>
      <c r="G519" s="150" t="s">
        <v>47</v>
      </c>
      <c r="H519" s="153">
        <f>H518*10%+H518</f>
        <v>2125.1999999999998</v>
      </c>
      <c r="I519" s="153">
        <f>I518*10%+I518</f>
        <v>2125.1999999999998</v>
      </c>
      <c r="J519" s="31"/>
      <c r="K519" s="31"/>
      <c r="L519" s="31"/>
      <c r="M519" s="31"/>
      <c r="N519" s="31"/>
      <c r="O519" s="31"/>
      <c r="P519" s="31"/>
      <c r="Q519" s="31"/>
      <c r="R519" s="31"/>
      <c r="S519" s="31"/>
      <c r="T519" s="31"/>
      <c r="U519" s="31"/>
      <c r="V519" s="31"/>
      <c r="W519" s="31"/>
      <c r="X519" s="31"/>
      <c r="Y519" s="31"/>
      <c r="Z519" s="31"/>
      <c r="AA519" s="31"/>
      <c r="AB519" s="31"/>
      <c r="AC519" s="31"/>
      <c r="AD519" s="31"/>
      <c r="AE519" s="31"/>
      <c r="AF519" s="31"/>
      <c r="AG519" s="31"/>
      <c r="AH519" s="31"/>
      <c r="AI519" s="31"/>
      <c r="AJ519" s="31"/>
      <c r="AK519" s="31"/>
      <c r="AL519" s="28"/>
      <c r="AM519" s="32"/>
      <c r="AN519" s="31"/>
      <c r="AO519" s="33"/>
    </row>
    <row r="520" spans="1:41" ht="84" x14ac:dyDescent="0.25">
      <c r="A520" s="26"/>
      <c r="B520" s="25"/>
      <c r="C520" s="149" t="s">
        <v>729</v>
      </c>
      <c r="D520" s="150" t="s">
        <v>724</v>
      </c>
      <c r="E520" s="151" t="s">
        <v>730</v>
      </c>
      <c r="F520" s="152" t="s">
        <v>671</v>
      </c>
      <c r="G520" s="150" t="s">
        <v>47</v>
      </c>
      <c r="H520" s="153">
        <f>H518*20%+H518</f>
        <v>2318.4</v>
      </c>
      <c r="I520" s="153">
        <f>I518*20%+I518</f>
        <v>2318.4</v>
      </c>
      <c r="J520" s="31"/>
      <c r="K520" s="31"/>
      <c r="L520" s="31"/>
      <c r="M520" s="31"/>
      <c r="N520" s="31"/>
      <c r="O520" s="31"/>
      <c r="P520" s="31"/>
      <c r="Q520" s="31"/>
      <c r="R520" s="31"/>
      <c r="S520" s="31"/>
      <c r="T520" s="31"/>
      <c r="U520" s="31"/>
      <c r="V520" s="31"/>
      <c r="W520" s="31"/>
      <c r="X520" s="31"/>
      <c r="Y520" s="31"/>
      <c r="Z520" s="31"/>
      <c r="AA520" s="31"/>
      <c r="AB520" s="31"/>
      <c r="AC520" s="31"/>
      <c r="AD520" s="31"/>
      <c r="AE520" s="31"/>
      <c r="AF520" s="31"/>
      <c r="AG520" s="31"/>
      <c r="AH520" s="31"/>
      <c r="AI520" s="31"/>
      <c r="AJ520" s="31"/>
      <c r="AK520" s="31"/>
      <c r="AL520" s="28"/>
      <c r="AM520" s="32"/>
      <c r="AN520" s="31"/>
      <c r="AO520" s="33"/>
    </row>
    <row r="521" spans="1:41" ht="70" x14ac:dyDescent="0.25">
      <c r="A521" s="26"/>
      <c r="B521" s="25"/>
      <c r="C521" s="149" t="s">
        <v>731</v>
      </c>
      <c r="D521" s="150" t="s">
        <v>724</v>
      </c>
      <c r="E521" s="151" t="s">
        <v>732</v>
      </c>
      <c r="F521" s="152" t="s">
        <v>671</v>
      </c>
      <c r="G521" s="150" t="s">
        <v>47</v>
      </c>
      <c r="H521" s="153">
        <f>H518*30%+H518</f>
        <v>2511.6</v>
      </c>
      <c r="I521" s="153">
        <f>I518*30%+I518</f>
        <v>2511.6</v>
      </c>
      <c r="J521" s="31"/>
      <c r="K521" s="31"/>
      <c r="L521" s="31"/>
      <c r="M521" s="31"/>
      <c r="N521" s="31"/>
      <c r="O521" s="31"/>
      <c r="P521" s="31"/>
      <c r="Q521" s="31"/>
      <c r="R521" s="31"/>
      <c r="S521" s="31"/>
      <c r="T521" s="31"/>
      <c r="U521" s="31"/>
      <c r="V521" s="31"/>
      <c r="W521" s="31"/>
      <c r="X521" s="31"/>
      <c r="Y521" s="31"/>
      <c r="Z521" s="31"/>
      <c r="AA521" s="31"/>
      <c r="AB521" s="31"/>
      <c r="AC521" s="31"/>
      <c r="AD521" s="31"/>
      <c r="AE521" s="31"/>
      <c r="AF521" s="31"/>
      <c r="AG521" s="31"/>
      <c r="AH521" s="31"/>
      <c r="AI521" s="31"/>
      <c r="AJ521" s="31"/>
      <c r="AK521" s="31"/>
      <c r="AL521" s="28"/>
      <c r="AM521" s="32"/>
      <c r="AN521" s="31"/>
      <c r="AO521" s="33"/>
    </row>
    <row r="522" spans="1:41" x14ac:dyDescent="0.25">
      <c r="A522" s="26"/>
      <c r="B522" s="25"/>
      <c r="C522" s="22"/>
      <c r="D522" s="25"/>
      <c r="E522" s="23"/>
      <c r="F522" s="21"/>
      <c r="G522" s="25"/>
      <c r="H522" s="26"/>
      <c r="I522" s="26"/>
      <c r="J522" s="31"/>
      <c r="K522" s="31"/>
      <c r="L522" s="31"/>
      <c r="M522" s="31"/>
      <c r="N522" s="31"/>
      <c r="O522" s="31"/>
      <c r="P522" s="31"/>
      <c r="Q522" s="31"/>
      <c r="R522" s="31"/>
      <c r="S522" s="31"/>
      <c r="T522" s="31"/>
      <c r="U522" s="31"/>
      <c r="V522" s="31"/>
      <c r="W522" s="31"/>
      <c r="X522" s="31"/>
      <c r="Y522" s="31"/>
      <c r="Z522" s="31"/>
      <c r="AA522" s="31"/>
      <c r="AB522" s="31"/>
      <c r="AC522" s="31"/>
      <c r="AD522" s="31"/>
      <c r="AE522" s="31"/>
      <c r="AF522" s="31"/>
      <c r="AG522" s="31"/>
      <c r="AH522" s="31"/>
      <c r="AI522" s="31"/>
      <c r="AJ522" s="31"/>
      <c r="AK522" s="31"/>
      <c r="AL522" s="28"/>
      <c r="AM522" s="32"/>
      <c r="AN522" s="31"/>
      <c r="AO522" s="33"/>
    </row>
    <row r="523" spans="1:41" ht="98" x14ac:dyDescent="0.25">
      <c r="A523" s="26">
        <v>414</v>
      </c>
      <c r="B523" s="25" t="s">
        <v>668</v>
      </c>
      <c r="C523" s="22">
        <v>12.12</v>
      </c>
      <c r="D523" s="25" t="s">
        <v>733</v>
      </c>
      <c r="E523" s="23" t="s">
        <v>734</v>
      </c>
      <c r="F523" s="21" t="s">
        <v>671</v>
      </c>
      <c r="G523" s="25" t="s">
        <v>47</v>
      </c>
      <c r="H523" s="26">
        <v>1771</v>
      </c>
      <c r="I523" s="26">
        <v>1771</v>
      </c>
      <c r="J523" s="31"/>
      <c r="K523" s="31"/>
      <c r="L523" s="31"/>
      <c r="M523" s="31"/>
      <c r="N523" s="31"/>
      <c r="O523" s="31"/>
      <c r="P523" s="31"/>
      <c r="Q523" s="31"/>
      <c r="R523" s="31"/>
      <c r="S523" s="31"/>
      <c r="T523" s="31"/>
      <c r="U523" s="31"/>
      <c r="V523" s="31"/>
      <c r="W523" s="31"/>
      <c r="X523" s="31"/>
      <c r="Y523" s="31"/>
      <c r="Z523" s="31"/>
      <c r="AA523" s="31"/>
      <c r="AB523" s="31"/>
      <c r="AC523" s="31"/>
      <c r="AD523" s="31"/>
      <c r="AE523" s="31"/>
      <c r="AF523" s="31"/>
      <c r="AG523" s="31"/>
      <c r="AH523" s="31"/>
      <c r="AI523" s="31"/>
      <c r="AJ523" s="31"/>
      <c r="AK523" s="31"/>
      <c r="AL523" s="28" t="str">
        <f>VLOOKUP($G523,'[42]Sheet1 (2)'!$A$1:$B$1048440,2,FALSE)</f>
        <v>Cum</v>
      </c>
      <c r="AM523" s="32"/>
      <c r="AN523" s="31"/>
      <c r="AO523" s="33"/>
    </row>
    <row r="524" spans="1:41" ht="70" x14ac:dyDescent="0.25">
      <c r="A524" s="26"/>
      <c r="B524" s="25"/>
      <c r="C524" s="149" t="s">
        <v>735</v>
      </c>
      <c r="D524" s="150" t="s">
        <v>733</v>
      </c>
      <c r="E524" s="151" t="s">
        <v>736</v>
      </c>
      <c r="F524" s="152" t="s">
        <v>671</v>
      </c>
      <c r="G524" s="150" t="s">
        <v>47</v>
      </c>
      <c r="H524" s="153">
        <f>H523*10%+H523</f>
        <v>1948.1</v>
      </c>
      <c r="I524" s="153">
        <f>I523*10%+I523</f>
        <v>1948.1</v>
      </c>
      <c r="J524" s="31"/>
      <c r="K524" s="31"/>
      <c r="L524" s="31"/>
      <c r="M524" s="31"/>
      <c r="N524" s="31"/>
      <c r="O524" s="31"/>
      <c r="P524" s="31"/>
      <c r="Q524" s="31"/>
      <c r="R524" s="31"/>
      <c r="S524" s="31"/>
      <c r="T524" s="31"/>
      <c r="U524" s="31"/>
      <c r="V524" s="31"/>
      <c r="W524" s="31"/>
      <c r="X524" s="31"/>
      <c r="Y524" s="31"/>
      <c r="Z524" s="31"/>
      <c r="AA524" s="31"/>
      <c r="AB524" s="31"/>
      <c r="AC524" s="31"/>
      <c r="AD524" s="31"/>
      <c r="AE524" s="31"/>
      <c r="AF524" s="31"/>
      <c r="AG524" s="31"/>
      <c r="AH524" s="31"/>
      <c r="AI524" s="31"/>
      <c r="AJ524" s="31"/>
      <c r="AK524" s="31"/>
      <c r="AL524" s="28"/>
      <c r="AM524" s="32"/>
      <c r="AN524" s="31"/>
      <c r="AO524" s="33"/>
    </row>
    <row r="525" spans="1:41" ht="70" x14ac:dyDescent="0.25">
      <c r="A525" s="26"/>
      <c r="B525" s="25"/>
      <c r="C525" s="149" t="s">
        <v>737</v>
      </c>
      <c r="D525" s="150" t="s">
        <v>733</v>
      </c>
      <c r="E525" s="151" t="s">
        <v>736</v>
      </c>
      <c r="F525" s="152" t="s">
        <v>671</v>
      </c>
      <c r="G525" s="150" t="s">
        <v>47</v>
      </c>
      <c r="H525" s="153">
        <f>H523*20%+H523</f>
        <v>2125.1999999999998</v>
      </c>
      <c r="I525" s="153">
        <f>I523*20%+I523</f>
        <v>2125.1999999999998</v>
      </c>
      <c r="J525" s="31"/>
      <c r="K525" s="31"/>
      <c r="L525" s="31"/>
      <c r="M525" s="31"/>
      <c r="N525" s="31"/>
      <c r="O525" s="31"/>
      <c r="P525" s="31"/>
      <c r="Q525" s="31"/>
      <c r="R525" s="31"/>
      <c r="S525" s="31"/>
      <c r="T525" s="31"/>
      <c r="U525" s="31"/>
      <c r="V525" s="31"/>
      <c r="W525" s="31"/>
      <c r="X525" s="31"/>
      <c r="Y525" s="31"/>
      <c r="Z525" s="31"/>
      <c r="AA525" s="31"/>
      <c r="AB525" s="31"/>
      <c r="AC525" s="31"/>
      <c r="AD525" s="31"/>
      <c r="AE525" s="31"/>
      <c r="AF525" s="31"/>
      <c r="AG525" s="31"/>
      <c r="AH525" s="31"/>
      <c r="AI525" s="31"/>
      <c r="AJ525" s="31"/>
      <c r="AK525" s="31"/>
      <c r="AL525" s="28"/>
      <c r="AM525" s="32"/>
      <c r="AN525" s="31"/>
      <c r="AO525" s="33"/>
    </row>
    <row r="526" spans="1:41" ht="56" x14ac:dyDescent="0.25">
      <c r="A526" s="26"/>
      <c r="B526" s="25"/>
      <c r="C526" s="149" t="s">
        <v>738</v>
      </c>
      <c r="D526" s="150" t="s">
        <v>733</v>
      </c>
      <c r="E526" s="151" t="s">
        <v>739</v>
      </c>
      <c r="F526" s="152" t="s">
        <v>671</v>
      </c>
      <c r="G526" s="150" t="s">
        <v>47</v>
      </c>
      <c r="H526" s="153">
        <f>H523*30%+H523</f>
        <v>2302.3000000000002</v>
      </c>
      <c r="I526" s="153">
        <f>I523*30%+I523</f>
        <v>2302.3000000000002</v>
      </c>
      <c r="J526" s="31"/>
      <c r="K526" s="31"/>
      <c r="L526" s="31"/>
      <c r="M526" s="31"/>
      <c r="N526" s="31"/>
      <c r="O526" s="31"/>
      <c r="P526" s="31"/>
      <c r="Q526" s="31"/>
      <c r="R526" s="31"/>
      <c r="S526" s="31"/>
      <c r="T526" s="31"/>
      <c r="U526" s="31"/>
      <c r="V526" s="31"/>
      <c r="W526" s="31"/>
      <c r="X526" s="31"/>
      <c r="Y526" s="31"/>
      <c r="Z526" s="31"/>
      <c r="AA526" s="31"/>
      <c r="AB526" s="31"/>
      <c r="AC526" s="31"/>
      <c r="AD526" s="31"/>
      <c r="AE526" s="31"/>
      <c r="AF526" s="31"/>
      <c r="AG526" s="31"/>
      <c r="AH526" s="31"/>
      <c r="AI526" s="31"/>
      <c r="AJ526" s="31"/>
      <c r="AK526" s="31"/>
      <c r="AL526" s="28"/>
      <c r="AM526" s="32"/>
      <c r="AN526" s="31"/>
      <c r="AO526" s="33"/>
    </row>
    <row r="527" spans="1:41" x14ac:dyDescent="0.25">
      <c r="A527" s="26"/>
      <c r="B527" s="25"/>
      <c r="C527" s="22"/>
      <c r="D527" s="25"/>
      <c r="E527" s="23"/>
      <c r="F527" s="21"/>
      <c r="G527" s="25"/>
      <c r="H527" s="26"/>
      <c r="I527" s="26"/>
      <c r="J527" s="31"/>
      <c r="K527" s="31"/>
      <c r="L527" s="31"/>
      <c r="M527" s="31"/>
      <c r="N527" s="31"/>
      <c r="O527" s="31"/>
      <c r="P527" s="31"/>
      <c r="Q527" s="31"/>
      <c r="R527" s="31"/>
      <c r="S527" s="31"/>
      <c r="T527" s="31"/>
      <c r="U527" s="31"/>
      <c r="V527" s="31"/>
      <c r="W527" s="31"/>
      <c r="X527" s="31"/>
      <c r="Y527" s="31"/>
      <c r="Z527" s="31"/>
      <c r="AA527" s="31"/>
      <c r="AB527" s="31"/>
      <c r="AC527" s="31"/>
      <c r="AD527" s="31"/>
      <c r="AE527" s="31"/>
      <c r="AF527" s="31"/>
      <c r="AG527" s="31"/>
      <c r="AH527" s="31"/>
      <c r="AI527" s="31"/>
      <c r="AJ527" s="31"/>
      <c r="AK527" s="31"/>
      <c r="AL527" s="28"/>
      <c r="AM527" s="32"/>
      <c r="AN527" s="31"/>
      <c r="AO527" s="33"/>
    </row>
    <row r="528" spans="1:41" ht="70" x14ac:dyDescent="0.25">
      <c r="A528" s="26">
        <v>415</v>
      </c>
      <c r="B528" s="23" t="s">
        <v>740</v>
      </c>
      <c r="C528" s="22">
        <v>12.13</v>
      </c>
      <c r="D528" s="25" t="s">
        <v>733</v>
      </c>
      <c r="E528" s="23" t="s">
        <v>741</v>
      </c>
      <c r="F528" s="24" t="s">
        <v>742</v>
      </c>
      <c r="G528" s="25" t="s">
        <v>45</v>
      </c>
      <c r="H528" s="26">
        <v>1674</v>
      </c>
      <c r="I528" s="26">
        <v>455</v>
      </c>
      <c r="J528" s="31"/>
      <c r="K528" s="31"/>
      <c r="L528" s="31"/>
      <c r="M528" s="31"/>
      <c r="N528" s="31"/>
      <c r="O528" s="31"/>
      <c r="P528" s="31"/>
      <c r="Q528" s="31"/>
      <c r="R528" s="31"/>
      <c r="S528" s="31"/>
      <c r="T528" s="31"/>
      <c r="U528" s="31"/>
      <c r="V528" s="31"/>
      <c r="W528" s="31"/>
      <c r="X528" s="31"/>
      <c r="Y528" s="31"/>
      <c r="Z528" s="31"/>
      <c r="AA528" s="31"/>
      <c r="AB528" s="31"/>
      <c r="AC528" s="31"/>
      <c r="AD528" s="31"/>
      <c r="AE528" s="31"/>
      <c r="AF528" s="31"/>
      <c r="AG528" s="31"/>
      <c r="AH528" s="31"/>
      <c r="AI528" s="31"/>
      <c r="AJ528" s="31"/>
      <c r="AK528" s="31"/>
      <c r="AL528" s="28" t="str">
        <f>VLOOKUP($G528,'[42]Sheet1 (2)'!$A$1:$B$1048440,2,FALSE)</f>
        <v>No.</v>
      </c>
      <c r="AM528" s="32"/>
      <c r="AN528" s="31"/>
      <c r="AO528" s="33"/>
    </row>
    <row r="529" spans="1:41" ht="112" x14ac:dyDescent="0.25">
      <c r="A529" s="26">
        <v>416</v>
      </c>
      <c r="B529" s="25" t="s">
        <v>668</v>
      </c>
      <c r="C529" s="22">
        <v>12.22</v>
      </c>
      <c r="D529" s="25" t="s">
        <v>743</v>
      </c>
      <c r="E529" s="23" t="s">
        <v>744</v>
      </c>
      <c r="F529" s="21" t="s">
        <v>745</v>
      </c>
      <c r="G529" s="25" t="s">
        <v>746</v>
      </c>
      <c r="H529" s="26">
        <v>179</v>
      </c>
      <c r="I529" s="26">
        <v>136</v>
      </c>
      <c r="J529" s="31"/>
      <c r="K529" s="31"/>
      <c r="L529" s="31"/>
      <c r="M529" s="31"/>
      <c r="N529" s="31"/>
      <c r="O529" s="31"/>
      <c r="P529" s="31"/>
      <c r="Q529" s="31"/>
      <c r="R529" s="31"/>
      <c r="S529" s="31"/>
      <c r="T529" s="31"/>
      <c r="U529" s="31"/>
      <c r="V529" s="31"/>
      <c r="W529" s="31"/>
      <c r="X529" s="31"/>
      <c r="Y529" s="31"/>
      <c r="Z529" s="31"/>
      <c r="AA529" s="31"/>
      <c r="AB529" s="31"/>
      <c r="AC529" s="31"/>
      <c r="AD529" s="31"/>
      <c r="AE529" s="31"/>
      <c r="AF529" s="31"/>
      <c r="AG529" s="31"/>
      <c r="AH529" s="31"/>
      <c r="AI529" s="31"/>
      <c r="AJ529" s="31"/>
      <c r="AK529" s="31"/>
      <c r="AL529" s="28" t="str">
        <f>VLOOKUP($G529,'[42]Sheet1 (2)'!$A$1:$B$1048440,2,FALSE)</f>
        <v>Hour</v>
      </c>
      <c r="AM529" s="32"/>
      <c r="AN529" s="31"/>
      <c r="AO529" s="33"/>
    </row>
    <row r="530" spans="1:41" ht="112" x14ac:dyDescent="0.25">
      <c r="A530" s="26">
        <v>417</v>
      </c>
      <c r="B530" s="25" t="s">
        <v>668</v>
      </c>
      <c r="C530" s="22">
        <v>12.23</v>
      </c>
      <c r="D530" s="25" t="s">
        <v>743</v>
      </c>
      <c r="E530" s="23" t="s">
        <v>747</v>
      </c>
      <c r="F530" s="21" t="s">
        <v>745</v>
      </c>
      <c r="G530" s="25" t="s">
        <v>746</v>
      </c>
      <c r="H530" s="26">
        <v>201</v>
      </c>
      <c r="I530" s="103">
        <v>136</v>
      </c>
      <c r="J530" s="31"/>
      <c r="K530" s="31"/>
      <c r="L530" s="31"/>
      <c r="M530" s="31"/>
      <c r="N530" s="31"/>
      <c r="O530" s="31"/>
      <c r="P530" s="31"/>
      <c r="Q530" s="31"/>
      <c r="R530" s="31"/>
      <c r="S530" s="31"/>
      <c r="T530" s="31"/>
      <c r="U530" s="31"/>
      <c r="V530" s="31"/>
      <c r="W530" s="31"/>
      <c r="X530" s="31"/>
      <c r="Y530" s="31"/>
      <c r="Z530" s="31"/>
      <c r="AA530" s="31"/>
      <c r="AB530" s="31"/>
      <c r="AC530" s="31"/>
      <c r="AD530" s="31"/>
      <c r="AE530" s="31"/>
      <c r="AF530" s="31"/>
      <c r="AG530" s="31"/>
      <c r="AH530" s="31"/>
      <c r="AI530" s="31"/>
      <c r="AJ530" s="31"/>
      <c r="AK530" s="31"/>
      <c r="AL530" s="28" t="str">
        <f>VLOOKUP($G530,'[42]Sheet1 (2)'!$A$1:$B$1048440,2,FALSE)</f>
        <v>Hour</v>
      </c>
      <c r="AM530" s="32"/>
      <c r="AN530" s="31"/>
      <c r="AO530" s="33"/>
    </row>
    <row r="531" spans="1:41" ht="112" x14ac:dyDescent="0.25">
      <c r="A531" s="26">
        <v>418</v>
      </c>
      <c r="B531" s="25" t="s">
        <v>668</v>
      </c>
      <c r="C531" s="22">
        <v>12.24</v>
      </c>
      <c r="D531" s="25" t="s">
        <v>743</v>
      </c>
      <c r="E531" s="23" t="s">
        <v>748</v>
      </c>
      <c r="F531" s="21" t="s">
        <v>745</v>
      </c>
      <c r="G531" s="25" t="s">
        <v>746</v>
      </c>
      <c r="H531" s="26">
        <v>223</v>
      </c>
      <c r="I531" s="103">
        <v>136</v>
      </c>
      <c r="J531" s="31"/>
      <c r="K531" s="31"/>
      <c r="L531" s="31"/>
      <c r="M531" s="31"/>
      <c r="N531" s="31"/>
      <c r="O531" s="31"/>
      <c r="P531" s="31"/>
      <c r="Q531" s="31"/>
      <c r="R531" s="31"/>
      <c r="S531" s="31"/>
      <c r="T531" s="31"/>
      <c r="U531" s="31"/>
      <c r="V531" s="31"/>
      <c r="W531" s="31"/>
      <c r="X531" s="31"/>
      <c r="Y531" s="31"/>
      <c r="Z531" s="31"/>
      <c r="AA531" s="31"/>
      <c r="AB531" s="31"/>
      <c r="AC531" s="31"/>
      <c r="AD531" s="31"/>
      <c r="AE531" s="31"/>
      <c r="AF531" s="31"/>
      <c r="AG531" s="31"/>
      <c r="AH531" s="31"/>
      <c r="AI531" s="31"/>
      <c r="AJ531" s="31"/>
      <c r="AK531" s="31"/>
      <c r="AL531" s="28" t="str">
        <f>VLOOKUP($G531,'[42]Sheet1 (2)'!$A$1:$B$1048440,2,FALSE)</f>
        <v>Hour</v>
      </c>
      <c r="AM531" s="32"/>
      <c r="AN531" s="31"/>
      <c r="AO531" s="33"/>
    </row>
    <row r="532" spans="1:41" ht="98" x14ac:dyDescent="0.25">
      <c r="A532" s="26">
        <v>419</v>
      </c>
      <c r="B532" s="25" t="s">
        <v>668</v>
      </c>
      <c r="C532" s="22">
        <v>12.25</v>
      </c>
      <c r="D532" s="25" t="s">
        <v>749</v>
      </c>
      <c r="E532" s="24" t="s">
        <v>750</v>
      </c>
      <c r="F532" s="25" t="s">
        <v>751</v>
      </c>
      <c r="G532" s="25" t="s">
        <v>47</v>
      </c>
      <c r="H532" s="26">
        <v>5593</v>
      </c>
      <c r="I532" s="103">
        <v>866</v>
      </c>
      <c r="J532" s="158">
        <f>4.4/20</f>
        <v>0.22000000000000003</v>
      </c>
      <c r="K532" s="158"/>
      <c r="L532" s="158">
        <f>0.7+0.24</f>
        <v>0.94</v>
      </c>
      <c r="M532" s="158"/>
      <c r="N532" s="158"/>
      <c r="O532" s="158"/>
      <c r="P532" s="159">
        <v>0.47</v>
      </c>
      <c r="Q532" s="31"/>
      <c r="R532" s="31"/>
      <c r="S532" s="31"/>
      <c r="T532" s="31"/>
      <c r="U532" s="31"/>
      <c r="V532" s="31"/>
      <c r="W532" s="31"/>
      <c r="X532" s="31"/>
      <c r="Y532" s="31"/>
      <c r="Z532" s="31"/>
      <c r="AA532" s="31"/>
      <c r="AB532" s="31"/>
      <c r="AC532" s="31"/>
      <c r="AD532" s="31"/>
      <c r="AE532" s="31"/>
      <c r="AF532" s="31"/>
      <c r="AG532" s="31"/>
      <c r="AH532" s="31"/>
      <c r="AI532" s="31"/>
      <c r="AJ532" s="31">
        <v>1</v>
      </c>
      <c r="AK532" s="31"/>
      <c r="AL532" s="28" t="str">
        <f>VLOOKUP($G532,'[42]Sheet1 (2)'!$A$1:$B$1048440,2,FALSE)</f>
        <v>Cum</v>
      </c>
      <c r="AM532" s="32" t="s">
        <v>612</v>
      </c>
      <c r="AN532" s="31"/>
      <c r="AO532" s="33"/>
    </row>
    <row r="533" spans="1:41" ht="56" x14ac:dyDescent="0.25">
      <c r="A533" s="26">
        <v>420</v>
      </c>
      <c r="B533" s="23" t="s">
        <v>740</v>
      </c>
      <c r="C533" s="22">
        <v>12.27</v>
      </c>
      <c r="D533" s="25" t="s">
        <v>752</v>
      </c>
      <c r="E533" s="23" t="s">
        <v>753</v>
      </c>
      <c r="F533" s="21" t="s">
        <v>754</v>
      </c>
      <c r="G533" s="25" t="s">
        <v>47</v>
      </c>
      <c r="H533" s="26">
        <v>5022</v>
      </c>
      <c r="I533" s="121">
        <v>2402</v>
      </c>
      <c r="J533" s="31"/>
      <c r="K533" s="31"/>
      <c r="L533" s="31"/>
      <c r="M533" s="31"/>
      <c r="N533" s="31">
        <v>1</v>
      </c>
      <c r="O533" s="31"/>
      <c r="P533" s="31"/>
      <c r="Q533" s="31"/>
      <c r="R533" s="31"/>
      <c r="S533" s="31"/>
      <c r="T533" s="31"/>
      <c r="U533" s="31"/>
      <c r="V533" s="31"/>
      <c r="W533" s="31"/>
      <c r="X533" s="31"/>
      <c r="Y533" s="31"/>
      <c r="Z533" s="31"/>
      <c r="AA533" s="31"/>
      <c r="AB533" s="31"/>
      <c r="AC533" s="31"/>
      <c r="AD533" s="31"/>
      <c r="AE533" s="31"/>
      <c r="AF533" s="31"/>
      <c r="AG533" s="31"/>
      <c r="AH533" s="31"/>
      <c r="AI533" s="31"/>
      <c r="AJ533" s="31"/>
      <c r="AK533" s="31"/>
      <c r="AL533" s="28" t="str">
        <f>VLOOKUP($G533,'[42]Sheet1 (2)'!$A$1:$B$1048440,2,FALSE)</f>
        <v>Cum</v>
      </c>
      <c r="AM533" s="32"/>
      <c r="AN533" s="31"/>
      <c r="AO533" s="33"/>
    </row>
    <row r="534" spans="1:41" ht="56" x14ac:dyDescent="0.25">
      <c r="A534" s="26">
        <v>421</v>
      </c>
      <c r="B534" s="23" t="s">
        <v>740</v>
      </c>
      <c r="C534" s="22">
        <v>12.28</v>
      </c>
      <c r="D534" s="25" t="s">
        <v>755</v>
      </c>
      <c r="E534" s="23" t="s">
        <v>756</v>
      </c>
      <c r="F534" s="21" t="s">
        <v>757</v>
      </c>
      <c r="G534" s="21" t="s">
        <v>758</v>
      </c>
      <c r="H534" s="26">
        <v>95341</v>
      </c>
      <c r="I534" s="121">
        <v>20745</v>
      </c>
      <c r="J534" s="31"/>
      <c r="K534" s="31"/>
      <c r="L534" s="31"/>
      <c r="M534" s="31"/>
      <c r="N534" s="31"/>
      <c r="O534" s="31"/>
      <c r="P534" s="31"/>
      <c r="Q534" s="31"/>
      <c r="R534" s="31"/>
      <c r="S534" s="31"/>
      <c r="T534" s="31"/>
      <c r="U534" s="31"/>
      <c r="V534" s="31"/>
      <c r="W534" s="31"/>
      <c r="X534" s="31"/>
      <c r="Y534" s="31"/>
      <c r="Z534" s="31"/>
      <c r="AA534" s="31"/>
      <c r="AB534" s="31"/>
      <c r="AC534" s="31"/>
      <c r="AD534" s="31"/>
      <c r="AE534" s="31"/>
      <c r="AF534" s="31"/>
      <c r="AG534" s="31"/>
      <c r="AH534" s="31"/>
      <c r="AI534" s="31"/>
      <c r="AJ534" s="31"/>
      <c r="AK534" s="31"/>
      <c r="AL534" s="28" t="str">
        <f>VLOOKUP($G534,'[42]Sheet1 (2)'!$A$1:$B$1048440,2,FALSE)</f>
        <v>M.T.</v>
      </c>
      <c r="AM534" s="32"/>
      <c r="AN534" s="31"/>
      <c r="AO534" s="33"/>
    </row>
    <row r="535" spans="1:41" ht="98" x14ac:dyDescent="0.25">
      <c r="A535" s="26">
        <v>422</v>
      </c>
      <c r="B535" s="25" t="s">
        <v>668</v>
      </c>
      <c r="C535" s="22">
        <v>12.29</v>
      </c>
      <c r="D535" s="25" t="s">
        <v>759</v>
      </c>
      <c r="E535" s="24" t="s">
        <v>760</v>
      </c>
      <c r="F535" s="25" t="s">
        <v>761</v>
      </c>
      <c r="G535" s="25" t="s">
        <v>47</v>
      </c>
      <c r="H535" s="26">
        <v>5360</v>
      </c>
      <c r="I535" s="121">
        <v>1174</v>
      </c>
      <c r="J535" s="158">
        <f>4.4/20</f>
        <v>0.22000000000000003</v>
      </c>
      <c r="K535" s="158"/>
      <c r="L535" s="158">
        <f>0.7+0.24</f>
        <v>0.94</v>
      </c>
      <c r="M535" s="158"/>
      <c r="N535" s="158"/>
      <c r="O535" s="158"/>
      <c r="P535" s="159">
        <v>0.47</v>
      </c>
      <c r="Q535" s="31"/>
      <c r="R535" s="31"/>
      <c r="S535" s="31"/>
      <c r="T535" s="31"/>
      <c r="U535" s="31"/>
      <c r="V535" s="31"/>
      <c r="W535" s="31"/>
      <c r="X535" s="31"/>
      <c r="Y535" s="31"/>
      <c r="Z535" s="31"/>
      <c r="AA535" s="31"/>
      <c r="AB535" s="31"/>
      <c r="AC535" s="31"/>
      <c r="AD535" s="31"/>
      <c r="AE535" s="31"/>
      <c r="AF535" s="31"/>
      <c r="AG535" s="31"/>
      <c r="AH535" s="31"/>
      <c r="AI535" s="31"/>
      <c r="AJ535" s="31">
        <v>1</v>
      </c>
      <c r="AK535" s="31"/>
      <c r="AL535" s="28" t="str">
        <f>VLOOKUP($G535,'[42]Sheet1 (2)'!$A$1:$B$1048440,2,FALSE)</f>
        <v>Cum</v>
      </c>
      <c r="AM535" s="32" t="s">
        <v>612</v>
      </c>
      <c r="AN535" s="31"/>
      <c r="AO535" s="33"/>
    </row>
    <row r="536" spans="1:41" ht="56" x14ac:dyDescent="0.25">
      <c r="A536" s="26">
        <v>423</v>
      </c>
      <c r="B536" s="23" t="s">
        <v>762</v>
      </c>
      <c r="C536" s="22">
        <v>12.31</v>
      </c>
      <c r="D536" s="25" t="s">
        <v>763</v>
      </c>
      <c r="E536" s="24" t="s">
        <v>764</v>
      </c>
      <c r="F536" s="21" t="s">
        <v>765</v>
      </c>
      <c r="G536" s="21" t="s">
        <v>758</v>
      </c>
      <c r="H536" s="26">
        <v>87664</v>
      </c>
      <c r="I536" s="121">
        <v>11762</v>
      </c>
      <c r="J536" s="31"/>
      <c r="K536" s="31"/>
      <c r="L536" s="31"/>
      <c r="M536" s="31"/>
      <c r="N536" s="31"/>
      <c r="O536" s="31"/>
      <c r="P536" s="31"/>
      <c r="Q536" s="31"/>
      <c r="R536" s="31"/>
      <c r="S536" s="31"/>
      <c r="T536" s="31"/>
      <c r="U536" s="31"/>
      <c r="V536" s="31"/>
      <c r="W536" s="31"/>
      <c r="X536" s="31"/>
      <c r="Y536" s="31"/>
      <c r="Z536" s="31"/>
      <c r="AA536" s="31"/>
      <c r="AB536" s="31"/>
      <c r="AC536" s="31"/>
      <c r="AD536" s="31"/>
      <c r="AE536" s="31"/>
      <c r="AF536" s="31"/>
      <c r="AG536" s="31"/>
      <c r="AH536" s="31"/>
      <c r="AI536" s="31"/>
      <c r="AJ536" s="31"/>
      <c r="AK536" s="31"/>
      <c r="AL536" s="28" t="str">
        <f>VLOOKUP($G536,'[42]Sheet1 (2)'!$A$1:$B$1048440,2,FALSE)</f>
        <v>M.T.</v>
      </c>
      <c r="AM536" s="32"/>
      <c r="AN536" s="31"/>
      <c r="AO536" s="33"/>
    </row>
    <row r="537" spans="1:41" ht="112" x14ac:dyDescent="0.25">
      <c r="A537" s="26">
        <v>424</v>
      </c>
      <c r="B537" s="25" t="s">
        <v>668</v>
      </c>
      <c r="C537" s="22">
        <v>12.32</v>
      </c>
      <c r="D537" s="25" t="s">
        <v>766</v>
      </c>
      <c r="E537" s="23" t="s">
        <v>767</v>
      </c>
      <c r="F537" s="35" t="s">
        <v>768</v>
      </c>
      <c r="G537" s="25" t="s">
        <v>47</v>
      </c>
      <c r="H537" s="26">
        <v>6976</v>
      </c>
      <c r="I537" s="121">
        <v>1280</v>
      </c>
      <c r="J537" s="160">
        <f>7/20</f>
        <v>0.35</v>
      </c>
      <c r="K537" s="161"/>
      <c r="L537" s="162">
        <f>0.67+0.22</f>
        <v>0.89</v>
      </c>
      <c r="M537" s="162"/>
      <c r="N537" s="162"/>
      <c r="O537" s="162"/>
      <c r="P537" s="162">
        <f>L537/2</f>
        <v>0.44500000000000001</v>
      </c>
      <c r="Q537" s="31"/>
      <c r="R537" s="31"/>
      <c r="S537" s="31"/>
      <c r="T537" s="31"/>
      <c r="U537" s="31"/>
      <c r="V537" s="31"/>
      <c r="W537" s="31"/>
      <c r="X537" s="31"/>
      <c r="Y537" s="31"/>
      <c r="Z537" s="31"/>
      <c r="AA537" s="31"/>
      <c r="AB537" s="31"/>
      <c r="AC537" s="31"/>
      <c r="AD537" s="31"/>
      <c r="AE537" s="31"/>
      <c r="AF537" s="31"/>
      <c r="AG537" s="31"/>
      <c r="AH537" s="31"/>
      <c r="AI537" s="31"/>
      <c r="AJ537" s="31">
        <v>1</v>
      </c>
      <c r="AK537" s="31"/>
      <c r="AL537" s="28" t="str">
        <f>VLOOKUP($G537,'[42]Sheet1 (2)'!$A$1:$B$1048440,2,FALSE)</f>
        <v>Cum</v>
      </c>
      <c r="AM537" s="32" t="s">
        <v>769</v>
      </c>
      <c r="AN537" s="31"/>
      <c r="AO537" s="33"/>
    </row>
    <row r="538" spans="1:41" ht="112" x14ac:dyDescent="0.25">
      <c r="A538" s="26">
        <v>425</v>
      </c>
      <c r="B538" s="25" t="s">
        <v>668</v>
      </c>
      <c r="C538" s="22">
        <v>12.34</v>
      </c>
      <c r="D538" s="25" t="s">
        <v>766</v>
      </c>
      <c r="E538" s="23" t="s">
        <v>770</v>
      </c>
      <c r="F538" s="35" t="s">
        <v>768</v>
      </c>
      <c r="G538" s="25" t="s">
        <v>47</v>
      </c>
      <c r="H538" s="26">
        <v>7057</v>
      </c>
      <c r="I538" s="121">
        <v>1280</v>
      </c>
      <c r="J538" s="160">
        <f>7.5/20</f>
        <v>0.375</v>
      </c>
      <c r="K538" s="161"/>
      <c r="L538" s="162">
        <f>0.67+0.22</f>
        <v>0.89</v>
      </c>
      <c r="M538" s="162"/>
      <c r="N538" s="162"/>
      <c r="O538" s="162"/>
      <c r="P538" s="162">
        <f>L538/2</f>
        <v>0.44500000000000001</v>
      </c>
      <c r="Q538" s="31"/>
      <c r="R538" s="31"/>
      <c r="S538" s="31"/>
      <c r="T538" s="31"/>
      <c r="U538" s="31"/>
      <c r="V538" s="31"/>
      <c r="W538" s="31"/>
      <c r="X538" s="31"/>
      <c r="Y538" s="31"/>
      <c r="Z538" s="31"/>
      <c r="AA538" s="31"/>
      <c r="AB538" s="31"/>
      <c r="AC538" s="31"/>
      <c r="AD538" s="31"/>
      <c r="AE538" s="31"/>
      <c r="AF538" s="31"/>
      <c r="AG538" s="31"/>
      <c r="AH538" s="31"/>
      <c r="AI538" s="31"/>
      <c r="AJ538" s="31">
        <v>1</v>
      </c>
      <c r="AK538" s="31"/>
      <c r="AL538" s="28" t="str">
        <f>VLOOKUP($G538,'[42]Sheet1 (2)'!$A$1:$B$1048440,2,FALSE)</f>
        <v>Cum</v>
      </c>
      <c r="AM538" s="32" t="s">
        <v>771</v>
      </c>
      <c r="AN538" s="31"/>
      <c r="AO538" s="33"/>
    </row>
    <row r="539" spans="1:41" ht="98" x14ac:dyDescent="0.25">
      <c r="A539" s="26">
        <v>426</v>
      </c>
      <c r="B539" s="25" t="s">
        <v>668</v>
      </c>
      <c r="C539" s="22">
        <v>12.36</v>
      </c>
      <c r="D539" s="25" t="s">
        <v>772</v>
      </c>
      <c r="E539" s="24" t="s">
        <v>773</v>
      </c>
      <c r="F539" s="35" t="s">
        <v>768</v>
      </c>
      <c r="G539" s="25" t="s">
        <v>47</v>
      </c>
      <c r="H539" s="26">
        <v>6976</v>
      </c>
      <c r="I539" s="121">
        <v>1280</v>
      </c>
      <c r="J539" s="160">
        <f>7/20</f>
        <v>0.35</v>
      </c>
      <c r="K539" s="161"/>
      <c r="L539" s="162">
        <f>0.67+0.22</f>
        <v>0.89</v>
      </c>
      <c r="M539" s="162"/>
      <c r="N539" s="162"/>
      <c r="O539" s="162"/>
      <c r="P539" s="162">
        <f>L539/2</f>
        <v>0.44500000000000001</v>
      </c>
      <c r="Q539" s="31"/>
      <c r="R539" s="31"/>
      <c r="S539" s="31"/>
      <c r="T539" s="31"/>
      <c r="U539" s="31"/>
      <c r="V539" s="31"/>
      <c r="W539" s="31"/>
      <c r="X539" s="31"/>
      <c r="Y539" s="31"/>
      <c r="Z539" s="31"/>
      <c r="AA539" s="31"/>
      <c r="AB539" s="31"/>
      <c r="AC539" s="31"/>
      <c r="AD539" s="31"/>
      <c r="AE539" s="31"/>
      <c r="AF539" s="31"/>
      <c r="AG539" s="31"/>
      <c r="AH539" s="31"/>
      <c r="AI539" s="31"/>
      <c r="AJ539" s="31">
        <v>1</v>
      </c>
      <c r="AK539" s="31"/>
      <c r="AL539" s="28" t="str">
        <f>VLOOKUP($G539,'[42]Sheet1 (2)'!$A$1:$B$1048440,2,FALSE)</f>
        <v>Cum</v>
      </c>
      <c r="AM539" s="32" t="s">
        <v>769</v>
      </c>
      <c r="AN539" s="31"/>
      <c r="AO539" s="33"/>
    </row>
    <row r="540" spans="1:41" ht="98" x14ac:dyDescent="0.25">
      <c r="A540" s="26">
        <v>427</v>
      </c>
      <c r="B540" s="25" t="s">
        <v>668</v>
      </c>
      <c r="C540" s="22">
        <v>12.38</v>
      </c>
      <c r="D540" s="25" t="s">
        <v>772</v>
      </c>
      <c r="E540" s="24" t="s">
        <v>774</v>
      </c>
      <c r="F540" s="35" t="s">
        <v>768</v>
      </c>
      <c r="G540" s="25" t="s">
        <v>47</v>
      </c>
      <c r="H540" s="26">
        <v>7012</v>
      </c>
      <c r="I540" s="121">
        <v>1280</v>
      </c>
      <c r="J540" s="160">
        <f>7.5/20</f>
        <v>0.375</v>
      </c>
      <c r="K540" s="161"/>
      <c r="L540" s="162">
        <f>0.67+0.22</f>
        <v>0.89</v>
      </c>
      <c r="M540" s="162"/>
      <c r="N540" s="162"/>
      <c r="O540" s="162"/>
      <c r="P540" s="162">
        <f>L540/2</f>
        <v>0.44500000000000001</v>
      </c>
      <c r="Q540" s="31"/>
      <c r="R540" s="31"/>
      <c r="S540" s="31"/>
      <c r="T540" s="31"/>
      <c r="U540" s="31"/>
      <c r="V540" s="31"/>
      <c r="W540" s="31"/>
      <c r="X540" s="31"/>
      <c r="Y540" s="31"/>
      <c r="Z540" s="31"/>
      <c r="AA540" s="31"/>
      <c r="AB540" s="31"/>
      <c r="AC540" s="31"/>
      <c r="AD540" s="31"/>
      <c r="AE540" s="31"/>
      <c r="AF540" s="31"/>
      <c r="AG540" s="31"/>
      <c r="AH540" s="31"/>
      <c r="AI540" s="31"/>
      <c r="AJ540" s="31"/>
      <c r="AK540" s="31"/>
      <c r="AL540" s="28" t="str">
        <f>VLOOKUP($G540,'[42]Sheet1 (2)'!$A$1:$B$1048440,2,FALSE)</f>
        <v>Cum</v>
      </c>
      <c r="AM540" s="32" t="s">
        <v>771</v>
      </c>
      <c r="AN540" s="31"/>
      <c r="AO540" s="33"/>
    </row>
    <row r="541" spans="1:41" ht="168" x14ac:dyDescent="0.25">
      <c r="A541" s="26">
        <v>428</v>
      </c>
      <c r="B541" s="25" t="s">
        <v>668</v>
      </c>
      <c r="C541" s="22">
        <v>12.4</v>
      </c>
      <c r="D541" s="25" t="s">
        <v>775</v>
      </c>
      <c r="E541" s="23" t="s">
        <v>776</v>
      </c>
      <c r="F541" s="21" t="s">
        <v>777</v>
      </c>
      <c r="G541" s="21" t="s">
        <v>80</v>
      </c>
      <c r="H541" s="26">
        <v>43279</v>
      </c>
      <c r="I541" s="121">
        <v>9207</v>
      </c>
      <c r="J541" s="31"/>
      <c r="K541" s="31"/>
      <c r="L541" s="31"/>
      <c r="M541" s="31"/>
      <c r="N541" s="31"/>
      <c r="O541" s="31"/>
      <c r="P541" s="31"/>
      <c r="Q541" s="31"/>
      <c r="R541" s="31"/>
      <c r="S541" s="31"/>
      <c r="T541" s="31"/>
      <c r="U541" s="31"/>
      <c r="V541" s="31"/>
      <c r="W541" s="31"/>
      <c r="X541" s="31"/>
      <c r="Y541" s="31"/>
      <c r="Z541" s="31"/>
      <c r="AA541" s="31"/>
      <c r="AB541" s="31"/>
      <c r="AC541" s="31"/>
      <c r="AD541" s="31"/>
      <c r="AE541" s="31"/>
      <c r="AF541" s="31"/>
      <c r="AG541" s="31"/>
      <c r="AH541" s="31"/>
      <c r="AI541" s="31"/>
      <c r="AJ541" s="31"/>
      <c r="AK541" s="31"/>
      <c r="AL541" s="28" t="str">
        <f>VLOOKUP($G541,'[42]Sheet1 (2)'!$A$1:$B$1048440,2,FALSE)</f>
        <v>Rmt.</v>
      </c>
      <c r="AM541" s="32"/>
      <c r="AN541" s="31"/>
      <c r="AO541" s="33"/>
    </row>
    <row r="542" spans="1:41" ht="168" x14ac:dyDescent="0.25">
      <c r="A542" s="26">
        <v>429</v>
      </c>
      <c r="B542" s="25" t="s">
        <v>668</v>
      </c>
      <c r="C542" s="22">
        <v>12.41</v>
      </c>
      <c r="D542" s="25" t="s">
        <v>775</v>
      </c>
      <c r="E542" s="23" t="s">
        <v>778</v>
      </c>
      <c r="F542" s="21" t="s">
        <v>777</v>
      </c>
      <c r="G542" s="21" t="s">
        <v>80</v>
      </c>
      <c r="H542" s="121">
        <v>54819</v>
      </c>
      <c r="I542" s="26">
        <v>9886</v>
      </c>
      <c r="J542" s="31"/>
      <c r="K542" s="31"/>
      <c r="L542" s="31"/>
      <c r="M542" s="31"/>
      <c r="N542" s="31"/>
      <c r="O542" s="31"/>
      <c r="P542" s="31"/>
      <c r="Q542" s="31"/>
      <c r="R542" s="31"/>
      <c r="S542" s="31"/>
      <c r="T542" s="31"/>
      <c r="U542" s="31"/>
      <c r="V542" s="31"/>
      <c r="W542" s="31"/>
      <c r="X542" s="31"/>
      <c r="Y542" s="31"/>
      <c r="Z542" s="31"/>
      <c r="AA542" s="31"/>
      <c r="AB542" s="31"/>
      <c r="AC542" s="31"/>
      <c r="AD542" s="31"/>
      <c r="AE542" s="31"/>
      <c r="AF542" s="31"/>
      <c r="AG542" s="31"/>
      <c r="AH542" s="31"/>
      <c r="AI542" s="31"/>
      <c r="AJ542" s="31"/>
      <c r="AK542" s="31"/>
      <c r="AL542" s="28" t="str">
        <f>VLOOKUP($G542,'[42]Sheet1 (2)'!$A$1:$B$1048440,2,FALSE)</f>
        <v>Rmt.</v>
      </c>
      <c r="AM542" s="32"/>
      <c r="AN542" s="31"/>
      <c r="AO542" s="33"/>
    </row>
    <row r="543" spans="1:41" ht="168" x14ac:dyDescent="0.25">
      <c r="A543" s="26">
        <v>430</v>
      </c>
      <c r="B543" s="25" t="s">
        <v>668</v>
      </c>
      <c r="C543" s="22">
        <v>12.42</v>
      </c>
      <c r="D543" s="25" t="s">
        <v>775</v>
      </c>
      <c r="E543" s="23" t="s">
        <v>779</v>
      </c>
      <c r="F543" s="21" t="s">
        <v>777</v>
      </c>
      <c r="G543" s="21" t="s">
        <v>80</v>
      </c>
      <c r="H543" s="121">
        <v>59747</v>
      </c>
      <c r="I543" s="26">
        <v>11863</v>
      </c>
      <c r="J543" s="31"/>
      <c r="K543" s="31"/>
      <c r="L543" s="31"/>
      <c r="M543" s="31"/>
      <c r="N543" s="31"/>
      <c r="O543" s="31"/>
      <c r="P543" s="31"/>
      <c r="Q543" s="31"/>
      <c r="R543" s="31"/>
      <c r="S543" s="31"/>
      <c r="T543" s="31"/>
      <c r="U543" s="31"/>
      <c r="V543" s="31"/>
      <c r="W543" s="31"/>
      <c r="X543" s="31"/>
      <c r="Y543" s="31"/>
      <c r="Z543" s="31"/>
      <c r="AA543" s="31"/>
      <c r="AB543" s="31"/>
      <c r="AC543" s="31"/>
      <c r="AD543" s="31"/>
      <c r="AE543" s="31"/>
      <c r="AF543" s="31"/>
      <c r="AG543" s="31"/>
      <c r="AH543" s="31"/>
      <c r="AI543" s="31"/>
      <c r="AJ543" s="31"/>
      <c r="AK543" s="31"/>
      <c r="AL543" s="28" t="str">
        <f>VLOOKUP($G543,'[42]Sheet1 (2)'!$A$1:$B$1048440,2,FALSE)</f>
        <v>Rmt.</v>
      </c>
      <c r="AM543" s="32"/>
      <c r="AN543" s="31"/>
      <c r="AO543" s="33"/>
    </row>
    <row r="544" spans="1:41" ht="168" x14ac:dyDescent="0.25">
      <c r="A544" s="26">
        <v>431</v>
      </c>
      <c r="B544" s="25" t="s">
        <v>668</v>
      </c>
      <c r="C544" s="22">
        <v>12.43</v>
      </c>
      <c r="D544" s="25" t="s">
        <v>775</v>
      </c>
      <c r="E544" s="23" t="s">
        <v>780</v>
      </c>
      <c r="F544" s="21" t="s">
        <v>777</v>
      </c>
      <c r="G544" s="21" t="s">
        <v>80</v>
      </c>
      <c r="H544" s="121">
        <v>84298</v>
      </c>
      <c r="I544" s="26">
        <v>14460</v>
      </c>
      <c r="J544" s="31"/>
      <c r="K544" s="31"/>
      <c r="L544" s="31"/>
      <c r="M544" s="31"/>
      <c r="N544" s="31"/>
      <c r="O544" s="31"/>
      <c r="P544" s="31"/>
      <c r="Q544" s="31"/>
      <c r="R544" s="31"/>
      <c r="S544" s="31"/>
      <c r="T544" s="31"/>
      <c r="U544" s="31"/>
      <c r="V544" s="31"/>
      <c r="W544" s="31"/>
      <c r="X544" s="31"/>
      <c r="Y544" s="31"/>
      <c r="Z544" s="31"/>
      <c r="AA544" s="31"/>
      <c r="AB544" s="31"/>
      <c r="AC544" s="31"/>
      <c r="AD544" s="31"/>
      <c r="AE544" s="31"/>
      <c r="AF544" s="31"/>
      <c r="AG544" s="31"/>
      <c r="AH544" s="31"/>
      <c r="AI544" s="31"/>
      <c r="AJ544" s="31"/>
      <c r="AK544" s="31"/>
      <c r="AL544" s="28" t="str">
        <f>VLOOKUP($G544,'[42]Sheet1 (2)'!$A$1:$B$1048440,2,FALSE)</f>
        <v>Rmt.</v>
      </c>
      <c r="AM544" s="32"/>
      <c r="AN544" s="31"/>
      <c r="AO544" s="33"/>
    </row>
    <row r="545" spans="1:41" ht="168" x14ac:dyDescent="0.25">
      <c r="A545" s="26">
        <v>432</v>
      </c>
      <c r="B545" s="25" t="s">
        <v>668</v>
      </c>
      <c r="C545" s="22">
        <v>12.44</v>
      </c>
      <c r="D545" s="25" t="s">
        <v>775</v>
      </c>
      <c r="E545" s="23" t="s">
        <v>781</v>
      </c>
      <c r="F545" s="21" t="s">
        <v>777</v>
      </c>
      <c r="G545" s="21" t="s">
        <v>80</v>
      </c>
      <c r="H545" s="26">
        <v>94494</v>
      </c>
      <c r="I545" s="26">
        <v>18415</v>
      </c>
      <c r="J545" s="31"/>
      <c r="K545" s="31"/>
      <c r="L545" s="31"/>
      <c r="M545" s="31"/>
      <c r="N545" s="31"/>
      <c r="O545" s="31"/>
      <c r="P545" s="31"/>
      <c r="Q545" s="31"/>
      <c r="R545" s="31"/>
      <c r="S545" s="31"/>
      <c r="T545" s="31"/>
      <c r="U545" s="31"/>
      <c r="V545" s="31"/>
      <c r="W545" s="31"/>
      <c r="X545" s="31"/>
      <c r="Y545" s="31"/>
      <c r="Z545" s="31"/>
      <c r="AA545" s="31"/>
      <c r="AB545" s="31"/>
      <c r="AC545" s="31"/>
      <c r="AD545" s="31"/>
      <c r="AE545" s="31"/>
      <c r="AF545" s="31"/>
      <c r="AG545" s="31"/>
      <c r="AH545" s="31"/>
      <c r="AI545" s="31"/>
      <c r="AJ545" s="31"/>
      <c r="AK545" s="31"/>
      <c r="AL545" s="28" t="str">
        <f>VLOOKUP($G545,'[42]Sheet1 (2)'!$A$1:$B$1048440,2,FALSE)</f>
        <v>Rmt.</v>
      </c>
      <c r="AM545" s="32"/>
      <c r="AN545" s="31"/>
      <c r="AO545" s="33"/>
    </row>
    <row r="546" spans="1:41" ht="168" x14ac:dyDescent="0.25">
      <c r="A546" s="26">
        <v>433</v>
      </c>
      <c r="B546" s="25" t="s">
        <v>668</v>
      </c>
      <c r="C546" s="22">
        <v>12.45</v>
      </c>
      <c r="D546" s="25" t="s">
        <v>775</v>
      </c>
      <c r="E546" s="23" t="s">
        <v>782</v>
      </c>
      <c r="F546" s="21" t="s">
        <v>777</v>
      </c>
      <c r="G546" s="21" t="s">
        <v>80</v>
      </c>
      <c r="H546" s="26">
        <v>100965</v>
      </c>
      <c r="I546" s="26">
        <v>19713</v>
      </c>
      <c r="J546" s="31"/>
      <c r="K546" s="31"/>
      <c r="L546" s="31"/>
      <c r="M546" s="31"/>
      <c r="N546" s="31"/>
      <c r="O546" s="31"/>
      <c r="P546" s="31"/>
      <c r="Q546" s="31"/>
      <c r="R546" s="31"/>
      <c r="S546" s="31"/>
      <c r="T546" s="31"/>
      <c r="U546" s="31"/>
      <c r="V546" s="31"/>
      <c r="W546" s="31"/>
      <c r="X546" s="31"/>
      <c r="Y546" s="31"/>
      <c r="Z546" s="31"/>
      <c r="AA546" s="31"/>
      <c r="AB546" s="31"/>
      <c r="AC546" s="31"/>
      <c r="AD546" s="31"/>
      <c r="AE546" s="31"/>
      <c r="AF546" s="31"/>
      <c r="AG546" s="31"/>
      <c r="AH546" s="31"/>
      <c r="AI546" s="31"/>
      <c r="AJ546" s="31"/>
      <c r="AK546" s="31"/>
      <c r="AL546" s="28" t="str">
        <f>VLOOKUP($G546,'[42]Sheet1 (2)'!$A$1:$B$1048440,2,FALSE)</f>
        <v>Rmt.</v>
      </c>
      <c r="AM546" s="32"/>
      <c r="AN546" s="31"/>
      <c r="AO546" s="33"/>
    </row>
    <row r="547" spans="1:41" ht="42" x14ac:dyDescent="0.25">
      <c r="A547" s="26">
        <v>434</v>
      </c>
      <c r="B547" s="23" t="s">
        <v>740</v>
      </c>
      <c r="C547" s="22">
        <v>12.46</v>
      </c>
      <c r="D547" s="25" t="s">
        <v>775</v>
      </c>
      <c r="E547" s="24" t="s">
        <v>783</v>
      </c>
      <c r="F547" s="24" t="s">
        <v>784</v>
      </c>
      <c r="G547" s="21" t="s">
        <v>80</v>
      </c>
      <c r="H547" s="26">
        <v>2842</v>
      </c>
      <c r="I547" s="26">
        <v>2842</v>
      </c>
      <c r="J547" s="31"/>
      <c r="K547" s="31"/>
      <c r="L547" s="31"/>
      <c r="M547" s="31"/>
      <c r="N547" s="31"/>
      <c r="O547" s="31"/>
      <c r="P547" s="31"/>
      <c r="Q547" s="31"/>
      <c r="R547" s="31"/>
      <c r="S547" s="31"/>
      <c r="T547" s="31"/>
      <c r="U547" s="31"/>
      <c r="V547" s="31"/>
      <c r="W547" s="31"/>
      <c r="X547" s="31"/>
      <c r="Y547" s="31"/>
      <c r="Z547" s="31"/>
      <c r="AA547" s="31"/>
      <c r="AB547" s="31"/>
      <c r="AC547" s="31"/>
      <c r="AD547" s="31"/>
      <c r="AE547" s="31"/>
      <c r="AF547" s="31"/>
      <c r="AG547" s="31"/>
      <c r="AH547" s="31"/>
      <c r="AI547" s="31"/>
      <c r="AJ547" s="31"/>
      <c r="AK547" s="31"/>
      <c r="AL547" s="28" t="str">
        <f>VLOOKUP($G547,'[42]Sheet1 (2)'!$A$1:$B$1048440,2,FALSE)</f>
        <v>Rmt.</v>
      </c>
      <c r="AM547" s="32"/>
      <c r="AN547" s="31"/>
      <c r="AO547" s="33"/>
    </row>
    <row r="548" spans="1:41" ht="56" x14ac:dyDescent="0.25">
      <c r="A548" s="26">
        <v>435</v>
      </c>
      <c r="B548" s="25" t="s">
        <v>668</v>
      </c>
      <c r="C548" s="22">
        <v>12.47</v>
      </c>
      <c r="D548" s="25" t="s">
        <v>785</v>
      </c>
      <c r="E548" s="24" t="s">
        <v>786</v>
      </c>
      <c r="F548" s="21" t="s">
        <v>787</v>
      </c>
      <c r="G548" s="25" t="s">
        <v>45</v>
      </c>
      <c r="H548" s="26">
        <v>7859</v>
      </c>
      <c r="I548" s="26">
        <v>1361</v>
      </c>
      <c r="J548" s="31"/>
      <c r="K548" s="31"/>
      <c r="L548" s="31"/>
      <c r="M548" s="31"/>
      <c r="N548" s="31"/>
      <c r="O548" s="31"/>
      <c r="P548" s="31"/>
      <c r="Q548" s="31"/>
      <c r="R548" s="31"/>
      <c r="S548" s="31"/>
      <c r="T548" s="31"/>
      <c r="U548" s="31"/>
      <c r="V548" s="31"/>
      <c r="W548" s="31"/>
      <c r="X548" s="31"/>
      <c r="Y548" s="31"/>
      <c r="Z548" s="31"/>
      <c r="AA548" s="31"/>
      <c r="AB548" s="31"/>
      <c r="AC548" s="31"/>
      <c r="AD548" s="31"/>
      <c r="AE548" s="31"/>
      <c r="AF548" s="31"/>
      <c r="AG548" s="31"/>
      <c r="AH548" s="31"/>
      <c r="AI548" s="31"/>
      <c r="AJ548" s="31"/>
      <c r="AK548" s="31"/>
      <c r="AL548" s="28" t="str">
        <f>VLOOKUP($G548,'[42]Sheet1 (2)'!$A$1:$B$1048440,2,FALSE)</f>
        <v>No.</v>
      </c>
      <c r="AM548" s="32"/>
      <c r="AN548" s="31"/>
      <c r="AO548" s="33"/>
    </row>
    <row r="549" spans="1:41" ht="84" x14ac:dyDescent="0.25">
      <c r="A549" s="26">
        <v>436</v>
      </c>
      <c r="B549" s="25" t="s">
        <v>668</v>
      </c>
      <c r="C549" s="22">
        <v>12.48</v>
      </c>
      <c r="D549" s="25" t="s">
        <v>788</v>
      </c>
      <c r="E549" s="23" t="s">
        <v>789</v>
      </c>
      <c r="F549" s="21" t="s">
        <v>790</v>
      </c>
      <c r="G549" s="25" t="s">
        <v>45</v>
      </c>
      <c r="H549" s="26">
        <v>8270</v>
      </c>
      <c r="I549" s="26">
        <v>1701</v>
      </c>
      <c r="J549" s="31"/>
      <c r="K549" s="31"/>
      <c r="L549" s="31"/>
      <c r="M549" s="31"/>
      <c r="N549" s="31"/>
      <c r="O549" s="31"/>
      <c r="P549" s="31"/>
      <c r="Q549" s="31"/>
      <c r="R549" s="31"/>
      <c r="S549" s="31"/>
      <c r="T549" s="31"/>
      <c r="U549" s="31"/>
      <c r="V549" s="31"/>
      <c r="W549" s="31"/>
      <c r="X549" s="31"/>
      <c r="Y549" s="31"/>
      <c r="Z549" s="31"/>
      <c r="AA549" s="31"/>
      <c r="AB549" s="31"/>
      <c r="AC549" s="31"/>
      <c r="AD549" s="31"/>
      <c r="AE549" s="31"/>
      <c r="AF549" s="31"/>
      <c r="AG549" s="31"/>
      <c r="AH549" s="31"/>
      <c r="AI549" s="31"/>
      <c r="AJ549" s="31"/>
      <c r="AK549" s="31"/>
      <c r="AL549" s="28" t="str">
        <f>VLOOKUP($G549,'[42]Sheet1 (2)'!$A$1:$B$1048440,2,FALSE)</f>
        <v>No.</v>
      </c>
      <c r="AM549" s="32"/>
      <c r="AN549" s="31"/>
      <c r="AO549" s="33"/>
    </row>
    <row r="550" spans="1:41" ht="112" x14ac:dyDescent="0.25">
      <c r="A550" s="26">
        <v>437</v>
      </c>
      <c r="B550" s="25" t="s">
        <v>668</v>
      </c>
      <c r="C550" s="22">
        <v>12.49</v>
      </c>
      <c r="D550" s="25" t="s">
        <v>791</v>
      </c>
      <c r="E550" s="23" t="s">
        <v>792</v>
      </c>
      <c r="F550" s="35" t="s">
        <v>793</v>
      </c>
      <c r="G550" s="25" t="s">
        <v>47</v>
      </c>
      <c r="H550" s="26">
        <v>6975</v>
      </c>
      <c r="I550" s="26">
        <v>1755</v>
      </c>
      <c r="J550" s="163">
        <v>0.33</v>
      </c>
      <c r="K550" s="31"/>
      <c r="L550" s="163">
        <f>0.52+0.22+0.11</f>
        <v>0.85</v>
      </c>
      <c r="M550" s="31"/>
      <c r="N550" s="31"/>
      <c r="O550" s="31"/>
      <c r="P550" s="163">
        <v>0.45</v>
      </c>
      <c r="Q550" s="31"/>
      <c r="R550" s="31"/>
      <c r="S550" s="31"/>
      <c r="T550" s="31"/>
      <c r="U550" s="31"/>
      <c r="V550" s="31"/>
      <c r="W550" s="31"/>
      <c r="X550" s="31"/>
      <c r="Y550" s="31"/>
      <c r="Z550" s="31"/>
      <c r="AA550" s="31"/>
      <c r="AB550" s="31"/>
      <c r="AC550" s="31"/>
      <c r="AD550" s="31"/>
      <c r="AE550" s="31"/>
      <c r="AF550" s="31"/>
      <c r="AG550" s="31"/>
      <c r="AH550" s="31"/>
      <c r="AI550" s="31"/>
      <c r="AJ550" s="31">
        <v>1</v>
      </c>
      <c r="AK550" s="31"/>
      <c r="AL550" s="28" t="str">
        <f>VLOOKUP($G550,'[42]Sheet1 (2)'!$A$1:$B$1048440,2,FALSE)</f>
        <v>Cum</v>
      </c>
      <c r="AM550" s="32" t="s">
        <v>794</v>
      </c>
      <c r="AN550" s="31"/>
      <c r="AO550" s="33"/>
    </row>
    <row r="551" spans="1:41" ht="98" x14ac:dyDescent="0.25">
      <c r="A551" s="26">
        <v>438</v>
      </c>
      <c r="B551" s="25" t="s">
        <v>668</v>
      </c>
      <c r="C551" s="127">
        <v>12.51</v>
      </c>
      <c r="D551" s="25" t="s">
        <v>795</v>
      </c>
      <c r="E551" s="24" t="s">
        <v>796</v>
      </c>
      <c r="F551" s="35" t="s">
        <v>793</v>
      </c>
      <c r="G551" s="25" t="s">
        <v>47</v>
      </c>
      <c r="H551" s="26">
        <v>7576</v>
      </c>
      <c r="I551" s="26">
        <v>2247</v>
      </c>
      <c r="J551" s="163">
        <v>0.33</v>
      </c>
      <c r="K551" s="31"/>
      <c r="L551" s="163">
        <f>0.52+0.22+0.11</f>
        <v>0.85</v>
      </c>
      <c r="M551" s="31"/>
      <c r="N551" s="31"/>
      <c r="O551" s="31"/>
      <c r="P551" s="163">
        <v>0.45</v>
      </c>
      <c r="Q551" s="31"/>
      <c r="R551" s="31"/>
      <c r="S551" s="31"/>
      <c r="T551" s="31"/>
      <c r="U551" s="31"/>
      <c r="V551" s="31"/>
      <c r="W551" s="31"/>
      <c r="X551" s="31"/>
      <c r="Y551" s="31"/>
      <c r="Z551" s="31"/>
      <c r="AA551" s="31"/>
      <c r="AB551" s="31"/>
      <c r="AC551" s="31"/>
      <c r="AD551" s="31"/>
      <c r="AE551" s="31"/>
      <c r="AF551" s="31"/>
      <c r="AG551" s="31"/>
      <c r="AH551" s="31"/>
      <c r="AI551" s="31"/>
      <c r="AJ551" s="31">
        <v>1</v>
      </c>
      <c r="AK551" s="31"/>
      <c r="AL551" s="28" t="str">
        <f>VLOOKUP($G551,'[42]Sheet1 (2)'!$A$1:$B$1048440,2,FALSE)</f>
        <v>Cum</v>
      </c>
      <c r="AM551" s="32" t="s">
        <v>794</v>
      </c>
      <c r="AN551" s="31"/>
      <c r="AO551" s="33"/>
    </row>
    <row r="552" spans="1:41" ht="112" x14ac:dyDescent="0.25">
      <c r="A552" s="26">
        <v>439</v>
      </c>
      <c r="B552" s="25" t="s">
        <v>668</v>
      </c>
      <c r="C552" s="127">
        <v>12.55</v>
      </c>
      <c r="D552" s="25" t="s">
        <v>797</v>
      </c>
      <c r="E552" s="23" t="s">
        <v>798</v>
      </c>
      <c r="F552" s="24" t="s">
        <v>742</v>
      </c>
      <c r="G552" s="25" t="s">
        <v>47</v>
      </c>
      <c r="H552" s="26">
        <v>7472</v>
      </c>
      <c r="I552" s="26">
        <v>1376</v>
      </c>
      <c r="J552" s="163">
        <v>0.33</v>
      </c>
      <c r="K552" s="31"/>
      <c r="L552" s="163">
        <f>0.52+0.22+0.11</f>
        <v>0.85</v>
      </c>
      <c r="M552" s="31"/>
      <c r="N552" s="31"/>
      <c r="O552" s="31"/>
      <c r="P552" s="163">
        <v>0.45</v>
      </c>
      <c r="Q552" s="31"/>
      <c r="R552" s="31"/>
      <c r="S552" s="31"/>
      <c r="T552" s="31"/>
      <c r="U552" s="31"/>
      <c r="V552" s="31"/>
      <c r="W552" s="31"/>
      <c r="X552" s="31"/>
      <c r="Y552" s="31"/>
      <c r="Z552" s="31"/>
      <c r="AA552" s="31"/>
      <c r="AB552" s="31"/>
      <c r="AC552" s="31"/>
      <c r="AD552" s="31"/>
      <c r="AE552" s="31"/>
      <c r="AF552" s="31"/>
      <c r="AG552" s="31"/>
      <c r="AH552" s="31"/>
      <c r="AI552" s="31"/>
      <c r="AJ552" s="31">
        <v>1</v>
      </c>
      <c r="AK552" s="31"/>
      <c r="AL552" s="28" t="str">
        <f>VLOOKUP($G552,'[42]Sheet1 (2)'!$A$1:$B$1048440,2,FALSE)</f>
        <v>Cum</v>
      </c>
      <c r="AM552" s="32" t="s">
        <v>799</v>
      </c>
      <c r="AN552" s="31"/>
      <c r="AO552" s="33"/>
    </row>
    <row r="553" spans="1:41" ht="126" x14ac:dyDescent="0.25">
      <c r="A553" s="26">
        <v>440</v>
      </c>
      <c r="B553" s="25" t="s">
        <v>668</v>
      </c>
      <c r="C553" s="127">
        <v>12.57</v>
      </c>
      <c r="D553" s="25" t="s">
        <v>797</v>
      </c>
      <c r="E553" s="23" t="s">
        <v>800</v>
      </c>
      <c r="F553" s="24" t="s">
        <v>742</v>
      </c>
      <c r="G553" s="25" t="s">
        <v>47</v>
      </c>
      <c r="H553" s="26">
        <v>7937</v>
      </c>
      <c r="I553" s="26">
        <v>1376</v>
      </c>
      <c r="J553" s="163">
        <f>7/20</f>
        <v>0.35</v>
      </c>
      <c r="K553" s="31"/>
      <c r="L553" s="163">
        <v>0.85</v>
      </c>
      <c r="M553" s="31"/>
      <c r="N553" s="31"/>
      <c r="O553" s="31"/>
      <c r="P553" s="163">
        <v>0.42499999999999999</v>
      </c>
      <c r="Q553" s="31"/>
      <c r="R553" s="31"/>
      <c r="S553" s="31"/>
      <c r="T553" s="31"/>
      <c r="U553" s="31"/>
      <c r="V553" s="31"/>
      <c r="W553" s="31"/>
      <c r="X553" s="31"/>
      <c r="Y553" s="31"/>
      <c r="Z553" s="31"/>
      <c r="AA553" s="31"/>
      <c r="AB553" s="31"/>
      <c r="AC553" s="31"/>
      <c r="AD553" s="31"/>
      <c r="AE553" s="31"/>
      <c r="AF553" s="31"/>
      <c r="AG553" s="31"/>
      <c r="AH553" s="31"/>
      <c r="AI553" s="31"/>
      <c r="AJ553" s="31">
        <v>1</v>
      </c>
      <c r="AK553" s="31"/>
      <c r="AL553" s="28" t="str">
        <f>VLOOKUP($G553,'[42]Sheet1 (2)'!$A$1:$B$1048440,2,FALSE)</f>
        <v>Cum</v>
      </c>
      <c r="AM553" s="32" t="s">
        <v>801</v>
      </c>
      <c r="AN553" s="31"/>
      <c r="AO553" s="33"/>
    </row>
    <row r="554" spans="1:41" ht="126" x14ac:dyDescent="0.25">
      <c r="A554" s="26">
        <v>441</v>
      </c>
      <c r="B554" s="25" t="s">
        <v>668</v>
      </c>
      <c r="C554" s="127">
        <v>12.59</v>
      </c>
      <c r="D554" s="25" t="s">
        <v>797</v>
      </c>
      <c r="E554" s="23" t="s">
        <v>802</v>
      </c>
      <c r="F554" s="24" t="s">
        <v>742</v>
      </c>
      <c r="G554" s="25" t="s">
        <v>47</v>
      </c>
      <c r="H554" s="26">
        <v>8019</v>
      </c>
      <c r="I554" s="26">
        <v>1376</v>
      </c>
      <c r="J554" s="163">
        <f>7.5/20</f>
        <v>0.375</v>
      </c>
      <c r="K554" s="31"/>
      <c r="L554" s="163">
        <v>0.85</v>
      </c>
      <c r="M554" s="31"/>
      <c r="N554" s="31"/>
      <c r="O554" s="31"/>
      <c r="P554" s="163">
        <v>0.42499999999999999</v>
      </c>
      <c r="Q554" s="31"/>
      <c r="R554" s="31"/>
      <c r="S554" s="31"/>
      <c r="T554" s="31"/>
      <c r="U554" s="31"/>
      <c r="V554" s="31"/>
      <c r="W554" s="31"/>
      <c r="X554" s="31"/>
      <c r="Y554" s="31"/>
      <c r="Z554" s="31"/>
      <c r="AA554" s="31"/>
      <c r="AB554" s="31"/>
      <c r="AC554" s="31"/>
      <c r="AD554" s="31"/>
      <c r="AE554" s="31"/>
      <c r="AF554" s="31"/>
      <c r="AG554" s="31"/>
      <c r="AH554" s="31"/>
      <c r="AI554" s="31"/>
      <c r="AJ554" s="31">
        <v>1</v>
      </c>
      <c r="AK554" s="31"/>
      <c r="AL554" s="28" t="str">
        <f>VLOOKUP($G554,'[42]Sheet1 (2)'!$A$1:$B$1048440,2,FALSE)</f>
        <v>Cum</v>
      </c>
      <c r="AM554" s="32" t="s">
        <v>803</v>
      </c>
      <c r="AN554" s="31"/>
      <c r="AO554" s="33"/>
    </row>
    <row r="555" spans="1:41" ht="98" x14ac:dyDescent="0.25">
      <c r="A555" s="26">
        <v>442</v>
      </c>
      <c r="B555" s="25" t="s">
        <v>668</v>
      </c>
      <c r="C555" s="25" t="s">
        <v>804</v>
      </c>
      <c r="D555" s="25" t="s">
        <v>772</v>
      </c>
      <c r="E555" s="23" t="s">
        <v>805</v>
      </c>
      <c r="F555" s="164" t="s">
        <v>806</v>
      </c>
      <c r="G555" s="25" t="s">
        <v>45</v>
      </c>
      <c r="H555" s="26">
        <v>72953</v>
      </c>
      <c r="I555" s="26">
        <v>11490</v>
      </c>
      <c r="J555" s="31"/>
      <c r="K555" s="31"/>
      <c r="L555" s="31"/>
      <c r="M555" s="31"/>
      <c r="N555" s="31"/>
      <c r="O555" s="31"/>
      <c r="P555" s="31"/>
      <c r="Q555" s="31"/>
      <c r="R555" s="31"/>
      <c r="S555" s="31"/>
      <c r="T555" s="31"/>
      <c r="U555" s="31"/>
      <c r="V555" s="31"/>
      <c r="W555" s="31"/>
      <c r="X555" s="31"/>
      <c r="Y555" s="31"/>
      <c r="Z555" s="31"/>
      <c r="AA555" s="31"/>
      <c r="AB555" s="31"/>
      <c r="AC555" s="31"/>
      <c r="AD555" s="31"/>
      <c r="AE555" s="31"/>
      <c r="AF555" s="31"/>
      <c r="AG555" s="31"/>
      <c r="AH555" s="31"/>
      <c r="AI555" s="31"/>
      <c r="AJ555" s="31"/>
      <c r="AK555" s="31"/>
      <c r="AL555" s="28" t="str">
        <f>VLOOKUP($G555,'[42]Sheet1 (2)'!$A$1:$B$1048440,2,FALSE)</f>
        <v>No.</v>
      </c>
      <c r="AM555" s="32"/>
      <c r="AN555" s="31"/>
      <c r="AO555" s="33"/>
    </row>
    <row r="556" spans="1:41" ht="98" x14ac:dyDescent="0.25">
      <c r="A556" s="26">
        <v>443</v>
      </c>
      <c r="B556" s="25" t="s">
        <v>668</v>
      </c>
      <c r="C556" s="25" t="s">
        <v>807</v>
      </c>
      <c r="D556" s="25" t="s">
        <v>772</v>
      </c>
      <c r="E556" s="23" t="s">
        <v>808</v>
      </c>
      <c r="F556" s="164" t="s">
        <v>806</v>
      </c>
      <c r="G556" s="25" t="s">
        <v>45</v>
      </c>
      <c r="H556" s="26">
        <v>342717</v>
      </c>
      <c r="I556" s="26">
        <v>89891</v>
      </c>
      <c r="J556" s="31"/>
      <c r="K556" s="31"/>
      <c r="L556" s="31"/>
      <c r="M556" s="31"/>
      <c r="N556" s="31"/>
      <c r="O556" s="31"/>
      <c r="P556" s="31"/>
      <c r="Q556" s="31"/>
      <c r="R556" s="31"/>
      <c r="S556" s="31"/>
      <c r="T556" s="31"/>
      <c r="U556" s="31"/>
      <c r="V556" s="31"/>
      <c r="W556" s="31"/>
      <c r="X556" s="31"/>
      <c r="Y556" s="31"/>
      <c r="Z556" s="31"/>
      <c r="AA556" s="31"/>
      <c r="AB556" s="31"/>
      <c r="AC556" s="31"/>
      <c r="AD556" s="31"/>
      <c r="AE556" s="31"/>
      <c r="AF556" s="31"/>
      <c r="AG556" s="31"/>
      <c r="AH556" s="31"/>
      <c r="AI556" s="31"/>
      <c r="AJ556" s="31"/>
      <c r="AK556" s="31"/>
      <c r="AL556" s="28" t="str">
        <f>VLOOKUP($G556,'[42]Sheet1 (2)'!$A$1:$B$1048440,2,FALSE)</f>
        <v>No.</v>
      </c>
      <c r="AM556" s="32"/>
      <c r="AN556" s="31"/>
      <c r="AO556" s="33"/>
    </row>
    <row r="557" spans="1:41" ht="98" x14ac:dyDescent="0.25">
      <c r="A557" s="26">
        <v>444</v>
      </c>
      <c r="B557" s="25" t="s">
        <v>668</v>
      </c>
      <c r="C557" s="25" t="s">
        <v>809</v>
      </c>
      <c r="D557" s="25" t="s">
        <v>772</v>
      </c>
      <c r="E557" s="23" t="s">
        <v>810</v>
      </c>
      <c r="F557" s="164" t="s">
        <v>806</v>
      </c>
      <c r="G557" s="25" t="s">
        <v>45</v>
      </c>
      <c r="H557" s="26">
        <v>42308</v>
      </c>
      <c r="I557" s="121">
        <v>6463</v>
      </c>
      <c r="J557" s="31"/>
      <c r="K557" s="31"/>
      <c r="L557" s="31"/>
      <c r="M557" s="31"/>
      <c r="N557" s="31"/>
      <c r="O557" s="31"/>
      <c r="P557" s="31"/>
      <c r="Q557" s="31"/>
      <c r="R557" s="31"/>
      <c r="S557" s="31"/>
      <c r="T557" s="31"/>
      <c r="U557" s="31"/>
      <c r="V557" s="31"/>
      <c r="W557" s="31"/>
      <c r="X557" s="31"/>
      <c r="Y557" s="31"/>
      <c r="Z557" s="31"/>
      <c r="AA557" s="31"/>
      <c r="AB557" s="31"/>
      <c r="AC557" s="31"/>
      <c r="AD557" s="31"/>
      <c r="AE557" s="31"/>
      <c r="AF557" s="31"/>
      <c r="AG557" s="31"/>
      <c r="AH557" s="31"/>
      <c r="AI557" s="31"/>
      <c r="AJ557" s="31"/>
      <c r="AK557" s="31"/>
      <c r="AL557" s="28" t="str">
        <f>VLOOKUP($G557,'[42]Sheet1 (2)'!$A$1:$B$1048440,2,FALSE)</f>
        <v>No.</v>
      </c>
      <c r="AM557" s="32"/>
      <c r="AN557" s="31"/>
      <c r="AO557" s="33"/>
    </row>
    <row r="558" spans="1:41" ht="98" x14ac:dyDescent="0.25">
      <c r="A558" s="26">
        <v>445</v>
      </c>
      <c r="B558" s="25" t="s">
        <v>668</v>
      </c>
      <c r="C558" s="25" t="s">
        <v>811</v>
      </c>
      <c r="D558" s="25" t="s">
        <v>772</v>
      </c>
      <c r="E558" s="23" t="s">
        <v>812</v>
      </c>
      <c r="F558" s="164" t="s">
        <v>806</v>
      </c>
      <c r="G558" s="25" t="s">
        <v>45</v>
      </c>
      <c r="H558" s="26">
        <v>212014</v>
      </c>
      <c r="I558" s="121">
        <v>61182</v>
      </c>
      <c r="J558" s="31"/>
      <c r="K558" s="31"/>
      <c r="L558" s="31"/>
      <c r="M558" s="31"/>
      <c r="N558" s="31"/>
      <c r="O558" s="31"/>
      <c r="P558" s="31"/>
      <c r="Q558" s="31"/>
      <c r="R558" s="31"/>
      <c r="S558" s="31"/>
      <c r="T558" s="31"/>
      <c r="U558" s="31"/>
      <c r="V558" s="31"/>
      <c r="W558" s="31"/>
      <c r="X558" s="31"/>
      <c r="Y558" s="31"/>
      <c r="Z558" s="31"/>
      <c r="AA558" s="31"/>
      <c r="AB558" s="31"/>
      <c r="AC558" s="31"/>
      <c r="AD558" s="31"/>
      <c r="AE558" s="31"/>
      <c r="AF558" s="31"/>
      <c r="AG558" s="31"/>
      <c r="AH558" s="31"/>
      <c r="AI558" s="31"/>
      <c r="AJ558" s="31"/>
      <c r="AK558" s="31"/>
      <c r="AL558" s="28" t="str">
        <f>VLOOKUP($G558,'[42]Sheet1 (2)'!$A$1:$B$1048440,2,FALSE)</f>
        <v>No.</v>
      </c>
      <c r="AM558" s="32"/>
      <c r="AN558" s="31"/>
      <c r="AO558" s="33"/>
    </row>
    <row r="559" spans="1:41" ht="56" x14ac:dyDescent="0.25">
      <c r="A559" s="26">
        <v>446</v>
      </c>
      <c r="B559" s="24" t="s">
        <v>813</v>
      </c>
      <c r="C559" s="127">
        <v>12.7</v>
      </c>
      <c r="D559" s="25" t="s">
        <v>72</v>
      </c>
      <c r="E559" s="24" t="s">
        <v>814</v>
      </c>
      <c r="F559" s="24" t="s">
        <v>815</v>
      </c>
      <c r="G559" s="25" t="s">
        <v>47</v>
      </c>
      <c r="H559" s="26">
        <v>784</v>
      </c>
      <c r="I559" s="103">
        <v>111</v>
      </c>
      <c r="J559" s="31"/>
      <c r="K559" s="31"/>
      <c r="L559" s="31">
        <v>1</v>
      </c>
      <c r="M559" s="31"/>
      <c r="N559" s="31"/>
      <c r="O559" s="31"/>
      <c r="P559" s="31"/>
      <c r="Q559" s="31"/>
      <c r="R559" s="31"/>
      <c r="S559" s="31"/>
      <c r="T559" s="31"/>
      <c r="U559" s="31"/>
      <c r="V559" s="31"/>
      <c r="W559" s="31"/>
      <c r="X559" s="31"/>
      <c r="Y559" s="31"/>
      <c r="Z559" s="31"/>
      <c r="AA559" s="31"/>
      <c r="AB559" s="31"/>
      <c r="AC559" s="31"/>
      <c r="AD559" s="31"/>
      <c r="AE559" s="31"/>
      <c r="AF559" s="31"/>
      <c r="AG559" s="31"/>
      <c r="AH559" s="31"/>
      <c r="AI559" s="31"/>
      <c r="AJ559" s="31"/>
      <c r="AK559" s="31"/>
      <c r="AL559" s="28" t="str">
        <f>VLOOKUP($G559,'[42]Sheet1 (2)'!$A$1:$B$1048440,2,FALSE)</f>
        <v>Cum</v>
      </c>
      <c r="AM559" s="32"/>
      <c r="AN559" s="31"/>
      <c r="AO559" s="33"/>
    </row>
    <row r="560" spans="1:41" ht="56" x14ac:dyDescent="0.25">
      <c r="A560" s="26">
        <v>447</v>
      </c>
      <c r="B560" s="24" t="s">
        <v>813</v>
      </c>
      <c r="C560" s="127">
        <v>12.71</v>
      </c>
      <c r="D560" s="25" t="s">
        <v>72</v>
      </c>
      <c r="E560" s="24" t="s">
        <v>816</v>
      </c>
      <c r="F560" s="24" t="s">
        <v>815</v>
      </c>
      <c r="G560" s="25" t="s">
        <v>47</v>
      </c>
      <c r="H560" s="26">
        <v>1860</v>
      </c>
      <c r="I560" s="103">
        <v>111</v>
      </c>
      <c r="J560" s="31"/>
      <c r="K560" s="31"/>
      <c r="L560" s="31"/>
      <c r="M560" s="31"/>
      <c r="N560" s="31"/>
      <c r="O560" s="31"/>
      <c r="P560" s="31"/>
      <c r="Q560" s="31">
        <v>1</v>
      </c>
      <c r="R560" s="31"/>
      <c r="S560" s="31"/>
      <c r="T560" s="31"/>
      <c r="U560" s="31"/>
      <c r="V560" s="31"/>
      <c r="W560" s="31"/>
      <c r="X560" s="31"/>
      <c r="Y560" s="31"/>
      <c r="Z560" s="31"/>
      <c r="AA560" s="31"/>
      <c r="AB560" s="31"/>
      <c r="AC560" s="31"/>
      <c r="AD560" s="31"/>
      <c r="AE560" s="31"/>
      <c r="AF560" s="31"/>
      <c r="AG560" s="31"/>
      <c r="AH560" s="31"/>
      <c r="AI560" s="31"/>
      <c r="AJ560" s="31"/>
      <c r="AK560" s="31"/>
      <c r="AL560" s="28" t="str">
        <f>VLOOKUP($G560,'[42]Sheet1 (2)'!$A$1:$B$1048440,2,FALSE)</f>
        <v>Cum</v>
      </c>
      <c r="AM560" s="32"/>
      <c r="AN560" s="31"/>
      <c r="AO560" s="33"/>
    </row>
    <row r="561" spans="1:41" ht="126" x14ac:dyDescent="0.25">
      <c r="A561" s="26">
        <v>448</v>
      </c>
      <c r="B561" s="24" t="s">
        <v>813</v>
      </c>
      <c r="C561" s="127">
        <v>12.72</v>
      </c>
      <c r="D561" s="25" t="s">
        <v>72</v>
      </c>
      <c r="E561" s="23" t="s">
        <v>817</v>
      </c>
      <c r="F561" s="24" t="s">
        <v>815</v>
      </c>
      <c r="G561" s="25" t="s">
        <v>47</v>
      </c>
      <c r="H561" s="26">
        <v>1212</v>
      </c>
      <c r="I561" s="103">
        <v>148</v>
      </c>
      <c r="J561" s="31"/>
      <c r="K561" s="31"/>
      <c r="L561" s="31"/>
      <c r="M561" s="163">
        <v>0.85</v>
      </c>
      <c r="N561" s="163"/>
      <c r="O561" s="163">
        <v>0.38</v>
      </c>
      <c r="P561" s="163"/>
      <c r="Q561" s="163">
        <v>0.15</v>
      </c>
      <c r="R561" s="31"/>
      <c r="S561" s="31"/>
      <c r="T561" s="31"/>
      <c r="U561" s="31"/>
      <c r="V561" s="31"/>
      <c r="W561" s="31"/>
      <c r="X561" s="31"/>
      <c r="Y561" s="31"/>
      <c r="Z561" s="31"/>
      <c r="AA561" s="31"/>
      <c r="AB561" s="31"/>
      <c r="AC561" s="31"/>
      <c r="AD561" s="31"/>
      <c r="AE561" s="31"/>
      <c r="AF561" s="31"/>
      <c r="AG561" s="31"/>
      <c r="AH561" s="31"/>
      <c r="AI561" s="31"/>
      <c r="AJ561" s="31"/>
      <c r="AK561" s="31"/>
      <c r="AL561" s="28" t="str">
        <f>VLOOKUP($G561,'[42]Sheet1 (2)'!$A$1:$B$1048440,2,FALSE)</f>
        <v>Cum</v>
      </c>
      <c r="AM561" s="32"/>
      <c r="AN561" s="31"/>
      <c r="AO561" s="33"/>
    </row>
    <row r="562" spans="1:41" ht="15" x14ac:dyDescent="0.25">
      <c r="A562" s="109"/>
      <c r="B562" s="24"/>
      <c r="C562" s="127"/>
      <c r="D562" s="165"/>
      <c r="E562" s="111" t="s">
        <v>818</v>
      </c>
      <c r="F562" s="166"/>
      <c r="G562" s="165"/>
      <c r="H562" s="167"/>
      <c r="I562" s="168"/>
      <c r="J562" s="31"/>
      <c r="K562" s="31"/>
      <c r="L562" s="31"/>
      <c r="M562" s="163"/>
      <c r="N562" s="163"/>
      <c r="O562" s="163"/>
      <c r="P562" s="163"/>
      <c r="Q562" s="163"/>
      <c r="R562" s="31"/>
      <c r="S562" s="31"/>
      <c r="T562" s="31"/>
      <c r="U562" s="31"/>
      <c r="V562" s="31"/>
      <c r="W562" s="31"/>
      <c r="X562" s="31"/>
      <c r="Y562" s="31"/>
      <c r="Z562" s="31"/>
      <c r="AA562" s="31"/>
      <c r="AB562" s="31"/>
      <c r="AC562" s="31"/>
      <c r="AD562" s="31"/>
      <c r="AE562" s="31"/>
      <c r="AF562" s="31"/>
      <c r="AG562" s="31"/>
      <c r="AH562" s="31"/>
      <c r="AI562" s="31"/>
      <c r="AJ562" s="31"/>
      <c r="AK562" s="31"/>
      <c r="AL562" s="28" t="e">
        <f>VLOOKUP($G562,'[42]Sheet1 (2)'!$A$1:$B$1048440,2,FALSE)</f>
        <v>#N/A</v>
      </c>
      <c r="AM562" s="32"/>
      <c r="AN562" s="31"/>
      <c r="AO562" s="33"/>
    </row>
    <row r="563" spans="1:41" ht="30" x14ac:dyDescent="0.25">
      <c r="A563" s="56">
        <v>449</v>
      </c>
      <c r="B563" s="55" t="s">
        <v>819</v>
      </c>
      <c r="C563" s="52">
        <v>13.01</v>
      </c>
      <c r="D563" s="55" t="s">
        <v>820</v>
      </c>
      <c r="E563" s="24" t="s">
        <v>821</v>
      </c>
      <c r="F563" s="58" t="s">
        <v>822</v>
      </c>
      <c r="G563" s="169" t="s">
        <v>823</v>
      </c>
      <c r="H563" s="56">
        <v>2</v>
      </c>
      <c r="I563" s="56">
        <v>1</v>
      </c>
      <c r="J563" s="31"/>
      <c r="K563" s="31"/>
      <c r="L563" s="31"/>
      <c r="M563" s="31"/>
      <c r="N563" s="31"/>
      <c r="O563" s="31"/>
      <c r="P563" s="31"/>
      <c r="Q563" s="31"/>
      <c r="R563" s="31"/>
      <c r="S563" s="31"/>
      <c r="T563" s="31"/>
      <c r="U563" s="31"/>
      <c r="V563" s="31"/>
      <c r="W563" s="31"/>
      <c r="X563" s="31"/>
      <c r="Y563" s="31"/>
      <c r="Z563" s="31"/>
      <c r="AA563" s="31"/>
      <c r="AB563" s="31"/>
      <c r="AC563" s="31"/>
      <c r="AD563" s="31"/>
      <c r="AE563" s="31"/>
      <c r="AF563" s="31"/>
      <c r="AG563" s="31"/>
      <c r="AH563" s="31"/>
      <c r="AI563" s="31"/>
      <c r="AJ563" s="31"/>
      <c r="AK563" s="31"/>
      <c r="AL563" s="28" t="e">
        <f>VLOOKUP($G563,'[42]Sheet1 (2)'!$A$1:$B$1048440,2,FALSE)</f>
        <v>#N/A</v>
      </c>
      <c r="AM563" s="32"/>
      <c r="AN563" s="31"/>
      <c r="AO563" s="33"/>
    </row>
    <row r="564" spans="1:41" ht="28" x14ac:dyDescent="0.25">
      <c r="A564" s="56">
        <v>450</v>
      </c>
      <c r="B564" s="55" t="s">
        <v>819</v>
      </c>
      <c r="C564" s="52">
        <v>13.02</v>
      </c>
      <c r="D564" s="55" t="s">
        <v>824</v>
      </c>
      <c r="E564" s="24" t="s">
        <v>825</v>
      </c>
      <c r="F564" s="58" t="s">
        <v>139</v>
      </c>
      <c r="G564" s="58" t="s">
        <v>185</v>
      </c>
      <c r="H564" s="56">
        <v>99</v>
      </c>
      <c r="I564" s="56">
        <v>34</v>
      </c>
      <c r="J564" s="31"/>
      <c r="K564" s="31"/>
      <c r="L564" s="31"/>
      <c r="M564" s="31"/>
      <c r="N564" s="31"/>
      <c r="O564" s="31"/>
      <c r="P564" s="31"/>
      <c r="Q564" s="31"/>
      <c r="R564" s="31"/>
      <c r="S564" s="31"/>
      <c r="T564" s="31"/>
      <c r="U564" s="31"/>
      <c r="V564" s="31"/>
      <c r="W564" s="31"/>
      <c r="X564" s="31"/>
      <c r="Y564" s="31"/>
      <c r="Z564" s="31"/>
      <c r="AA564" s="31"/>
      <c r="AB564" s="31"/>
      <c r="AC564" s="31"/>
      <c r="AD564" s="31"/>
      <c r="AE564" s="31"/>
      <c r="AF564" s="31"/>
      <c r="AG564" s="31"/>
      <c r="AH564" s="31"/>
      <c r="AI564" s="31"/>
      <c r="AJ564" s="31"/>
      <c r="AK564" s="31"/>
      <c r="AL564" s="28" t="str">
        <f>VLOOKUP($G564,'[42]Sheet1 (2)'!$A$1:$B$1048440,2,FALSE)</f>
        <v>Sqm</v>
      </c>
      <c r="AM564" s="32"/>
      <c r="AN564" s="31"/>
      <c r="AO564" s="33"/>
    </row>
    <row r="565" spans="1:41" ht="70" x14ac:dyDescent="0.25">
      <c r="A565" s="56">
        <v>451</v>
      </c>
      <c r="B565" s="55" t="s">
        <v>819</v>
      </c>
      <c r="C565" s="52">
        <v>13.04</v>
      </c>
      <c r="D565" s="55" t="s">
        <v>826</v>
      </c>
      <c r="E565" s="24" t="s">
        <v>827</v>
      </c>
      <c r="F565" s="57" t="s">
        <v>828</v>
      </c>
      <c r="G565" s="51" t="s">
        <v>829</v>
      </c>
      <c r="H565" s="56">
        <v>315</v>
      </c>
      <c r="I565" s="56">
        <v>4</v>
      </c>
      <c r="J565" s="31"/>
      <c r="K565" s="31"/>
      <c r="L565" s="31"/>
      <c r="M565" s="31"/>
      <c r="N565" s="31"/>
      <c r="O565" s="31"/>
      <c r="P565" s="31"/>
      <c r="Q565" s="31"/>
      <c r="R565" s="31"/>
      <c r="S565" s="31"/>
      <c r="T565" s="31"/>
      <c r="U565" s="31"/>
      <c r="V565" s="31"/>
      <c r="W565" s="31"/>
      <c r="X565" s="31"/>
      <c r="Y565" s="31"/>
      <c r="Z565" s="31"/>
      <c r="AA565" s="31"/>
      <c r="AB565" s="31"/>
      <c r="AC565" s="31"/>
      <c r="AD565" s="31"/>
      <c r="AE565" s="31"/>
      <c r="AF565" s="31"/>
      <c r="AG565" s="31"/>
      <c r="AH565" s="31"/>
      <c r="AI565" s="31"/>
      <c r="AJ565" s="31"/>
      <c r="AK565" s="31"/>
      <c r="AL565" s="28" t="str">
        <f>VLOOKUP($G565,'[42]Sheet1 (2)'!$A$1:$B$1048440,2,FALSE)</f>
        <v>M.T.</v>
      </c>
      <c r="AM565" s="32"/>
      <c r="AN565" s="31"/>
      <c r="AO565" s="33"/>
    </row>
    <row r="566" spans="1:41" ht="70" x14ac:dyDescent="0.25">
      <c r="A566" s="56">
        <v>452</v>
      </c>
      <c r="B566" s="55" t="s">
        <v>819</v>
      </c>
      <c r="C566" s="52">
        <v>13.05</v>
      </c>
      <c r="D566" s="55" t="s">
        <v>826</v>
      </c>
      <c r="E566" s="24" t="s">
        <v>830</v>
      </c>
      <c r="F566" s="58" t="s">
        <v>831</v>
      </c>
      <c r="G566" s="51" t="s">
        <v>829</v>
      </c>
      <c r="H566" s="56">
        <v>315</v>
      </c>
      <c r="I566" s="56">
        <v>4</v>
      </c>
      <c r="J566" s="31"/>
      <c r="K566" s="31"/>
      <c r="L566" s="31"/>
      <c r="M566" s="31"/>
      <c r="N566" s="31"/>
      <c r="O566" s="31"/>
      <c r="P566" s="31"/>
      <c r="Q566" s="31"/>
      <c r="R566" s="31"/>
      <c r="S566" s="31"/>
      <c r="T566" s="31"/>
      <c r="U566" s="31"/>
      <c r="V566" s="31"/>
      <c r="W566" s="31"/>
      <c r="X566" s="31"/>
      <c r="Y566" s="31"/>
      <c r="Z566" s="31"/>
      <c r="AA566" s="31"/>
      <c r="AB566" s="31"/>
      <c r="AC566" s="31"/>
      <c r="AD566" s="31"/>
      <c r="AE566" s="31"/>
      <c r="AF566" s="31"/>
      <c r="AG566" s="31"/>
      <c r="AH566" s="31"/>
      <c r="AI566" s="31"/>
      <c r="AJ566" s="31"/>
      <c r="AK566" s="31"/>
      <c r="AL566" s="28" t="str">
        <f>VLOOKUP($G566,'[42]Sheet1 (2)'!$A$1:$B$1048440,2,FALSE)</f>
        <v>M.T.</v>
      </c>
      <c r="AM566" s="32"/>
      <c r="AN566" s="31"/>
      <c r="AO566" s="33"/>
    </row>
    <row r="567" spans="1:41" ht="84" x14ac:dyDescent="0.25">
      <c r="A567" s="56">
        <v>453</v>
      </c>
      <c r="B567" s="55" t="s">
        <v>819</v>
      </c>
      <c r="C567" s="52">
        <v>13.06</v>
      </c>
      <c r="D567" s="55" t="s">
        <v>826</v>
      </c>
      <c r="E567" s="38" t="s">
        <v>832</v>
      </c>
      <c r="F567" s="58" t="s">
        <v>831</v>
      </c>
      <c r="G567" s="51" t="s">
        <v>829</v>
      </c>
      <c r="H567" s="56">
        <v>303</v>
      </c>
      <c r="I567" s="56">
        <v>17</v>
      </c>
      <c r="J567" s="31"/>
      <c r="K567" s="31"/>
      <c r="L567" s="31"/>
      <c r="M567" s="31"/>
      <c r="N567" s="31"/>
      <c r="O567" s="31"/>
      <c r="P567" s="31"/>
      <c r="Q567" s="31"/>
      <c r="R567" s="31"/>
      <c r="S567" s="31"/>
      <c r="T567" s="31"/>
      <c r="U567" s="31"/>
      <c r="V567" s="31"/>
      <c r="W567" s="31"/>
      <c r="X567" s="31"/>
      <c r="Y567" s="31"/>
      <c r="Z567" s="31"/>
      <c r="AA567" s="31"/>
      <c r="AB567" s="31"/>
      <c r="AC567" s="31"/>
      <c r="AD567" s="31"/>
      <c r="AE567" s="31"/>
      <c r="AF567" s="31"/>
      <c r="AG567" s="31"/>
      <c r="AH567" s="31"/>
      <c r="AI567" s="31"/>
      <c r="AJ567" s="31"/>
      <c r="AK567" s="31"/>
      <c r="AL567" s="28" t="str">
        <f>VLOOKUP($G567,'[42]Sheet1 (2)'!$A$1:$B$1048440,2,FALSE)</f>
        <v>M.T.</v>
      </c>
      <c r="AM567" s="32"/>
      <c r="AN567" s="31"/>
      <c r="AO567" s="33"/>
    </row>
    <row r="568" spans="1:41" ht="70" x14ac:dyDescent="0.25">
      <c r="A568" s="56">
        <v>454</v>
      </c>
      <c r="B568" s="55" t="s">
        <v>819</v>
      </c>
      <c r="C568" s="52">
        <v>13.07</v>
      </c>
      <c r="D568" s="55" t="s">
        <v>826</v>
      </c>
      <c r="E568" s="38" t="s">
        <v>833</v>
      </c>
      <c r="F568" s="58" t="s">
        <v>831</v>
      </c>
      <c r="G568" s="51" t="s">
        <v>834</v>
      </c>
      <c r="H568" s="56">
        <v>1</v>
      </c>
      <c r="I568" s="56">
        <v>0</v>
      </c>
      <c r="J568" s="31"/>
      <c r="K568" s="31"/>
      <c r="L568" s="31"/>
      <c r="M568" s="31"/>
      <c r="N568" s="31"/>
      <c r="O568" s="31"/>
      <c r="P568" s="31"/>
      <c r="Q568" s="31"/>
      <c r="R568" s="31"/>
      <c r="S568" s="31"/>
      <c r="T568" s="31"/>
      <c r="U568" s="31"/>
      <c r="V568" s="31"/>
      <c r="W568" s="31"/>
      <c r="X568" s="31"/>
      <c r="Y568" s="31"/>
      <c r="Z568" s="31"/>
      <c r="AA568" s="31"/>
      <c r="AB568" s="31"/>
      <c r="AC568" s="31"/>
      <c r="AD568" s="31"/>
      <c r="AE568" s="31"/>
      <c r="AF568" s="31"/>
      <c r="AG568" s="31"/>
      <c r="AH568" s="31"/>
      <c r="AI568" s="31"/>
      <c r="AJ568" s="31"/>
      <c r="AK568" s="31"/>
      <c r="AL568" s="28" t="e">
        <f>VLOOKUP($G568,'[42]Sheet1 (2)'!$A$1:$B$1048440,2,FALSE)</f>
        <v>#N/A</v>
      </c>
      <c r="AM568" s="32"/>
      <c r="AN568" s="31"/>
      <c r="AO568" s="33"/>
    </row>
    <row r="569" spans="1:41" ht="70" x14ac:dyDescent="0.25">
      <c r="A569" s="56">
        <v>455</v>
      </c>
      <c r="B569" s="55" t="s">
        <v>819</v>
      </c>
      <c r="C569" s="52">
        <v>13.08</v>
      </c>
      <c r="D569" s="55" t="s">
        <v>826</v>
      </c>
      <c r="E569" s="24" t="s">
        <v>835</v>
      </c>
      <c r="F569" s="58" t="s">
        <v>831</v>
      </c>
      <c r="G569" s="51" t="s">
        <v>829</v>
      </c>
      <c r="H569" s="56">
        <v>294</v>
      </c>
      <c r="I569" s="56">
        <v>9</v>
      </c>
      <c r="J569" s="31"/>
      <c r="K569" s="31"/>
      <c r="L569" s="31"/>
      <c r="M569" s="31"/>
      <c r="N569" s="31"/>
      <c r="O569" s="31"/>
      <c r="P569" s="31"/>
      <c r="Q569" s="31"/>
      <c r="R569" s="31"/>
      <c r="S569" s="31"/>
      <c r="T569" s="31"/>
      <c r="U569" s="31"/>
      <c r="V569" s="31"/>
      <c r="W569" s="31"/>
      <c r="X569" s="31"/>
      <c r="Y569" s="31"/>
      <c r="Z569" s="31"/>
      <c r="AA569" s="31"/>
      <c r="AB569" s="31"/>
      <c r="AC569" s="31"/>
      <c r="AD569" s="31"/>
      <c r="AE569" s="31"/>
      <c r="AF569" s="31"/>
      <c r="AG569" s="31"/>
      <c r="AH569" s="31"/>
      <c r="AI569" s="31"/>
      <c r="AJ569" s="31"/>
      <c r="AK569" s="31"/>
      <c r="AL569" s="28" t="str">
        <f>VLOOKUP($G569,'[42]Sheet1 (2)'!$A$1:$B$1048440,2,FALSE)</f>
        <v>M.T.</v>
      </c>
      <c r="AM569" s="32"/>
      <c r="AN569" s="31"/>
      <c r="AO569" s="33"/>
    </row>
    <row r="570" spans="1:41" ht="140" x14ac:dyDescent="0.25">
      <c r="A570" s="56">
        <v>456</v>
      </c>
      <c r="B570" s="55" t="s">
        <v>819</v>
      </c>
      <c r="C570" s="52">
        <v>13.09</v>
      </c>
      <c r="D570" s="55" t="s">
        <v>826</v>
      </c>
      <c r="E570" s="24" t="s">
        <v>836</v>
      </c>
      <c r="F570" s="58" t="s">
        <v>831</v>
      </c>
      <c r="G570" s="51" t="s">
        <v>829</v>
      </c>
      <c r="H570" s="56">
        <v>214</v>
      </c>
      <c r="I570" s="56">
        <v>7</v>
      </c>
      <c r="J570" s="31"/>
      <c r="K570" s="31"/>
      <c r="L570" s="31"/>
      <c r="M570" s="31"/>
      <c r="N570" s="31"/>
      <c r="O570" s="31"/>
      <c r="P570" s="31"/>
      <c r="Q570" s="31"/>
      <c r="R570" s="31"/>
      <c r="S570" s="31"/>
      <c r="T570" s="31"/>
      <c r="U570" s="31"/>
      <c r="V570" s="31"/>
      <c r="W570" s="31"/>
      <c r="X570" s="31"/>
      <c r="Y570" s="31"/>
      <c r="Z570" s="31"/>
      <c r="AA570" s="31"/>
      <c r="AB570" s="31"/>
      <c r="AC570" s="31"/>
      <c r="AD570" s="31"/>
      <c r="AE570" s="31"/>
      <c r="AF570" s="31"/>
      <c r="AG570" s="31"/>
      <c r="AH570" s="31"/>
      <c r="AI570" s="31"/>
      <c r="AJ570" s="31"/>
      <c r="AK570" s="31"/>
      <c r="AL570" s="28" t="str">
        <f>VLOOKUP($G570,'[42]Sheet1 (2)'!$A$1:$B$1048440,2,FALSE)</f>
        <v>M.T.</v>
      </c>
      <c r="AM570" s="32"/>
      <c r="AN570" s="31"/>
      <c r="AO570" s="33"/>
    </row>
    <row r="571" spans="1:41" ht="15" x14ac:dyDescent="0.25">
      <c r="A571" s="170"/>
      <c r="B571" s="55"/>
      <c r="C571" s="52"/>
      <c r="D571" s="171"/>
      <c r="E571" s="172" t="s">
        <v>837</v>
      </c>
      <c r="F571" s="173"/>
      <c r="G571" s="174"/>
      <c r="H571" s="175"/>
      <c r="I571" s="175"/>
      <c r="J571" s="31"/>
      <c r="K571" s="31"/>
      <c r="L571" s="31"/>
      <c r="M571" s="31"/>
      <c r="N571" s="31"/>
      <c r="O571" s="31"/>
      <c r="P571" s="31"/>
      <c r="Q571" s="31"/>
      <c r="R571" s="31"/>
      <c r="S571" s="31"/>
      <c r="T571" s="31"/>
      <c r="U571" s="31"/>
      <c r="V571" s="31"/>
      <c r="W571" s="31"/>
      <c r="X571" s="31"/>
      <c r="Y571" s="31"/>
      <c r="Z571" s="31"/>
      <c r="AA571" s="31"/>
      <c r="AB571" s="31"/>
      <c r="AC571" s="31"/>
      <c r="AD571" s="31"/>
      <c r="AE571" s="31"/>
      <c r="AF571" s="31"/>
      <c r="AG571" s="31"/>
      <c r="AH571" s="31"/>
      <c r="AI571" s="31"/>
      <c r="AJ571" s="31"/>
      <c r="AK571" s="31"/>
      <c r="AL571" s="28" t="e">
        <f>VLOOKUP($G571,'[42]Sheet1 (2)'!$A$1:$B$1048440,2,FALSE)</f>
        <v>#N/A</v>
      </c>
      <c r="AM571" s="32"/>
      <c r="AN571" s="31"/>
      <c r="AO571" s="33"/>
    </row>
    <row r="572" spans="1:41" ht="42" x14ac:dyDescent="0.25">
      <c r="A572" s="40">
        <v>457</v>
      </c>
      <c r="B572" s="42" t="s">
        <v>838</v>
      </c>
      <c r="C572" s="37">
        <v>14.01</v>
      </c>
      <c r="D572" s="45" t="s">
        <v>839</v>
      </c>
      <c r="E572" s="44" t="s">
        <v>840</v>
      </c>
      <c r="F572" s="44" t="s">
        <v>841</v>
      </c>
      <c r="G572" s="42" t="s">
        <v>758</v>
      </c>
      <c r="H572" s="40">
        <v>88341</v>
      </c>
      <c r="I572" s="40">
        <v>8367</v>
      </c>
      <c r="J572" s="31"/>
      <c r="K572" s="31">
        <v>1</v>
      </c>
      <c r="L572" s="31"/>
      <c r="M572" s="31"/>
      <c r="N572" s="31"/>
      <c r="O572" s="31"/>
      <c r="P572" s="31"/>
      <c r="Q572" s="31"/>
      <c r="R572" s="31"/>
      <c r="S572" s="31"/>
      <c r="T572" s="31"/>
      <c r="U572" s="31"/>
      <c r="V572" s="31"/>
      <c r="W572" s="31"/>
      <c r="X572" s="31"/>
      <c r="Y572" s="31"/>
      <c r="Z572" s="31"/>
      <c r="AA572" s="31"/>
      <c r="AB572" s="31"/>
      <c r="AC572" s="31"/>
      <c r="AD572" s="31"/>
      <c r="AE572" s="31"/>
      <c r="AF572" s="31"/>
      <c r="AG572" s="31"/>
      <c r="AH572" s="31"/>
      <c r="AI572" s="31"/>
      <c r="AJ572" s="31"/>
      <c r="AK572" s="31"/>
      <c r="AL572" s="28" t="str">
        <f>VLOOKUP($G572,'[42]Sheet1 (2)'!$A$1:$B$1048440,2,FALSE)</f>
        <v>M.T.</v>
      </c>
      <c r="AM572" s="32" t="s">
        <v>842</v>
      </c>
      <c r="AN572" s="31"/>
      <c r="AO572" s="33"/>
    </row>
    <row r="573" spans="1:41" ht="56" x14ac:dyDescent="0.25">
      <c r="A573" s="40">
        <v>458</v>
      </c>
      <c r="B573" s="47" t="s">
        <v>843</v>
      </c>
      <c r="C573" s="37">
        <v>14.02</v>
      </c>
      <c r="D573" s="45" t="s">
        <v>844</v>
      </c>
      <c r="E573" s="43" t="s">
        <v>845</v>
      </c>
      <c r="F573" s="47" t="s">
        <v>86</v>
      </c>
      <c r="G573" s="45" t="s">
        <v>45</v>
      </c>
      <c r="H573" s="40">
        <v>1225</v>
      </c>
      <c r="I573" s="40">
        <v>763</v>
      </c>
      <c r="J573" s="31"/>
      <c r="K573" s="31"/>
      <c r="L573" s="31"/>
      <c r="M573" s="31"/>
      <c r="N573" s="31"/>
      <c r="O573" s="31"/>
      <c r="P573" s="31"/>
      <c r="Q573" s="31"/>
      <c r="R573" s="31"/>
      <c r="S573" s="31"/>
      <c r="T573" s="31"/>
      <c r="U573" s="31"/>
      <c r="V573" s="31"/>
      <c r="W573" s="31"/>
      <c r="X573" s="31"/>
      <c r="Y573" s="31"/>
      <c r="Z573" s="31"/>
      <c r="AA573" s="31"/>
      <c r="AB573" s="31"/>
      <c r="AC573" s="31"/>
      <c r="AD573" s="31"/>
      <c r="AE573" s="31"/>
      <c r="AF573" s="31"/>
      <c r="AG573" s="31"/>
      <c r="AH573" s="31"/>
      <c r="AI573" s="31"/>
      <c r="AJ573" s="31"/>
      <c r="AK573" s="31"/>
      <c r="AL573" s="28" t="str">
        <f>VLOOKUP($G573,'[42]Sheet1 (2)'!$A$1:$B$1048440,2,FALSE)</f>
        <v>No.</v>
      </c>
      <c r="AM573" s="32"/>
      <c r="AN573" s="31"/>
      <c r="AO573" s="33"/>
    </row>
    <row r="574" spans="1:41" ht="56" x14ac:dyDescent="0.25">
      <c r="A574" s="40">
        <v>459</v>
      </c>
      <c r="B574" s="47" t="s">
        <v>843</v>
      </c>
      <c r="C574" s="37">
        <v>14.03</v>
      </c>
      <c r="D574" s="45" t="s">
        <v>846</v>
      </c>
      <c r="E574" s="43" t="s">
        <v>847</v>
      </c>
      <c r="F574" s="47" t="s">
        <v>848</v>
      </c>
      <c r="G574" s="45" t="s">
        <v>45</v>
      </c>
      <c r="H574" s="40">
        <v>1427</v>
      </c>
      <c r="I574" s="40">
        <v>763</v>
      </c>
      <c r="J574" s="31"/>
      <c r="K574" s="31"/>
      <c r="L574" s="31"/>
      <c r="M574" s="31"/>
      <c r="N574" s="31"/>
      <c r="O574" s="31"/>
      <c r="P574" s="31"/>
      <c r="Q574" s="31"/>
      <c r="R574" s="31"/>
      <c r="S574" s="31"/>
      <c r="T574" s="31"/>
      <c r="U574" s="31"/>
      <c r="V574" s="31"/>
      <c r="W574" s="31"/>
      <c r="X574" s="31"/>
      <c r="Y574" s="31"/>
      <c r="Z574" s="31"/>
      <c r="AA574" s="31"/>
      <c r="AB574" s="31"/>
      <c r="AC574" s="31"/>
      <c r="AD574" s="31"/>
      <c r="AE574" s="31"/>
      <c r="AF574" s="31"/>
      <c r="AG574" s="31"/>
      <c r="AH574" s="31"/>
      <c r="AI574" s="31"/>
      <c r="AJ574" s="31"/>
      <c r="AK574" s="31"/>
      <c r="AL574" s="28" t="str">
        <f>VLOOKUP($G574,'[42]Sheet1 (2)'!$A$1:$B$1048440,2,FALSE)</f>
        <v>No.</v>
      </c>
      <c r="AM574" s="32"/>
      <c r="AN574" s="31"/>
      <c r="AO574" s="33"/>
    </row>
    <row r="575" spans="1:41" ht="42" x14ac:dyDescent="0.25">
      <c r="A575" s="40">
        <v>460</v>
      </c>
      <c r="B575" s="47" t="s">
        <v>843</v>
      </c>
      <c r="C575" s="37">
        <v>14.04</v>
      </c>
      <c r="D575" s="45" t="s">
        <v>849</v>
      </c>
      <c r="E575" s="43" t="s">
        <v>850</v>
      </c>
      <c r="F575" s="47" t="s">
        <v>851</v>
      </c>
      <c r="G575" s="45" t="s">
        <v>45</v>
      </c>
      <c r="H575" s="40">
        <v>430</v>
      </c>
      <c r="I575" s="40">
        <v>323</v>
      </c>
      <c r="J575" s="31"/>
      <c r="K575" s="31"/>
      <c r="L575" s="31"/>
      <c r="M575" s="31"/>
      <c r="N575" s="31"/>
      <c r="O575" s="31"/>
      <c r="P575" s="31"/>
      <c r="Q575" s="31"/>
      <c r="R575" s="31"/>
      <c r="S575" s="31"/>
      <c r="T575" s="31"/>
      <c r="U575" s="31"/>
      <c r="V575" s="31"/>
      <c r="W575" s="31"/>
      <c r="X575" s="31"/>
      <c r="Y575" s="31"/>
      <c r="Z575" s="31"/>
      <c r="AA575" s="31"/>
      <c r="AB575" s="31"/>
      <c r="AC575" s="31"/>
      <c r="AD575" s="31"/>
      <c r="AE575" s="31"/>
      <c r="AF575" s="31"/>
      <c r="AG575" s="31"/>
      <c r="AH575" s="31"/>
      <c r="AI575" s="31"/>
      <c r="AJ575" s="31"/>
      <c r="AK575" s="31"/>
      <c r="AL575" s="28" t="str">
        <f>VLOOKUP($G575,'[42]Sheet1 (2)'!$A$1:$B$1048440,2,FALSE)</f>
        <v>No.</v>
      </c>
      <c r="AM575" s="32"/>
      <c r="AN575" s="31"/>
      <c r="AO575" s="33"/>
    </row>
    <row r="576" spans="1:41" ht="42" x14ac:dyDescent="0.25">
      <c r="A576" s="40">
        <v>461</v>
      </c>
      <c r="B576" s="47" t="s">
        <v>843</v>
      </c>
      <c r="C576" s="37">
        <v>14.05</v>
      </c>
      <c r="D576" s="45" t="s">
        <v>852</v>
      </c>
      <c r="E576" s="43" t="s">
        <v>853</v>
      </c>
      <c r="F576" s="47" t="s">
        <v>851</v>
      </c>
      <c r="G576" s="45" t="s">
        <v>45</v>
      </c>
      <c r="H576" s="40">
        <v>438</v>
      </c>
      <c r="I576" s="40">
        <v>323</v>
      </c>
      <c r="J576" s="176"/>
      <c r="K576" s="124"/>
      <c r="L576" s="177"/>
      <c r="M576" s="177"/>
      <c r="N576" s="177"/>
      <c r="O576" s="177"/>
      <c r="P576" s="177"/>
      <c r="Q576" s="31"/>
      <c r="R576" s="31"/>
      <c r="S576" s="31"/>
      <c r="T576" s="31"/>
      <c r="U576" s="31"/>
      <c r="V576" s="31"/>
      <c r="W576" s="31"/>
      <c r="X576" s="31"/>
      <c r="Y576" s="31"/>
      <c r="Z576" s="31"/>
      <c r="AA576" s="31"/>
      <c r="AB576" s="31"/>
      <c r="AC576" s="31"/>
      <c r="AD576" s="31"/>
      <c r="AE576" s="31"/>
      <c r="AF576" s="31"/>
      <c r="AG576" s="31"/>
      <c r="AH576" s="31"/>
      <c r="AI576" s="31"/>
      <c r="AJ576" s="31"/>
      <c r="AK576" s="31"/>
      <c r="AL576" s="28" t="str">
        <f>VLOOKUP($G576,'[42]Sheet1 (2)'!$A$1:$B$1048440,2,FALSE)</f>
        <v>No.</v>
      </c>
      <c r="AM576" s="32" t="s">
        <v>612</v>
      </c>
      <c r="AN576" s="31"/>
      <c r="AO576" s="33"/>
    </row>
    <row r="577" spans="1:41" ht="84" x14ac:dyDescent="0.25">
      <c r="A577" s="40">
        <v>462</v>
      </c>
      <c r="B577" s="42" t="s">
        <v>838</v>
      </c>
      <c r="C577" s="37">
        <v>14.06</v>
      </c>
      <c r="D577" s="45" t="s">
        <v>772</v>
      </c>
      <c r="E577" s="44" t="s">
        <v>854</v>
      </c>
      <c r="F577" s="44" t="s">
        <v>742</v>
      </c>
      <c r="G577" s="42" t="s">
        <v>758</v>
      </c>
      <c r="H577" s="40">
        <v>185100</v>
      </c>
      <c r="I577" s="40">
        <v>9502</v>
      </c>
      <c r="J577" s="176"/>
      <c r="K577" s="31"/>
      <c r="L577" s="31"/>
      <c r="M577" s="31"/>
      <c r="N577" s="178"/>
      <c r="O577" s="31"/>
      <c r="P577" s="178"/>
      <c r="Q577" s="31"/>
      <c r="R577" s="31"/>
      <c r="S577" s="31"/>
      <c r="T577" s="31"/>
      <c r="U577" s="31"/>
      <c r="V577" s="31"/>
      <c r="W577" s="31"/>
      <c r="X577" s="31"/>
      <c r="Y577" s="31"/>
      <c r="Z577" s="31"/>
      <c r="AA577" s="31"/>
      <c r="AB577" s="31"/>
      <c r="AC577" s="31"/>
      <c r="AD577" s="31"/>
      <c r="AE577" s="31"/>
      <c r="AF577" s="31"/>
      <c r="AG577" s="31"/>
      <c r="AH577" s="31"/>
      <c r="AI577" s="31"/>
      <c r="AJ577" s="31"/>
      <c r="AK577" s="31"/>
      <c r="AL577" s="28" t="str">
        <f>VLOOKUP($G577,'[42]Sheet1 (2)'!$A$1:$B$1048440,2,FALSE)</f>
        <v>M.T.</v>
      </c>
      <c r="AM577" s="32" t="s">
        <v>855</v>
      </c>
      <c r="AN577" s="31"/>
      <c r="AO577" s="33"/>
    </row>
    <row r="578" spans="1:41" ht="168" x14ac:dyDescent="0.25">
      <c r="A578" s="40">
        <v>463</v>
      </c>
      <c r="B578" s="42" t="s">
        <v>838</v>
      </c>
      <c r="C578" s="37">
        <v>14.07</v>
      </c>
      <c r="D578" s="45" t="s">
        <v>856</v>
      </c>
      <c r="E578" s="43" t="s">
        <v>857</v>
      </c>
      <c r="F578" s="45" t="s">
        <v>858</v>
      </c>
      <c r="G578" s="45" t="s">
        <v>47</v>
      </c>
      <c r="H578" s="40">
        <v>10346</v>
      </c>
      <c r="I578" s="40">
        <v>3169</v>
      </c>
      <c r="J578" s="178">
        <f>7.6/20</f>
        <v>0.38</v>
      </c>
      <c r="K578" s="178"/>
      <c r="L578" s="179">
        <f>0.57+0.22+0.11</f>
        <v>0.89999999999999991</v>
      </c>
      <c r="M578" s="178"/>
      <c r="N578" s="178"/>
      <c r="O578" s="178"/>
      <c r="P578" s="178">
        <v>0.45</v>
      </c>
      <c r="Q578" s="31"/>
      <c r="R578" s="31"/>
      <c r="S578" s="31"/>
      <c r="T578" s="31"/>
      <c r="U578" s="31"/>
      <c r="V578" s="31"/>
      <c r="W578" s="31"/>
      <c r="X578" s="31"/>
      <c r="Y578" s="31"/>
      <c r="Z578" s="31"/>
      <c r="AA578" s="31"/>
      <c r="AB578" s="31"/>
      <c r="AC578" s="31"/>
      <c r="AD578" s="31"/>
      <c r="AE578" s="31"/>
      <c r="AF578" s="31"/>
      <c r="AG578" s="31"/>
      <c r="AH578" s="31"/>
      <c r="AI578" s="31"/>
      <c r="AJ578" s="31"/>
      <c r="AK578" s="31"/>
      <c r="AL578" s="28" t="str">
        <f>VLOOKUP($G578,'[42]Sheet1 (2)'!$A$1:$B$1048440,2,FALSE)</f>
        <v>Cum</v>
      </c>
      <c r="AM578" s="32" t="s">
        <v>859</v>
      </c>
      <c r="AN578" s="31"/>
      <c r="AO578" s="33"/>
    </row>
    <row r="579" spans="1:41" ht="168" x14ac:dyDescent="0.25">
      <c r="A579" s="40">
        <v>464</v>
      </c>
      <c r="B579" s="21" t="s">
        <v>838</v>
      </c>
      <c r="C579" s="37">
        <v>14.15</v>
      </c>
      <c r="D579" s="25" t="s">
        <v>772</v>
      </c>
      <c r="E579" s="24" t="s">
        <v>860</v>
      </c>
      <c r="F579" s="24" t="s">
        <v>861</v>
      </c>
      <c r="G579" s="25" t="s">
        <v>47</v>
      </c>
      <c r="H579" s="48">
        <v>11016</v>
      </c>
      <c r="I579" s="48">
        <v>3169</v>
      </c>
      <c r="J579" s="178">
        <f>8.2/20</f>
        <v>0.41</v>
      </c>
      <c r="K579" s="178"/>
      <c r="L579" s="178">
        <f>0.63+0.27</f>
        <v>0.9</v>
      </c>
      <c r="M579" s="178"/>
      <c r="N579" s="178"/>
      <c r="O579" s="178"/>
      <c r="P579" s="178">
        <v>0.45</v>
      </c>
      <c r="Q579" s="31"/>
      <c r="R579" s="31"/>
      <c r="S579" s="31"/>
      <c r="T579" s="31"/>
      <c r="U579" s="31"/>
      <c r="V579" s="31"/>
      <c r="W579" s="31"/>
      <c r="X579" s="31"/>
      <c r="Y579" s="31"/>
      <c r="Z579" s="31"/>
      <c r="AA579" s="31"/>
      <c r="AB579" s="31"/>
      <c r="AC579" s="31"/>
      <c r="AD579" s="31"/>
      <c r="AE579" s="31"/>
      <c r="AF579" s="31"/>
      <c r="AG579" s="31"/>
      <c r="AH579" s="31"/>
      <c r="AI579" s="31"/>
      <c r="AJ579" s="31"/>
      <c r="AK579" s="31"/>
      <c r="AL579" s="28" t="str">
        <f>VLOOKUP($G579,'[42]Sheet1 (2)'!$A$1:$B$1048440,2,FALSE)</f>
        <v>Cum</v>
      </c>
      <c r="AM579" s="32" t="s">
        <v>862</v>
      </c>
      <c r="AN579" s="31"/>
      <c r="AO579" s="33"/>
    </row>
    <row r="580" spans="1:41" ht="168" x14ac:dyDescent="0.25">
      <c r="A580" s="40">
        <v>465</v>
      </c>
      <c r="B580" s="21" t="s">
        <v>838</v>
      </c>
      <c r="C580" s="37">
        <v>14.17</v>
      </c>
      <c r="D580" s="25" t="s">
        <v>772</v>
      </c>
      <c r="E580" s="24" t="s">
        <v>863</v>
      </c>
      <c r="F580" s="25" t="s">
        <v>864</v>
      </c>
      <c r="G580" s="25" t="s">
        <v>47</v>
      </c>
      <c r="H580" s="48">
        <v>11122</v>
      </c>
      <c r="I580" s="48">
        <v>3169</v>
      </c>
      <c r="J580" s="178">
        <f>9/20</f>
        <v>0.45</v>
      </c>
      <c r="K580" s="178"/>
      <c r="L580" s="178">
        <f>0.58+0.28</f>
        <v>0.86</v>
      </c>
      <c r="M580" s="178"/>
      <c r="N580" s="178"/>
      <c r="O580" s="178"/>
      <c r="P580" s="178">
        <v>0.43</v>
      </c>
      <c r="Q580" s="31"/>
      <c r="R580" s="31"/>
      <c r="S580" s="31"/>
      <c r="T580" s="31"/>
      <c r="U580" s="31"/>
      <c r="V580" s="31"/>
      <c r="W580" s="31"/>
      <c r="X580" s="31"/>
      <c r="Y580" s="31"/>
      <c r="Z580" s="31"/>
      <c r="AA580" s="31"/>
      <c r="AB580" s="31"/>
      <c r="AC580" s="31"/>
      <c r="AD580" s="31"/>
      <c r="AE580" s="31"/>
      <c r="AF580" s="31"/>
      <c r="AG580" s="31"/>
      <c r="AH580" s="31"/>
      <c r="AI580" s="31"/>
      <c r="AJ580" s="31"/>
      <c r="AK580" s="31"/>
      <c r="AL580" s="28" t="str">
        <f>VLOOKUP($G580,'[42]Sheet1 (2)'!$A$1:$B$1048440,2,FALSE)</f>
        <v>Cum</v>
      </c>
      <c r="AM580" s="32" t="s">
        <v>865</v>
      </c>
      <c r="AN580" s="31"/>
      <c r="AO580" s="33"/>
    </row>
    <row r="581" spans="1:41" ht="168" x14ac:dyDescent="0.25">
      <c r="A581" s="40">
        <v>466</v>
      </c>
      <c r="B581" s="21" t="s">
        <v>838</v>
      </c>
      <c r="C581" s="37">
        <v>14.19</v>
      </c>
      <c r="D581" s="25" t="s">
        <v>856</v>
      </c>
      <c r="E581" s="57" t="s">
        <v>866</v>
      </c>
      <c r="F581" s="24" t="s">
        <v>861</v>
      </c>
      <c r="G581" s="25" t="s">
        <v>47</v>
      </c>
      <c r="H581" s="48">
        <v>10710</v>
      </c>
      <c r="I581" s="48">
        <v>3169</v>
      </c>
      <c r="J581" s="178">
        <f>7.6/20</f>
        <v>0.38</v>
      </c>
      <c r="K581" s="178"/>
      <c r="L581" s="179">
        <f>0.57+0.22+0.11</f>
        <v>0.89999999999999991</v>
      </c>
      <c r="M581" s="178"/>
      <c r="N581" s="178"/>
      <c r="O581" s="178"/>
      <c r="P581" s="178">
        <v>0.45</v>
      </c>
      <c r="Q581" s="31"/>
      <c r="R581" s="31"/>
      <c r="S581" s="31"/>
      <c r="T581" s="31"/>
      <c r="U581" s="31"/>
      <c r="V581" s="31"/>
      <c r="W581" s="31"/>
      <c r="X581" s="31"/>
      <c r="Y581" s="31"/>
      <c r="Z581" s="31"/>
      <c r="AA581" s="31"/>
      <c r="AB581" s="31"/>
      <c r="AC581" s="31"/>
      <c r="AD581" s="31"/>
      <c r="AE581" s="31"/>
      <c r="AF581" s="31"/>
      <c r="AG581" s="31"/>
      <c r="AH581" s="31"/>
      <c r="AI581" s="31"/>
      <c r="AJ581" s="31"/>
      <c r="AK581" s="31"/>
      <c r="AL581" s="28" t="str">
        <f>VLOOKUP($G581,'[42]Sheet1 (2)'!$A$1:$B$1048440,2,FALSE)</f>
        <v>Cum</v>
      </c>
      <c r="AM581" s="32" t="s">
        <v>867</v>
      </c>
      <c r="AN581" s="31"/>
      <c r="AO581" s="33"/>
    </row>
    <row r="582" spans="1:41" ht="168" x14ac:dyDescent="0.25">
      <c r="A582" s="40">
        <v>467</v>
      </c>
      <c r="B582" s="21" t="s">
        <v>838</v>
      </c>
      <c r="C582" s="37">
        <v>14.27</v>
      </c>
      <c r="D582" s="25" t="s">
        <v>772</v>
      </c>
      <c r="E582" s="57" t="s">
        <v>868</v>
      </c>
      <c r="F582" s="24" t="s">
        <v>861</v>
      </c>
      <c r="G582" s="25" t="s">
        <v>47</v>
      </c>
      <c r="H582" s="40">
        <v>11404</v>
      </c>
      <c r="I582" s="40">
        <v>3169</v>
      </c>
      <c r="J582" s="178">
        <f>8.2/20</f>
        <v>0.41</v>
      </c>
      <c r="K582" s="178"/>
      <c r="L582" s="178">
        <f>0.63+0.27</f>
        <v>0.9</v>
      </c>
      <c r="M582" s="178"/>
      <c r="N582" s="178"/>
      <c r="O582" s="178"/>
      <c r="P582" s="178">
        <v>0.45</v>
      </c>
      <c r="Q582" s="31"/>
      <c r="R582" s="31"/>
      <c r="S582" s="31"/>
      <c r="T582" s="31"/>
      <c r="U582" s="31"/>
      <c r="V582" s="31"/>
      <c r="W582" s="31"/>
      <c r="X582" s="31"/>
      <c r="Y582" s="31"/>
      <c r="Z582" s="31"/>
      <c r="AA582" s="31"/>
      <c r="AB582" s="31"/>
      <c r="AC582" s="31"/>
      <c r="AD582" s="31"/>
      <c r="AE582" s="31"/>
      <c r="AF582" s="31"/>
      <c r="AG582" s="31"/>
      <c r="AH582" s="31"/>
      <c r="AI582" s="31"/>
      <c r="AJ582" s="31"/>
      <c r="AK582" s="31"/>
      <c r="AL582" s="28" t="str">
        <f>VLOOKUP($G582,'[42]Sheet1 (2)'!$A$1:$B$1048440,2,FALSE)</f>
        <v>Cum</v>
      </c>
      <c r="AM582" s="32" t="s">
        <v>869</v>
      </c>
      <c r="AN582" s="31"/>
      <c r="AO582" s="33"/>
    </row>
    <row r="583" spans="1:41" ht="168" x14ac:dyDescent="0.25">
      <c r="A583" s="40">
        <v>468</v>
      </c>
      <c r="B583" s="21" t="s">
        <v>838</v>
      </c>
      <c r="C583" s="37">
        <v>14.29</v>
      </c>
      <c r="D583" s="25" t="s">
        <v>772</v>
      </c>
      <c r="E583" s="24" t="s">
        <v>870</v>
      </c>
      <c r="F583" s="24" t="s">
        <v>861</v>
      </c>
      <c r="G583" s="25" t="s">
        <v>47</v>
      </c>
      <c r="H583" s="40">
        <v>11514</v>
      </c>
      <c r="I583" s="40">
        <v>3169</v>
      </c>
      <c r="J583" s="178">
        <f>9/20</f>
        <v>0.45</v>
      </c>
      <c r="K583" s="178"/>
      <c r="L583" s="178">
        <f>0.58+0.28</f>
        <v>0.86</v>
      </c>
      <c r="M583" s="178"/>
      <c r="N583" s="178"/>
      <c r="O583" s="178"/>
      <c r="P583" s="178">
        <v>0.43</v>
      </c>
      <c r="Q583" s="31"/>
      <c r="R583" s="31"/>
      <c r="S583" s="31"/>
      <c r="T583" s="31"/>
      <c r="U583" s="31"/>
      <c r="V583" s="31"/>
      <c r="W583" s="31"/>
      <c r="X583" s="31"/>
      <c r="Y583" s="31"/>
      <c r="Z583" s="31"/>
      <c r="AA583" s="31"/>
      <c r="AB583" s="31"/>
      <c r="AC583" s="31"/>
      <c r="AD583" s="31"/>
      <c r="AE583" s="31"/>
      <c r="AF583" s="31"/>
      <c r="AG583" s="31"/>
      <c r="AH583" s="31"/>
      <c r="AI583" s="31"/>
      <c r="AJ583" s="31"/>
      <c r="AK583" s="31"/>
      <c r="AL583" s="28" t="str">
        <f>VLOOKUP($G583,'[42]Sheet1 (2)'!$A$1:$B$1048440,2,FALSE)</f>
        <v>Cum</v>
      </c>
      <c r="AM583" s="32" t="s">
        <v>871</v>
      </c>
      <c r="AN583" s="31"/>
      <c r="AO583" s="33"/>
    </row>
    <row r="584" spans="1:41" ht="112" x14ac:dyDescent="0.25">
      <c r="A584" s="40">
        <v>469</v>
      </c>
      <c r="B584" s="21" t="s">
        <v>838</v>
      </c>
      <c r="C584" s="37">
        <v>14.31</v>
      </c>
      <c r="D584" s="25" t="s">
        <v>872</v>
      </c>
      <c r="E584" s="24" t="s">
        <v>873</v>
      </c>
      <c r="F584" s="24" t="s">
        <v>874</v>
      </c>
      <c r="G584" s="21" t="s">
        <v>80</v>
      </c>
      <c r="H584" s="40">
        <v>1035</v>
      </c>
      <c r="I584" s="40">
        <v>213</v>
      </c>
      <c r="J584" s="31"/>
      <c r="K584" s="31"/>
      <c r="L584" s="31"/>
      <c r="M584" s="31"/>
      <c r="N584" s="31"/>
      <c r="O584" s="31"/>
      <c r="P584" s="31"/>
      <c r="Q584" s="31"/>
      <c r="R584" s="31"/>
      <c r="S584" s="31"/>
      <c r="T584" s="31"/>
      <c r="U584" s="31"/>
      <c r="V584" s="31"/>
      <c r="W584" s="31"/>
      <c r="X584" s="31"/>
      <c r="Y584" s="31"/>
      <c r="Z584" s="31"/>
      <c r="AA584" s="31"/>
      <c r="AB584" s="31"/>
      <c r="AC584" s="31"/>
      <c r="AD584" s="31"/>
      <c r="AE584" s="31"/>
      <c r="AF584" s="31"/>
      <c r="AG584" s="31"/>
      <c r="AH584" s="31"/>
      <c r="AI584" s="31"/>
      <c r="AJ584" s="31"/>
      <c r="AK584" s="31"/>
      <c r="AL584" s="28" t="str">
        <f>VLOOKUP($G584,'[42]Sheet1 (2)'!$A$1:$B$1048440,2,FALSE)</f>
        <v>Rmt.</v>
      </c>
      <c r="AM584" s="32"/>
      <c r="AN584" s="31"/>
      <c r="AO584" s="33"/>
    </row>
    <row r="585" spans="1:41" ht="42" x14ac:dyDescent="0.25">
      <c r="A585" s="40">
        <v>470</v>
      </c>
      <c r="B585" s="21" t="s">
        <v>838</v>
      </c>
      <c r="C585" s="37">
        <v>14.32</v>
      </c>
      <c r="D585" s="25" t="s">
        <v>875</v>
      </c>
      <c r="E585" s="24" t="s">
        <v>876</v>
      </c>
      <c r="F585" s="24" t="s">
        <v>874</v>
      </c>
      <c r="G585" s="21" t="s">
        <v>80</v>
      </c>
      <c r="H585" s="40">
        <v>4484</v>
      </c>
      <c r="I585" s="40">
        <v>213</v>
      </c>
      <c r="J585" s="31"/>
      <c r="K585" s="31"/>
      <c r="L585" s="31"/>
      <c r="M585" s="31"/>
      <c r="N585" s="31"/>
      <c r="O585" s="31"/>
      <c r="P585" s="31"/>
      <c r="Q585" s="31"/>
      <c r="R585" s="31"/>
      <c r="S585" s="31"/>
      <c r="T585" s="31"/>
      <c r="U585" s="31"/>
      <c r="V585" s="31"/>
      <c r="W585" s="31"/>
      <c r="X585" s="31"/>
      <c r="Y585" s="31"/>
      <c r="Z585" s="31"/>
      <c r="AA585" s="31"/>
      <c r="AB585" s="31"/>
      <c r="AC585" s="31"/>
      <c r="AD585" s="31"/>
      <c r="AE585" s="31"/>
      <c r="AF585" s="31"/>
      <c r="AG585" s="31"/>
      <c r="AH585" s="31"/>
      <c r="AI585" s="31"/>
      <c r="AJ585" s="31"/>
      <c r="AK585" s="31"/>
      <c r="AL585" s="28" t="str">
        <f>VLOOKUP($G585,'[42]Sheet1 (2)'!$A$1:$B$1048440,2,FALSE)</f>
        <v>Rmt.</v>
      </c>
      <c r="AM585" s="32"/>
      <c r="AN585" s="31"/>
      <c r="AO585" s="33"/>
    </row>
    <row r="586" spans="1:41" ht="42" x14ac:dyDescent="0.25">
      <c r="A586" s="40">
        <v>471</v>
      </c>
      <c r="B586" s="21" t="s">
        <v>838</v>
      </c>
      <c r="C586" s="37">
        <v>14.33</v>
      </c>
      <c r="D586" s="25" t="s">
        <v>877</v>
      </c>
      <c r="E586" s="24" t="s">
        <v>878</v>
      </c>
      <c r="F586" s="24" t="s">
        <v>874</v>
      </c>
      <c r="G586" s="21" t="s">
        <v>217</v>
      </c>
      <c r="H586" s="40">
        <v>1086</v>
      </c>
      <c r="I586" s="40">
        <v>129</v>
      </c>
      <c r="J586" s="31"/>
      <c r="K586" s="31"/>
      <c r="L586" s="31"/>
      <c r="M586" s="31"/>
      <c r="N586" s="31"/>
      <c r="O586" s="31"/>
      <c r="P586" s="31"/>
      <c r="Q586" s="31"/>
      <c r="R586" s="31"/>
      <c r="S586" s="31"/>
      <c r="T586" s="31"/>
      <c r="U586" s="31"/>
      <c r="V586" s="31"/>
      <c r="W586" s="31"/>
      <c r="X586" s="31"/>
      <c r="Y586" s="31"/>
      <c r="Z586" s="31"/>
      <c r="AA586" s="31"/>
      <c r="AB586" s="31"/>
      <c r="AC586" s="31"/>
      <c r="AD586" s="31"/>
      <c r="AE586" s="31"/>
      <c r="AF586" s="31"/>
      <c r="AG586" s="31"/>
      <c r="AH586" s="31"/>
      <c r="AI586" s="31"/>
      <c r="AJ586" s="31"/>
      <c r="AK586" s="31"/>
      <c r="AL586" s="28" t="str">
        <f>VLOOKUP($G586,'[42]Sheet1 (2)'!$A$1:$B$1048440,2,FALSE)</f>
        <v>Sqm</v>
      </c>
      <c r="AM586" s="32"/>
      <c r="AN586" s="31"/>
      <c r="AO586" s="33"/>
    </row>
    <row r="587" spans="1:41" ht="112" x14ac:dyDescent="0.25">
      <c r="A587" s="40">
        <v>472</v>
      </c>
      <c r="B587" s="21" t="s">
        <v>838</v>
      </c>
      <c r="C587" s="37">
        <v>14.34</v>
      </c>
      <c r="D587" s="25" t="s">
        <v>879</v>
      </c>
      <c r="E587" s="57" t="s">
        <v>880</v>
      </c>
      <c r="F587" s="39" t="s">
        <v>881</v>
      </c>
      <c r="G587" s="25" t="s">
        <v>47</v>
      </c>
      <c r="H587" s="40">
        <v>5272</v>
      </c>
      <c r="I587" s="40">
        <v>1053</v>
      </c>
      <c r="J587" s="178">
        <f>3.4/20</f>
        <v>0.16999999999999998</v>
      </c>
      <c r="K587" s="178"/>
      <c r="L587" s="178">
        <v>0.94</v>
      </c>
      <c r="M587" s="178"/>
      <c r="N587" s="178"/>
      <c r="O587" s="178"/>
      <c r="P587" s="178">
        <v>0.47</v>
      </c>
      <c r="Q587" s="31"/>
      <c r="R587" s="31"/>
      <c r="S587" s="31"/>
      <c r="T587" s="31"/>
      <c r="U587" s="31"/>
      <c r="V587" s="31"/>
      <c r="W587" s="31"/>
      <c r="X587" s="31"/>
      <c r="Y587" s="31"/>
      <c r="Z587" s="31"/>
      <c r="AA587" s="31"/>
      <c r="AB587" s="31"/>
      <c r="AC587" s="31"/>
      <c r="AD587" s="31"/>
      <c r="AE587" s="31"/>
      <c r="AF587" s="31"/>
      <c r="AG587" s="31"/>
      <c r="AH587" s="31"/>
      <c r="AI587" s="31"/>
      <c r="AJ587" s="31"/>
      <c r="AK587" s="31"/>
      <c r="AL587" s="28" t="str">
        <f>VLOOKUP($G587,'[42]Sheet1 (2)'!$A$1:$B$1048440,2,FALSE)</f>
        <v>Cum</v>
      </c>
      <c r="AM587" s="32" t="s">
        <v>882</v>
      </c>
      <c r="AN587" s="31"/>
      <c r="AO587" s="33"/>
    </row>
    <row r="588" spans="1:41" ht="56" x14ac:dyDescent="0.25">
      <c r="A588" s="26">
        <v>473</v>
      </c>
      <c r="B588" s="21" t="s">
        <v>838</v>
      </c>
      <c r="C588" s="127">
        <v>14.36</v>
      </c>
      <c r="D588" s="25" t="s">
        <v>883</v>
      </c>
      <c r="E588" s="24" t="s">
        <v>884</v>
      </c>
      <c r="F588" s="39" t="s">
        <v>885</v>
      </c>
      <c r="G588" s="25" t="s">
        <v>47</v>
      </c>
      <c r="H588" s="26">
        <v>947</v>
      </c>
      <c r="I588" s="26">
        <v>123</v>
      </c>
      <c r="J588" s="31"/>
      <c r="K588" s="31"/>
      <c r="L588" s="31"/>
      <c r="M588" s="31"/>
      <c r="N588" s="31">
        <v>1</v>
      </c>
      <c r="O588" s="31"/>
      <c r="P588" s="31"/>
      <c r="Q588" s="31"/>
      <c r="R588" s="31"/>
      <c r="S588" s="31"/>
      <c r="T588" s="31"/>
      <c r="U588" s="31"/>
      <c r="V588" s="31"/>
      <c r="W588" s="31"/>
      <c r="X588" s="31"/>
      <c r="Y588" s="31"/>
      <c r="Z588" s="31"/>
      <c r="AA588" s="31"/>
      <c r="AB588" s="31"/>
      <c r="AC588" s="31"/>
      <c r="AD588" s="31"/>
      <c r="AE588" s="31"/>
      <c r="AF588" s="31"/>
      <c r="AG588" s="31"/>
      <c r="AH588" s="31"/>
      <c r="AI588" s="31"/>
      <c r="AJ588" s="31"/>
      <c r="AK588" s="31"/>
      <c r="AL588" s="28" t="str">
        <f>VLOOKUP($G588,'[42]Sheet1 (2)'!$A$1:$B$1048440,2,FALSE)</f>
        <v>Cum</v>
      </c>
      <c r="AM588" s="32" t="s">
        <v>886</v>
      </c>
      <c r="AN588" s="31"/>
      <c r="AO588" s="33"/>
    </row>
    <row r="589" spans="1:41" ht="98" x14ac:dyDescent="0.25">
      <c r="A589" s="26">
        <v>474</v>
      </c>
      <c r="B589" s="21" t="s">
        <v>838</v>
      </c>
      <c r="C589" s="127">
        <v>14.39</v>
      </c>
      <c r="D589" s="25" t="s">
        <v>772</v>
      </c>
      <c r="E589" s="24" t="s">
        <v>887</v>
      </c>
      <c r="F589" s="25" t="s">
        <v>888</v>
      </c>
      <c r="G589" s="25" t="s">
        <v>47</v>
      </c>
      <c r="H589" s="26">
        <v>6538</v>
      </c>
      <c r="I589" s="26">
        <v>1160</v>
      </c>
      <c r="J589" s="178">
        <f>7.6/20</f>
        <v>0.38</v>
      </c>
      <c r="K589" s="178"/>
      <c r="L589" s="179">
        <f>0.57+0.22+0.11</f>
        <v>0.89999999999999991</v>
      </c>
      <c r="M589" s="178"/>
      <c r="N589" s="178"/>
      <c r="O589" s="178"/>
      <c r="P589" s="178">
        <v>0.45</v>
      </c>
      <c r="Q589" s="31"/>
      <c r="R589" s="31"/>
      <c r="S589" s="31"/>
      <c r="T589" s="31"/>
      <c r="U589" s="31"/>
      <c r="V589" s="31"/>
      <c r="W589" s="31"/>
      <c r="X589" s="31"/>
      <c r="Y589" s="31"/>
      <c r="Z589" s="31"/>
      <c r="AA589" s="31"/>
      <c r="AB589" s="31"/>
      <c r="AC589" s="31"/>
      <c r="AD589" s="31"/>
      <c r="AE589" s="31"/>
      <c r="AF589" s="31"/>
      <c r="AG589" s="31"/>
      <c r="AH589" s="31"/>
      <c r="AI589" s="31"/>
      <c r="AJ589" s="31"/>
      <c r="AK589" s="31"/>
      <c r="AL589" s="28" t="str">
        <f>VLOOKUP($G589,'[42]Sheet1 (2)'!$A$1:$B$1048440,2,FALSE)</f>
        <v>Cum</v>
      </c>
      <c r="AM589" s="32" t="s">
        <v>889</v>
      </c>
      <c r="AN589" s="31"/>
      <c r="AO589" s="33"/>
    </row>
    <row r="590" spans="1:41" ht="56" x14ac:dyDescent="0.25">
      <c r="A590" s="26">
        <v>475</v>
      </c>
      <c r="B590" s="21" t="s">
        <v>838</v>
      </c>
      <c r="C590" s="127">
        <v>14.41</v>
      </c>
      <c r="D590" s="25" t="s">
        <v>890</v>
      </c>
      <c r="E590" s="24" t="s">
        <v>891</v>
      </c>
      <c r="F590" s="39" t="s">
        <v>892</v>
      </c>
      <c r="G590" s="25" t="s">
        <v>45</v>
      </c>
      <c r="H590" s="26">
        <v>704</v>
      </c>
      <c r="I590" s="26">
        <v>62</v>
      </c>
      <c r="J590" s="31"/>
      <c r="K590" s="31"/>
      <c r="L590" s="31"/>
      <c r="M590" s="31"/>
      <c r="N590" s="31"/>
      <c r="O590" s="31"/>
      <c r="P590" s="31"/>
      <c r="Q590" s="31"/>
      <c r="R590" s="31"/>
      <c r="S590" s="31"/>
      <c r="T590" s="31"/>
      <c r="U590" s="31"/>
      <c r="V590" s="31"/>
      <c r="W590" s="31"/>
      <c r="X590" s="31"/>
      <c r="Y590" s="31"/>
      <c r="Z590" s="31"/>
      <c r="AA590" s="31"/>
      <c r="AB590" s="31"/>
      <c r="AC590" s="31"/>
      <c r="AD590" s="31"/>
      <c r="AE590" s="31"/>
      <c r="AF590" s="31"/>
      <c r="AG590" s="31"/>
      <c r="AH590" s="31"/>
      <c r="AI590" s="31"/>
      <c r="AJ590" s="31"/>
      <c r="AK590" s="31"/>
      <c r="AL590" s="28" t="str">
        <f>VLOOKUP($G590,'[42]Sheet1 (2)'!$A$1:$B$1048440,2,FALSE)</f>
        <v>No.</v>
      </c>
      <c r="AM590" s="32"/>
      <c r="AN590" s="31"/>
      <c r="AO590" s="33"/>
    </row>
    <row r="591" spans="1:41" ht="131.25" customHeight="1" x14ac:dyDescent="0.25">
      <c r="A591" s="26">
        <v>476</v>
      </c>
      <c r="B591" s="21" t="s">
        <v>838</v>
      </c>
      <c r="C591" s="25" t="s">
        <v>893</v>
      </c>
      <c r="D591" s="25" t="s">
        <v>772</v>
      </c>
      <c r="E591" s="24" t="s">
        <v>894</v>
      </c>
      <c r="F591" s="25" t="s">
        <v>895</v>
      </c>
      <c r="G591" s="25" t="s">
        <v>47</v>
      </c>
      <c r="H591" s="26">
        <v>9587</v>
      </c>
      <c r="I591" s="26">
        <v>3118</v>
      </c>
      <c r="J591" s="178">
        <f>8/20</f>
        <v>0.4</v>
      </c>
      <c r="K591" s="178"/>
      <c r="L591" s="179">
        <f>0.57+0.28</f>
        <v>0.85</v>
      </c>
      <c r="M591" s="178"/>
      <c r="N591" s="178"/>
      <c r="O591" s="178"/>
      <c r="P591" s="178">
        <v>0.42499999999999999</v>
      </c>
      <c r="Q591" s="31"/>
      <c r="R591" s="31"/>
      <c r="S591" s="31"/>
      <c r="T591" s="31"/>
      <c r="U591" s="31"/>
      <c r="V591" s="31"/>
      <c r="W591" s="31"/>
      <c r="X591" s="31"/>
      <c r="Y591" s="31"/>
      <c r="Z591" s="31"/>
      <c r="AA591" s="31"/>
      <c r="AB591" s="31"/>
      <c r="AC591" s="31"/>
      <c r="AD591" s="31"/>
      <c r="AE591" s="31"/>
      <c r="AF591" s="31"/>
      <c r="AG591" s="31"/>
      <c r="AH591" s="31"/>
      <c r="AI591" s="31"/>
      <c r="AJ591" s="31"/>
      <c r="AK591" s="31"/>
      <c r="AL591" s="28" t="str">
        <f>VLOOKUP($G591,'[42]Sheet1 (2)'!$A$1:$B$1048440,2,FALSE)</f>
        <v>Cum</v>
      </c>
      <c r="AM591" s="32" t="s">
        <v>896</v>
      </c>
      <c r="AN591" s="31"/>
      <c r="AO591" s="33"/>
    </row>
    <row r="592" spans="1:41" ht="130.5" customHeight="1" x14ac:dyDescent="0.25">
      <c r="A592" s="26">
        <v>477</v>
      </c>
      <c r="B592" s="21" t="s">
        <v>838</v>
      </c>
      <c r="C592" s="25" t="s">
        <v>897</v>
      </c>
      <c r="D592" s="25" t="s">
        <v>772</v>
      </c>
      <c r="E592" s="24" t="s">
        <v>898</v>
      </c>
      <c r="F592" s="25" t="s">
        <v>895</v>
      </c>
      <c r="G592" s="25" t="s">
        <v>47</v>
      </c>
      <c r="H592" s="26">
        <v>10342</v>
      </c>
      <c r="I592" s="26">
        <v>3118</v>
      </c>
      <c r="J592" s="178">
        <f>8/20</f>
        <v>0.4</v>
      </c>
      <c r="K592" s="178"/>
      <c r="L592" s="179">
        <f>0.57+0.28</f>
        <v>0.85</v>
      </c>
      <c r="M592" s="178"/>
      <c r="N592" s="178"/>
      <c r="O592" s="178"/>
      <c r="P592" s="178">
        <v>0.42499999999999999</v>
      </c>
      <c r="Q592" s="31"/>
      <c r="R592" s="31"/>
      <c r="S592" s="31"/>
      <c r="T592" s="31"/>
      <c r="U592" s="31"/>
      <c r="V592" s="31"/>
      <c r="W592" s="31"/>
      <c r="X592" s="31"/>
      <c r="Y592" s="31"/>
      <c r="Z592" s="31"/>
      <c r="AA592" s="31"/>
      <c r="AB592" s="31"/>
      <c r="AC592" s="31"/>
      <c r="AD592" s="31"/>
      <c r="AE592" s="31"/>
      <c r="AF592" s="31"/>
      <c r="AG592" s="31"/>
      <c r="AH592" s="31"/>
      <c r="AI592" s="31"/>
      <c r="AJ592" s="31"/>
      <c r="AK592" s="31"/>
      <c r="AL592" s="28" t="str">
        <f>VLOOKUP($G592,'[42]Sheet1 (2)'!$A$1:$B$1048440,2,FALSE)</f>
        <v>Cum</v>
      </c>
      <c r="AM592" s="32" t="s">
        <v>899</v>
      </c>
      <c r="AN592" s="31"/>
      <c r="AO592" s="33"/>
    </row>
    <row r="593" spans="1:41" ht="112" x14ac:dyDescent="0.25">
      <c r="A593" s="26">
        <v>478</v>
      </c>
      <c r="B593" s="21" t="s">
        <v>838</v>
      </c>
      <c r="C593" s="25" t="s">
        <v>900</v>
      </c>
      <c r="D593" s="25" t="s">
        <v>772</v>
      </c>
      <c r="E593" s="24" t="s">
        <v>901</v>
      </c>
      <c r="F593" s="25" t="s">
        <v>895</v>
      </c>
      <c r="G593" s="25" t="s">
        <v>47</v>
      </c>
      <c r="H593" s="26">
        <v>11097</v>
      </c>
      <c r="I593" s="26">
        <v>3118</v>
      </c>
      <c r="J593" s="178">
        <f>8/20</f>
        <v>0.4</v>
      </c>
      <c r="K593" s="178"/>
      <c r="L593" s="179">
        <f>0.57+0.28</f>
        <v>0.85</v>
      </c>
      <c r="M593" s="178"/>
      <c r="N593" s="178"/>
      <c r="O593" s="178"/>
      <c r="P593" s="178">
        <v>0.42499999999999999</v>
      </c>
      <c r="Q593" s="31"/>
      <c r="R593" s="31"/>
      <c r="S593" s="31"/>
      <c r="T593" s="31"/>
      <c r="U593" s="31"/>
      <c r="V593" s="31"/>
      <c r="W593" s="31"/>
      <c r="X593" s="31"/>
      <c r="Y593" s="31"/>
      <c r="Z593" s="31"/>
      <c r="AA593" s="31"/>
      <c r="AB593" s="31"/>
      <c r="AC593" s="31"/>
      <c r="AD593" s="31"/>
      <c r="AE593" s="31"/>
      <c r="AF593" s="31"/>
      <c r="AG593" s="31"/>
      <c r="AH593" s="31"/>
      <c r="AI593" s="31"/>
      <c r="AJ593" s="31"/>
      <c r="AK593" s="31"/>
      <c r="AL593" s="28" t="str">
        <f>VLOOKUP($G593,'[42]Sheet1 (2)'!$A$1:$B$1048440,2,FALSE)</f>
        <v>Cum</v>
      </c>
      <c r="AM593" s="32" t="s">
        <v>902</v>
      </c>
      <c r="AN593" s="31"/>
      <c r="AO593" s="33"/>
    </row>
    <row r="594" spans="1:41" ht="210" x14ac:dyDescent="0.25">
      <c r="A594" s="26">
        <v>479</v>
      </c>
      <c r="B594" s="21" t="s">
        <v>838</v>
      </c>
      <c r="C594" s="22">
        <v>14.47</v>
      </c>
      <c r="D594" s="25" t="s">
        <v>903</v>
      </c>
      <c r="E594" s="23" t="s">
        <v>904</v>
      </c>
      <c r="F594" s="24" t="s">
        <v>905</v>
      </c>
      <c r="G594" s="21" t="s">
        <v>80</v>
      </c>
      <c r="H594" s="26">
        <v>2209</v>
      </c>
      <c r="I594" s="26">
        <v>942</v>
      </c>
      <c r="J594" s="178">
        <f>0.42/20</f>
        <v>2.0999999999999998E-2</v>
      </c>
      <c r="K594" s="178"/>
      <c r="L594" s="163">
        <f>0.027+0.013</f>
        <v>0.04</v>
      </c>
      <c r="M594" s="178"/>
      <c r="N594" s="178"/>
      <c r="O594" s="178"/>
      <c r="P594" s="178">
        <v>0.02</v>
      </c>
      <c r="Q594" s="31"/>
      <c r="R594" s="31"/>
      <c r="S594" s="31"/>
      <c r="T594" s="31"/>
      <c r="U594" s="31"/>
      <c r="V594" s="31"/>
      <c r="W594" s="31"/>
      <c r="X594" s="31"/>
      <c r="Y594" s="31"/>
      <c r="Z594" s="31"/>
      <c r="AA594" s="31"/>
      <c r="AB594" s="31"/>
      <c r="AC594" s="31"/>
      <c r="AD594" s="31"/>
      <c r="AE594" s="31"/>
      <c r="AF594" s="31"/>
      <c r="AG594" s="31"/>
      <c r="AH594" s="31"/>
      <c r="AI594" s="31"/>
      <c r="AJ594" s="31"/>
      <c r="AK594" s="31"/>
      <c r="AL594" s="28" t="str">
        <f>VLOOKUP($G594,'[42]Sheet1 (2)'!$A$1:$B$1048440,2,FALSE)</f>
        <v>Rmt.</v>
      </c>
      <c r="AM594" s="32" t="s">
        <v>906</v>
      </c>
      <c r="AN594" s="31"/>
      <c r="AO594" s="33"/>
    </row>
    <row r="595" spans="1:41" ht="126" x14ac:dyDescent="0.25">
      <c r="A595" s="26">
        <v>480</v>
      </c>
      <c r="B595" s="21" t="s">
        <v>838</v>
      </c>
      <c r="C595" s="22">
        <v>14.48</v>
      </c>
      <c r="D595" s="25" t="s">
        <v>907</v>
      </c>
      <c r="E595" s="24" t="s">
        <v>908</v>
      </c>
      <c r="F595" s="21" t="s">
        <v>909</v>
      </c>
      <c r="G595" s="21" t="s">
        <v>80</v>
      </c>
      <c r="H595" s="26">
        <v>3870</v>
      </c>
      <c r="I595" s="26">
        <v>37</v>
      </c>
      <c r="J595" s="178"/>
      <c r="K595" s="178"/>
      <c r="L595" s="178"/>
      <c r="M595" s="178"/>
      <c r="N595" s="178"/>
      <c r="O595" s="178"/>
      <c r="P595" s="178"/>
      <c r="Q595" s="31"/>
      <c r="R595" s="31"/>
      <c r="S595" s="31"/>
      <c r="T595" s="31"/>
      <c r="U595" s="31"/>
      <c r="V595" s="31"/>
      <c r="W595" s="31"/>
      <c r="X595" s="31"/>
      <c r="Y595" s="31"/>
      <c r="Z595" s="31"/>
      <c r="AA595" s="31"/>
      <c r="AB595" s="31"/>
      <c r="AC595" s="31"/>
      <c r="AD595" s="31"/>
      <c r="AE595" s="31"/>
      <c r="AF595" s="31"/>
      <c r="AG595" s="31"/>
      <c r="AH595" s="31"/>
      <c r="AI595" s="31"/>
      <c r="AJ595" s="31"/>
      <c r="AK595" s="31"/>
      <c r="AL595" s="28" t="str">
        <f>VLOOKUP($G595,'[42]Sheet1 (2)'!$A$1:$B$1048440,2,FALSE)</f>
        <v>Rmt.</v>
      </c>
      <c r="AM595" s="32"/>
      <c r="AN595" s="31"/>
      <c r="AO595" s="33"/>
    </row>
    <row r="596" spans="1:41" ht="140" x14ac:dyDescent="0.25">
      <c r="A596" s="26">
        <v>481</v>
      </c>
      <c r="B596" s="21" t="s">
        <v>838</v>
      </c>
      <c r="C596" s="22">
        <v>14.49</v>
      </c>
      <c r="D596" s="25" t="s">
        <v>910</v>
      </c>
      <c r="E596" s="24" t="s">
        <v>911</v>
      </c>
      <c r="F596" s="25" t="s">
        <v>912</v>
      </c>
      <c r="G596" s="21" t="s">
        <v>80</v>
      </c>
      <c r="H596" s="26">
        <v>2499</v>
      </c>
      <c r="I596" s="26">
        <v>300</v>
      </c>
      <c r="J596" s="178">
        <f>0.42/20</f>
        <v>2.0999999999999998E-2</v>
      </c>
      <c r="K596" s="178"/>
      <c r="L596" s="163">
        <f>0.027+0.013</f>
        <v>0.04</v>
      </c>
      <c r="M596" s="178"/>
      <c r="N596" s="178"/>
      <c r="O596" s="178"/>
      <c r="P596" s="178">
        <v>0.02</v>
      </c>
      <c r="Q596" s="31"/>
      <c r="R596" s="31"/>
      <c r="S596" s="31"/>
      <c r="T596" s="31"/>
      <c r="U596" s="31"/>
      <c r="V596" s="31"/>
      <c r="W596" s="31"/>
      <c r="X596" s="31"/>
      <c r="Y596" s="31"/>
      <c r="Z596" s="31"/>
      <c r="AA596" s="31"/>
      <c r="AB596" s="31"/>
      <c r="AC596" s="31"/>
      <c r="AD596" s="31"/>
      <c r="AE596" s="31"/>
      <c r="AF596" s="31"/>
      <c r="AG596" s="31"/>
      <c r="AH596" s="31"/>
      <c r="AI596" s="31"/>
      <c r="AJ596" s="31"/>
      <c r="AK596" s="31"/>
      <c r="AL596" s="28" t="str">
        <f>VLOOKUP($G596,'[42]Sheet1 (2)'!$A$1:$B$1048440,2,FALSE)</f>
        <v>Rmt.</v>
      </c>
      <c r="AM596" s="32" t="s">
        <v>906</v>
      </c>
      <c r="AN596" s="31"/>
      <c r="AO596" s="33"/>
    </row>
    <row r="597" spans="1:41" ht="42" x14ac:dyDescent="0.25">
      <c r="A597" s="26">
        <v>482</v>
      </c>
      <c r="B597" s="35" t="s">
        <v>913</v>
      </c>
      <c r="C597" s="22">
        <v>14.5</v>
      </c>
      <c r="D597" s="25" t="s">
        <v>914</v>
      </c>
      <c r="E597" s="23" t="s">
        <v>915</v>
      </c>
      <c r="F597" s="35" t="s">
        <v>916</v>
      </c>
      <c r="G597" s="25" t="s">
        <v>45</v>
      </c>
      <c r="H597" s="26">
        <v>1127</v>
      </c>
      <c r="I597" s="26">
        <v>308</v>
      </c>
      <c r="J597" s="31"/>
      <c r="K597" s="31"/>
      <c r="L597" s="31"/>
      <c r="M597" s="31"/>
      <c r="N597" s="31"/>
      <c r="O597" s="31"/>
      <c r="P597" s="31"/>
      <c r="Q597" s="31"/>
      <c r="R597" s="31"/>
      <c r="S597" s="31"/>
      <c r="T597" s="31"/>
      <c r="U597" s="31"/>
      <c r="V597" s="31"/>
      <c r="W597" s="31"/>
      <c r="X597" s="31"/>
      <c r="Y597" s="31"/>
      <c r="Z597" s="31"/>
      <c r="AA597" s="31"/>
      <c r="AB597" s="31"/>
      <c r="AC597" s="31"/>
      <c r="AD597" s="31"/>
      <c r="AE597" s="31"/>
      <c r="AF597" s="31"/>
      <c r="AG597" s="31"/>
      <c r="AH597" s="31"/>
      <c r="AI597" s="31"/>
      <c r="AJ597" s="31"/>
      <c r="AK597" s="31"/>
      <c r="AL597" s="28" t="str">
        <f>VLOOKUP($G597,'[42]Sheet1 (2)'!$A$1:$B$1048440,2,FALSE)</f>
        <v>No.</v>
      </c>
      <c r="AM597" s="32"/>
      <c r="AN597" s="31"/>
      <c r="AO597" s="33"/>
    </row>
    <row r="598" spans="1:41" ht="140" x14ac:dyDescent="0.25">
      <c r="A598" s="26">
        <v>483</v>
      </c>
      <c r="B598" s="21" t="s">
        <v>838</v>
      </c>
      <c r="C598" s="22">
        <v>14.55</v>
      </c>
      <c r="D598" s="25" t="s">
        <v>72</v>
      </c>
      <c r="E598" s="24" t="s">
        <v>917</v>
      </c>
      <c r="F598" s="24" t="s">
        <v>918</v>
      </c>
      <c r="G598" s="21" t="s">
        <v>217</v>
      </c>
      <c r="H598" s="26">
        <v>353</v>
      </c>
      <c r="I598" s="26">
        <v>60</v>
      </c>
      <c r="J598" s="31"/>
      <c r="K598" s="31"/>
      <c r="L598" s="163"/>
      <c r="M598" s="31"/>
      <c r="N598" s="31"/>
      <c r="O598" s="31"/>
      <c r="P598" s="31"/>
      <c r="Q598" s="31"/>
      <c r="R598" s="31"/>
      <c r="S598" s="31"/>
      <c r="T598" s="31"/>
      <c r="U598" s="31"/>
      <c r="V598" s="31"/>
      <c r="W598" s="31"/>
      <c r="X598" s="31"/>
      <c r="Y598" s="31"/>
      <c r="Z598" s="180">
        <v>1.0500000000000001E-2</v>
      </c>
      <c r="AA598" s="181">
        <v>4.0499999999999998E-3</v>
      </c>
      <c r="AB598" s="180">
        <v>2.9999999999999997E-4</v>
      </c>
      <c r="AC598" s="163"/>
      <c r="AD598" s="181">
        <f>Z598+AB598</f>
        <v>1.0800000000000001E-2</v>
      </c>
      <c r="AE598" s="163"/>
      <c r="AF598" s="163">
        <v>2.2999999999999998</v>
      </c>
      <c r="AG598" s="163"/>
      <c r="AH598" s="163"/>
      <c r="AI598" s="163"/>
      <c r="AJ598" s="163"/>
      <c r="AK598" s="163"/>
      <c r="AL598" s="28" t="str">
        <f>VLOOKUP($G598,'[42]Sheet1 (2)'!$A$1:$B$1048440,2,FALSE)</f>
        <v>Sqm</v>
      </c>
      <c r="AM598" s="182" t="s">
        <v>919</v>
      </c>
      <c r="AN598" s="31"/>
      <c r="AO598" s="33"/>
    </row>
    <row r="599" spans="1:41" ht="154" x14ac:dyDescent="0.25">
      <c r="A599" s="26">
        <v>484</v>
      </c>
      <c r="B599" s="21" t="s">
        <v>838</v>
      </c>
      <c r="C599" s="25" t="s">
        <v>920</v>
      </c>
      <c r="D599" s="25" t="s">
        <v>72</v>
      </c>
      <c r="E599" s="24" t="s">
        <v>921</v>
      </c>
      <c r="F599" s="24" t="s">
        <v>918</v>
      </c>
      <c r="G599" s="21" t="s">
        <v>217</v>
      </c>
      <c r="H599" s="26">
        <v>496</v>
      </c>
      <c r="I599" s="26">
        <v>109</v>
      </c>
      <c r="J599" s="31"/>
      <c r="K599" s="31"/>
      <c r="L599" s="31"/>
      <c r="M599" s="31"/>
      <c r="N599" s="31"/>
      <c r="O599" s="31"/>
      <c r="P599" s="31"/>
      <c r="Q599" s="31"/>
      <c r="R599" s="31"/>
      <c r="S599" s="31"/>
      <c r="T599" s="31"/>
      <c r="U599" s="31"/>
      <c r="V599" s="31"/>
      <c r="W599" s="31"/>
      <c r="X599" s="31"/>
      <c r="Y599" s="31"/>
      <c r="Z599" s="180">
        <v>2.1000000000000001E-2</v>
      </c>
      <c r="AA599" s="181">
        <v>8.0499999999999999E-3</v>
      </c>
      <c r="AB599" s="180">
        <v>2.9999999999999997E-4</v>
      </c>
      <c r="AC599" s="163"/>
      <c r="AD599" s="181">
        <f>Z599+AB599</f>
        <v>2.1300000000000003E-2</v>
      </c>
      <c r="AE599" s="163"/>
      <c r="AF599" s="163">
        <v>2.2999999999999998</v>
      </c>
      <c r="AG599" s="31"/>
      <c r="AH599" s="31"/>
      <c r="AI599" s="31"/>
      <c r="AJ599" s="31"/>
      <c r="AK599" s="31"/>
      <c r="AL599" s="28" t="str">
        <f>VLOOKUP($G599,'[42]Sheet1 (2)'!$A$1:$B$1048440,2,FALSE)</f>
        <v>Sqm</v>
      </c>
      <c r="AM599" s="32" t="s">
        <v>922</v>
      </c>
      <c r="AN599" s="31"/>
      <c r="AO599" s="33"/>
    </row>
    <row r="600" spans="1:41" ht="98" x14ac:dyDescent="0.25">
      <c r="A600" s="26">
        <v>485</v>
      </c>
      <c r="B600" s="21" t="s">
        <v>838</v>
      </c>
      <c r="C600" s="127">
        <v>14.56</v>
      </c>
      <c r="D600" s="25" t="s">
        <v>72</v>
      </c>
      <c r="E600" s="23" t="s">
        <v>923</v>
      </c>
      <c r="F600" s="24" t="s">
        <v>924</v>
      </c>
      <c r="G600" s="21" t="s">
        <v>80</v>
      </c>
      <c r="H600" s="26">
        <v>2277</v>
      </c>
      <c r="I600" s="26">
        <v>214</v>
      </c>
      <c r="J600" s="31">
        <v>2.1000000000000001E-2</v>
      </c>
      <c r="K600" s="31"/>
      <c r="L600" s="183">
        <f>0.027+0.013</f>
        <v>0.04</v>
      </c>
      <c r="M600" s="31"/>
      <c r="N600" s="31"/>
      <c r="O600" s="31"/>
      <c r="P600" s="183">
        <v>0.02</v>
      </c>
      <c r="Q600" s="31"/>
      <c r="R600" s="31"/>
      <c r="S600" s="31"/>
      <c r="T600" s="31"/>
      <c r="U600" s="31"/>
      <c r="V600" s="31"/>
      <c r="W600" s="31"/>
      <c r="X600" s="31"/>
      <c r="Y600" s="31"/>
      <c r="Z600" s="31"/>
      <c r="AA600" s="31"/>
      <c r="AB600" s="31"/>
      <c r="AC600" s="31"/>
      <c r="AD600" s="31"/>
      <c r="AE600" s="31"/>
      <c r="AF600" s="31"/>
      <c r="AG600" s="31"/>
      <c r="AH600" s="31"/>
      <c r="AI600" s="31"/>
      <c r="AJ600" s="31"/>
      <c r="AK600" s="31"/>
      <c r="AL600" s="28" t="str">
        <f>VLOOKUP($G600,'[42]Sheet1 (2)'!$A$1:$B$1048440,2,FALSE)</f>
        <v>Rmt.</v>
      </c>
      <c r="AM600" s="32"/>
      <c r="AN600" s="31"/>
      <c r="AO600" s="33"/>
    </row>
    <row r="601" spans="1:41" ht="140" x14ac:dyDescent="0.25">
      <c r="A601" s="26">
        <v>486</v>
      </c>
      <c r="B601" s="21" t="s">
        <v>838</v>
      </c>
      <c r="C601" s="127">
        <v>14.57</v>
      </c>
      <c r="D601" s="25" t="s">
        <v>72</v>
      </c>
      <c r="E601" s="24" t="s">
        <v>925</v>
      </c>
      <c r="F601" s="24" t="s">
        <v>924</v>
      </c>
      <c r="G601" s="21" t="s">
        <v>80</v>
      </c>
      <c r="H601" s="26">
        <v>2402</v>
      </c>
      <c r="I601" s="26">
        <v>214</v>
      </c>
      <c r="J601" s="178">
        <f>0.42/20</f>
        <v>2.0999999999999998E-2</v>
      </c>
      <c r="K601" s="178"/>
      <c r="L601" s="163">
        <f>0.027+0.013</f>
        <v>0.04</v>
      </c>
      <c r="M601" s="178"/>
      <c r="N601" s="178"/>
      <c r="O601" s="178"/>
      <c r="P601" s="178">
        <v>0.02</v>
      </c>
      <c r="Q601" s="31"/>
      <c r="R601" s="31"/>
      <c r="S601" s="31"/>
      <c r="T601" s="31"/>
      <c r="U601" s="31"/>
      <c r="V601" s="31"/>
      <c r="W601" s="31"/>
      <c r="X601" s="31"/>
      <c r="Y601" s="31"/>
      <c r="Z601" s="31"/>
      <c r="AA601" s="31"/>
      <c r="AB601" s="31"/>
      <c r="AC601" s="31"/>
      <c r="AD601" s="31"/>
      <c r="AE601" s="31"/>
      <c r="AF601" s="31"/>
      <c r="AG601" s="31"/>
      <c r="AH601" s="31"/>
      <c r="AI601" s="31"/>
      <c r="AJ601" s="31"/>
      <c r="AK601" s="31"/>
      <c r="AL601" s="28" t="str">
        <f>VLOOKUP($G601,'[42]Sheet1 (2)'!$A$1:$B$1048440,2,FALSE)</f>
        <v>Rmt.</v>
      </c>
      <c r="AM601" s="32" t="s">
        <v>926</v>
      </c>
      <c r="AN601" s="31"/>
      <c r="AO601" s="33"/>
    </row>
    <row r="602" spans="1:41" ht="98" x14ac:dyDescent="0.25">
      <c r="A602" s="26">
        <v>487</v>
      </c>
      <c r="B602" s="21" t="s">
        <v>838</v>
      </c>
      <c r="C602" s="127">
        <v>14.58</v>
      </c>
      <c r="D602" s="25" t="s">
        <v>72</v>
      </c>
      <c r="E602" s="23" t="s">
        <v>927</v>
      </c>
      <c r="F602" s="35" t="s">
        <v>928</v>
      </c>
      <c r="G602" s="25" t="s">
        <v>47</v>
      </c>
      <c r="H602" s="26">
        <v>5976</v>
      </c>
      <c r="I602" s="26">
        <v>927</v>
      </c>
      <c r="J602" s="184">
        <v>0.33</v>
      </c>
      <c r="K602" s="184"/>
      <c r="L602" s="184">
        <f>0.52+0.22+0.11</f>
        <v>0.85</v>
      </c>
      <c r="M602" s="184"/>
      <c r="N602" s="184"/>
      <c r="O602" s="184"/>
      <c r="P602" s="184">
        <v>0.45</v>
      </c>
      <c r="Q602" s="31"/>
      <c r="R602" s="31"/>
      <c r="S602" s="31"/>
      <c r="T602" s="31"/>
      <c r="U602" s="31"/>
      <c r="V602" s="31"/>
      <c r="W602" s="31"/>
      <c r="X602" s="31"/>
      <c r="Y602" s="31"/>
      <c r="Z602" s="31"/>
      <c r="AA602" s="31"/>
      <c r="AB602" s="31"/>
      <c r="AC602" s="31"/>
      <c r="AD602" s="31"/>
      <c r="AE602" s="31"/>
      <c r="AF602" s="31"/>
      <c r="AG602" s="31"/>
      <c r="AH602" s="31"/>
      <c r="AI602" s="31"/>
      <c r="AJ602" s="31"/>
      <c r="AK602" s="31"/>
      <c r="AL602" s="28" t="str">
        <f>VLOOKUP($G602,'[42]Sheet1 (2)'!$A$1:$B$1048440,2,FALSE)</f>
        <v>Cum</v>
      </c>
      <c r="AM602" s="32" t="s">
        <v>929</v>
      </c>
      <c r="AN602" s="31"/>
      <c r="AO602" s="33"/>
    </row>
    <row r="603" spans="1:41" ht="98" x14ac:dyDescent="0.25">
      <c r="A603" s="26">
        <v>488</v>
      </c>
      <c r="B603" s="21" t="s">
        <v>838</v>
      </c>
      <c r="C603" s="127">
        <v>14.59</v>
      </c>
      <c r="D603" s="25" t="s">
        <v>72</v>
      </c>
      <c r="E603" s="23" t="s">
        <v>930</v>
      </c>
      <c r="F603" s="24" t="s">
        <v>931</v>
      </c>
      <c r="G603" s="25" t="s">
        <v>47</v>
      </c>
      <c r="H603" s="26">
        <v>11341</v>
      </c>
      <c r="I603" s="26">
        <v>1289</v>
      </c>
      <c r="J603" s="184">
        <f>9/20</f>
        <v>0.45</v>
      </c>
      <c r="K603" s="184"/>
      <c r="L603" s="184">
        <f>0.58+0.28</f>
        <v>0.86</v>
      </c>
      <c r="M603" s="184"/>
      <c r="N603" s="184"/>
      <c r="O603" s="184"/>
      <c r="P603" s="184">
        <v>0.43</v>
      </c>
      <c r="Q603" s="31"/>
      <c r="R603" s="31"/>
      <c r="S603" s="31"/>
      <c r="T603" s="31"/>
      <c r="U603" s="31"/>
      <c r="V603" s="31"/>
      <c r="W603" s="31"/>
      <c r="X603" s="31"/>
      <c r="Y603" s="31"/>
      <c r="Z603" s="31"/>
      <c r="AA603" s="31"/>
      <c r="AB603" s="31"/>
      <c r="AC603" s="31"/>
      <c r="AD603" s="31"/>
      <c r="AE603" s="31"/>
      <c r="AF603" s="31"/>
      <c r="AG603" s="31"/>
      <c r="AH603" s="31"/>
      <c r="AI603" s="31"/>
      <c r="AJ603" s="31"/>
      <c r="AK603" s="31"/>
      <c r="AL603" s="28" t="str">
        <f>VLOOKUP($G603,'[42]Sheet1 (2)'!$A$1:$B$1048440,2,FALSE)</f>
        <v>Cum</v>
      </c>
      <c r="AM603" s="32" t="s">
        <v>932</v>
      </c>
      <c r="AN603" s="31"/>
      <c r="AO603" s="33"/>
    </row>
    <row r="604" spans="1:41" ht="42" x14ac:dyDescent="0.25">
      <c r="A604" s="26">
        <v>489</v>
      </c>
      <c r="B604" s="35" t="s">
        <v>913</v>
      </c>
      <c r="C604" s="127">
        <v>14.6</v>
      </c>
      <c r="D604" s="25" t="s">
        <v>72</v>
      </c>
      <c r="E604" s="23" t="s">
        <v>933</v>
      </c>
      <c r="F604" s="35" t="s">
        <v>934</v>
      </c>
      <c r="G604" s="25" t="s">
        <v>47</v>
      </c>
      <c r="H604" s="26">
        <v>28781</v>
      </c>
      <c r="I604" s="26">
        <v>4517</v>
      </c>
      <c r="J604" s="184"/>
      <c r="K604" s="184"/>
      <c r="L604" s="184"/>
      <c r="M604" s="184"/>
      <c r="N604" s="184"/>
      <c r="O604" s="184"/>
      <c r="P604" s="184"/>
      <c r="Q604" s="31"/>
      <c r="R604" s="31"/>
      <c r="S604" s="31"/>
      <c r="T604" s="31"/>
      <c r="U604" s="31"/>
      <c r="V604" s="31"/>
      <c r="W604" s="31"/>
      <c r="X604" s="31"/>
      <c r="Y604" s="31"/>
      <c r="Z604" s="31"/>
      <c r="AA604" s="31"/>
      <c r="AB604" s="31"/>
      <c r="AC604" s="31"/>
      <c r="AD604" s="31"/>
      <c r="AE604" s="31"/>
      <c r="AF604" s="31"/>
      <c r="AG604" s="31"/>
      <c r="AH604" s="31"/>
      <c r="AI604" s="31"/>
      <c r="AJ604" s="31"/>
      <c r="AK604" s="31"/>
      <c r="AL604" s="28" t="str">
        <f>VLOOKUP($G604,'[42]Sheet1 (2)'!$A$1:$B$1048440,2,FALSE)</f>
        <v>Cum</v>
      </c>
      <c r="AM604" s="32"/>
      <c r="AN604" s="31"/>
      <c r="AO604" s="33"/>
    </row>
    <row r="605" spans="1:41" ht="70" x14ac:dyDescent="0.25">
      <c r="A605" s="26">
        <v>490</v>
      </c>
      <c r="B605" s="21" t="s">
        <v>838</v>
      </c>
      <c r="C605" s="127">
        <v>14.61</v>
      </c>
      <c r="D605" s="25" t="s">
        <v>72</v>
      </c>
      <c r="E605" s="23" t="s">
        <v>935</v>
      </c>
      <c r="F605" s="24" t="s">
        <v>936</v>
      </c>
      <c r="G605" s="21" t="s">
        <v>217</v>
      </c>
      <c r="H605" s="26">
        <v>209</v>
      </c>
      <c r="I605" s="26">
        <v>34</v>
      </c>
      <c r="J605" s="31"/>
      <c r="K605" s="31"/>
      <c r="L605" s="31"/>
      <c r="M605" s="31"/>
      <c r="N605" s="31"/>
      <c r="O605" s="31"/>
      <c r="P605" s="31"/>
      <c r="Q605" s="31"/>
      <c r="R605" s="31"/>
      <c r="S605" s="31"/>
      <c r="T605" s="31"/>
      <c r="U605" s="31"/>
      <c r="V605" s="31"/>
      <c r="W605" s="31"/>
      <c r="X605" s="31"/>
      <c r="Y605" s="31"/>
      <c r="Z605" s="31"/>
      <c r="AA605" s="31"/>
      <c r="AB605" s="31"/>
      <c r="AC605" s="31"/>
      <c r="AD605" s="31"/>
      <c r="AE605" s="31"/>
      <c r="AF605" s="31"/>
      <c r="AG605" s="31"/>
      <c r="AH605" s="31"/>
      <c r="AI605" s="31"/>
      <c r="AJ605" s="31"/>
      <c r="AK605" s="31"/>
      <c r="AL605" s="28" t="str">
        <f>VLOOKUP($G605,'[42]Sheet1 (2)'!$A$1:$B$1048440,2,FALSE)</f>
        <v>Sqm</v>
      </c>
      <c r="AM605" s="32"/>
      <c r="AN605" s="31"/>
      <c r="AO605" s="33"/>
    </row>
    <row r="606" spans="1:41" ht="112" x14ac:dyDescent="0.25">
      <c r="A606" s="26">
        <v>491</v>
      </c>
      <c r="B606" s="21" t="s">
        <v>838</v>
      </c>
      <c r="C606" s="22">
        <v>14.62</v>
      </c>
      <c r="D606" s="25" t="s">
        <v>72</v>
      </c>
      <c r="E606" s="24" t="s">
        <v>937</v>
      </c>
      <c r="F606" s="24" t="s">
        <v>938</v>
      </c>
      <c r="G606" s="21" t="s">
        <v>80</v>
      </c>
      <c r="H606" s="26">
        <v>2095</v>
      </c>
      <c r="I606" s="26">
        <v>32</v>
      </c>
      <c r="J606" s="31"/>
      <c r="K606" s="31"/>
      <c r="L606" s="31"/>
      <c r="M606" s="31"/>
      <c r="N606" s="31"/>
      <c r="O606" s="31"/>
      <c r="P606" s="31"/>
      <c r="Q606" s="31"/>
      <c r="R606" s="31"/>
      <c r="S606" s="31"/>
      <c r="T606" s="31"/>
      <c r="U606" s="31"/>
      <c r="V606" s="31"/>
      <c r="W606" s="31"/>
      <c r="X606" s="31"/>
      <c r="Y606" s="31"/>
      <c r="Z606" s="31"/>
      <c r="AA606" s="31"/>
      <c r="AB606" s="31"/>
      <c r="AC606" s="31"/>
      <c r="AD606" s="31"/>
      <c r="AE606" s="31"/>
      <c r="AF606" s="31"/>
      <c r="AG606" s="31"/>
      <c r="AH606" s="31"/>
      <c r="AI606" s="31"/>
      <c r="AJ606" s="31"/>
      <c r="AK606" s="31"/>
      <c r="AL606" s="28" t="str">
        <f>VLOOKUP($G606,'[42]Sheet1 (2)'!$A$1:$B$1048440,2,FALSE)</f>
        <v>Rmt.</v>
      </c>
      <c r="AM606" s="32"/>
      <c r="AN606" s="31"/>
      <c r="AO606" s="33"/>
    </row>
    <row r="607" spans="1:41" ht="42" x14ac:dyDescent="0.25">
      <c r="A607" s="26">
        <v>492</v>
      </c>
      <c r="B607" s="35" t="s">
        <v>913</v>
      </c>
      <c r="C607" s="22">
        <v>14.63</v>
      </c>
      <c r="D607" s="25" t="s">
        <v>72</v>
      </c>
      <c r="E607" s="23" t="s">
        <v>939</v>
      </c>
      <c r="F607" s="24" t="s">
        <v>940</v>
      </c>
      <c r="G607" s="35" t="s">
        <v>941</v>
      </c>
      <c r="H607" s="26">
        <v>382</v>
      </c>
      <c r="I607" s="26">
        <v>11</v>
      </c>
      <c r="J607" s="31"/>
      <c r="K607" s="31"/>
      <c r="L607" s="31"/>
      <c r="M607" s="31"/>
      <c r="N607" s="31"/>
      <c r="O607" s="31"/>
      <c r="P607" s="31"/>
      <c r="Q607" s="31"/>
      <c r="R607" s="31"/>
      <c r="S607" s="31"/>
      <c r="T607" s="31"/>
      <c r="U607" s="31"/>
      <c r="V607" s="31"/>
      <c r="W607" s="31"/>
      <c r="X607" s="31"/>
      <c r="Y607" s="31"/>
      <c r="Z607" s="31"/>
      <c r="AA607" s="31"/>
      <c r="AB607" s="31"/>
      <c r="AC607" s="31"/>
      <c r="AD607" s="31"/>
      <c r="AE607" s="31"/>
      <c r="AF607" s="31"/>
      <c r="AG607" s="31"/>
      <c r="AH607" s="31"/>
      <c r="AI607" s="31"/>
      <c r="AJ607" s="31"/>
      <c r="AK607" s="31"/>
      <c r="AL607" s="28" t="e">
        <f>VLOOKUP($G607,'[42]Sheet1 (2)'!$A$1:$B$1048440,2,FALSE)</f>
        <v>#N/A</v>
      </c>
      <c r="AM607" s="32"/>
      <c r="AN607" s="31"/>
      <c r="AO607" s="33"/>
    </row>
    <row r="608" spans="1:41" ht="42" x14ac:dyDescent="0.25">
      <c r="A608" s="26">
        <v>493</v>
      </c>
      <c r="B608" s="35" t="s">
        <v>913</v>
      </c>
      <c r="C608" s="22">
        <v>14.64</v>
      </c>
      <c r="D608" s="25" t="s">
        <v>72</v>
      </c>
      <c r="E608" s="23" t="s">
        <v>942</v>
      </c>
      <c r="F608" s="24" t="s">
        <v>940</v>
      </c>
      <c r="G608" s="35" t="s">
        <v>941</v>
      </c>
      <c r="H608" s="26">
        <v>46</v>
      </c>
      <c r="I608" s="26">
        <v>32</v>
      </c>
      <c r="J608" s="31"/>
      <c r="K608" s="31"/>
      <c r="L608" s="31"/>
      <c r="M608" s="163"/>
      <c r="N608" s="163"/>
      <c r="O608" s="163"/>
      <c r="P608" s="163"/>
      <c r="Q608" s="163"/>
      <c r="R608" s="31"/>
      <c r="S608" s="31"/>
      <c r="T608" s="31"/>
      <c r="U608" s="31"/>
      <c r="V608" s="31"/>
      <c r="W608" s="31"/>
      <c r="X608" s="31"/>
      <c r="Y608" s="31"/>
      <c r="Z608" s="31"/>
      <c r="AA608" s="31"/>
      <c r="AB608" s="31"/>
      <c r="AC608" s="31"/>
      <c r="AD608" s="31"/>
      <c r="AE608" s="31"/>
      <c r="AF608" s="31"/>
      <c r="AG608" s="31"/>
      <c r="AH608" s="31"/>
      <c r="AI608" s="31"/>
      <c r="AJ608" s="31"/>
      <c r="AK608" s="31"/>
      <c r="AL608" s="28" t="e">
        <f>VLOOKUP($G608,'[42]Sheet1 (2)'!$A$1:$B$1048440,2,FALSE)</f>
        <v>#N/A</v>
      </c>
      <c r="AM608" s="32"/>
      <c r="AN608" s="31"/>
      <c r="AO608" s="33"/>
    </row>
    <row r="609" spans="1:41" ht="140" x14ac:dyDescent="0.25">
      <c r="A609" s="26">
        <v>494</v>
      </c>
      <c r="B609" s="21" t="s">
        <v>838</v>
      </c>
      <c r="C609" s="22">
        <v>14.65</v>
      </c>
      <c r="D609" s="25" t="s">
        <v>72</v>
      </c>
      <c r="E609" s="24" t="s">
        <v>943</v>
      </c>
      <c r="F609" s="24" t="s">
        <v>940</v>
      </c>
      <c r="G609" s="21" t="s">
        <v>80</v>
      </c>
      <c r="H609" s="26">
        <v>1752</v>
      </c>
      <c r="I609" s="26">
        <v>71</v>
      </c>
      <c r="J609" s="31"/>
      <c r="K609" s="31"/>
      <c r="L609" s="31"/>
      <c r="M609" s="31"/>
      <c r="N609" s="31"/>
      <c r="O609" s="31"/>
      <c r="P609" s="31"/>
      <c r="Q609" s="31"/>
      <c r="R609" s="31"/>
      <c r="S609" s="31"/>
      <c r="T609" s="31"/>
      <c r="U609" s="31"/>
      <c r="V609" s="31"/>
      <c r="W609" s="31"/>
      <c r="X609" s="31"/>
      <c r="Y609" s="31"/>
      <c r="Z609" s="31"/>
      <c r="AA609" s="31"/>
      <c r="AB609" s="31"/>
      <c r="AC609" s="31"/>
      <c r="AD609" s="31"/>
      <c r="AE609" s="31"/>
      <c r="AF609" s="31"/>
      <c r="AG609" s="31"/>
      <c r="AH609" s="31"/>
      <c r="AI609" s="31"/>
      <c r="AJ609" s="31"/>
      <c r="AK609" s="31"/>
      <c r="AL609" s="28" t="str">
        <f>VLOOKUP($G609,'[42]Sheet1 (2)'!$A$1:$B$1048440,2,FALSE)</f>
        <v>Rmt.</v>
      </c>
      <c r="AM609" s="32"/>
      <c r="AN609" s="31"/>
      <c r="AO609" s="33"/>
    </row>
    <row r="610" spans="1:41" ht="98" x14ac:dyDescent="0.25">
      <c r="A610" s="26">
        <v>495</v>
      </c>
      <c r="B610" s="21" t="s">
        <v>838</v>
      </c>
      <c r="C610" s="22">
        <v>14.66</v>
      </c>
      <c r="D610" s="25" t="s">
        <v>72</v>
      </c>
      <c r="E610" s="24" t="s">
        <v>944</v>
      </c>
      <c r="F610" s="24" t="s">
        <v>938</v>
      </c>
      <c r="G610" s="21" t="s">
        <v>80</v>
      </c>
      <c r="H610" s="26">
        <v>13312</v>
      </c>
      <c r="I610" s="26">
        <v>99</v>
      </c>
      <c r="J610" s="31"/>
      <c r="K610" s="31"/>
      <c r="L610" s="31"/>
      <c r="M610" s="31"/>
      <c r="N610" s="31"/>
      <c r="O610" s="31"/>
      <c r="P610" s="31"/>
      <c r="Q610" s="31"/>
      <c r="R610" s="31"/>
      <c r="S610" s="31"/>
      <c r="T610" s="31"/>
      <c r="U610" s="31"/>
      <c r="V610" s="31"/>
      <c r="W610" s="31"/>
      <c r="X610" s="31"/>
      <c r="Y610" s="31"/>
      <c r="Z610" s="31"/>
      <c r="AA610" s="31"/>
      <c r="AB610" s="31"/>
      <c r="AC610" s="31"/>
      <c r="AD610" s="31"/>
      <c r="AE610" s="31"/>
      <c r="AF610" s="31"/>
      <c r="AG610" s="31"/>
      <c r="AH610" s="31"/>
      <c r="AI610" s="31"/>
      <c r="AJ610" s="31"/>
      <c r="AK610" s="31"/>
      <c r="AL610" s="28" t="str">
        <f>VLOOKUP($G610,'[42]Sheet1 (2)'!$A$1:$B$1048440,2,FALSE)</f>
        <v>Rmt.</v>
      </c>
      <c r="AM610" s="32"/>
      <c r="AN610" s="31"/>
      <c r="AO610" s="33"/>
    </row>
    <row r="611" spans="1:41" ht="98" x14ac:dyDescent="0.25">
      <c r="A611" s="26">
        <v>496</v>
      </c>
      <c r="B611" s="21" t="s">
        <v>838</v>
      </c>
      <c r="C611" s="22">
        <v>14.67</v>
      </c>
      <c r="D611" s="25" t="s">
        <v>72</v>
      </c>
      <c r="E611" s="23" t="s">
        <v>945</v>
      </c>
      <c r="F611" s="24" t="s">
        <v>940</v>
      </c>
      <c r="G611" s="21" t="s">
        <v>80</v>
      </c>
      <c r="H611" s="26">
        <v>4772</v>
      </c>
      <c r="I611" s="26">
        <v>59</v>
      </c>
      <c r="J611" s="31"/>
      <c r="K611" s="31"/>
      <c r="L611" s="31"/>
      <c r="M611" s="31"/>
      <c r="N611" s="31"/>
      <c r="O611" s="31"/>
      <c r="P611" s="31"/>
      <c r="Q611" s="31"/>
      <c r="R611" s="31"/>
      <c r="S611" s="31"/>
      <c r="T611" s="31"/>
      <c r="U611" s="31"/>
      <c r="V611" s="31"/>
      <c r="W611" s="31"/>
      <c r="X611" s="31"/>
      <c r="Y611" s="31"/>
      <c r="Z611" s="31"/>
      <c r="AA611" s="31"/>
      <c r="AB611" s="31"/>
      <c r="AC611" s="31"/>
      <c r="AD611" s="31"/>
      <c r="AE611" s="31"/>
      <c r="AF611" s="31"/>
      <c r="AG611" s="31"/>
      <c r="AH611" s="31"/>
      <c r="AI611" s="31"/>
      <c r="AJ611" s="31"/>
      <c r="AK611" s="31"/>
      <c r="AL611" s="28" t="str">
        <f>VLOOKUP($G611,'[42]Sheet1 (2)'!$A$1:$B$1048440,2,FALSE)</f>
        <v>Rmt.</v>
      </c>
      <c r="AM611" s="32"/>
      <c r="AN611" s="31"/>
      <c r="AO611" s="33"/>
    </row>
    <row r="612" spans="1:41" ht="84" x14ac:dyDescent="0.25">
      <c r="A612" s="26">
        <v>497</v>
      </c>
      <c r="B612" s="21" t="s">
        <v>838</v>
      </c>
      <c r="C612" s="22">
        <v>14.68</v>
      </c>
      <c r="D612" s="25" t="s">
        <v>72</v>
      </c>
      <c r="E612" s="24" t="s">
        <v>946</v>
      </c>
      <c r="F612" s="24" t="s">
        <v>947</v>
      </c>
      <c r="G612" s="21" t="s">
        <v>80</v>
      </c>
      <c r="H612" s="26">
        <v>13295</v>
      </c>
      <c r="I612" s="26">
        <v>82</v>
      </c>
      <c r="J612" s="31"/>
      <c r="K612" s="31"/>
      <c r="L612" s="31"/>
      <c r="M612" s="31"/>
      <c r="N612" s="31"/>
      <c r="O612" s="31"/>
      <c r="P612" s="31"/>
      <c r="Q612" s="31"/>
      <c r="R612" s="31"/>
      <c r="S612" s="31"/>
      <c r="T612" s="31"/>
      <c r="U612" s="31"/>
      <c r="V612" s="31"/>
      <c r="W612" s="31"/>
      <c r="X612" s="31"/>
      <c r="Y612" s="31"/>
      <c r="Z612" s="31"/>
      <c r="AA612" s="31"/>
      <c r="AB612" s="31"/>
      <c r="AC612" s="31"/>
      <c r="AD612" s="31"/>
      <c r="AE612" s="31"/>
      <c r="AF612" s="31"/>
      <c r="AG612" s="31"/>
      <c r="AH612" s="31"/>
      <c r="AI612" s="31"/>
      <c r="AJ612" s="31"/>
      <c r="AK612" s="31"/>
      <c r="AL612" s="28" t="str">
        <f>VLOOKUP($G612,'[42]Sheet1 (2)'!$A$1:$B$1048440,2,FALSE)</f>
        <v>Rmt.</v>
      </c>
      <c r="AM612" s="32"/>
      <c r="AN612" s="31"/>
      <c r="AO612" s="33"/>
    </row>
    <row r="613" spans="1:41" ht="56" x14ac:dyDescent="0.25">
      <c r="A613" s="26">
        <v>498</v>
      </c>
      <c r="B613" s="21" t="s">
        <v>838</v>
      </c>
      <c r="C613" s="22">
        <v>14.69</v>
      </c>
      <c r="D613" s="25" t="s">
        <v>72</v>
      </c>
      <c r="E613" s="24" t="s">
        <v>948</v>
      </c>
      <c r="F613" s="24" t="s">
        <v>949</v>
      </c>
      <c r="G613" s="25" t="s">
        <v>47</v>
      </c>
      <c r="H613" s="26">
        <v>1872</v>
      </c>
      <c r="I613" s="26">
        <v>878</v>
      </c>
      <c r="J613" s="31"/>
      <c r="K613" s="31"/>
      <c r="L613" s="31"/>
      <c r="M613" s="31"/>
      <c r="N613" s="31">
        <v>1</v>
      </c>
      <c r="O613" s="31"/>
      <c r="P613" s="31"/>
      <c r="Q613" s="31"/>
      <c r="R613" s="31"/>
      <c r="S613" s="31"/>
      <c r="T613" s="31"/>
      <c r="U613" s="31"/>
      <c r="V613" s="31"/>
      <c r="W613" s="31"/>
      <c r="X613" s="31"/>
      <c r="Y613" s="31"/>
      <c r="Z613" s="31"/>
      <c r="AA613" s="31"/>
      <c r="AB613" s="31"/>
      <c r="AC613" s="31"/>
      <c r="AD613" s="31"/>
      <c r="AE613" s="31"/>
      <c r="AF613" s="31"/>
      <c r="AG613" s="31"/>
      <c r="AH613" s="31"/>
      <c r="AI613" s="31"/>
      <c r="AJ613" s="31"/>
      <c r="AK613" s="31"/>
      <c r="AL613" s="28" t="str">
        <f>VLOOKUP($G613,'[42]Sheet1 (2)'!$A$1:$B$1048440,2,FALSE)</f>
        <v>Cum</v>
      </c>
      <c r="AM613" s="32"/>
      <c r="AN613" s="31"/>
      <c r="AO613" s="33"/>
    </row>
    <row r="614" spans="1:41" ht="84" x14ac:dyDescent="0.25">
      <c r="A614" s="26">
        <v>499</v>
      </c>
      <c r="B614" s="21" t="s">
        <v>838</v>
      </c>
      <c r="C614" s="22">
        <v>14.7</v>
      </c>
      <c r="D614" s="25" t="s">
        <v>72</v>
      </c>
      <c r="E614" s="23" t="s">
        <v>950</v>
      </c>
      <c r="F614" s="24" t="s">
        <v>949</v>
      </c>
      <c r="G614" s="25" t="s">
        <v>47</v>
      </c>
      <c r="H614" s="26">
        <v>2634</v>
      </c>
      <c r="I614" s="26">
        <v>632</v>
      </c>
      <c r="J614" s="31"/>
      <c r="K614" s="31"/>
      <c r="L614" s="31"/>
      <c r="M614" s="31"/>
      <c r="N614" s="31">
        <v>1</v>
      </c>
      <c r="O614" s="31"/>
      <c r="P614" s="31"/>
      <c r="Q614" s="31"/>
      <c r="R614" s="31"/>
      <c r="S614" s="31"/>
      <c r="T614" s="31"/>
      <c r="U614" s="31"/>
      <c r="V614" s="31"/>
      <c r="W614" s="31"/>
      <c r="X614" s="31"/>
      <c r="Y614" s="31"/>
      <c r="Z614" s="31"/>
      <c r="AA614" s="31"/>
      <c r="AB614" s="31"/>
      <c r="AC614" s="31"/>
      <c r="AD614" s="31"/>
      <c r="AE614" s="31"/>
      <c r="AF614" s="31"/>
      <c r="AG614" s="31"/>
      <c r="AH614" s="31"/>
      <c r="AI614" s="31"/>
      <c r="AJ614" s="31"/>
      <c r="AK614" s="31"/>
      <c r="AL614" s="28" t="str">
        <f>VLOOKUP($G614,'[42]Sheet1 (2)'!$A$1:$B$1048440,2,FALSE)</f>
        <v>Cum</v>
      </c>
      <c r="AM614" s="32"/>
      <c r="AN614" s="31"/>
      <c r="AO614" s="33"/>
    </row>
    <row r="615" spans="1:41" ht="98" x14ac:dyDescent="0.25">
      <c r="A615" s="26">
        <v>500</v>
      </c>
      <c r="B615" s="21" t="s">
        <v>838</v>
      </c>
      <c r="C615" s="22">
        <v>14.71</v>
      </c>
      <c r="D615" s="25" t="s">
        <v>72</v>
      </c>
      <c r="E615" s="24" t="s">
        <v>951</v>
      </c>
      <c r="F615" s="24" t="s">
        <v>949</v>
      </c>
      <c r="G615" s="25" t="s">
        <v>47</v>
      </c>
      <c r="H615" s="26">
        <v>6453</v>
      </c>
      <c r="I615" s="26">
        <v>1278</v>
      </c>
      <c r="J615" s="184">
        <f>6.4/20</f>
        <v>0.32</v>
      </c>
      <c r="K615" s="184"/>
      <c r="L615" s="184">
        <v>0.85</v>
      </c>
      <c r="M615" s="184"/>
      <c r="N615" s="184"/>
      <c r="O615" s="184"/>
      <c r="P615" s="184">
        <v>0.42499999999999999</v>
      </c>
      <c r="Q615" s="31"/>
      <c r="R615" s="31"/>
      <c r="S615" s="31"/>
      <c r="T615" s="31"/>
      <c r="U615" s="31"/>
      <c r="V615" s="31"/>
      <c r="W615" s="31"/>
      <c r="X615" s="31"/>
      <c r="Y615" s="31"/>
      <c r="Z615" s="31"/>
      <c r="AA615" s="31"/>
      <c r="AB615" s="31"/>
      <c r="AC615" s="31"/>
      <c r="AD615" s="31"/>
      <c r="AE615" s="31"/>
      <c r="AF615" s="31"/>
      <c r="AG615" s="31"/>
      <c r="AH615" s="31"/>
      <c r="AI615" s="31"/>
      <c r="AJ615" s="31"/>
      <c r="AK615" s="31"/>
      <c r="AL615" s="28" t="str">
        <f>VLOOKUP($G615,'[42]Sheet1 (2)'!$A$1:$B$1048440,2,FALSE)</f>
        <v>Cum</v>
      </c>
      <c r="AM615" s="32" t="s">
        <v>952</v>
      </c>
      <c r="AN615" s="31"/>
      <c r="AO615" s="33"/>
    </row>
    <row r="616" spans="1:41" ht="56" x14ac:dyDescent="0.25">
      <c r="A616" s="26">
        <v>501</v>
      </c>
      <c r="B616" s="21" t="s">
        <v>838</v>
      </c>
      <c r="C616" s="22">
        <v>14.72</v>
      </c>
      <c r="D616" s="25" t="s">
        <v>72</v>
      </c>
      <c r="E616" s="23" t="s">
        <v>953</v>
      </c>
      <c r="F616" s="24" t="s">
        <v>949</v>
      </c>
      <c r="G616" s="25" t="s">
        <v>47</v>
      </c>
      <c r="H616" s="26">
        <v>1872</v>
      </c>
      <c r="I616" s="26">
        <v>878</v>
      </c>
      <c r="J616" s="31"/>
      <c r="K616" s="31"/>
      <c r="L616" s="31"/>
      <c r="M616" s="31"/>
      <c r="N616" s="31">
        <v>1</v>
      </c>
      <c r="O616" s="31">
        <v>0.3</v>
      </c>
      <c r="P616" s="31"/>
      <c r="Q616" s="31"/>
      <c r="R616" s="31"/>
      <c r="S616" s="31"/>
      <c r="T616" s="31"/>
      <c r="U616" s="31"/>
      <c r="V616" s="31"/>
      <c r="W616" s="31"/>
      <c r="X616" s="31"/>
      <c r="Y616" s="31"/>
      <c r="Z616" s="31"/>
      <c r="AA616" s="31"/>
      <c r="AB616" s="31"/>
      <c r="AC616" s="31"/>
      <c r="AD616" s="31"/>
      <c r="AE616" s="31"/>
      <c r="AF616" s="31"/>
      <c r="AG616" s="31"/>
      <c r="AH616" s="31"/>
      <c r="AI616" s="31"/>
      <c r="AJ616" s="31"/>
      <c r="AK616" s="31"/>
      <c r="AL616" s="28" t="str">
        <f>VLOOKUP($G616,'[42]Sheet1 (2)'!$A$1:$B$1048440,2,FALSE)</f>
        <v>Cum</v>
      </c>
      <c r="AM616" s="32" t="s">
        <v>954</v>
      </c>
      <c r="AN616" s="31"/>
      <c r="AO616" s="33"/>
    </row>
    <row r="617" spans="1:41" ht="126" x14ac:dyDescent="0.25">
      <c r="A617" s="26">
        <v>502</v>
      </c>
      <c r="B617" s="21" t="s">
        <v>838</v>
      </c>
      <c r="C617" s="22">
        <v>14.73</v>
      </c>
      <c r="D617" s="25" t="s">
        <v>72</v>
      </c>
      <c r="E617" s="24" t="s">
        <v>955</v>
      </c>
      <c r="F617" s="24" t="s">
        <v>949</v>
      </c>
      <c r="G617" s="25" t="s">
        <v>47</v>
      </c>
      <c r="H617" s="26">
        <v>6288</v>
      </c>
      <c r="I617" s="26">
        <v>1121</v>
      </c>
      <c r="J617" s="31"/>
      <c r="K617" s="31"/>
      <c r="L617" s="31"/>
      <c r="M617" s="31"/>
      <c r="N617" s="31"/>
      <c r="O617" s="31"/>
      <c r="P617" s="31"/>
      <c r="Q617" s="31"/>
      <c r="R617" s="31"/>
      <c r="S617" s="31"/>
      <c r="T617" s="31"/>
      <c r="U617" s="31"/>
      <c r="V617" s="31"/>
      <c r="W617" s="31"/>
      <c r="X617" s="31"/>
      <c r="Y617" s="31"/>
      <c r="Z617" s="31"/>
      <c r="AA617" s="31"/>
      <c r="AB617" s="31"/>
      <c r="AC617" s="31"/>
      <c r="AD617" s="31"/>
      <c r="AE617" s="31"/>
      <c r="AF617" s="31"/>
      <c r="AG617" s="31"/>
      <c r="AH617" s="31"/>
      <c r="AI617" s="31"/>
      <c r="AJ617" s="31"/>
      <c r="AK617" s="31"/>
      <c r="AL617" s="28" t="str">
        <f>VLOOKUP($G617,'[42]Sheet1 (2)'!$A$1:$B$1048440,2,FALSE)</f>
        <v>Cum</v>
      </c>
      <c r="AM617" s="32" t="s">
        <v>956</v>
      </c>
      <c r="AN617" s="31"/>
      <c r="AO617" s="33"/>
    </row>
    <row r="618" spans="1:41" ht="42" x14ac:dyDescent="0.25">
      <c r="A618" s="26">
        <v>503</v>
      </c>
      <c r="B618" s="35" t="s">
        <v>913</v>
      </c>
      <c r="C618" s="22">
        <v>14.74</v>
      </c>
      <c r="D618" s="25" t="s">
        <v>72</v>
      </c>
      <c r="E618" s="23" t="s">
        <v>957</v>
      </c>
      <c r="F618" s="24" t="s">
        <v>949</v>
      </c>
      <c r="G618" s="25" t="s">
        <v>47</v>
      </c>
      <c r="H618" s="26">
        <v>2506</v>
      </c>
      <c r="I618" s="26">
        <v>981</v>
      </c>
      <c r="J618" s="31"/>
      <c r="K618" s="31"/>
      <c r="L618" s="31"/>
      <c r="M618" s="163">
        <v>1</v>
      </c>
      <c r="N618" s="31"/>
      <c r="O618" s="163">
        <v>0.3</v>
      </c>
      <c r="P618" s="31"/>
      <c r="Q618" s="31"/>
      <c r="R618" s="31"/>
      <c r="S618" s="31"/>
      <c r="T618" s="31"/>
      <c r="U618" s="31"/>
      <c r="V618" s="31"/>
      <c r="W618" s="31"/>
      <c r="X618" s="31"/>
      <c r="Y618" s="31"/>
      <c r="Z618" s="31"/>
      <c r="AA618" s="31"/>
      <c r="AB618" s="31"/>
      <c r="AC618" s="31"/>
      <c r="AD618" s="31"/>
      <c r="AE618" s="31"/>
      <c r="AF618" s="31"/>
      <c r="AG618" s="31"/>
      <c r="AH618" s="31"/>
      <c r="AI618" s="31"/>
      <c r="AJ618" s="31"/>
      <c r="AK618" s="31"/>
      <c r="AL618" s="28" t="str">
        <f>VLOOKUP($G618,'[42]Sheet1 (2)'!$A$1:$B$1048440,2,FALSE)</f>
        <v>Cum</v>
      </c>
      <c r="AM618" s="32"/>
      <c r="AN618" s="31"/>
      <c r="AO618" s="33"/>
    </row>
    <row r="619" spans="1:41" ht="84" x14ac:dyDescent="0.25">
      <c r="A619" s="26">
        <v>504</v>
      </c>
      <c r="B619" s="21" t="s">
        <v>838</v>
      </c>
      <c r="C619" s="22">
        <v>14.75</v>
      </c>
      <c r="D619" s="25" t="s">
        <v>72</v>
      </c>
      <c r="E619" s="24" t="s">
        <v>958</v>
      </c>
      <c r="F619" s="35" t="s">
        <v>959</v>
      </c>
      <c r="G619" s="21" t="s">
        <v>217</v>
      </c>
      <c r="H619" s="26">
        <v>319</v>
      </c>
      <c r="I619" s="26">
        <v>194</v>
      </c>
      <c r="J619" s="31"/>
      <c r="K619" s="31"/>
      <c r="L619" s="31"/>
      <c r="M619" s="31"/>
      <c r="N619" s="31"/>
      <c r="O619" s="31"/>
      <c r="P619" s="31"/>
      <c r="Q619" s="31"/>
      <c r="R619" s="31"/>
      <c r="S619" s="31"/>
      <c r="T619" s="31"/>
      <c r="U619" s="31"/>
      <c r="V619" s="31"/>
      <c r="W619" s="31"/>
      <c r="X619" s="31"/>
      <c r="Y619" s="31"/>
      <c r="Z619" s="31"/>
      <c r="AA619" s="31"/>
      <c r="AB619" s="31"/>
      <c r="AC619" s="31"/>
      <c r="AD619" s="31"/>
      <c r="AE619" s="31"/>
      <c r="AF619" s="31"/>
      <c r="AG619" s="31"/>
      <c r="AH619" s="31"/>
      <c r="AI619" s="31"/>
      <c r="AJ619" s="31"/>
      <c r="AK619" s="31"/>
      <c r="AL619" s="28" t="str">
        <f>VLOOKUP($G619,'[42]Sheet1 (2)'!$A$1:$B$1048440,2,FALSE)</f>
        <v>Sqm</v>
      </c>
      <c r="AM619" s="32"/>
      <c r="AN619" s="31"/>
      <c r="AO619" s="33"/>
    </row>
    <row r="620" spans="1:41" ht="42" x14ac:dyDescent="0.25">
      <c r="A620" s="26">
        <v>505</v>
      </c>
      <c r="B620" s="35" t="s">
        <v>913</v>
      </c>
      <c r="C620" s="22">
        <v>14.76</v>
      </c>
      <c r="D620" s="25" t="s">
        <v>72</v>
      </c>
      <c r="E620" s="23" t="s">
        <v>960</v>
      </c>
      <c r="F620" s="24" t="s">
        <v>961</v>
      </c>
      <c r="G620" s="25" t="s">
        <v>47</v>
      </c>
      <c r="H620" s="26">
        <v>6671</v>
      </c>
      <c r="I620" s="26">
        <v>2230</v>
      </c>
      <c r="J620" s="163">
        <f>2.05/20</f>
        <v>0.10249999999999999</v>
      </c>
      <c r="K620" s="31"/>
      <c r="L620" s="31"/>
      <c r="M620" s="31"/>
      <c r="N620" s="163">
        <v>1.1599999999999999</v>
      </c>
      <c r="O620" s="31"/>
      <c r="P620" s="163">
        <v>0.35</v>
      </c>
      <c r="Q620" s="31"/>
      <c r="R620" s="31"/>
      <c r="S620" s="31"/>
      <c r="T620" s="31"/>
      <c r="U620" s="31"/>
      <c r="V620" s="31"/>
      <c r="W620" s="31"/>
      <c r="X620" s="31"/>
      <c r="Y620" s="31"/>
      <c r="Z620" s="31"/>
      <c r="AA620" s="31"/>
      <c r="AB620" s="31"/>
      <c r="AC620" s="31"/>
      <c r="AD620" s="31"/>
      <c r="AE620" s="31"/>
      <c r="AF620" s="31"/>
      <c r="AG620" s="31"/>
      <c r="AH620" s="31"/>
      <c r="AI620" s="31"/>
      <c r="AJ620" s="31"/>
      <c r="AK620" s="31"/>
      <c r="AL620" s="28" t="str">
        <f>VLOOKUP($G620,'[42]Sheet1 (2)'!$A$1:$B$1048440,2,FALSE)</f>
        <v>Cum</v>
      </c>
      <c r="AM620" s="32" t="s">
        <v>962</v>
      </c>
      <c r="AN620" s="31"/>
      <c r="AO620" s="33"/>
    </row>
    <row r="621" spans="1:41" ht="42" x14ac:dyDescent="0.25">
      <c r="A621" s="26">
        <v>506</v>
      </c>
      <c r="B621" s="35" t="s">
        <v>913</v>
      </c>
      <c r="C621" s="22">
        <v>14.77</v>
      </c>
      <c r="D621" s="25" t="s">
        <v>72</v>
      </c>
      <c r="E621" s="23" t="s">
        <v>963</v>
      </c>
      <c r="F621" s="24" t="s">
        <v>961</v>
      </c>
      <c r="G621" s="25" t="s">
        <v>47</v>
      </c>
      <c r="H621" s="26">
        <v>7813</v>
      </c>
      <c r="I621" s="26">
        <v>1660</v>
      </c>
      <c r="J621" s="184">
        <f>6.4/20</f>
        <v>0.32</v>
      </c>
      <c r="K621" s="184"/>
      <c r="L621" s="184">
        <v>0.85</v>
      </c>
      <c r="M621" s="184"/>
      <c r="N621" s="184"/>
      <c r="O621" s="184"/>
      <c r="P621" s="184">
        <v>0.42499999999999999</v>
      </c>
      <c r="Q621" s="31"/>
      <c r="R621" s="31"/>
      <c r="S621" s="31"/>
      <c r="T621" s="31"/>
      <c r="U621" s="31"/>
      <c r="V621" s="31"/>
      <c r="W621" s="31"/>
      <c r="X621" s="31"/>
      <c r="Y621" s="31"/>
      <c r="Z621" s="31"/>
      <c r="AA621" s="31"/>
      <c r="AB621" s="31"/>
      <c r="AC621" s="31"/>
      <c r="AD621" s="31"/>
      <c r="AE621" s="31"/>
      <c r="AF621" s="31"/>
      <c r="AG621" s="31"/>
      <c r="AH621" s="31"/>
      <c r="AI621" s="31"/>
      <c r="AJ621" s="31"/>
      <c r="AK621" s="31"/>
      <c r="AL621" s="28" t="str">
        <f>VLOOKUP($G621,'[42]Sheet1 (2)'!$A$1:$B$1048440,2,FALSE)</f>
        <v>Cum</v>
      </c>
      <c r="AM621" s="32" t="s">
        <v>964</v>
      </c>
      <c r="AN621" s="31"/>
      <c r="AO621" s="33"/>
    </row>
    <row r="622" spans="1:41" ht="42" x14ac:dyDescent="0.25">
      <c r="A622" s="26">
        <v>507</v>
      </c>
      <c r="B622" s="35" t="s">
        <v>913</v>
      </c>
      <c r="C622" s="22">
        <v>14.78</v>
      </c>
      <c r="D622" s="25" t="s">
        <v>72</v>
      </c>
      <c r="E622" s="24" t="s">
        <v>965</v>
      </c>
      <c r="F622" s="24" t="s">
        <v>961</v>
      </c>
      <c r="G622" s="25" t="s">
        <v>47</v>
      </c>
      <c r="H622" s="26">
        <v>3719</v>
      </c>
      <c r="I622" s="26">
        <v>2724</v>
      </c>
      <c r="J622" s="31"/>
      <c r="K622" s="31"/>
      <c r="L622" s="31"/>
      <c r="M622" s="31"/>
      <c r="N622" s="184">
        <v>1.1599999999999999</v>
      </c>
      <c r="O622" s="184"/>
      <c r="P622" s="31"/>
      <c r="Q622" s="31"/>
      <c r="R622" s="31"/>
      <c r="S622" s="31"/>
      <c r="T622" s="31"/>
      <c r="U622" s="31"/>
      <c r="V622" s="31"/>
      <c r="W622" s="31"/>
      <c r="X622" s="31"/>
      <c r="Y622" s="31"/>
      <c r="Z622" s="31"/>
      <c r="AA622" s="31"/>
      <c r="AB622" s="31"/>
      <c r="AC622" s="31"/>
      <c r="AD622" s="31"/>
      <c r="AE622" s="31"/>
      <c r="AF622" s="31"/>
      <c r="AG622" s="31"/>
      <c r="AH622" s="31"/>
      <c r="AI622" s="31"/>
      <c r="AJ622" s="31"/>
      <c r="AK622" s="31"/>
      <c r="AL622" s="28" t="str">
        <f>VLOOKUP($G622,'[42]Sheet1 (2)'!$A$1:$B$1048440,2,FALSE)</f>
        <v>Cum</v>
      </c>
      <c r="AM622" s="32" t="s">
        <v>966</v>
      </c>
      <c r="AN622" s="31"/>
      <c r="AO622" s="33"/>
    </row>
    <row r="623" spans="1:41" ht="42" x14ac:dyDescent="0.25">
      <c r="A623" s="26">
        <v>508</v>
      </c>
      <c r="B623" s="35" t="s">
        <v>913</v>
      </c>
      <c r="C623" s="22">
        <v>14.79</v>
      </c>
      <c r="D623" s="25" t="s">
        <v>72</v>
      </c>
      <c r="E623" s="23" t="s">
        <v>967</v>
      </c>
      <c r="F623" s="24" t="s">
        <v>968</v>
      </c>
      <c r="G623" s="25" t="s">
        <v>47</v>
      </c>
      <c r="H623" s="26">
        <v>5900</v>
      </c>
      <c r="I623" s="26">
        <v>2887</v>
      </c>
      <c r="J623" s="163">
        <f>2.05/20</f>
        <v>0.10249999999999999</v>
      </c>
      <c r="K623" s="31"/>
      <c r="L623" s="31"/>
      <c r="M623" s="31"/>
      <c r="N623" s="163">
        <v>1.1599999999999999</v>
      </c>
      <c r="O623" s="31"/>
      <c r="P623" s="163">
        <v>0.35</v>
      </c>
      <c r="Q623" s="31"/>
      <c r="R623" s="31"/>
      <c r="S623" s="31"/>
      <c r="T623" s="31"/>
      <c r="U623" s="31"/>
      <c r="V623" s="31"/>
      <c r="W623" s="31"/>
      <c r="X623" s="31"/>
      <c r="Y623" s="31"/>
      <c r="Z623" s="31"/>
      <c r="AA623" s="31"/>
      <c r="AB623" s="31"/>
      <c r="AC623" s="31"/>
      <c r="AD623" s="31"/>
      <c r="AE623" s="31"/>
      <c r="AF623" s="31"/>
      <c r="AG623" s="31"/>
      <c r="AH623" s="31"/>
      <c r="AI623" s="31"/>
      <c r="AJ623" s="31"/>
      <c r="AK623" s="31"/>
      <c r="AL623" s="28" t="str">
        <f>VLOOKUP($G623,'[42]Sheet1 (2)'!$A$1:$B$1048440,2,FALSE)</f>
        <v>Cum</v>
      </c>
      <c r="AM623" s="32" t="s">
        <v>969</v>
      </c>
      <c r="AN623" s="31"/>
      <c r="AO623" s="33"/>
    </row>
    <row r="624" spans="1:41" ht="42" x14ac:dyDescent="0.25">
      <c r="A624" s="26">
        <v>509</v>
      </c>
      <c r="B624" s="35" t="s">
        <v>913</v>
      </c>
      <c r="C624" s="22">
        <v>14.81</v>
      </c>
      <c r="D624" s="25" t="s">
        <v>72</v>
      </c>
      <c r="E624" s="23" t="s">
        <v>970</v>
      </c>
      <c r="F624" s="24" t="s">
        <v>971</v>
      </c>
      <c r="G624" s="25" t="s">
        <v>47</v>
      </c>
      <c r="H624" s="26">
        <v>1985</v>
      </c>
      <c r="I624" s="26">
        <v>990</v>
      </c>
      <c r="J624" s="31"/>
      <c r="K624" s="31"/>
      <c r="L624" s="31"/>
      <c r="M624" s="31"/>
      <c r="N624" s="31"/>
      <c r="O624" s="31"/>
      <c r="P624" s="31"/>
      <c r="Q624" s="31"/>
      <c r="R624" s="31"/>
      <c r="S624" s="31"/>
      <c r="T624" s="31"/>
      <c r="U624" s="31"/>
      <c r="V624" s="31"/>
      <c r="W624" s="31"/>
      <c r="X624" s="31"/>
      <c r="Y624" s="31"/>
      <c r="Z624" s="31"/>
      <c r="AA624" s="31"/>
      <c r="AB624" s="31"/>
      <c r="AC624" s="31"/>
      <c r="AD624" s="31"/>
      <c r="AE624" s="31"/>
      <c r="AF624" s="31"/>
      <c r="AG624" s="31"/>
      <c r="AH624" s="31"/>
      <c r="AI624" s="31"/>
      <c r="AJ624" s="31"/>
      <c r="AK624" s="31"/>
      <c r="AL624" s="28" t="str">
        <f>VLOOKUP($G624,'[42]Sheet1 (2)'!$A$1:$B$1048440,2,FALSE)</f>
        <v>Cum</v>
      </c>
      <c r="AM624" s="32"/>
      <c r="AN624" s="31"/>
      <c r="AO624" s="33"/>
    </row>
    <row r="625" spans="1:41" ht="140" x14ac:dyDescent="0.25">
      <c r="A625" s="26">
        <v>510</v>
      </c>
      <c r="B625" s="21" t="s">
        <v>838</v>
      </c>
      <c r="C625" s="22">
        <v>14.82</v>
      </c>
      <c r="D625" s="25" t="s">
        <v>72</v>
      </c>
      <c r="E625" s="24" t="s">
        <v>972</v>
      </c>
      <c r="F625" s="24" t="s">
        <v>949</v>
      </c>
      <c r="G625" s="25" t="s">
        <v>47</v>
      </c>
      <c r="H625" s="26">
        <v>2561</v>
      </c>
      <c r="I625" s="26">
        <v>207</v>
      </c>
      <c r="J625" s="31"/>
      <c r="K625" s="31"/>
      <c r="L625" s="31"/>
      <c r="M625" s="31"/>
      <c r="N625" s="163">
        <v>1.1599999999999999</v>
      </c>
      <c r="O625" s="31"/>
      <c r="P625" s="31"/>
      <c r="Q625" s="31"/>
      <c r="R625" s="31"/>
      <c r="S625" s="31"/>
      <c r="T625" s="31"/>
      <c r="U625" s="31"/>
      <c r="V625" s="31"/>
      <c r="W625" s="31"/>
      <c r="X625" s="31"/>
      <c r="Y625" s="31"/>
      <c r="Z625" s="31"/>
      <c r="AA625" s="31"/>
      <c r="AB625" s="31"/>
      <c r="AC625" s="31"/>
      <c r="AD625" s="31"/>
      <c r="AE625" s="31"/>
      <c r="AF625" s="31"/>
      <c r="AG625" s="31"/>
      <c r="AH625" s="31"/>
      <c r="AI625" s="31"/>
      <c r="AJ625" s="31"/>
      <c r="AK625" s="31"/>
      <c r="AL625" s="28" t="str">
        <f>VLOOKUP($G625,'[42]Sheet1 (2)'!$A$1:$B$1048440,2,FALSE)</f>
        <v>Cum</v>
      </c>
      <c r="AM625" s="32"/>
      <c r="AN625" s="31"/>
      <c r="AO625" s="33"/>
    </row>
    <row r="626" spans="1:41" ht="140" x14ac:dyDescent="0.25">
      <c r="A626" s="26">
        <v>511</v>
      </c>
      <c r="B626" s="21" t="s">
        <v>838</v>
      </c>
      <c r="C626" s="22">
        <v>14.83</v>
      </c>
      <c r="D626" s="25" t="s">
        <v>72</v>
      </c>
      <c r="E626" s="24" t="s">
        <v>973</v>
      </c>
      <c r="F626" s="24" t="s">
        <v>949</v>
      </c>
      <c r="G626" s="25" t="s">
        <v>47</v>
      </c>
      <c r="H626" s="26">
        <v>4569</v>
      </c>
      <c r="I626" s="26">
        <v>733</v>
      </c>
      <c r="J626" s="31"/>
      <c r="K626" s="31"/>
      <c r="L626" s="31"/>
      <c r="M626" s="31"/>
      <c r="N626" s="163">
        <v>1.1599999999999999</v>
      </c>
      <c r="O626" s="31"/>
      <c r="P626" s="31"/>
      <c r="Q626" s="31"/>
      <c r="R626" s="31"/>
      <c r="S626" s="31"/>
      <c r="T626" s="31"/>
      <c r="U626" s="31"/>
      <c r="V626" s="31"/>
      <c r="W626" s="31"/>
      <c r="X626" s="31"/>
      <c r="Y626" s="31"/>
      <c r="Z626" s="31"/>
      <c r="AA626" s="31"/>
      <c r="AB626" s="31"/>
      <c r="AC626" s="31"/>
      <c r="AD626" s="31"/>
      <c r="AE626" s="31"/>
      <c r="AF626" s="31"/>
      <c r="AG626" s="31"/>
      <c r="AH626" s="31"/>
      <c r="AI626" s="31"/>
      <c r="AJ626" s="31"/>
      <c r="AK626" s="31"/>
      <c r="AL626" s="28" t="str">
        <f>VLOOKUP($G626,'[42]Sheet1 (2)'!$A$1:$B$1048440,2,FALSE)</f>
        <v>Cum</v>
      </c>
      <c r="AM626" s="32"/>
      <c r="AN626" s="31"/>
      <c r="AO626" s="33"/>
    </row>
    <row r="627" spans="1:41" ht="84" x14ac:dyDescent="0.25">
      <c r="A627" s="26">
        <v>512</v>
      </c>
      <c r="B627" s="21" t="s">
        <v>838</v>
      </c>
      <c r="C627" s="22">
        <v>14.84</v>
      </c>
      <c r="D627" s="25" t="s">
        <v>72</v>
      </c>
      <c r="E627" s="23" t="s">
        <v>974</v>
      </c>
      <c r="F627" s="24" t="s">
        <v>975</v>
      </c>
      <c r="G627" s="21" t="s">
        <v>217</v>
      </c>
      <c r="H627" s="26">
        <v>219</v>
      </c>
      <c r="I627" s="26">
        <v>79</v>
      </c>
      <c r="J627" s="31"/>
      <c r="K627" s="31"/>
      <c r="L627" s="31"/>
      <c r="M627" s="31"/>
      <c r="N627" s="31"/>
      <c r="O627" s="31"/>
      <c r="P627" s="31"/>
      <c r="Q627" s="31"/>
      <c r="R627" s="31"/>
      <c r="S627" s="31"/>
      <c r="T627" s="31"/>
      <c r="U627" s="31"/>
      <c r="V627" s="31"/>
      <c r="W627" s="31"/>
      <c r="X627" s="31"/>
      <c r="Y627" s="31"/>
      <c r="Z627" s="31"/>
      <c r="AA627" s="31"/>
      <c r="AB627" s="31"/>
      <c r="AC627" s="31"/>
      <c r="AD627" s="31"/>
      <c r="AE627" s="31"/>
      <c r="AF627" s="31"/>
      <c r="AG627" s="31"/>
      <c r="AH627" s="31"/>
      <c r="AI627" s="31"/>
      <c r="AJ627" s="31"/>
      <c r="AK627" s="31"/>
      <c r="AL627" s="28" t="str">
        <f>VLOOKUP($G627,'[42]Sheet1 (2)'!$A$1:$B$1048440,2,FALSE)</f>
        <v>Sqm</v>
      </c>
      <c r="AM627" s="32"/>
      <c r="AN627" s="31"/>
      <c r="AO627" s="33"/>
    </row>
    <row r="628" spans="1:41" ht="56" x14ac:dyDescent="0.25">
      <c r="A628" s="26">
        <v>513</v>
      </c>
      <c r="B628" s="21" t="s">
        <v>838</v>
      </c>
      <c r="C628" s="22">
        <v>14.85</v>
      </c>
      <c r="D628" s="25" t="s">
        <v>72</v>
      </c>
      <c r="E628" s="23" t="s">
        <v>976</v>
      </c>
      <c r="F628" s="24" t="s">
        <v>975</v>
      </c>
      <c r="G628" s="21" t="s">
        <v>217</v>
      </c>
      <c r="H628" s="26">
        <v>160</v>
      </c>
      <c r="I628" s="26">
        <v>58</v>
      </c>
      <c r="J628" s="31"/>
      <c r="K628" s="31"/>
      <c r="L628" s="31"/>
      <c r="M628" s="31"/>
      <c r="N628" s="31"/>
      <c r="O628" s="31"/>
      <c r="P628" s="31"/>
      <c r="Q628" s="31"/>
      <c r="R628" s="31"/>
      <c r="S628" s="31"/>
      <c r="T628" s="31"/>
      <c r="U628" s="31"/>
      <c r="V628" s="31"/>
      <c r="W628" s="31"/>
      <c r="X628" s="31"/>
      <c r="Y628" s="31"/>
      <c r="Z628" s="31"/>
      <c r="AA628" s="31"/>
      <c r="AB628" s="31"/>
      <c r="AC628" s="31"/>
      <c r="AD628" s="31"/>
      <c r="AE628" s="31"/>
      <c r="AF628" s="31"/>
      <c r="AG628" s="31"/>
      <c r="AH628" s="31"/>
      <c r="AI628" s="31"/>
      <c r="AJ628" s="31"/>
      <c r="AK628" s="31"/>
      <c r="AL628" s="28" t="str">
        <f>VLOOKUP($G628,'[42]Sheet1 (2)'!$A$1:$B$1048440,2,FALSE)</f>
        <v>Sqm</v>
      </c>
      <c r="AM628" s="32"/>
      <c r="AN628" s="31"/>
      <c r="AO628" s="33"/>
    </row>
    <row r="629" spans="1:41" ht="84" x14ac:dyDescent="0.25">
      <c r="A629" s="26">
        <v>514</v>
      </c>
      <c r="B629" s="21" t="s">
        <v>838</v>
      </c>
      <c r="C629" s="22">
        <v>14.86</v>
      </c>
      <c r="D629" s="25" t="s">
        <v>72</v>
      </c>
      <c r="E629" s="23" t="s">
        <v>977</v>
      </c>
      <c r="F629" s="24" t="s">
        <v>978</v>
      </c>
      <c r="G629" s="25" t="s">
        <v>47</v>
      </c>
      <c r="H629" s="26">
        <v>13139</v>
      </c>
      <c r="I629" s="26">
        <v>1357</v>
      </c>
      <c r="J629" s="184">
        <f>9/20</f>
        <v>0.45</v>
      </c>
      <c r="K629" s="184"/>
      <c r="L629" s="184">
        <f>0.58+0.28</f>
        <v>0.86</v>
      </c>
      <c r="M629" s="184"/>
      <c r="N629" s="184"/>
      <c r="O629" s="184"/>
      <c r="P629" s="184">
        <v>0.43</v>
      </c>
      <c r="Q629" s="31"/>
      <c r="R629" s="31"/>
      <c r="S629" s="31"/>
      <c r="T629" s="31"/>
      <c r="U629" s="31"/>
      <c r="V629" s="31"/>
      <c r="W629" s="31"/>
      <c r="X629" s="31"/>
      <c r="Y629" s="31"/>
      <c r="Z629" s="31"/>
      <c r="AA629" s="31"/>
      <c r="AB629" s="31"/>
      <c r="AC629" s="31"/>
      <c r="AD629" s="31"/>
      <c r="AE629" s="31"/>
      <c r="AF629" s="31"/>
      <c r="AG629" s="31"/>
      <c r="AH629" s="31"/>
      <c r="AI629" s="31"/>
      <c r="AJ629" s="31"/>
      <c r="AK629" s="31"/>
      <c r="AL629" s="28" t="str">
        <f>VLOOKUP($G629,'[42]Sheet1 (2)'!$A$1:$B$1048440,2,FALSE)</f>
        <v>Cum</v>
      </c>
      <c r="AM629" s="32" t="s">
        <v>979</v>
      </c>
      <c r="AN629" s="31"/>
      <c r="AO629" s="33"/>
    </row>
    <row r="630" spans="1:41" ht="112" x14ac:dyDescent="0.25">
      <c r="A630" s="26">
        <v>515</v>
      </c>
      <c r="B630" s="21" t="s">
        <v>838</v>
      </c>
      <c r="C630" s="22">
        <v>14.87</v>
      </c>
      <c r="D630" s="25" t="s">
        <v>72</v>
      </c>
      <c r="E630" s="24" t="s">
        <v>980</v>
      </c>
      <c r="F630" s="35" t="s">
        <v>981</v>
      </c>
      <c r="G630" s="25" t="s">
        <v>47</v>
      </c>
      <c r="H630" s="26">
        <v>8193</v>
      </c>
      <c r="I630" s="26">
        <v>1289</v>
      </c>
      <c r="J630" s="184">
        <f>9/20</f>
        <v>0.45</v>
      </c>
      <c r="K630" s="184"/>
      <c r="L630" s="184">
        <f>0.58+0.28</f>
        <v>0.86</v>
      </c>
      <c r="M630" s="184"/>
      <c r="N630" s="184"/>
      <c r="O630" s="184"/>
      <c r="P630" s="184">
        <v>0.43</v>
      </c>
      <c r="Q630" s="31"/>
      <c r="R630" s="31"/>
      <c r="S630" s="31"/>
      <c r="T630" s="31"/>
      <c r="U630" s="31"/>
      <c r="V630" s="31"/>
      <c r="W630" s="31"/>
      <c r="X630" s="31"/>
      <c r="Y630" s="31"/>
      <c r="Z630" s="31"/>
      <c r="AA630" s="31"/>
      <c r="AB630" s="31"/>
      <c r="AC630" s="31"/>
      <c r="AD630" s="31"/>
      <c r="AE630" s="31"/>
      <c r="AF630" s="31"/>
      <c r="AG630" s="31"/>
      <c r="AH630" s="31"/>
      <c r="AI630" s="31"/>
      <c r="AJ630" s="31"/>
      <c r="AK630" s="31"/>
      <c r="AL630" s="28" t="str">
        <f>VLOOKUP($G630,'[42]Sheet1 (2)'!$A$1:$B$1048440,2,FALSE)</f>
        <v>Cum</v>
      </c>
      <c r="AM630" s="32" t="s">
        <v>982</v>
      </c>
      <c r="AN630" s="31"/>
      <c r="AO630" s="33"/>
    </row>
    <row r="631" spans="1:41" ht="84" x14ac:dyDescent="0.25">
      <c r="A631" s="26">
        <v>516</v>
      </c>
      <c r="B631" s="21" t="s">
        <v>838</v>
      </c>
      <c r="C631" s="22">
        <v>14.88</v>
      </c>
      <c r="D631" s="25" t="s">
        <v>983</v>
      </c>
      <c r="E631" s="24" t="s">
        <v>984</v>
      </c>
      <c r="F631" s="24" t="s">
        <v>44</v>
      </c>
      <c r="G631" s="21" t="s">
        <v>217</v>
      </c>
      <c r="H631" s="26">
        <v>1476</v>
      </c>
      <c r="I631" s="26">
        <v>123</v>
      </c>
      <c r="J631" s="31"/>
      <c r="K631" s="31"/>
      <c r="L631" s="31"/>
      <c r="M631" s="31">
        <v>0.9</v>
      </c>
      <c r="N631" s="31"/>
      <c r="O631" s="31"/>
      <c r="P631" s="31"/>
      <c r="Q631" s="31"/>
      <c r="R631" s="31"/>
      <c r="S631" s="31"/>
      <c r="T631" s="31"/>
      <c r="U631" s="31"/>
      <c r="V631" s="31"/>
      <c r="W631" s="31"/>
      <c r="X631" s="31"/>
      <c r="Y631" s="31"/>
      <c r="Z631" s="31"/>
      <c r="AA631" s="31"/>
      <c r="AB631" s="31"/>
      <c r="AC631" s="31"/>
      <c r="AD631" s="31"/>
      <c r="AE631" s="31"/>
      <c r="AF631" s="31"/>
      <c r="AG631" s="31"/>
      <c r="AH631" s="31"/>
      <c r="AI631" s="31"/>
      <c r="AJ631" s="31"/>
      <c r="AK631" s="31"/>
      <c r="AL631" s="28" t="str">
        <f>VLOOKUP($G631,'[42]Sheet1 (2)'!$A$1:$B$1048440,2,FALSE)</f>
        <v>Sqm</v>
      </c>
      <c r="AM631" s="32"/>
      <c r="AN631" s="31"/>
      <c r="AO631" s="33"/>
    </row>
    <row r="632" spans="1:41" ht="168" x14ac:dyDescent="0.25">
      <c r="A632" s="26">
        <v>517</v>
      </c>
      <c r="B632" s="21" t="s">
        <v>838</v>
      </c>
      <c r="C632" s="22">
        <v>14.89</v>
      </c>
      <c r="D632" s="23"/>
      <c r="E632" s="23" t="s">
        <v>985</v>
      </c>
      <c r="F632" s="24" t="s">
        <v>44</v>
      </c>
      <c r="G632" s="21" t="s">
        <v>47</v>
      </c>
      <c r="H632" s="121">
        <v>11702</v>
      </c>
      <c r="I632" s="121">
        <v>3169</v>
      </c>
      <c r="J632" s="183">
        <v>0.47499999999999998</v>
      </c>
      <c r="K632" s="183"/>
      <c r="L632" s="183">
        <f>0.57+0.28</f>
        <v>0.85</v>
      </c>
      <c r="M632" s="183"/>
      <c r="N632" s="183"/>
      <c r="O632" s="183"/>
      <c r="P632" s="183">
        <v>0.4</v>
      </c>
      <c r="Q632" s="31"/>
      <c r="R632" s="31"/>
      <c r="S632" s="31"/>
      <c r="T632" s="31"/>
      <c r="U632" s="31"/>
      <c r="V632" s="31"/>
      <c r="W632" s="31"/>
      <c r="X632" s="31"/>
      <c r="Y632" s="31"/>
      <c r="Z632" s="31"/>
      <c r="AA632" s="31"/>
      <c r="AB632" s="31"/>
      <c r="AC632" s="31"/>
      <c r="AD632" s="31"/>
      <c r="AE632" s="31"/>
      <c r="AF632" s="31"/>
      <c r="AG632" s="31"/>
      <c r="AH632" s="31"/>
      <c r="AI632" s="31"/>
      <c r="AJ632" s="31"/>
      <c r="AK632" s="31"/>
      <c r="AL632" s="28" t="str">
        <f>VLOOKUP($G632,'[42]Sheet1 (2)'!$A$1:$B$1048440,2,FALSE)</f>
        <v>Cum</v>
      </c>
      <c r="AM632" s="32"/>
      <c r="AN632" s="31"/>
      <c r="AO632" s="33"/>
    </row>
    <row r="633" spans="1:41" ht="154" x14ac:dyDescent="0.25">
      <c r="A633" s="26">
        <v>518</v>
      </c>
      <c r="B633" s="21" t="s">
        <v>838</v>
      </c>
      <c r="C633" s="22">
        <v>14.9</v>
      </c>
      <c r="D633" s="23"/>
      <c r="E633" s="23" t="s">
        <v>986</v>
      </c>
      <c r="F633" s="24" t="s">
        <v>44</v>
      </c>
      <c r="G633" s="21" t="s">
        <v>47</v>
      </c>
      <c r="H633" s="121">
        <v>11915</v>
      </c>
      <c r="I633" s="121">
        <v>3169</v>
      </c>
      <c r="J633" s="31">
        <v>0.5</v>
      </c>
      <c r="K633" s="31"/>
      <c r="L633" s="183">
        <f>0.57+0.28</f>
        <v>0.85</v>
      </c>
      <c r="M633" s="183"/>
      <c r="N633" s="183"/>
      <c r="O633" s="183"/>
      <c r="P633" s="183">
        <v>0.4</v>
      </c>
      <c r="Q633" s="31"/>
      <c r="R633" s="31"/>
      <c r="S633" s="31"/>
      <c r="T633" s="31"/>
      <c r="U633" s="31"/>
      <c r="V633" s="31"/>
      <c r="W633" s="31"/>
      <c r="X633" s="31"/>
      <c r="Y633" s="31"/>
      <c r="Z633" s="31"/>
      <c r="AA633" s="31"/>
      <c r="AB633" s="31"/>
      <c r="AC633" s="31"/>
      <c r="AD633" s="31"/>
      <c r="AE633" s="31"/>
      <c r="AF633" s="31"/>
      <c r="AG633" s="31"/>
      <c r="AH633" s="31"/>
      <c r="AI633" s="31"/>
      <c r="AJ633" s="31"/>
      <c r="AK633" s="31"/>
      <c r="AL633" s="28" t="str">
        <f>VLOOKUP($G633,'[42]Sheet1 (2)'!$A$1:$B$1048440,2,FALSE)</f>
        <v>Cum</v>
      </c>
      <c r="AM633" s="32"/>
      <c r="AN633" s="31"/>
      <c r="AO633" s="33"/>
    </row>
    <row r="634" spans="1:41" ht="154" x14ac:dyDescent="0.25">
      <c r="A634" s="26">
        <v>519</v>
      </c>
      <c r="B634" s="21" t="s">
        <v>838</v>
      </c>
      <c r="C634" s="22">
        <v>14.91</v>
      </c>
      <c r="D634" s="23"/>
      <c r="E634" s="24" t="s">
        <v>987</v>
      </c>
      <c r="F634" s="24" t="s">
        <v>44</v>
      </c>
      <c r="G634" s="21" t="s">
        <v>47</v>
      </c>
      <c r="H634" s="121">
        <v>12114</v>
      </c>
      <c r="I634" s="121">
        <v>3169</v>
      </c>
      <c r="J634" s="183">
        <v>0.47499999999999998</v>
      </c>
      <c r="K634" s="183"/>
      <c r="L634" s="183">
        <f>0.57+0.28</f>
        <v>0.85</v>
      </c>
      <c r="M634" s="183"/>
      <c r="N634" s="183"/>
      <c r="O634" s="183"/>
      <c r="P634" s="183">
        <v>0.4</v>
      </c>
      <c r="Q634" s="31"/>
      <c r="R634" s="31"/>
      <c r="S634" s="31"/>
      <c r="T634" s="31"/>
      <c r="U634" s="31"/>
      <c r="V634" s="31"/>
      <c r="W634" s="31"/>
      <c r="X634" s="31"/>
      <c r="Y634" s="31"/>
      <c r="Z634" s="31"/>
      <c r="AA634" s="31"/>
      <c r="AB634" s="31"/>
      <c r="AC634" s="31"/>
      <c r="AD634" s="31"/>
      <c r="AE634" s="31"/>
      <c r="AF634" s="31"/>
      <c r="AG634" s="31"/>
      <c r="AH634" s="31"/>
      <c r="AI634" s="31"/>
      <c r="AJ634" s="31"/>
      <c r="AK634" s="31"/>
      <c r="AL634" s="28" t="str">
        <f>VLOOKUP($G634,'[42]Sheet1 (2)'!$A$1:$B$1048440,2,FALSE)</f>
        <v>Cum</v>
      </c>
      <c r="AM634" s="32"/>
      <c r="AN634" s="31"/>
      <c r="AO634" s="33"/>
    </row>
    <row r="635" spans="1:41" ht="154" x14ac:dyDescent="0.25">
      <c r="A635" s="36">
        <v>520</v>
      </c>
      <c r="B635" s="42" t="s">
        <v>838</v>
      </c>
      <c r="C635" s="131">
        <v>14.92</v>
      </c>
      <c r="D635" s="43"/>
      <c r="E635" s="43" t="s">
        <v>988</v>
      </c>
      <c r="F635" s="44" t="s">
        <v>44</v>
      </c>
      <c r="G635" s="42" t="s">
        <v>47</v>
      </c>
      <c r="H635" s="36">
        <v>12335</v>
      </c>
      <c r="I635" s="36">
        <v>3169</v>
      </c>
      <c r="J635" s="158">
        <v>0.5</v>
      </c>
      <c r="K635" s="31"/>
      <c r="L635" s="183">
        <f>0.57+0.28</f>
        <v>0.85</v>
      </c>
      <c r="M635" s="183"/>
      <c r="N635" s="183"/>
      <c r="O635" s="183"/>
      <c r="P635" s="183">
        <v>0.4</v>
      </c>
      <c r="Q635" s="31"/>
      <c r="R635" s="31"/>
      <c r="S635" s="31"/>
      <c r="T635" s="31"/>
      <c r="U635" s="31"/>
      <c r="V635" s="31"/>
      <c r="W635" s="31"/>
      <c r="X635" s="31"/>
      <c r="Y635" s="31"/>
      <c r="Z635" s="31"/>
      <c r="AA635" s="31"/>
      <c r="AB635" s="31"/>
      <c r="AC635" s="31"/>
      <c r="AD635" s="31"/>
      <c r="AE635" s="31"/>
      <c r="AF635" s="31"/>
      <c r="AG635" s="31"/>
      <c r="AH635" s="31"/>
      <c r="AI635" s="31"/>
      <c r="AJ635" s="31"/>
      <c r="AK635" s="31"/>
      <c r="AL635" s="28" t="str">
        <f>VLOOKUP($G635,'[42]Sheet1 (2)'!$A$1:$B$1048440,2,FALSE)</f>
        <v>Cum</v>
      </c>
      <c r="AM635" s="32"/>
      <c r="AN635" s="31"/>
      <c r="AO635" s="33"/>
    </row>
    <row r="636" spans="1:41" ht="15" x14ac:dyDescent="0.25">
      <c r="A636" s="68"/>
      <c r="B636" s="185"/>
      <c r="C636" s="81"/>
      <c r="D636" s="134"/>
      <c r="E636" s="111" t="s">
        <v>813</v>
      </c>
      <c r="F636" s="134"/>
      <c r="G636" s="136"/>
      <c r="H636" s="137"/>
      <c r="I636" s="137"/>
      <c r="J636" s="31"/>
      <c r="K636" s="31"/>
      <c r="L636" s="31"/>
      <c r="M636" s="31"/>
      <c r="N636" s="31"/>
      <c r="O636" s="31"/>
      <c r="P636" s="31"/>
      <c r="Q636" s="31"/>
      <c r="R636" s="31"/>
      <c r="S636" s="31"/>
      <c r="T636" s="31"/>
      <c r="U636" s="31"/>
      <c r="V636" s="31"/>
      <c r="W636" s="31"/>
      <c r="X636" s="31"/>
      <c r="Y636" s="31"/>
      <c r="Z636" s="31"/>
      <c r="AA636" s="31"/>
      <c r="AB636" s="31"/>
      <c r="AC636" s="31"/>
      <c r="AD636" s="31"/>
      <c r="AE636" s="31"/>
      <c r="AF636" s="31"/>
      <c r="AG636" s="31"/>
      <c r="AH636" s="31"/>
      <c r="AI636" s="31"/>
      <c r="AJ636" s="31"/>
      <c r="AK636" s="31"/>
      <c r="AL636" s="28" t="e">
        <f>VLOOKUP($G636,'[42]Sheet1 (2)'!$A$1:$B$1048440,2,FALSE)</f>
        <v>#N/A</v>
      </c>
      <c r="AM636" s="32"/>
      <c r="AN636" s="31"/>
      <c r="AO636" s="33"/>
    </row>
    <row r="637" spans="1:41" ht="210" x14ac:dyDescent="0.25">
      <c r="A637" s="26">
        <v>521</v>
      </c>
      <c r="B637" s="24" t="s">
        <v>813</v>
      </c>
      <c r="C637" s="22">
        <v>15.02</v>
      </c>
      <c r="D637" s="25" t="s">
        <v>772</v>
      </c>
      <c r="E637" s="23" t="s">
        <v>989</v>
      </c>
      <c r="F637" s="25" t="s">
        <v>990</v>
      </c>
      <c r="G637" s="21" t="s">
        <v>80</v>
      </c>
      <c r="H637" s="26">
        <v>2914</v>
      </c>
      <c r="I637" s="26">
        <v>399</v>
      </c>
      <c r="J637" s="184">
        <f>9.5/20</f>
        <v>0.47499999999999998</v>
      </c>
      <c r="K637" s="184"/>
      <c r="L637" s="184">
        <v>0.85</v>
      </c>
      <c r="M637" s="184"/>
      <c r="N637" s="184"/>
      <c r="O637" s="184"/>
      <c r="P637" s="184">
        <v>0.42499999999999999</v>
      </c>
      <c r="Q637" s="31"/>
      <c r="R637" s="31"/>
      <c r="S637" s="31"/>
      <c r="T637" s="31"/>
      <c r="U637" s="31"/>
      <c r="V637" s="31"/>
      <c r="W637" s="31"/>
      <c r="X637" s="31"/>
      <c r="Y637" s="31"/>
      <c r="Z637" s="31"/>
      <c r="AA637" s="31"/>
      <c r="AB637" s="31"/>
      <c r="AC637" s="31"/>
      <c r="AD637" s="31"/>
      <c r="AE637" s="31"/>
      <c r="AF637" s="31"/>
      <c r="AG637" s="31"/>
      <c r="AH637" s="31"/>
      <c r="AI637" s="31"/>
      <c r="AJ637" s="31"/>
      <c r="AK637" s="31"/>
      <c r="AL637" s="28" t="str">
        <f>VLOOKUP($G637,'[42]Sheet1 (2)'!$A$1:$B$1048440,2,FALSE)</f>
        <v>Rmt.</v>
      </c>
      <c r="AM637" s="32" t="s">
        <v>991</v>
      </c>
      <c r="AN637" s="31"/>
      <c r="AO637" s="33"/>
    </row>
    <row r="638" spans="1:41" ht="84" x14ac:dyDescent="0.25">
      <c r="A638" s="26">
        <v>522</v>
      </c>
      <c r="B638" s="24" t="s">
        <v>813</v>
      </c>
      <c r="C638" s="22">
        <v>15.03</v>
      </c>
      <c r="D638" s="25" t="s">
        <v>72</v>
      </c>
      <c r="E638" s="24" t="s">
        <v>992</v>
      </c>
      <c r="F638" s="24" t="s">
        <v>993</v>
      </c>
      <c r="G638" s="25" t="s">
        <v>47</v>
      </c>
      <c r="H638" s="26">
        <v>819</v>
      </c>
      <c r="I638" s="26">
        <v>231</v>
      </c>
      <c r="J638" s="184"/>
      <c r="K638" s="184"/>
      <c r="L638" s="184"/>
      <c r="M638" s="184"/>
      <c r="N638" s="184"/>
      <c r="O638" s="184"/>
      <c r="P638" s="184"/>
      <c r="Q638" s="31"/>
      <c r="R638" s="31"/>
      <c r="S638" s="31"/>
      <c r="T638" s="31"/>
      <c r="U638" s="31"/>
      <c r="V638" s="31"/>
      <c r="W638" s="31"/>
      <c r="X638" s="31"/>
      <c r="Y638" s="31"/>
      <c r="Z638" s="31"/>
      <c r="AA638" s="31"/>
      <c r="AB638" s="31"/>
      <c r="AC638" s="31"/>
      <c r="AD638" s="31"/>
      <c r="AE638" s="31"/>
      <c r="AF638" s="31"/>
      <c r="AG638" s="31"/>
      <c r="AH638" s="31"/>
      <c r="AI638" s="31"/>
      <c r="AJ638" s="31"/>
      <c r="AK638" s="31"/>
      <c r="AL638" s="28" t="str">
        <f>VLOOKUP($G638,'[42]Sheet1 (2)'!$A$1:$B$1048440,2,FALSE)</f>
        <v>Cum</v>
      </c>
      <c r="AM638" s="32"/>
      <c r="AN638" s="31"/>
      <c r="AO638" s="33"/>
    </row>
    <row r="639" spans="1:41" ht="210" x14ac:dyDescent="0.25">
      <c r="A639" s="26">
        <v>523</v>
      </c>
      <c r="B639" s="24" t="s">
        <v>813</v>
      </c>
      <c r="C639" s="22">
        <v>15.04</v>
      </c>
      <c r="D639" s="25" t="s">
        <v>772</v>
      </c>
      <c r="E639" s="23" t="s">
        <v>994</v>
      </c>
      <c r="F639" s="25" t="s">
        <v>990</v>
      </c>
      <c r="G639" s="21" t="s">
        <v>80</v>
      </c>
      <c r="H639" s="26">
        <v>3060</v>
      </c>
      <c r="I639" s="26">
        <v>401</v>
      </c>
      <c r="J639" s="184">
        <f>9.2/20</f>
        <v>0.45999999999999996</v>
      </c>
      <c r="K639" s="184"/>
      <c r="L639" s="184">
        <v>0.85</v>
      </c>
      <c r="M639" s="184"/>
      <c r="N639" s="184"/>
      <c r="O639" s="184"/>
      <c r="P639" s="184">
        <v>0.42499999999999999</v>
      </c>
      <c r="Q639" s="31"/>
      <c r="R639" s="31"/>
      <c r="S639" s="31"/>
      <c r="T639" s="31"/>
      <c r="U639" s="31"/>
      <c r="V639" s="31"/>
      <c r="W639" s="31"/>
      <c r="X639" s="31"/>
      <c r="Y639" s="31"/>
      <c r="Z639" s="31"/>
      <c r="AA639" s="31"/>
      <c r="AB639" s="31"/>
      <c r="AC639" s="31"/>
      <c r="AD639" s="31"/>
      <c r="AE639" s="31"/>
      <c r="AF639" s="31"/>
      <c r="AG639" s="31"/>
      <c r="AH639" s="31"/>
      <c r="AI639" s="31"/>
      <c r="AJ639" s="31"/>
      <c r="AK639" s="31"/>
      <c r="AL639" s="28" t="str">
        <f>VLOOKUP($G639,'[42]Sheet1 (2)'!$A$1:$B$1048440,2,FALSE)</f>
        <v>Rmt.</v>
      </c>
      <c r="AM639" s="32" t="s">
        <v>995</v>
      </c>
      <c r="AN639" s="31"/>
      <c r="AO639" s="33"/>
    </row>
    <row r="640" spans="1:41" ht="42" x14ac:dyDescent="0.25">
      <c r="A640" s="26">
        <v>524</v>
      </c>
      <c r="B640" s="35" t="s">
        <v>996</v>
      </c>
      <c r="C640" s="22">
        <v>15.05</v>
      </c>
      <c r="D640" s="25" t="s">
        <v>72</v>
      </c>
      <c r="E640" s="23" t="s">
        <v>997</v>
      </c>
      <c r="F640" s="35" t="s">
        <v>998</v>
      </c>
      <c r="G640" s="25" t="s">
        <v>47</v>
      </c>
      <c r="H640" s="26">
        <v>5651</v>
      </c>
      <c r="I640" s="26">
        <v>786</v>
      </c>
      <c r="J640" s="184">
        <f>10/20</f>
        <v>0.5</v>
      </c>
      <c r="K640" s="184"/>
      <c r="L640" s="184">
        <v>0.85</v>
      </c>
      <c r="M640" s="184"/>
      <c r="N640" s="184"/>
      <c r="O640" s="184"/>
      <c r="P640" s="184">
        <v>0.42499999999999999</v>
      </c>
      <c r="Q640" s="31"/>
      <c r="R640" s="31"/>
      <c r="S640" s="31"/>
      <c r="T640" s="31"/>
      <c r="U640" s="31"/>
      <c r="V640" s="31"/>
      <c r="W640" s="31"/>
      <c r="X640" s="31"/>
      <c r="Y640" s="31"/>
      <c r="Z640" s="31"/>
      <c r="AA640" s="31"/>
      <c r="AB640" s="31"/>
      <c r="AC640" s="31"/>
      <c r="AD640" s="31"/>
      <c r="AE640" s="31"/>
      <c r="AF640" s="31"/>
      <c r="AG640" s="31"/>
      <c r="AH640" s="31"/>
      <c r="AI640" s="31"/>
      <c r="AJ640" s="31"/>
      <c r="AK640" s="31"/>
      <c r="AL640" s="28" t="str">
        <f>VLOOKUP($G640,'[42]Sheet1 (2)'!$A$1:$B$1048440,2,FALSE)</f>
        <v>Cum</v>
      </c>
      <c r="AM640" s="32" t="s">
        <v>999</v>
      </c>
      <c r="AN640" s="31"/>
      <c r="AO640" s="33"/>
    </row>
    <row r="641" spans="1:41" ht="210" x14ac:dyDescent="0.25">
      <c r="A641" s="26">
        <v>525</v>
      </c>
      <c r="B641" s="24" t="s">
        <v>813</v>
      </c>
      <c r="C641" s="22">
        <v>15.06</v>
      </c>
      <c r="D641" s="25" t="s">
        <v>772</v>
      </c>
      <c r="E641" s="23" t="s">
        <v>1000</v>
      </c>
      <c r="F641" s="25" t="s">
        <v>990</v>
      </c>
      <c r="G641" s="21" t="s">
        <v>80</v>
      </c>
      <c r="H641" s="26">
        <v>3182</v>
      </c>
      <c r="I641" s="26">
        <v>416</v>
      </c>
      <c r="J641" s="178">
        <f>8/20</f>
        <v>0.4</v>
      </c>
      <c r="K641" s="178"/>
      <c r="L641" s="178">
        <v>0.85</v>
      </c>
      <c r="M641" s="178"/>
      <c r="N641" s="178"/>
      <c r="O641" s="178"/>
      <c r="P641" s="178">
        <v>0.42499999999999999</v>
      </c>
      <c r="Q641" s="31"/>
      <c r="R641" s="31"/>
      <c r="S641" s="31"/>
      <c r="T641" s="31"/>
      <c r="U641" s="31"/>
      <c r="V641" s="31"/>
      <c r="W641" s="31"/>
      <c r="X641" s="31"/>
      <c r="Y641" s="31"/>
      <c r="Z641" s="31"/>
      <c r="AA641" s="31"/>
      <c r="AB641" s="31"/>
      <c r="AC641" s="31"/>
      <c r="AD641" s="31"/>
      <c r="AE641" s="31"/>
      <c r="AF641" s="31"/>
      <c r="AG641" s="31"/>
      <c r="AH641" s="31"/>
      <c r="AI641" s="31"/>
      <c r="AJ641" s="31"/>
      <c r="AK641" s="31"/>
      <c r="AL641" s="28" t="str">
        <f>VLOOKUP($G641,'[42]Sheet1 (2)'!$A$1:$B$1048440,2,FALSE)</f>
        <v>Rmt.</v>
      </c>
      <c r="AM641" s="32" t="s">
        <v>889</v>
      </c>
      <c r="AN641" s="31"/>
      <c r="AO641" s="33"/>
    </row>
    <row r="642" spans="1:41" ht="42" x14ac:dyDescent="0.25">
      <c r="A642" s="26">
        <v>526</v>
      </c>
      <c r="B642" s="35" t="s">
        <v>996</v>
      </c>
      <c r="C642" s="22">
        <v>15.07</v>
      </c>
      <c r="D642" s="25" t="s">
        <v>72</v>
      </c>
      <c r="E642" s="23" t="s">
        <v>1001</v>
      </c>
      <c r="F642" s="92" t="s">
        <v>1002</v>
      </c>
      <c r="G642" s="25" t="s">
        <v>47</v>
      </c>
      <c r="H642" s="26">
        <v>2656</v>
      </c>
      <c r="I642" s="26">
        <v>231</v>
      </c>
      <c r="J642" s="31"/>
      <c r="K642" s="31"/>
      <c r="L642" s="31"/>
      <c r="M642" s="31"/>
      <c r="N642" s="31"/>
      <c r="O642" s="31"/>
      <c r="P642" s="31"/>
      <c r="Q642" s="31"/>
      <c r="R642" s="31"/>
      <c r="S642" s="31"/>
      <c r="T642" s="31"/>
      <c r="U642" s="31"/>
      <c r="V642" s="31"/>
      <c r="W642" s="31"/>
      <c r="X642" s="31"/>
      <c r="Y642" s="31"/>
      <c r="Z642" s="31"/>
      <c r="AA642" s="31"/>
      <c r="AB642" s="31"/>
      <c r="AC642" s="31"/>
      <c r="AD642" s="31"/>
      <c r="AE642" s="31"/>
      <c r="AF642" s="31"/>
      <c r="AG642" s="31"/>
      <c r="AH642" s="31"/>
      <c r="AI642" s="31"/>
      <c r="AJ642" s="31"/>
      <c r="AK642" s="31"/>
      <c r="AL642" s="28" t="str">
        <f>VLOOKUP($G642,'[42]Sheet1 (2)'!$A$1:$B$1048440,2,FALSE)</f>
        <v>Cum</v>
      </c>
      <c r="AM642" s="32"/>
      <c r="AN642" s="31"/>
      <c r="AO642" s="33"/>
    </row>
    <row r="643" spans="1:41" ht="210" x14ac:dyDescent="0.25">
      <c r="A643" s="26">
        <v>527</v>
      </c>
      <c r="B643" s="24" t="s">
        <v>813</v>
      </c>
      <c r="C643" s="22">
        <v>15.08</v>
      </c>
      <c r="D643" s="25" t="s">
        <v>772</v>
      </c>
      <c r="E643" s="23" t="s">
        <v>1003</v>
      </c>
      <c r="F643" s="25" t="s">
        <v>990</v>
      </c>
      <c r="G643" s="21" t="s">
        <v>80</v>
      </c>
      <c r="H643" s="26">
        <v>3309</v>
      </c>
      <c r="I643" s="26">
        <v>431</v>
      </c>
      <c r="J643" s="178"/>
      <c r="K643" s="178"/>
      <c r="L643" s="178"/>
      <c r="M643" s="178"/>
      <c r="N643" s="178"/>
      <c r="O643" s="178"/>
      <c r="P643" s="178"/>
      <c r="Q643" s="31"/>
      <c r="R643" s="31"/>
      <c r="S643" s="31"/>
      <c r="T643" s="31"/>
      <c r="U643" s="31"/>
      <c r="V643" s="31"/>
      <c r="W643" s="31"/>
      <c r="X643" s="31"/>
      <c r="Y643" s="31"/>
      <c r="Z643" s="31"/>
      <c r="AA643" s="31"/>
      <c r="AB643" s="31"/>
      <c r="AC643" s="31"/>
      <c r="AD643" s="31"/>
      <c r="AE643" s="31"/>
      <c r="AF643" s="31"/>
      <c r="AG643" s="31"/>
      <c r="AH643" s="31"/>
      <c r="AI643" s="31"/>
      <c r="AJ643" s="31"/>
      <c r="AK643" s="31"/>
      <c r="AL643" s="28" t="str">
        <f>VLOOKUP($G643,'[42]Sheet1 (2)'!$A$1:$B$1048440,2,FALSE)</f>
        <v>Rmt.</v>
      </c>
      <c r="AM643" s="32" t="s">
        <v>1004</v>
      </c>
      <c r="AN643" s="31"/>
      <c r="AO643" s="33"/>
    </row>
    <row r="644" spans="1:41" ht="56" x14ac:dyDescent="0.25">
      <c r="A644" s="26">
        <v>528</v>
      </c>
      <c r="B644" s="24" t="s">
        <v>813</v>
      </c>
      <c r="C644" s="22">
        <v>15.09</v>
      </c>
      <c r="D644" s="25" t="s">
        <v>72</v>
      </c>
      <c r="E644" s="23" t="s">
        <v>1005</v>
      </c>
      <c r="F644" s="21" t="s">
        <v>1006</v>
      </c>
      <c r="G644" s="25" t="s">
        <v>47</v>
      </c>
      <c r="H644" s="26">
        <v>5823</v>
      </c>
      <c r="I644" s="26">
        <v>2911</v>
      </c>
      <c r="J644" s="178">
        <f>7/20</f>
        <v>0.35</v>
      </c>
      <c r="K644" s="178"/>
      <c r="L644" s="178">
        <v>0.85</v>
      </c>
      <c r="M644" s="178"/>
      <c r="N644" s="178"/>
      <c r="O644" s="178"/>
      <c r="P644" s="178">
        <v>0.42499999999999999</v>
      </c>
      <c r="Q644" s="31"/>
      <c r="R644" s="31"/>
      <c r="S644" s="31"/>
      <c r="T644" s="31"/>
      <c r="U644" s="31"/>
      <c r="V644" s="31"/>
      <c r="W644" s="31"/>
      <c r="X644" s="31"/>
      <c r="Y644" s="31"/>
      <c r="Z644" s="31"/>
      <c r="AA644" s="31"/>
      <c r="AB644" s="31"/>
      <c r="AC644" s="31"/>
      <c r="AD644" s="31"/>
      <c r="AE644" s="31"/>
      <c r="AF644" s="31"/>
      <c r="AG644" s="31"/>
      <c r="AH644" s="31"/>
      <c r="AI644" s="31"/>
      <c r="AJ644" s="31"/>
      <c r="AK644" s="31"/>
      <c r="AL644" s="28" t="str">
        <f>VLOOKUP($G644,'[42]Sheet1 (2)'!$A$1:$B$1048440,2,FALSE)</f>
        <v>Cum</v>
      </c>
      <c r="AM644" s="32" t="s">
        <v>896</v>
      </c>
      <c r="AN644" s="31"/>
      <c r="AO644" s="33"/>
    </row>
    <row r="645" spans="1:41" ht="210" x14ac:dyDescent="0.25">
      <c r="A645" s="26">
        <v>529</v>
      </c>
      <c r="B645" s="24" t="s">
        <v>813</v>
      </c>
      <c r="C645" s="22">
        <v>15.1</v>
      </c>
      <c r="D645" s="25" t="s">
        <v>772</v>
      </c>
      <c r="E645" s="23" t="s">
        <v>1007</v>
      </c>
      <c r="F645" s="25" t="s">
        <v>990</v>
      </c>
      <c r="G645" s="21" t="s">
        <v>80</v>
      </c>
      <c r="H645" s="26">
        <v>3443</v>
      </c>
      <c r="I645" s="26">
        <v>448</v>
      </c>
      <c r="J645" s="178">
        <f>7/20</f>
        <v>0.35</v>
      </c>
      <c r="K645" s="178"/>
      <c r="L645" s="178">
        <v>0.85</v>
      </c>
      <c r="M645" s="178"/>
      <c r="N645" s="178"/>
      <c r="O645" s="178"/>
      <c r="P645" s="178">
        <v>0.42499999999999999</v>
      </c>
      <c r="Q645" s="31"/>
      <c r="R645" s="31"/>
      <c r="S645" s="31"/>
      <c r="T645" s="31"/>
      <c r="U645" s="31"/>
      <c r="V645" s="31"/>
      <c r="W645" s="31"/>
      <c r="X645" s="31"/>
      <c r="Y645" s="31"/>
      <c r="Z645" s="31"/>
      <c r="AA645" s="31"/>
      <c r="AB645" s="31"/>
      <c r="AC645" s="31"/>
      <c r="AD645" s="31"/>
      <c r="AE645" s="31"/>
      <c r="AF645" s="31"/>
      <c r="AG645" s="31"/>
      <c r="AH645" s="31"/>
      <c r="AI645" s="31"/>
      <c r="AJ645" s="31"/>
      <c r="AK645" s="31"/>
      <c r="AL645" s="28" t="str">
        <f>VLOOKUP($G645,'[42]Sheet1 (2)'!$A$1:$B$1048440,2,FALSE)</f>
        <v>Rmt.</v>
      </c>
      <c r="AM645" s="32" t="s">
        <v>899</v>
      </c>
      <c r="AN645" s="31"/>
      <c r="AO645" s="33"/>
    </row>
    <row r="646" spans="1:41" ht="42" x14ac:dyDescent="0.25">
      <c r="A646" s="26">
        <v>530</v>
      </c>
      <c r="B646" s="24" t="s">
        <v>813</v>
      </c>
      <c r="C646" s="22">
        <v>15.11</v>
      </c>
      <c r="D646" s="25" t="s">
        <v>72</v>
      </c>
      <c r="E646" s="24" t="s">
        <v>1008</v>
      </c>
      <c r="F646" s="21" t="s">
        <v>1006</v>
      </c>
      <c r="G646" s="25" t="s">
        <v>47</v>
      </c>
      <c r="H646" s="26">
        <v>5593</v>
      </c>
      <c r="I646" s="26">
        <v>2663</v>
      </c>
      <c r="J646" s="178">
        <f>7/20</f>
        <v>0.35</v>
      </c>
      <c r="K646" s="178"/>
      <c r="L646" s="178">
        <v>0.85</v>
      </c>
      <c r="M646" s="178"/>
      <c r="N646" s="178"/>
      <c r="O646" s="178"/>
      <c r="P646" s="178">
        <v>0.42499999999999999</v>
      </c>
      <c r="Q646" s="31"/>
      <c r="R646" s="31"/>
      <c r="S646" s="31"/>
      <c r="T646" s="31"/>
      <c r="U646" s="31"/>
      <c r="V646" s="31"/>
      <c r="W646" s="31"/>
      <c r="X646" s="31"/>
      <c r="Y646" s="31"/>
      <c r="Z646" s="31"/>
      <c r="AA646" s="31"/>
      <c r="AB646" s="31"/>
      <c r="AC646" s="31"/>
      <c r="AD646" s="31"/>
      <c r="AE646" s="31"/>
      <c r="AF646" s="31"/>
      <c r="AG646" s="31"/>
      <c r="AH646" s="31"/>
      <c r="AI646" s="31"/>
      <c r="AJ646" s="31"/>
      <c r="AK646" s="31"/>
      <c r="AL646" s="28" t="str">
        <f>VLOOKUP($G646,'[42]Sheet1 (2)'!$A$1:$B$1048440,2,FALSE)</f>
        <v>Cum</v>
      </c>
      <c r="AM646" s="32" t="s">
        <v>902</v>
      </c>
      <c r="AN646" s="31"/>
      <c r="AO646" s="33"/>
    </row>
    <row r="647" spans="1:41" ht="210" x14ac:dyDescent="0.25">
      <c r="A647" s="26">
        <v>531</v>
      </c>
      <c r="B647" s="24" t="s">
        <v>813</v>
      </c>
      <c r="C647" s="22">
        <v>15.12</v>
      </c>
      <c r="D647" s="25" t="s">
        <v>772</v>
      </c>
      <c r="E647" s="23" t="s">
        <v>1009</v>
      </c>
      <c r="F647" s="25" t="s">
        <v>990</v>
      </c>
      <c r="G647" s="21" t="s">
        <v>80</v>
      </c>
      <c r="H647" s="26">
        <v>5027</v>
      </c>
      <c r="I647" s="26">
        <v>503</v>
      </c>
      <c r="J647" s="178">
        <f>0.42/20</f>
        <v>2.0999999999999998E-2</v>
      </c>
      <c r="K647" s="178"/>
      <c r="L647" s="163">
        <f>0.027+0.013</f>
        <v>0.04</v>
      </c>
      <c r="M647" s="178"/>
      <c r="N647" s="178"/>
      <c r="O647" s="178"/>
      <c r="P647" s="178">
        <v>0.02</v>
      </c>
      <c r="Q647" s="31"/>
      <c r="R647" s="31"/>
      <c r="S647" s="31"/>
      <c r="T647" s="31"/>
      <c r="U647" s="31"/>
      <c r="V647" s="31"/>
      <c r="W647" s="31"/>
      <c r="X647" s="31"/>
      <c r="Y647" s="31"/>
      <c r="Z647" s="31"/>
      <c r="AA647" s="31"/>
      <c r="AB647" s="31"/>
      <c r="AC647" s="31"/>
      <c r="AD647" s="31"/>
      <c r="AE647" s="31"/>
      <c r="AF647" s="31"/>
      <c r="AG647" s="31"/>
      <c r="AH647" s="31"/>
      <c r="AI647" s="31"/>
      <c r="AJ647" s="31"/>
      <c r="AK647" s="31"/>
      <c r="AL647" s="28" t="str">
        <f>VLOOKUP($G647,'[42]Sheet1 (2)'!$A$1:$B$1048440,2,FALSE)</f>
        <v>Rmt.</v>
      </c>
      <c r="AM647" s="32" t="s">
        <v>906</v>
      </c>
      <c r="AN647" s="31"/>
      <c r="AO647" s="33"/>
    </row>
    <row r="648" spans="1:41" ht="56" x14ac:dyDescent="0.25">
      <c r="A648" s="26">
        <v>532</v>
      </c>
      <c r="B648" s="24" t="s">
        <v>813</v>
      </c>
      <c r="C648" s="22">
        <v>15.13</v>
      </c>
      <c r="D648" s="25" t="s">
        <v>72</v>
      </c>
      <c r="E648" s="23" t="s">
        <v>1010</v>
      </c>
      <c r="F648" s="21" t="s">
        <v>1011</v>
      </c>
      <c r="G648" s="25" t="s">
        <v>47</v>
      </c>
      <c r="H648" s="26">
        <v>5216</v>
      </c>
      <c r="I648" s="26">
        <v>1130</v>
      </c>
      <c r="J648" s="178"/>
      <c r="K648" s="178"/>
      <c r="L648" s="178"/>
      <c r="M648" s="178"/>
      <c r="N648" s="178"/>
      <c r="O648" s="178"/>
      <c r="P648" s="178"/>
      <c r="Q648" s="31"/>
      <c r="R648" s="31"/>
      <c r="S648" s="31"/>
      <c r="T648" s="31"/>
      <c r="U648" s="31"/>
      <c r="V648" s="31"/>
      <c r="W648" s="31"/>
      <c r="X648" s="31"/>
      <c r="Y648" s="31"/>
      <c r="Z648" s="31"/>
      <c r="AA648" s="31"/>
      <c r="AB648" s="31"/>
      <c r="AC648" s="31"/>
      <c r="AD648" s="31"/>
      <c r="AE648" s="31"/>
      <c r="AF648" s="31"/>
      <c r="AG648" s="31"/>
      <c r="AH648" s="31"/>
      <c r="AI648" s="31"/>
      <c r="AJ648" s="31"/>
      <c r="AK648" s="31"/>
      <c r="AL648" s="28" t="str">
        <f>VLOOKUP($G648,'[42]Sheet1 (2)'!$A$1:$B$1048440,2,FALSE)</f>
        <v>Cum</v>
      </c>
      <c r="AM648" s="32"/>
      <c r="AN648" s="31"/>
      <c r="AO648" s="33"/>
    </row>
    <row r="649" spans="1:41" ht="210" x14ac:dyDescent="0.25">
      <c r="A649" s="26">
        <v>533</v>
      </c>
      <c r="B649" s="24" t="s">
        <v>813</v>
      </c>
      <c r="C649" s="22">
        <v>15.14</v>
      </c>
      <c r="D649" s="25" t="s">
        <v>772</v>
      </c>
      <c r="E649" s="23" t="s">
        <v>1012</v>
      </c>
      <c r="F649" s="25" t="s">
        <v>990</v>
      </c>
      <c r="G649" s="21" t="s">
        <v>80</v>
      </c>
      <c r="H649" s="26">
        <v>5180</v>
      </c>
      <c r="I649" s="26">
        <v>521</v>
      </c>
      <c r="J649" s="178">
        <f>0.42/20</f>
        <v>2.0999999999999998E-2</v>
      </c>
      <c r="K649" s="178"/>
      <c r="L649" s="163">
        <f>0.027+0.013</f>
        <v>0.04</v>
      </c>
      <c r="M649" s="178"/>
      <c r="N649" s="178"/>
      <c r="O649" s="178"/>
      <c r="P649" s="178">
        <v>0.02</v>
      </c>
      <c r="Q649" s="31"/>
      <c r="R649" s="31"/>
      <c r="S649" s="31"/>
      <c r="T649" s="31"/>
      <c r="U649" s="31"/>
      <c r="V649" s="31"/>
      <c r="W649" s="31"/>
      <c r="X649" s="31"/>
      <c r="Y649" s="31"/>
      <c r="Z649" s="31"/>
      <c r="AA649" s="31"/>
      <c r="AB649" s="31"/>
      <c r="AC649" s="31"/>
      <c r="AD649" s="31"/>
      <c r="AE649" s="31"/>
      <c r="AF649" s="31"/>
      <c r="AG649" s="31"/>
      <c r="AH649" s="31"/>
      <c r="AI649" s="31"/>
      <c r="AJ649" s="31"/>
      <c r="AK649" s="31"/>
      <c r="AL649" s="28" t="str">
        <f>VLOOKUP($G649,'[42]Sheet1 (2)'!$A$1:$B$1048440,2,FALSE)</f>
        <v>Rmt.</v>
      </c>
      <c r="AM649" s="32" t="s">
        <v>906</v>
      </c>
      <c r="AN649" s="31"/>
      <c r="AO649" s="33"/>
    </row>
    <row r="650" spans="1:41" ht="56" x14ac:dyDescent="0.25">
      <c r="A650" s="26">
        <v>534</v>
      </c>
      <c r="B650" s="24" t="s">
        <v>813</v>
      </c>
      <c r="C650" s="22">
        <v>15.15</v>
      </c>
      <c r="D650" s="25" t="s">
        <v>72</v>
      </c>
      <c r="E650" s="23" t="s">
        <v>1013</v>
      </c>
      <c r="F650" s="21" t="s">
        <v>1014</v>
      </c>
      <c r="G650" s="25" t="s">
        <v>47</v>
      </c>
      <c r="H650" s="26">
        <v>8101</v>
      </c>
      <c r="I650" s="26">
        <v>1476</v>
      </c>
      <c r="J650" s="31"/>
      <c r="K650" s="31"/>
      <c r="L650" s="31"/>
      <c r="M650" s="31"/>
      <c r="N650" s="31"/>
      <c r="O650" s="31"/>
      <c r="P650" s="31"/>
      <c r="Q650" s="31"/>
      <c r="R650" s="31"/>
      <c r="S650" s="31"/>
      <c r="T650" s="31"/>
      <c r="U650" s="31"/>
      <c r="V650" s="31"/>
      <c r="W650" s="31"/>
      <c r="X650" s="31"/>
      <c r="Y650" s="31"/>
      <c r="Z650" s="31"/>
      <c r="AA650" s="31"/>
      <c r="AB650" s="31"/>
      <c r="AC650" s="31"/>
      <c r="AD650" s="31"/>
      <c r="AE650" s="31"/>
      <c r="AF650" s="31"/>
      <c r="AG650" s="31"/>
      <c r="AH650" s="31"/>
      <c r="AI650" s="31"/>
      <c r="AJ650" s="31"/>
      <c r="AK650" s="31"/>
      <c r="AL650" s="28" t="str">
        <f>VLOOKUP($G650,'[42]Sheet1 (2)'!$A$1:$B$1048440,2,FALSE)</f>
        <v>Cum</v>
      </c>
      <c r="AM650" s="32"/>
      <c r="AN650" s="31"/>
      <c r="AO650" s="33"/>
    </row>
    <row r="651" spans="1:41" ht="210" x14ac:dyDescent="0.25">
      <c r="A651" s="26">
        <v>535</v>
      </c>
      <c r="B651" s="24" t="s">
        <v>813</v>
      </c>
      <c r="C651" s="22">
        <v>15.16</v>
      </c>
      <c r="D651" s="25" t="s">
        <v>772</v>
      </c>
      <c r="E651" s="23" t="s">
        <v>1015</v>
      </c>
      <c r="F651" s="25" t="s">
        <v>990</v>
      </c>
      <c r="G651" s="21" t="s">
        <v>80</v>
      </c>
      <c r="H651" s="26">
        <v>5340</v>
      </c>
      <c r="I651" s="26">
        <v>541</v>
      </c>
      <c r="J651" s="31"/>
      <c r="K651" s="31"/>
      <c r="L651" s="163"/>
      <c r="M651" s="31"/>
      <c r="N651" s="31"/>
      <c r="O651" s="31"/>
      <c r="P651" s="31"/>
      <c r="Q651" s="31"/>
      <c r="R651" s="31"/>
      <c r="S651" s="31"/>
      <c r="T651" s="31"/>
      <c r="U651" s="31"/>
      <c r="V651" s="31"/>
      <c r="W651" s="31"/>
      <c r="X651" s="31"/>
      <c r="Y651" s="31"/>
      <c r="Z651" s="180">
        <v>1.0500000000000001E-2</v>
      </c>
      <c r="AA651" s="181">
        <v>4.0499999999999998E-3</v>
      </c>
      <c r="AB651" s="180">
        <v>2.9999999999999997E-4</v>
      </c>
      <c r="AC651" s="163"/>
      <c r="AD651" s="181">
        <f>Z651+AB651</f>
        <v>1.0800000000000001E-2</v>
      </c>
      <c r="AE651" s="163"/>
      <c r="AF651" s="163">
        <v>2.2999999999999998</v>
      </c>
      <c r="AG651" s="163"/>
      <c r="AH651" s="163"/>
      <c r="AI651" s="163"/>
      <c r="AJ651" s="163"/>
      <c r="AK651" s="163"/>
      <c r="AL651" s="28" t="str">
        <f>VLOOKUP($G651,'[42]Sheet1 (2)'!$A$1:$B$1048440,2,FALSE)</f>
        <v>Rmt.</v>
      </c>
      <c r="AM651" s="182" t="s">
        <v>919</v>
      </c>
      <c r="AN651" s="31"/>
      <c r="AO651" s="33"/>
    </row>
    <row r="652" spans="1:41" ht="210" x14ac:dyDescent="0.25">
      <c r="A652" s="26">
        <v>536</v>
      </c>
      <c r="B652" s="24" t="s">
        <v>813</v>
      </c>
      <c r="C652" s="22">
        <v>15.18</v>
      </c>
      <c r="D652" s="25" t="s">
        <v>772</v>
      </c>
      <c r="E652" s="23" t="s">
        <v>1016</v>
      </c>
      <c r="F652" s="25" t="s">
        <v>990</v>
      </c>
      <c r="G652" s="21" t="s">
        <v>80</v>
      </c>
      <c r="H652" s="26">
        <v>7779</v>
      </c>
      <c r="I652" s="26">
        <v>778</v>
      </c>
      <c r="J652" s="31"/>
      <c r="K652" s="31"/>
      <c r="L652" s="31"/>
      <c r="M652" s="31"/>
      <c r="N652" s="31"/>
      <c r="O652" s="31"/>
      <c r="P652" s="31"/>
      <c r="Q652" s="31"/>
      <c r="R652" s="31"/>
      <c r="S652" s="31"/>
      <c r="T652" s="31"/>
      <c r="U652" s="31"/>
      <c r="V652" s="31"/>
      <c r="W652" s="31"/>
      <c r="X652" s="31"/>
      <c r="Y652" s="31"/>
      <c r="Z652" s="180">
        <v>2.1000000000000001E-2</v>
      </c>
      <c r="AA652" s="181">
        <v>8.0499999999999999E-3</v>
      </c>
      <c r="AB652" s="180">
        <v>2.9999999999999997E-4</v>
      </c>
      <c r="AC652" s="163"/>
      <c r="AD652" s="181">
        <f>Z652+AB652</f>
        <v>2.1300000000000003E-2</v>
      </c>
      <c r="AE652" s="163"/>
      <c r="AF652" s="163">
        <v>2.2999999999999998</v>
      </c>
      <c r="AG652" s="31"/>
      <c r="AH652" s="31"/>
      <c r="AI652" s="31"/>
      <c r="AJ652" s="31"/>
      <c r="AK652" s="31"/>
      <c r="AL652" s="28" t="str">
        <f>VLOOKUP($G652,'[42]Sheet1 (2)'!$A$1:$B$1048440,2,FALSE)</f>
        <v>Rmt.</v>
      </c>
      <c r="AM652" s="32" t="s">
        <v>922</v>
      </c>
      <c r="AN652" s="31"/>
      <c r="AO652" s="33"/>
    </row>
    <row r="653" spans="1:41" ht="210" x14ac:dyDescent="0.25">
      <c r="A653" s="26">
        <v>537</v>
      </c>
      <c r="B653" s="24" t="s">
        <v>813</v>
      </c>
      <c r="C653" s="22">
        <v>15.2</v>
      </c>
      <c r="D653" s="25" t="s">
        <v>772</v>
      </c>
      <c r="E653" s="23" t="s">
        <v>1017</v>
      </c>
      <c r="F653" s="25" t="s">
        <v>990</v>
      </c>
      <c r="G653" s="21" t="s">
        <v>80</v>
      </c>
      <c r="H653" s="26">
        <v>8197</v>
      </c>
      <c r="I653" s="26">
        <v>854</v>
      </c>
      <c r="J653" s="31"/>
      <c r="K653" s="31"/>
      <c r="L653" s="31"/>
      <c r="M653" s="31"/>
      <c r="N653" s="31"/>
      <c r="O653" s="31"/>
      <c r="P653" s="31"/>
      <c r="Q653" s="31"/>
      <c r="R653" s="31"/>
      <c r="S653" s="31"/>
      <c r="T653" s="31"/>
      <c r="U653" s="31"/>
      <c r="V653" s="31"/>
      <c r="W653" s="31"/>
      <c r="X653" s="31"/>
      <c r="Y653" s="31"/>
      <c r="Z653" s="31"/>
      <c r="AA653" s="31"/>
      <c r="AB653" s="31"/>
      <c r="AC653" s="31"/>
      <c r="AD653" s="31"/>
      <c r="AE653" s="31"/>
      <c r="AF653" s="31"/>
      <c r="AG653" s="31"/>
      <c r="AH653" s="31"/>
      <c r="AI653" s="31"/>
      <c r="AJ653" s="31"/>
      <c r="AK653" s="31"/>
      <c r="AL653" s="28" t="str">
        <f>VLOOKUP($G653,'[42]Sheet1 (2)'!$A$1:$B$1048440,2,FALSE)</f>
        <v>Rmt.</v>
      </c>
      <c r="AM653" s="32"/>
      <c r="AN653" s="31"/>
      <c r="AO653" s="33"/>
    </row>
    <row r="654" spans="1:41" ht="210" x14ac:dyDescent="0.25">
      <c r="A654" s="26">
        <v>538</v>
      </c>
      <c r="B654" s="24" t="s">
        <v>813</v>
      </c>
      <c r="C654" s="22">
        <v>15.58</v>
      </c>
      <c r="D654" s="25" t="s">
        <v>772</v>
      </c>
      <c r="E654" s="23" t="s">
        <v>1018</v>
      </c>
      <c r="F654" s="25" t="s">
        <v>990</v>
      </c>
      <c r="G654" s="21" t="s">
        <v>80</v>
      </c>
      <c r="H654" s="26">
        <v>8535</v>
      </c>
      <c r="I654" s="26">
        <v>919</v>
      </c>
      <c r="J654" s="178">
        <f>0.42/20</f>
        <v>2.0999999999999998E-2</v>
      </c>
      <c r="K654" s="178"/>
      <c r="L654" s="163">
        <f>0.027+0.013</f>
        <v>0.04</v>
      </c>
      <c r="M654" s="178"/>
      <c r="N654" s="178"/>
      <c r="O654" s="178"/>
      <c r="P654" s="178">
        <v>0.02</v>
      </c>
      <c r="Q654" s="31"/>
      <c r="R654" s="31"/>
      <c r="S654" s="31"/>
      <c r="T654" s="31"/>
      <c r="U654" s="31"/>
      <c r="V654" s="31"/>
      <c r="W654" s="31"/>
      <c r="X654" s="31"/>
      <c r="Y654" s="31"/>
      <c r="Z654" s="31"/>
      <c r="AA654" s="31"/>
      <c r="AB654" s="31"/>
      <c r="AC654" s="31"/>
      <c r="AD654" s="31"/>
      <c r="AE654" s="31"/>
      <c r="AF654" s="31"/>
      <c r="AG654" s="31"/>
      <c r="AH654" s="31"/>
      <c r="AI654" s="31"/>
      <c r="AJ654" s="31"/>
      <c r="AK654" s="31"/>
      <c r="AL654" s="28" t="str">
        <f>VLOOKUP($G654,'[42]Sheet1 (2)'!$A$1:$B$1048440,2,FALSE)</f>
        <v>Rmt.</v>
      </c>
      <c r="AM654" s="32" t="s">
        <v>926</v>
      </c>
      <c r="AN654" s="31"/>
      <c r="AO654" s="33"/>
    </row>
    <row r="655" spans="1:41" ht="210" x14ac:dyDescent="0.25">
      <c r="A655" s="26">
        <v>539</v>
      </c>
      <c r="B655" s="24" t="s">
        <v>813</v>
      </c>
      <c r="C655" s="22">
        <v>15.6</v>
      </c>
      <c r="D655" s="25" t="s">
        <v>772</v>
      </c>
      <c r="E655" s="23" t="s">
        <v>1019</v>
      </c>
      <c r="F655" s="25" t="s">
        <v>990</v>
      </c>
      <c r="G655" s="21" t="s">
        <v>80</v>
      </c>
      <c r="H655" s="26">
        <v>9277</v>
      </c>
      <c r="I655" s="121">
        <v>1067</v>
      </c>
      <c r="J655" s="184">
        <f>6.4/20</f>
        <v>0.32</v>
      </c>
      <c r="K655" s="184"/>
      <c r="L655" s="184">
        <v>0.85</v>
      </c>
      <c r="M655" s="184"/>
      <c r="N655" s="184"/>
      <c r="O655" s="184"/>
      <c r="P655" s="184">
        <v>0.42499999999999999</v>
      </c>
      <c r="Q655" s="31"/>
      <c r="R655" s="31"/>
      <c r="S655" s="31"/>
      <c r="T655" s="31"/>
      <c r="U655" s="31"/>
      <c r="V655" s="31"/>
      <c r="W655" s="31"/>
      <c r="X655" s="31"/>
      <c r="Y655" s="31"/>
      <c r="Z655" s="31"/>
      <c r="AA655" s="31"/>
      <c r="AB655" s="31"/>
      <c r="AC655" s="31"/>
      <c r="AD655" s="31"/>
      <c r="AE655" s="31"/>
      <c r="AF655" s="31"/>
      <c r="AG655" s="31"/>
      <c r="AH655" s="31"/>
      <c r="AI655" s="31"/>
      <c r="AJ655" s="31"/>
      <c r="AK655" s="31"/>
      <c r="AL655" s="28" t="str">
        <f>VLOOKUP($G655,'[42]Sheet1 (2)'!$A$1:$B$1048440,2,FALSE)</f>
        <v>Rmt.</v>
      </c>
      <c r="AM655" s="32" t="s">
        <v>929</v>
      </c>
      <c r="AN655" s="31"/>
      <c r="AO655" s="33"/>
    </row>
    <row r="656" spans="1:41" ht="210" x14ac:dyDescent="0.25">
      <c r="A656" s="26">
        <v>540</v>
      </c>
      <c r="B656" s="24" t="s">
        <v>813</v>
      </c>
      <c r="C656" s="22">
        <v>15.62</v>
      </c>
      <c r="D656" s="25" t="s">
        <v>772</v>
      </c>
      <c r="E656" s="23" t="s">
        <v>1020</v>
      </c>
      <c r="F656" s="25" t="s">
        <v>990</v>
      </c>
      <c r="G656" s="21" t="s">
        <v>80</v>
      </c>
      <c r="H656" s="26">
        <v>10070</v>
      </c>
      <c r="I656" s="121">
        <v>1220</v>
      </c>
      <c r="J656" s="184">
        <f>8.5/20</f>
        <v>0.42499999999999999</v>
      </c>
      <c r="K656" s="184"/>
      <c r="L656" s="184">
        <v>0.85</v>
      </c>
      <c r="M656" s="184"/>
      <c r="N656" s="184"/>
      <c r="O656" s="184"/>
      <c r="P656" s="184">
        <v>0.42499999999999999</v>
      </c>
      <c r="Q656" s="31"/>
      <c r="R656" s="31"/>
      <c r="S656" s="31"/>
      <c r="T656" s="31"/>
      <c r="U656" s="31"/>
      <c r="V656" s="31"/>
      <c r="W656" s="31"/>
      <c r="X656" s="31"/>
      <c r="Y656" s="31">
        <f>0.45*20</f>
        <v>9</v>
      </c>
      <c r="Z656" s="31"/>
      <c r="AA656" s="31"/>
      <c r="AB656" s="31"/>
      <c r="AC656" s="31"/>
      <c r="AD656" s="31"/>
      <c r="AE656" s="31"/>
      <c r="AF656" s="31"/>
      <c r="AG656" s="31"/>
      <c r="AH656" s="31"/>
      <c r="AI656" s="31"/>
      <c r="AJ656" s="31"/>
      <c r="AK656" s="31"/>
      <c r="AL656" s="28" t="str">
        <f>VLOOKUP($G656,'[42]Sheet1 (2)'!$A$1:$B$1048440,2,FALSE)</f>
        <v>Rmt.</v>
      </c>
      <c r="AM656" s="32" t="s">
        <v>932</v>
      </c>
      <c r="AN656" s="31"/>
      <c r="AO656" s="33"/>
    </row>
    <row r="657" spans="1:41" ht="210" x14ac:dyDescent="0.25">
      <c r="A657" s="40">
        <v>541</v>
      </c>
      <c r="B657" s="44" t="s">
        <v>813</v>
      </c>
      <c r="C657" s="37">
        <v>15.64</v>
      </c>
      <c r="D657" s="45" t="s">
        <v>772</v>
      </c>
      <c r="E657" s="43" t="s">
        <v>1021</v>
      </c>
      <c r="F657" s="45" t="s">
        <v>990</v>
      </c>
      <c r="G657" s="42" t="s">
        <v>80</v>
      </c>
      <c r="H657" s="48">
        <v>12352</v>
      </c>
      <c r="I657" s="48">
        <v>1545</v>
      </c>
      <c r="J657" s="31"/>
      <c r="K657" s="31"/>
      <c r="L657" s="31"/>
      <c r="M657" s="31"/>
      <c r="N657" s="31"/>
      <c r="O657" s="31"/>
      <c r="P657" s="31"/>
      <c r="Q657" s="31"/>
      <c r="R657" s="31"/>
      <c r="S657" s="31"/>
      <c r="T657" s="31"/>
      <c r="U657" s="31"/>
      <c r="V657" s="31"/>
      <c r="W657" s="31"/>
      <c r="X657" s="31"/>
      <c r="Y657" s="31"/>
      <c r="Z657" s="31"/>
      <c r="AA657" s="31"/>
      <c r="AB657" s="31"/>
      <c r="AC657" s="31"/>
      <c r="AD657" s="31"/>
      <c r="AE657" s="31"/>
      <c r="AF657" s="31"/>
      <c r="AG657" s="31"/>
      <c r="AH657" s="31"/>
      <c r="AI657" s="31"/>
      <c r="AJ657" s="31"/>
      <c r="AK657" s="31"/>
      <c r="AL657" s="28" t="str">
        <f>VLOOKUP($G657,'[42]Sheet1 (2)'!$A$1:$B$1048440,2,FALSE)</f>
        <v>Rmt.</v>
      </c>
      <c r="AM657" s="32"/>
      <c r="AN657" s="31"/>
      <c r="AO657" s="33"/>
    </row>
    <row r="658" spans="1:41" ht="210" x14ac:dyDescent="0.25">
      <c r="A658" s="40">
        <v>542</v>
      </c>
      <c r="B658" s="44" t="s">
        <v>813</v>
      </c>
      <c r="C658" s="37">
        <v>15.66</v>
      </c>
      <c r="D658" s="45" t="s">
        <v>772</v>
      </c>
      <c r="E658" s="43" t="s">
        <v>1022</v>
      </c>
      <c r="F658" s="45" t="s">
        <v>990</v>
      </c>
      <c r="G658" s="42" t="s">
        <v>80</v>
      </c>
      <c r="H658" s="48">
        <v>13380</v>
      </c>
      <c r="I658" s="48">
        <v>1659</v>
      </c>
      <c r="J658" s="31"/>
      <c r="K658" s="31"/>
      <c r="L658" s="31"/>
      <c r="M658" s="31"/>
      <c r="N658" s="31"/>
      <c r="O658" s="31"/>
      <c r="P658" s="31"/>
      <c r="Q658" s="31"/>
      <c r="R658" s="31"/>
      <c r="S658" s="31"/>
      <c r="T658" s="31"/>
      <c r="U658" s="31"/>
      <c r="V658" s="31"/>
      <c r="W658" s="31"/>
      <c r="X658" s="31"/>
      <c r="Y658" s="31"/>
      <c r="Z658" s="31"/>
      <c r="AA658" s="31"/>
      <c r="AB658" s="31"/>
      <c r="AC658" s="31"/>
      <c r="AD658" s="31"/>
      <c r="AE658" s="31"/>
      <c r="AF658" s="31"/>
      <c r="AG658" s="31"/>
      <c r="AH658" s="31"/>
      <c r="AI658" s="31"/>
      <c r="AJ658" s="31"/>
      <c r="AK658" s="31"/>
      <c r="AL658" s="28" t="str">
        <f>VLOOKUP($G658,'[42]Sheet1 (2)'!$A$1:$B$1048440,2,FALSE)</f>
        <v>Rmt.</v>
      </c>
      <c r="AM658" s="32"/>
      <c r="AN658" s="31"/>
      <c r="AO658" s="33"/>
    </row>
    <row r="659" spans="1:41" ht="210" x14ac:dyDescent="0.25">
      <c r="A659" s="40">
        <v>543</v>
      </c>
      <c r="B659" s="44" t="s">
        <v>813</v>
      </c>
      <c r="C659" s="37">
        <v>15.68</v>
      </c>
      <c r="D659" s="45" t="s">
        <v>772</v>
      </c>
      <c r="E659" s="43" t="s">
        <v>1023</v>
      </c>
      <c r="F659" s="45" t="s">
        <v>990</v>
      </c>
      <c r="G659" s="42" t="s">
        <v>80</v>
      </c>
      <c r="H659" s="48">
        <v>14462</v>
      </c>
      <c r="I659" s="48">
        <v>1807</v>
      </c>
      <c r="J659" s="31"/>
      <c r="K659" s="31"/>
      <c r="L659" s="31"/>
      <c r="M659" s="31"/>
      <c r="N659" s="31"/>
      <c r="O659" s="31"/>
      <c r="P659" s="31"/>
      <c r="Q659" s="31"/>
      <c r="R659" s="31"/>
      <c r="S659" s="31"/>
      <c r="T659" s="31"/>
      <c r="U659" s="31"/>
      <c r="V659" s="31"/>
      <c r="W659" s="31"/>
      <c r="X659" s="31"/>
      <c r="Y659" s="31"/>
      <c r="Z659" s="31"/>
      <c r="AA659" s="31"/>
      <c r="AB659" s="31"/>
      <c r="AC659" s="31"/>
      <c r="AD659" s="31"/>
      <c r="AE659" s="31"/>
      <c r="AF659" s="31"/>
      <c r="AG659" s="31"/>
      <c r="AH659" s="31"/>
      <c r="AI659" s="31"/>
      <c r="AJ659" s="31"/>
      <c r="AK659" s="31"/>
      <c r="AL659" s="28" t="str">
        <f>VLOOKUP($G659,'[42]Sheet1 (2)'!$A$1:$B$1048440,2,FALSE)</f>
        <v>Rmt.</v>
      </c>
      <c r="AM659" s="32"/>
      <c r="AN659" s="31"/>
      <c r="AO659" s="33"/>
    </row>
    <row r="660" spans="1:41" ht="210" x14ac:dyDescent="0.25">
      <c r="A660" s="40">
        <v>544</v>
      </c>
      <c r="B660" s="44" t="s">
        <v>813</v>
      </c>
      <c r="C660" s="37">
        <v>15.7</v>
      </c>
      <c r="D660" s="45" t="s">
        <v>772</v>
      </c>
      <c r="E660" s="43" t="s">
        <v>1024</v>
      </c>
      <c r="F660" s="45" t="s">
        <v>990</v>
      </c>
      <c r="G660" s="42" t="s">
        <v>80</v>
      </c>
      <c r="H660" s="48">
        <v>17082</v>
      </c>
      <c r="I660" s="48">
        <v>2191</v>
      </c>
      <c r="J660" s="31"/>
      <c r="K660" s="31"/>
      <c r="L660" s="31"/>
      <c r="M660" s="31"/>
      <c r="N660" s="31"/>
      <c r="O660" s="31"/>
      <c r="P660" s="31"/>
      <c r="Q660" s="31"/>
      <c r="R660" s="31"/>
      <c r="S660" s="31"/>
      <c r="T660" s="31"/>
      <c r="U660" s="31"/>
      <c r="V660" s="31"/>
      <c r="W660" s="31"/>
      <c r="X660" s="31"/>
      <c r="Y660" s="31"/>
      <c r="Z660" s="31"/>
      <c r="AA660" s="31"/>
      <c r="AB660" s="31"/>
      <c r="AC660" s="31"/>
      <c r="AD660" s="31"/>
      <c r="AE660" s="31"/>
      <c r="AF660" s="31"/>
      <c r="AG660" s="31"/>
      <c r="AH660" s="31"/>
      <c r="AI660" s="31"/>
      <c r="AJ660" s="31"/>
      <c r="AK660" s="31"/>
      <c r="AL660" s="28" t="str">
        <f>VLOOKUP($G660,'[42]Sheet1 (2)'!$A$1:$B$1048440,2,FALSE)</f>
        <v>Rmt.</v>
      </c>
      <c r="AM660" s="32"/>
      <c r="AN660" s="31"/>
      <c r="AO660" s="33"/>
    </row>
    <row r="661" spans="1:41" ht="210" x14ac:dyDescent="0.25">
      <c r="A661" s="40">
        <v>545</v>
      </c>
      <c r="B661" s="44" t="s">
        <v>813</v>
      </c>
      <c r="C661" s="37">
        <v>15.72</v>
      </c>
      <c r="D661" s="45" t="s">
        <v>772</v>
      </c>
      <c r="E661" s="43" t="s">
        <v>1025</v>
      </c>
      <c r="F661" s="45" t="s">
        <v>990</v>
      </c>
      <c r="G661" s="42" t="s">
        <v>80</v>
      </c>
      <c r="H661" s="48">
        <v>26701</v>
      </c>
      <c r="I661" s="48">
        <v>3407</v>
      </c>
      <c r="J661" s="31"/>
      <c r="K661" s="31"/>
      <c r="L661" s="31"/>
      <c r="M661" s="31"/>
      <c r="N661" s="31"/>
      <c r="O661" s="31"/>
      <c r="P661" s="31"/>
      <c r="Q661" s="31"/>
      <c r="R661" s="31"/>
      <c r="S661" s="31"/>
      <c r="T661" s="31"/>
      <c r="U661" s="31"/>
      <c r="V661" s="31"/>
      <c r="W661" s="31"/>
      <c r="X661" s="31"/>
      <c r="Y661" s="31"/>
      <c r="Z661" s="31"/>
      <c r="AA661" s="31"/>
      <c r="AB661" s="31"/>
      <c r="AC661" s="31"/>
      <c r="AD661" s="31"/>
      <c r="AE661" s="31"/>
      <c r="AF661" s="31"/>
      <c r="AG661" s="31"/>
      <c r="AH661" s="31"/>
      <c r="AI661" s="31"/>
      <c r="AJ661" s="31"/>
      <c r="AK661" s="31"/>
      <c r="AL661" s="28" t="str">
        <f>VLOOKUP($G661,'[42]Sheet1 (2)'!$A$1:$B$1048440,2,FALSE)</f>
        <v>Rmt.</v>
      </c>
      <c r="AM661" s="32"/>
      <c r="AN661" s="31"/>
      <c r="AO661" s="33"/>
    </row>
    <row r="662" spans="1:41" ht="210" x14ac:dyDescent="0.25">
      <c r="A662" s="40">
        <v>546</v>
      </c>
      <c r="B662" s="44" t="s">
        <v>813</v>
      </c>
      <c r="C662" s="186">
        <v>15.11</v>
      </c>
      <c r="D662" s="45" t="s">
        <v>772</v>
      </c>
      <c r="E662" s="43" t="s">
        <v>1026</v>
      </c>
      <c r="F662" s="45" t="s">
        <v>990</v>
      </c>
      <c r="G662" s="42" t="s">
        <v>80</v>
      </c>
      <c r="H662" s="40">
        <v>3021</v>
      </c>
      <c r="I662" s="40">
        <v>399</v>
      </c>
      <c r="J662" s="31"/>
      <c r="K662" s="31"/>
      <c r="L662" s="31"/>
      <c r="M662" s="31"/>
      <c r="N662" s="31"/>
      <c r="O662" s="31"/>
      <c r="P662" s="31"/>
      <c r="Q662" s="31"/>
      <c r="R662" s="31"/>
      <c r="S662" s="31"/>
      <c r="T662" s="31"/>
      <c r="U662" s="31"/>
      <c r="V662" s="31"/>
      <c r="W662" s="31"/>
      <c r="X662" s="31"/>
      <c r="Y662" s="31"/>
      <c r="Z662" s="31"/>
      <c r="AA662" s="31"/>
      <c r="AB662" s="31"/>
      <c r="AC662" s="31"/>
      <c r="AD662" s="31"/>
      <c r="AE662" s="31"/>
      <c r="AF662" s="31"/>
      <c r="AG662" s="31"/>
      <c r="AH662" s="31"/>
      <c r="AI662" s="31"/>
      <c r="AJ662" s="31"/>
      <c r="AK662" s="31"/>
      <c r="AL662" s="28" t="str">
        <f>VLOOKUP($G662,'[42]Sheet1 (2)'!$A$1:$B$1048440,2,FALSE)</f>
        <v>Rmt.</v>
      </c>
      <c r="AM662" s="32"/>
      <c r="AN662" s="31"/>
      <c r="AO662" s="33"/>
    </row>
    <row r="663" spans="1:41" ht="210" x14ac:dyDescent="0.25">
      <c r="A663" s="40">
        <v>547</v>
      </c>
      <c r="B663" s="44" t="s">
        <v>813</v>
      </c>
      <c r="C663" s="186">
        <v>15.111000000000001</v>
      </c>
      <c r="D663" s="45" t="s">
        <v>772</v>
      </c>
      <c r="E663" s="43" t="s">
        <v>1027</v>
      </c>
      <c r="F663" s="45" t="s">
        <v>990</v>
      </c>
      <c r="G663" s="42" t="s">
        <v>80</v>
      </c>
      <c r="H663" s="40">
        <v>3178</v>
      </c>
      <c r="I663" s="40">
        <v>445</v>
      </c>
      <c r="J663" s="31"/>
      <c r="K663" s="31"/>
      <c r="L663" s="31"/>
      <c r="M663" s="31"/>
      <c r="N663" s="31"/>
      <c r="O663" s="31"/>
      <c r="P663" s="31"/>
      <c r="Q663" s="31"/>
      <c r="R663" s="31"/>
      <c r="S663" s="31"/>
      <c r="T663" s="31"/>
      <c r="U663" s="31"/>
      <c r="V663" s="31"/>
      <c r="W663" s="31"/>
      <c r="X663" s="31"/>
      <c r="Y663" s="31"/>
      <c r="Z663" s="31"/>
      <c r="AA663" s="31"/>
      <c r="AB663" s="31"/>
      <c r="AC663" s="31"/>
      <c r="AD663" s="31"/>
      <c r="AE663" s="31"/>
      <c r="AF663" s="31"/>
      <c r="AG663" s="31"/>
      <c r="AH663" s="31"/>
      <c r="AI663" s="31"/>
      <c r="AJ663" s="31"/>
      <c r="AK663" s="31"/>
      <c r="AL663" s="28" t="str">
        <f>VLOOKUP($G663,'[42]Sheet1 (2)'!$A$1:$B$1048440,2,FALSE)</f>
        <v>Rmt.</v>
      </c>
      <c r="AM663" s="32"/>
      <c r="AN663" s="31"/>
      <c r="AO663" s="33"/>
    </row>
    <row r="664" spans="1:41" ht="210" x14ac:dyDescent="0.25">
      <c r="A664" s="40">
        <v>548</v>
      </c>
      <c r="B664" s="44" t="s">
        <v>813</v>
      </c>
      <c r="C664" s="186">
        <v>15.112</v>
      </c>
      <c r="D664" s="45" t="s">
        <v>772</v>
      </c>
      <c r="E664" s="43" t="s">
        <v>1028</v>
      </c>
      <c r="F664" s="45" t="s">
        <v>990</v>
      </c>
      <c r="G664" s="42" t="s">
        <v>80</v>
      </c>
      <c r="H664" s="40">
        <v>3311</v>
      </c>
      <c r="I664" s="40">
        <v>461</v>
      </c>
      <c r="J664" s="31"/>
      <c r="K664" s="31"/>
      <c r="L664" s="31"/>
      <c r="M664" s="31"/>
      <c r="N664" s="31"/>
      <c r="O664" s="31"/>
      <c r="P664" s="31"/>
      <c r="Q664" s="31"/>
      <c r="R664" s="31"/>
      <c r="S664" s="31"/>
      <c r="T664" s="31"/>
      <c r="U664" s="31"/>
      <c r="V664" s="31"/>
      <c r="W664" s="31"/>
      <c r="X664" s="31"/>
      <c r="Y664" s="31"/>
      <c r="Z664" s="31"/>
      <c r="AA664" s="31"/>
      <c r="AB664" s="31"/>
      <c r="AC664" s="31"/>
      <c r="AD664" s="31"/>
      <c r="AE664" s="31"/>
      <c r="AF664" s="31"/>
      <c r="AG664" s="31"/>
      <c r="AH664" s="31"/>
      <c r="AI664" s="31"/>
      <c r="AJ664" s="31"/>
      <c r="AK664" s="31"/>
      <c r="AL664" s="28" t="str">
        <f>VLOOKUP($G664,'[42]Sheet1 (2)'!$A$1:$B$1048440,2,FALSE)</f>
        <v>Rmt.</v>
      </c>
      <c r="AM664" s="32"/>
      <c r="AN664" s="31"/>
      <c r="AO664" s="33"/>
    </row>
    <row r="665" spans="1:41" ht="210" x14ac:dyDescent="0.25">
      <c r="A665" s="40">
        <v>549</v>
      </c>
      <c r="B665" s="44" t="s">
        <v>813</v>
      </c>
      <c r="C665" s="186">
        <v>15.113</v>
      </c>
      <c r="D665" s="45" t="s">
        <v>772</v>
      </c>
      <c r="E665" s="43" t="s">
        <v>1029</v>
      </c>
      <c r="F665" s="45" t="s">
        <v>990</v>
      </c>
      <c r="G665" s="42" t="s">
        <v>80</v>
      </c>
      <c r="H665" s="40">
        <v>3452</v>
      </c>
      <c r="I665" s="40">
        <v>478</v>
      </c>
      <c r="J665" s="31"/>
      <c r="K665" s="31"/>
      <c r="L665" s="31"/>
      <c r="M665" s="31"/>
      <c r="N665" s="31"/>
      <c r="O665" s="31"/>
      <c r="P665" s="31"/>
      <c r="Q665" s="31"/>
      <c r="R665" s="31"/>
      <c r="S665" s="31"/>
      <c r="T665" s="31"/>
      <c r="U665" s="31"/>
      <c r="V665" s="31"/>
      <c r="W665" s="31"/>
      <c r="X665" s="31"/>
      <c r="Y665" s="31"/>
      <c r="Z665" s="31"/>
      <c r="AA665" s="31"/>
      <c r="AB665" s="31"/>
      <c r="AC665" s="31"/>
      <c r="AD665" s="31"/>
      <c r="AE665" s="31"/>
      <c r="AF665" s="31"/>
      <c r="AG665" s="31"/>
      <c r="AH665" s="31"/>
      <c r="AI665" s="31"/>
      <c r="AJ665" s="31"/>
      <c r="AK665" s="31"/>
      <c r="AL665" s="28" t="str">
        <f>VLOOKUP($G665,'[42]Sheet1 (2)'!$A$1:$B$1048440,2,FALSE)</f>
        <v>Rmt.</v>
      </c>
      <c r="AM665" s="32"/>
      <c r="AN665" s="31"/>
      <c r="AO665" s="33"/>
    </row>
    <row r="666" spans="1:41" ht="210" x14ac:dyDescent="0.25">
      <c r="A666" s="40">
        <v>550</v>
      </c>
      <c r="B666" s="44" t="s">
        <v>813</v>
      </c>
      <c r="C666" s="186">
        <v>15.114000000000001</v>
      </c>
      <c r="D666" s="45" t="s">
        <v>772</v>
      </c>
      <c r="E666" s="43" t="s">
        <v>1030</v>
      </c>
      <c r="F666" s="45" t="s">
        <v>990</v>
      </c>
      <c r="G666" s="42" t="s">
        <v>80</v>
      </c>
      <c r="H666" s="40">
        <v>3606</v>
      </c>
      <c r="I666" s="40">
        <v>496</v>
      </c>
      <c r="J666" s="31"/>
      <c r="K666" s="31"/>
      <c r="L666" s="31"/>
      <c r="M666" s="31"/>
      <c r="N666" s="31">
        <v>1</v>
      </c>
      <c r="O666" s="31"/>
      <c r="P666" s="31"/>
      <c r="Q666" s="31"/>
      <c r="R666" s="31"/>
      <c r="S666" s="31"/>
      <c r="T666" s="31"/>
      <c r="U666" s="31"/>
      <c r="V666" s="31"/>
      <c r="W666" s="31"/>
      <c r="X666" s="31"/>
      <c r="Y666" s="31"/>
      <c r="Z666" s="31"/>
      <c r="AA666" s="31"/>
      <c r="AB666" s="31"/>
      <c r="AC666" s="31"/>
      <c r="AD666" s="31"/>
      <c r="AE666" s="31"/>
      <c r="AF666" s="31"/>
      <c r="AG666" s="31"/>
      <c r="AH666" s="31"/>
      <c r="AI666" s="31"/>
      <c r="AJ666" s="31"/>
      <c r="AK666" s="31"/>
      <c r="AL666" s="28" t="str">
        <f>VLOOKUP($G666,'[42]Sheet1 (2)'!$A$1:$B$1048440,2,FALSE)</f>
        <v>Rmt.</v>
      </c>
      <c r="AM666" s="32"/>
      <c r="AN666" s="31"/>
      <c r="AO666" s="33"/>
    </row>
    <row r="667" spans="1:41" ht="210" x14ac:dyDescent="0.25">
      <c r="A667" s="40">
        <v>551</v>
      </c>
      <c r="B667" s="44" t="s">
        <v>813</v>
      </c>
      <c r="C667" s="186">
        <v>15.115</v>
      </c>
      <c r="D667" s="45" t="s">
        <v>772</v>
      </c>
      <c r="E667" s="43" t="s">
        <v>1031</v>
      </c>
      <c r="F667" s="45" t="s">
        <v>990</v>
      </c>
      <c r="G667" s="42" t="s">
        <v>80</v>
      </c>
      <c r="H667" s="40">
        <v>5217</v>
      </c>
      <c r="I667" s="40">
        <v>557</v>
      </c>
      <c r="J667" s="31"/>
      <c r="K667" s="31"/>
      <c r="L667" s="31"/>
      <c r="M667" s="31"/>
      <c r="N667" s="31">
        <v>1</v>
      </c>
      <c r="O667" s="31"/>
      <c r="P667" s="31"/>
      <c r="Q667" s="31"/>
      <c r="R667" s="31"/>
      <c r="S667" s="31"/>
      <c r="T667" s="31"/>
      <c r="U667" s="31"/>
      <c r="V667" s="31"/>
      <c r="W667" s="31"/>
      <c r="X667" s="31"/>
      <c r="Y667" s="31"/>
      <c r="Z667" s="31"/>
      <c r="AA667" s="31"/>
      <c r="AB667" s="31"/>
      <c r="AC667" s="31"/>
      <c r="AD667" s="31"/>
      <c r="AE667" s="31"/>
      <c r="AF667" s="31"/>
      <c r="AG667" s="31"/>
      <c r="AH667" s="31"/>
      <c r="AI667" s="31"/>
      <c r="AJ667" s="31"/>
      <c r="AK667" s="31"/>
      <c r="AL667" s="28" t="str">
        <f>VLOOKUP($G667,'[42]Sheet1 (2)'!$A$1:$B$1048440,2,FALSE)</f>
        <v>Rmt.</v>
      </c>
      <c r="AM667" s="32"/>
      <c r="AN667" s="31"/>
      <c r="AO667" s="33"/>
    </row>
    <row r="668" spans="1:41" ht="210" x14ac:dyDescent="0.25">
      <c r="A668" s="40">
        <v>552</v>
      </c>
      <c r="B668" s="44" t="s">
        <v>813</v>
      </c>
      <c r="C668" s="186">
        <v>15.116</v>
      </c>
      <c r="D668" s="45" t="s">
        <v>772</v>
      </c>
      <c r="E668" s="43" t="s">
        <v>1032</v>
      </c>
      <c r="F668" s="45" t="s">
        <v>990</v>
      </c>
      <c r="G668" s="42" t="s">
        <v>80</v>
      </c>
      <c r="H668" s="40">
        <v>5387</v>
      </c>
      <c r="I668" s="40">
        <v>578</v>
      </c>
      <c r="J668" s="184">
        <f>6.4/20</f>
        <v>0.32</v>
      </c>
      <c r="K668" s="184"/>
      <c r="L668" s="184">
        <v>0.85</v>
      </c>
      <c r="M668" s="184"/>
      <c r="N668" s="184"/>
      <c r="O668" s="184"/>
      <c r="P668" s="184">
        <v>0.42499999999999999</v>
      </c>
      <c r="Q668" s="31"/>
      <c r="R668" s="31"/>
      <c r="S668" s="31"/>
      <c r="T668" s="31"/>
      <c r="U668" s="31"/>
      <c r="V668" s="31"/>
      <c r="W668" s="31"/>
      <c r="X668" s="31"/>
      <c r="Y668" s="31"/>
      <c r="Z668" s="31"/>
      <c r="AA668" s="31"/>
      <c r="AB668" s="31"/>
      <c r="AC668" s="31"/>
      <c r="AD668" s="31"/>
      <c r="AE668" s="31"/>
      <c r="AF668" s="31"/>
      <c r="AG668" s="31"/>
      <c r="AH668" s="31"/>
      <c r="AI668" s="31"/>
      <c r="AJ668" s="31"/>
      <c r="AK668" s="31"/>
      <c r="AL668" s="28" t="str">
        <f>VLOOKUP($G668,'[42]Sheet1 (2)'!$A$1:$B$1048440,2,FALSE)</f>
        <v>Rmt.</v>
      </c>
      <c r="AM668" s="32" t="s">
        <v>952</v>
      </c>
      <c r="AN668" s="31"/>
      <c r="AO668" s="33"/>
    </row>
    <row r="669" spans="1:41" ht="224" x14ac:dyDescent="0.25">
      <c r="A669" s="40">
        <v>553</v>
      </c>
      <c r="B669" s="44" t="s">
        <v>813</v>
      </c>
      <c r="C669" s="186">
        <v>15.117000000000001</v>
      </c>
      <c r="D669" s="45" t="s">
        <v>772</v>
      </c>
      <c r="E669" s="43" t="s">
        <v>1033</v>
      </c>
      <c r="F669" s="45" t="s">
        <v>990</v>
      </c>
      <c r="G669" s="42" t="s">
        <v>80</v>
      </c>
      <c r="H669" s="40">
        <v>5563</v>
      </c>
      <c r="I669" s="40">
        <v>600</v>
      </c>
      <c r="J669" s="31"/>
      <c r="K669" s="31"/>
      <c r="L669" s="31"/>
      <c r="M669" s="31"/>
      <c r="N669" s="31">
        <v>1</v>
      </c>
      <c r="O669" s="31">
        <v>0.3</v>
      </c>
      <c r="P669" s="31"/>
      <c r="Q669" s="31"/>
      <c r="R669" s="31"/>
      <c r="S669" s="31"/>
      <c r="T669" s="31"/>
      <c r="U669" s="31"/>
      <c r="V669" s="31"/>
      <c r="W669" s="31"/>
      <c r="X669" s="31"/>
      <c r="Y669" s="31"/>
      <c r="Z669" s="31"/>
      <c r="AA669" s="31"/>
      <c r="AB669" s="31"/>
      <c r="AC669" s="31"/>
      <c r="AD669" s="31"/>
      <c r="AE669" s="31"/>
      <c r="AF669" s="31"/>
      <c r="AG669" s="31"/>
      <c r="AH669" s="31"/>
      <c r="AI669" s="31"/>
      <c r="AJ669" s="31"/>
      <c r="AK669" s="31"/>
      <c r="AL669" s="28" t="str">
        <f>VLOOKUP($G669,'[42]Sheet1 (2)'!$A$1:$B$1048440,2,FALSE)</f>
        <v>Rmt.</v>
      </c>
      <c r="AM669" s="32" t="s">
        <v>954</v>
      </c>
      <c r="AN669" s="31"/>
      <c r="AO669" s="33"/>
    </row>
    <row r="670" spans="1:41" ht="210" x14ac:dyDescent="0.25">
      <c r="A670" s="40">
        <v>554</v>
      </c>
      <c r="B670" s="44" t="s">
        <v>813</v>
      </c>
      <c r="C670" s="186">
        <v>15.118</v>
      </c>
      <c r="D670" s="45" t="s">
        <v>772</v>
      </c>
      <c r="E670" s="43" t="s">
        <v>1034</v>
      </c>
      <c r="F670" s="45" t="s">
        <v>990</v>
      </c>
      <c r="G670" s="42" t="s">
        <v>80</v>
      </c>
      <c r="H670" s="40">
        <v>8075</v>
      </c>
      <c r="I670" s="40">
        <v>863</v>
      </c>
      <c r="J670" s="31"/>
      <c r="K670" s="31"/>
      <c r="L670" s="31"/>
      <c r="M670" s="31"/>
      <c r="N670" s="31"/>
      <c r="O670" s="31"/>
      <c r="P670" s="31"/>
      <c r="Q670" s="31"/>
      <c r="R670" s="31"/>
      <c r="S670" s="31"/>
      <c r="T670" s="31"/>
      <c r="U670" s="31"/>
      <c r="V670" s="31"/>
      <c r="W670" s="31"/>
      <c r="X670" s="31"/>
      <c r="Y670" s="31"/>
      <c r="Z670" s="31"/>
      <c r="AA670" s="31"/>
      <c r="AB670" s="31"/>
      <c r="AC670" s="31"/>
      <c r="AD670" s="31"/>
      <c r="AE670" s="31"/>
      <c r="AF670" s="31"/>
      <c r="AG670" s="31"/>
      <c r="AH670" s="31"/>
      <c r="AI670" s="31"/>
      <c r="AJ670" s="31"/>
      <c r="AK670" s="31"/>
      <c r="AL670" s="28" t="str">
        <f>VLOOKUP($G670,'[42]Sheet1 (2)'!$A$1:$B$1048440,2,FALSE)</f>
        <v>Rmt.</v>
      </c>
      <c r="AM670" s="32" t="s">
        <v>956</v>
      </c>
      <c r="AN670" s="31"/>
      <c r="AO670" s="33"/>
    </row>
    <row r="671" spans="1:41" ht="210" x14ac:dyDescent="0.25">
      <c r="A671" s="40">
        <v>555</v>
      </c>
      <c r="B671" s="44" t="s">
        <v>813</v>
      </c>
      <c r="C671" s="186">
        <v>15.119</v>
      </c>
      <c r="D671" s="45" t="s">
        <v>772</v>
      </c>
      <c r="E671" s="43" t="s">
        <v>1035</v>
      </c>
      <c r="F671" s="45" t="s">
        <v>990</v>
      </c>
      <c r="G671" s="42" t="s">
        <v>80</v>
      </c>
      <c r="H671" s="40">
        <v>8536</v>
      </c>
      <c r="I671" s="40">
        <v>947</v>
      </c>
      <c r="J671" s="31"/>
      <c r="K671" s="31"/>
      <c r="L671" s="31"/>
      <c r="M671" s="163">
        <v>1</v>
      </c>
      <c r="N671" s="31"/>
      <c r="O671" s="163">
        <v>0.3</v>
      </c>
      <c r="P671" s="31"/>
      <c r="Q671" s="31"/>
      <c r="R671" s="31"/>
      <c r="S671" s="31"/>
      <c r="T671" s="31"/>
      <c r="U671" s="31"/>
      <c r="V671" s="31"/>
      <c r="W671" s="31"/>
      <c r="X671" s="31"/>
      <c r="Y671" s="31"/>
      <c r="Z671" s="31"/>
      <c r="AA671" s="31"/>
      <c r="AB671" s="31"/>
      <c r="AC671" s="31"/>
      <c r="AD671" s="31"/>
      <c r="AE671" s="31"/>
      <c r="AF671" s="31"/>
      <c r="AG671" s="31"/>
      <c r="AH671" s="31"/>
      <c r="AI671" s="31"/>
      <c r="AJ671" s="31"/>
      <c r="AK671" s="31"/>
      <c r="AL671" s="28" t="str">
        <f>VLOOKUP($G671,'[42]Sheet1 (2)'!$A$1:$B$1048440,2,FALSE)</f>
        <v>Rmt.</v>
      </c>
      <c r="AM671" s="32"/>
      <c r="AN671" s="31"/>
      <c r="AO671" s="33"/>
    </row>
    <row r="672" spans="1:41" ht="210" x14ac:dyDescent="0.25">
      <c r="A672" s="40">
        <v>556</v>
      </c>
      <c r="B672" s="44" t="s">
        <v>813</v>
      </c>
      <c r="C672" s="186">
        <v>15.12</v>
      </c>
      <c r="D672" s="45" t="s">
        <v>772</v>
      </c>
      <c r="E672" s="43" t="s">
        <v>1036</v>
      </c>
      <c r="F672" s="45" t="s">
        <v>990</v>
      </c>
      <c r="G672" s="42" t="s">
        <v>80</v>
      </c>
      <c r="H672" s="40">
        <v>8806</v>
      </c>
      <c r="I672" s="40">
        <v>1020</v>
      </c>
      <c r="J672" s="31"/>
      <c r="K672" s="31"/>
      <c r="L672" s="31"/>
      <c r="M672" s="31"/>
      <c r="N672" s="31"/>
      <c r="O672" s="31"/>
      <c r="P672" s="31"/>
      <c r="Q672" s="31"/>
      <c r="R672" s="31"/>
      <c r="S672" s="31"/>
      <c r="T672" s="31"/>
      <c r="U672" s="31"/>
      <c r="V672" s="31"/>
      <c r="W672" s="31"/>
      <c r="X672" s="31"/>
      <c r="Y672" s="31"/>
      <c r="Z672" s="31"/>
      <c r="AA672" s="31"/>
      <c r="AB672" s="31"/>
      <c r="AC672" s="31"/>
      <c r="AD672" s="31"/>
      <c r="AE672" s="31"/>
      <c r="AF672" s="31"/>
      <c r="AG672" s="31"/>
      <c r="AH672" s="31"/>
      <c r="AI672" s="31"/>
      <c r="AJ672" s="31"/>
      <c r="AK672" s="31"/>
      <c r="AL672" s="28" t="str">
        <f>VLOOKUP($G672,'[42]Sheet1 (2)'!$A$1:$B$1048440,2,FALSE)</f>
        <v>Rmt.</v>
      </c>
      <c r="AM672" s="32"/>
      <c r="AN672" s="31"/>
      <c r="AO672" s="33"/>
    </row>
    <row r="673" spans="1:41" ht="210" x14ac:dyDescent="0.25">
      <c r="A673" s="40">
        <v>557</v>
      </c>
      <c r="B673" s="44" t="s">
        <v>813</v>
      </c>
      <c r="C673" s="186">
        <v>15.121</v>
      </c>
      <c r="D673" s="45" t="s">
        <v>772</v>
      </c>
      <c r="E673" s="43" t="s">
        <v>1037</v>
      </c>
      <c r="F673" s="45" t="s">
        <v>990</v>
      </c>
      <c r="G673" s="42" t="s">
        <v>80</v>
      </c>
      <c r="H673" s="40">
        <v>9598</v>
      </c>
      <c r="I673" s="40">
        <v>1183</v>
      </c>
      <c r="J673" s="163">
        <f>2.05/20</f>
        <v>0.10249999999999999</v>
      </c>
      <c r="K673" s="31"/>
      <c r="L673" s="31"/>
      <c r="M673" s="31"/>
      <c r="N673" s="163">
        <v>1.1599999999999999</v>
      </c>
      <c r="O673" s="31"/>
      <c r="P673" s="163">
        <v>0.35</v>
      </c>
      <c r="Q673" s="31"/>
      <c r="R673" s="31"/>
      <c r="S673" s="31"/>
      <c r="T673" s="31"/>
      <c r="U673" s="31"/>
      <c r="V673" s="31"/>
      <c r="W673" s="31"/>
      <c r="X673" s="31"/>
      <c r="Y673" s="31"/>
      <c r="Z673" s="31"/>
      <c r="AA673" s="31"/>
      <c r="AB673" s="31"/>
      <c r="AC673" s="31"/>
      <c r="AD673" s="31"/>
      <c r="AE673" s="31"/>
      <c r="AF673" s="31"/>
      <c r="AG673" s="31"/>
      <c r="AH673" s="31"/>
      <c r="AI673" s="31"/>
      <c r="AJ673" s="31"/>
      <c r="AK673" s="31"/>
      <c r="AL673" s="28" t="str">
        <f>VLOOKUP($G673,'[42]Sheet1 (2)'!$A$1:$B$1048440,2,FALSE)</f>
        <v>Rmt.</v>
      </c>
      <c r="AM673" s="32" t="s">
        <v>962</v>
      </c>
      <c r="AN673" s="31"/>
      <c r="AO673" s="33"/>
    </row>
    <row r="674" spans="1:41" ht="210" x14ac:dyDescent="0.25">
      <c r="A674" s="40">
        <v>558</v>
      </c>
      <c r="B674" s="44" t="s">
        <v>813</v>
      </c>
      <c r="C674" s="186">
        <v>15.122</v>
      </c>
      <c r="D674" s="45" t="s">
        <v>772</v>
      </c>
      <c r="E674" s="43" t="s">
        <v>1038</v>
      </c>
      <c r="F674" s="45" t="s">
        <v>990</v>
      </c>
      <c r="G674" s="42" t="s">
        <v>80</v>
      </c>
      <c r="H674" s="48">
        <v>10448</v>
      </c>
      <c r="I674" s="48">
        <v>1353</v>
      </c>
      <c r="J674" s="184">
        <f>6.4/20</f>
        <v>0.32</v>
      </c>
      <c r="K674" s="184"/>
      <c r="L674" s="184">
        <v>0.85</v>
      </c>
      <c r="M674" s="184"/>
      <c r="N674" s="184"/>
      <c r="O674" s="184"/>
      <c r="P674" s="184">
        <v>0.42499999999999999</v>
      </c>
      <c r="Q674" s="31"/>
      <c r="R674" s="31"/>
      <c r="S674" s="31"/>
      <c r="T674" s="31"/>
      <c r="U674" s="31"/>
      <c r="V674" s="31"/>
      <c r="W674" s="31"/>
      <c r="X674" s="31"/>
      <c r="Y674" s="31"/>
      <c r="Z674" s="31"/>
      <c r="AA674" s="31"/>
      <c r="AB674" s="31"/>
      <c r="AC674" s="31"/>
      <c r="AD674" s="31"/>
      <c r="AE674" s="31"/>
      <c r="AF674" s="31"/>
      <c r="AG674" s="31"/>
      <c r="AH674" s="31"/>
      <c r="AI674" s="31"/>
      <c r="AJ674" s="31"/>
      <c r="AK674" s="31"/>
      <c r="AL674" s="28" t="str">
        <f>VLOOKUP($G674,'[42]Sheet1 (2)'!$A$1:$B$1048440,2,FALSE)</f>
        <v>Rmt.</v>
      </c>
      <c r="AM674" s="32" t="s">
        <v>964</v>
      </c>
      <c r="AN674" s="31"/>
      <c r="AO674" s="33"/>
    </row>
    <row r="675" spans="1:41" ht="210" x14ac:dyDescent="0.25">
      <c r="A675" s="40">
        <v>559</v>
      </c>
      <c r="B675" s="44" t="s">
        <v>813</v>
      </c>
      <c r="C675" s="186">
        <v>15.122999999999999</v>
      </c>
      <c r="D675" s="45" t="s">
        <v>772</v>
      </c>
      <c r="E675" s="43" t="s">
        <v>1039</v>
      </c>
      <c r="F675" s="45" t="s">
        <v>990</v>
      </c>
      <c r="G675" s="42" t="s">
        <v>80</v>
      </c>
      <c r="H675" s="48">
        <v>12768</v>
      </c>
      <c r="I675" s="48">
        <v>1548</v>
      </c>
      <c r="J675" s="31"/>
      <c r="K675" s="31"/>
      <c r="L675" s="31"/>
      <c r="M675" s="31"/>
      <c r="N675" s="184">
        <v>1.1599999999999999</v>
      </c>
      <c r="O675" s="184"/>
      <c r="P675" s="31"/>
      <c r="Q675" s="31"/>
      <c r="R675" s="31"/>
      <c r="S675" s="31"/>
      <c r="T675" s="31"/>
      <c r="U675" s="31"/>
      <c r="V675" s="31"/>
      <c r="W675" s="31"/>
      <c r="X675" s="31"/>
      <c r="Y675" s="31"/>
      <c r="Z675" s="31"/>
      <c r="AA675" s="31"/>
      <c r="AB675" s="31"/>
      <c r="AC675" s="31"/>
      <c r="AD675" s="31"/>
      <c r="AE675" s="31"/>
      <c r="AF675" s="31"/>
      <c r="AG675" s="31"/>
      <c r="AH675" s="31"/>
      <c r="AI675" s="31"/>
      <c r="AJ675" s="31"/>
      <c r="AK675" s="31"/>
      <c r="AL675" s="28" t="str">
        <f>VLOOKUP($G675,'[42]Sheet1 (2)'!$A$1:$B$1048440,2,FALSE)</f>
        <v>Rmt.</v>
      </c>
      <c r="AM675" s="32" t="s">
        <v>966</v>
      </c>
      <c r="AN675" s="31"/>
      <c r="AO675" s="33"/>
    </row>
    <row r="676" spans="1:41" ht="210" x14ac:dyDescent="0.25">
      <c r="A676" s="40">
        <v>560</v>
      </c>
      <c r="B676" s="44" t="s">
        <v>813</v>
      </c>
      <c r="C676" s="186">
        <v>15.124000000000001</v>
      </c>
      <c r="D676" s="45" t="s">
        <v>772</v>
      </c>
      <c r="E676" s="43" t="s">
        <v>1040</v>
      </c>
      <c r="F676" s="45" t="s">
        <v>990</v>
      </c>
      <c r="G676" s="42" t="s">
        <v>80</v>
      </c>
      <c r="H676" s="48">
        <v>14295</v>
      </c>
      <c r="I676" s="48">
        <v>1662</v>
      </c>
      <c r="J676" s="163">
        <f>2.05/20</f>
        <v>0.10249999999999999</v>
      </c>
      <c r="K676" s="31"/>
      <c r="L676" s="31"/>
      <c r="M676" s="31"/>
      <c r="N676" s="163">
        <v>1.1599999999999999</v>
      </c>
      <c r="O676" s="31"/>
      <c r="P676" s="163">
        <v>0.35</v>
      </c>
      <c r="Q676" s="31"/>
      <c r="R676" s="31"/>
      <c r="S676" s="31"/>
      <c r="T676" s="31"/>
      <c r="U676" s="31"/>
      <c r="V676" s="31"/>
      <c r="W676" s="31"/>
      <c r="X676" s="31"/>
      <c r="Y676" s="31"/>
      <c r="Z676" s="31"/>
      <c r="AA676" s="31"/>
      <c r="AB676" s="31"/>
      <c r="AC676" s="31"/>
      <c r="AD676" s="31"/>
      <c r="AE676" s="31"/>
      <c r="AF676" s="31"/>
      <c r="AG676" s="31"/>
      <c r="AH676" s="31"/>
      <c r="AI676" s="31"/>
      <c r="AJ676" s="31"/>
      <c r="AK676" s="31"/>
      <c r="AL676" s="28" t="str">
        <f>VLOOKUP($G676,'[42]Sheet1 (2)'!$A$1:$B$1048440,2,FALSE)</f>
        <v>Rmt.</v>
      </c>
      <c r="AM676" s="32" t="s">
        <v>969</v>
      </c>
      <c r="AN676" s="31"/>
      <c r="AO676" s="33"/>
    </row>
    <row r="677" spans="1:41" ht="210" x14ac:dyDescent="0.25">
      <c r="A677" s="40">
        <v>561</v>
      </c>
      <c r="B677" s="44" t="s">
        <v>813</v>
      </c>
      <c r="C677" s="186">
        <v>15.125</v>
      </c>
      <c r="D677" s="45" t="s">
        <v>772</v>
      </c>
      <c r="E677" s="43" t="s">
        <v>1041</v>
      </c>
      <c r="F677" s="45" t="s">
        <v>990</v>
      </c>
      <c r="G677" s="42" t="s">
        <v>80</v>
      </c>
      <c r="H677" s="48">
        <v>14966</v>
      </c>
      <c r="I677" s="48">
        <v>1811</v>
      </c>
      <c r="J677" s="31"/>
      <c r="K677" s="31"/>
      <c r="L677" s="31"/>
      <c r="M677" s="31"/>
      <c r="N677" s="31"/>
      <c r="O677" s="31"/>
      <c r="P677" s="31"/>
      <c r="Q677" s="31"/>
      <c r="R677" s="31"/>
      <c r="S677" s="31"/>
      <c r="T677" s="31"/>
      <c r="U677" s="31"/>
      <c r="V677" s="31"/>
      <c r="W677" s="31"/>
      <c r="X677" s="31"/>
      <c r="Y677" s="31"/>
      <c r="Z677" s="31"/>
      <c r="AA677" s="31"/>
      <c r="AB677" s="31"/>
      <c r="AC677" s="31"/>
      <c r="AD677" s="31"/>
      <c r="AE677" s="31"/>
      <c r="AF677" s="31"/>
      <c r="AG677" s="31"/>
      <c r="AH677" s="31"/>
      <c r="AI677" s="31"/>
      <c r="AJ677" s="31"/>
      <c r="AK677" s="31"/>
      <c r="AL677" s="28" t="str">
        <f>VLOOKUP($G677,'[42]Sheet1 (2)'!$A$1:$B$1048440,2,FALSE)</f>
        <v>Rmt.</v>
      </c>
      <c r="AM677" s="32"/>
      <c r="AN677" s="31"/>
      <c r="AO677" s="33"/>
    </row>
    <row r="678" spans="1:41" ht="210" x14ac:dyDescent="0.25">
      <c r="A678" s="40">
        <v>562</v>
      </c>
      <c r="B678" s="44" t="s">
        <v>813</v>
      </c>
      <c r="C678" s="186">
        <v>15.125999999999999</v>
      </c>
      <c r="D678" s="45" t="s">
        <v>772</v>
      </c>
      <c r="E678" s="43" t="s">
        <v>1042</v>
      </c>
      <c r="F678" s="45" t="s">
        <v>990</v>
      </c>
      <c r="G678" s="42" t="s">
        <v>80</v>
      </c>
      <c r="H678" s="48">
        <v>17681</v>
      </c>
      <c r="I678" s="48">
        <v>2195</v>
      </c>
      <c r="J678" s="31"/>
      <c r="K678" s="31"/>
      <c r="L678" s="31"/>
      <c r="M678" s="31"/>
      <c r="N678" s="163">
        <v>1.1599999999999999</v>
      </c>
      <c r="O678" s="31"/>
      <c r="P678" s="31"/>
      <c r="Q678" s="31"/>
      <c r="R678" s="31"/>
      <c r="S678" s="31"/>
      <c r="T678" s="31"/>
      <c r="U678" s="31"/>
      <c r="V678" s="31"/>
      <c r="W678" s="31"/>
      <c r="X678" s="31"/>
      <c r="Y678" s="31"/>
      <c r="Z678" s="31"/>
      <c r="AA678" s="31"/>
      <c r="AB678" s="31"/>
      <c r="AC678" s="31"/>
      <c r="AD678" s="31"/>
      <c r="AE678" s="31"/>
      <c r="AF678" s="31"/>
      <c r="AG678" s="31"/>
      <c r="AH678" s="31"/>
      <c r="AI678" s="31"/>
      <c r="AJ678" s="31"/>
      <c r="AK678" s="31"/>
      <c r="AL678" s="28" t="str">
        <f>VLOOKUP($G678,'[42]Sheet1 (2)'!$A$1:$B$1048440,2,FALSE)</f>
        <v>Rmt.</v>
      </c>
      <c r="AM678" s="32"/>
      <c r="AN678" s="31"/>
      <c r="AO678" s="33"/>
    </row>
    <row r="679" spans="1:41" ht="210" x14ac:dyDescent="0.25">
      <c r="A679" s="40">
        <v>563</v>
      </c>
      <c r="B679" s="44" t="s">
        <v>813</v>
      </c>
      <c r="C679" s="186">
        <v>15.127000000000001</v>
      </c>
      <c r="D679" s="45" t="s">
        <v>772</v>
      </c>
      <c r="E679" s="43" t="s">
        <v>1043</v>
      </c>
      <c r="F679" s="45" t="s">
        <v>990</v>
      </c>
      <c r="G679" s="42" t="s">
        <v>80</v>
      </c>
      <c r="H679" s="48">
        <v>27632</v>
      </c>
      <c r="I679" s="48">
        <v>3414</v>
      </c>
      <c r="J679" s="31"/>
      <c r="K679" s="31"/>
      <c r="L679" s="31"/>
      <c r="M679" s="31"/>
      <c r="N679" s="163"/>
      <c r="O679" s="31"/>
      <c r="P679" s="31"/>
      <c r="Q679" s="31"/>
      <c r="R679" s="31"/>
      <c r="S679" s="31"/>
      <c r="T679" s="31"/>
      <c r="U679" s="31"/>
      <c r="V679" s="31"/>
      <c r="W679" s="31"/>
      <c r="X679" s="31"/>
      <c r="Y679" s="31"/>
      <c r="Z679" s="31"/>
      <c r="AA679" s="31"/>
      <c r="AB679" s="31"/>
      <c r="AC679" s="31"/>
      <c r="AD679" s="31"/>
      <c r="AE679" s="31"/>
      <c r="AF679" s="31"/>
      <c r="AG679" s="31"/>
      <c r="AH679" s="31"/>
      <c r="AI679" s="31"/>
      <c r="AJ679" s="31"/>
      <c r="AK679" s="31"/>
      <c r="AL679" s="28" t="str">
        <f>VLOOKUP($G679,'[42]Sheet1 (2)'!$A$1:$B$1048440,2,FALSE)</f>
        <v>Rmt.</v>
      </c>
      <c r="AM679" s="32"/>
      <c r="AN679" s="31"/>
      <c r="AO679" s="33"/>
    </row>
    <row r="680" spans="1:41" ht="84" x14ac:dyDescent="0.25">
      <c r="A680" s="40">
        <v>564</v>
      </c>
      <c r="B680" s="44" t="s">
        <v>813</v>
      </c>
      <c r="C680" s="186">
        <v>15.128</v>
      </c>
      <c r="D680" s="45" t="s">
        <v>772</v>
      </c>
      <c r="E680" s="44" t="s">
        <v>1044</v>
      </c>
      <c r="F680" s="47" t="s">
        <v>1045</v>
      </c>
      <c r="G680" s="45" t="s">
        <v>1046</v>
      </c>
      <c r="H680" s="40">
        <v>104593</v>
      </c>
      <c r="I680" s="48">
        <v>17608</v>
      </c>
      <c r="J680" s="31"/>
      <c r="K680" s="31"/>
      <c r="L680" s="31"/>
      <c r="M680" s="31"/>
      <c r="N680" s="31"/>
      <c r="O680" s="31"/>
      <c r="P680" s="31"/>
      <c r="Q680" s="31"/>
      <c r="R680" s="31"/>
      <c r="S680" s="31"/>
      <c r="T680" s="31"/>
      <c r="U680" s="31"/>
      <c r="V680" s="31"/>
      <c r="W680" s="31"/>
      <c r="X680" s="31"/>
      <c r="Y680" s="31"/>
      <c r="Z680" s="31"/>
      <c r="AA680" s="31"/>
      <c r="AB680" s="31"/>
      <c r="AC680" s="31"/>
      <c r="AD680" s="31"/>
      <c r="AE680" s="31"/>
      <c r="AF680" s="31"/>
      <c r="AG680" s="31"/>
      <c r="AH680" s="31"/>
      <c r="AI680" s="31"/>
      <c r="AJ680" s="31"/>
      <c r="AK680" s="31"/>
      <c r="AL680" s="28" t="str">
        <f>VLOOKUP($G680,'[42]Sheet1 (2)'!$A$1:$B$1048440,2,FALSE)</f>
        <v>M.T.</v>
      </c>
      <c r="AM680" s="32"/>
      <c r="AN680" s="31"/>
      <c r="AO680" s="33"/>
    </row>
    <row r="681" spans="1:41" ht="196" x14ac:dyDescent="0.25">
      <c r="A681" s="40">
        <v>565</v>
      </c>
      <c r="B681" s="44" t="s">
        <v>1047</v>
      </c>
      <c r="C681" s="186">
        <v>15.129</v>
      </c>
      <c r="D681" s="45" t="s">
        <v>772</v>
      </c>
      <c r="E681" s="43" t="s">
        <v>1048</v>
      </c>
      <c r="F681" s="45" t="s">
        <v>990</v>
      </c>
      <c r="G681" s="42" t="s">
        <v>80</v>
      </c>
      <c r="H681" s="40">
        <v>3051</v>
      </c>
      <c r="I681" s="49">
        <v>399</v>
      </c>
      <c r="J681" s="31"/>
      <c r="K681" s="31"/>
      <c r="L681" s="31"/>
      <c r="M681" s="31"/>
      <c r="N681" s="31"/>
      <c r="O681" s="31"/>
      <c r="P681" s="31"/>
      <c r="Q681" s="31"/>
      <c r="R681" s="31"/>
      <c r="S681" s="31"/>
      <c r="T681" s="31"/>
      <c r="U681" s="31"/>
      <c r="V681" s="31"/>
      <c r="W681" s="31"/>
      <c r="X681" s="31"/>
      <c r="Y681" s="31"/>
      <c r="Z681" s="31"/>
      <c r="AA681" s="31"/>
      <c r="AB681" s="31"/>
      <c r="AC681" s="31"/>
      <c r="AD681" s="31"/>
      <c r="AE681" s="31"/>
      <c r="AF681" s="31"/>
      <c r="AG681" s="31"/>
      <c r="AH681" s="31"/>
      <c r="AI681" s="31"/>
      <c r="AJ681" s="31"/>
      <c r="AK681" s="31"/>
      <c r="AL681" s="28" t="str">
        <f>VLOOKUP($G681,'[42]Sheet1 (2)'!$A$1:$B$1048440,2,FALSE)</f>
        <v>Rmt.</v>
      </c>
      <c r="AM681" s="32"/>
      <c r="AN681" s="31"/>
      <c r="AO681" s="33"/>
    </row>
    <row r="682" spans="1:41" ht="196" x14ac:dyDescent="0.25">
      <c r="A682" s="40">
        <v>566</v>
      </c>
      <c r="B682" s="44" t="s">
        <v>1047</v>
      </c>
      <c r="C682" s="186">
        <v>15.13</v>
      </c>
      <c r="D682" s="45" t="s">
        <v>772</v>
      </c>
      <c r="E682" s="43" t="s">
        <v>1049</v>
      </c>
      <c r="F682" s="45" t="s">
        <v>990</v>
      </c>
      <c r="G682" s="42" t="s">
        <v>80</v>
      </c>
      <c r="H682" s="40">
        <v>3210</v>
      </c>
      <c r="I682" s="49">
        <v>445</v>
      </c>
      <c r="J682" s="184">
        <f>9/20</f>
        <v>0.45</v>
      </c>
      <c r="K682" s="184"/>
      <c r="L682" s="184">
        <v>0.85</v>
      </c>
      <c r="M682" s="184"/>
      <c r="N682" s="184"/>
      <c r="O682" s="184"/>
      <c r="P682" s="184">
        <v>0.42499999999999999</v>
      </c>
      <c r="Q682" s="31"/>
      <c r="R682" s="31"/>
      <c r="S682" s="31"/>
      <c r="T682" s="31"/>
      <c r="U682" s="31"/>
      <c r="V682" s="31"/>
      <c r="W682" s="31"/>
      <c r="X682" s="31"/>
      <c r="Y682" s="31"/>
      <c r="Z682" s="31"/>
      <c r="AA682" s="31"/>
      <c r="AB682" s="31"/>
      <c r="AC682" s="31"/>
      <c r="AD682" s="31"/>
      <c r="AE682" s="31"/>
      <c r="AF682" s="31"/>
      <c r="AG682" s="31"/>
      <c r="AH682" s="31"/>
      <c r="AI682" s="31"/>
      <c r="AJ682" s="31"/>
      <c r="AK682" s="31"/>
      <c r="AL682" s="28" t="str">
        <f>VLOOKUP($G682,'[42]Sheet1 (2)'!$A$1:$B$1048440,2,FALSE)</f>
        <v>Rmt.</v>
      </c>
      <c r="AM682" s="32" t="s">
        <v>979</v>
      </c>
      <c r="AN682" s="31"/>
      <c r="AO682" s="33"/>
    </row>
    <row r="683" spans="1:41" ht="196" x14ac:dyDescent="0.25">
      <c r="A683" s="40">
        <v>567</v>
      </c>
      <c r="B683" s="44" t="s">
        <v>1047</v>
      </c>
      <c r="C683" s="186">
        <v>15.131</v>
      </c>
      <c r="D683" s="45" t="s">
        <v>772</v>
      </c>
      <c r="E683" s="43" t="s">
        <v>1050</v>
      </c>
      <c r="F683" s="45" t="s">
        <v>990</v>
      </c>
      <c r="G683" s="42" t="s">
        <v>80</v>
      </c>
      <c r="H683" s="40">
        <v>3332</v>
      </c>
      <c r="I683" s="40">
        <v>461</v>
      </c>
      <c r="J683" s="184">
        <f>9/20</f>
        <v>0.45</v>
      </c>
      <c r="K683" s="184"/>
      <c r="L683" s="184">
        <v>0.85</v>
      </c>
      <c r="M683" s="184"/>
      <c r="N683" s="184"/>
      <c r="O683" s="184"/>
      <c r="P683" s="184">
        <v>0.42499999999999999</v>
      </c>
      <c r="Q683" s="31"/>
      <c r="R683" s="31"/>
      <c r="S683" s="31"/>
      <c r="T683" s="31"/>
      <c r="U683" s="31"/>
      <c r="V683" s="31"/>
      <c r="W683" s="31"/>
      <c r="X683" s="31"/>
      <c r="Y683" s="31"/>
      <c r="Z683" s="31"/>
      <c r="AA683" s="31"/>
      <c r="AB683" s="31"/>
      <c r="AC683" s="31"/>
      <c r="AD683" s="31"/>
      <c r="AE683" s="31"/>
      <c r="AF683" s="31"/>
      <c r="AG683" s="31"/>
      <c r="AH683" s="31"/>
      <c r="AI683" s="31"/>
      <c r="AJ683" s="31"/>
      <c r="AK683" s="31"/>
      <c r="AL683" s="28" t="str">
        <f>VLOOKUP($G683,'[42]Sheet1 (2)'!$A$1:$B$1048440,2,FALSE)</f>
        <v>Rmt.</v>
      </c>
      <c r="AM683" s="32" t="s">
        <v>982</v>
      </c>
      <c r="AN683" s="31"/>
      <c r="AO683" s="33"/>
    </row>
    <row r="684" spans="1:41" ht="196" x14ac:dyDescent="0.25">
      <c r="A684" s="40">
        <v>568</v>
      </c>
      <c r="B684" s="44" t="s">
        <v>1047</v>
      </c>
      <c r="C684" s="186">
        <v>15.132</v>
      </c>
      <c r="D684" s="45" t="s">
        <v>772</v>
      </c>
      <c r="E684" s="43" t="s">
        <v>1051</v>
      </c>
      <c r="F684" s="45" t="s">
        <v>990</v>
      </c>
      <c r="G684" s="42" t="s">
        <v>80</v>
      </c>
      <c r="H684" s="40">
        <v>3492</v>
      </c>
      <c r="I684" s="40">
        <v>478</v>
      </c>
      <c r="J684" s="31"/>
      <c r="K684" s="31"/>
      <c r="L684" s="31"/>
      <c r="M684" s="31"/>
      <c r="N684" s="31"/>
      <c r="O684" s="31"/>
      <c r="P684" s="31"/>
      <c r="Q684" s="31"/>
      <c r="R684" s="31"/>
      <c r="S684" s="31"/>
      <c r="T684" s="31"/>
      <c r="U684" s="31"/>
      <c r="V684" s="31"/>
      <c r="W684" s="31"/>
      <c r="X684" s="31"/>
      <c r="Y684" s="31"/>
      <c r="Z684" s="31"/>
      <c r="AA684" s="31"/>
      <c r="AB684" s="31"/>
      <c r="AC684" s="31"/>
      <c r="AD684" s="31"/>
      <c r="AE684" s="31"/>
      <c r="AF684" s="31"/>
      <c r="AG684" s="31"/>
      <c r="AH684" s="31"/>
      <c r="AI684" s="31"/>
      <c r="AJ684" s="31"/>
      <c r="AK684" s="31"/>
      <c r="AL684" s="28" t="str">
        <f>VLOOKUP($G684,'[42]Sheet1 (2)'!$A$1:$B$1048440,2,FALSE)</f>
        <v>Rmt.</v>
      </c>
      <c r="AM684" s="32"/>
      <c r="AN684" s="31"/>
      <c r="AO684" s="33"/>
    </row>
    <row r="685" spans="1:41" ht="196" x14ac:dyDescent="0.25">
      <c r="A685" s="40">
        <v>569</v>
      </c>
      <c r="B685" s="44" t="s">
        <v>1047</v>
      </c>
      <c r="C685" s="186">
        <v>15.132999999999999</v>
      </c>
      <c r="D685" s="45" t="s">
        <v>772</v>
      </c>
      <c r="E685" s="43" t="s">
        <v>1052</v>
      </c>
      <c r="F685" s="45" t="s">
        <v>990</v>
      </c>
      <c r="G685" s="42" t="s">
        <v>80</v>
      </c>
      <c r="H685" s="40">
        <v>3650</v>
      </c>
      <c r="I685" s="40">
        <v>496</v>
      </c>
      <c r="J685" s="184">
        <f>9.5/20</f>
        <v>0.47499999999999998</v>
      </c>
      <c r="K685" s="184"/>
      <c r="L685" s="184">
        <v>0.85</v>
      </c>
      <c r="M685" s="184"/>
      <c r="N685" s="184"/>
      <c r="O685" s="184"/>
      <c r="P685" s="184">
        <v>0.42499999999999999</v>
      </c>
      <c r="Q685" s="31"/>
      <c r="R685" s="31"/>
      <c r="S685" s="31"/>
      <c r="T685" s="31"/>
      <c r="U685" s="31"/>
      <c r="V685" s="31"/>
      <c r="W685" s="31"/>
      <c r="X685" s="31"/>
      <c r="Y685" s="31"/>
      <c r="Z685" s="31"/>
      <c r="AA685" s="31"/>
      <c r="AB685" s="31"/>
      <c r="AC685" s="31"/>
      <c r="AD685" s="31"/>
      <c r="AE685" s="31"/>
      <c r="AF685" s="31"/>
      <c r="AG685" s="31"/>
      <c r="AH685" s="31"/>
      <c r="AI685" s="31"/>
      <c r="AJ685" s="31"/>
      <c r="AK685" s="31"/>
      <c r="AL685" s="28" t="str">
        <f>VLOOKUP($G685,'[42]Sheet1 (2)'!$A$1:$B$1048440,2,FALSE)</f>
        <v>Rmt.</v>
      </c>
      <c r="AM685" s="32" t="s">
        <v>991</v>
      </c>
      <c r="AN685" s="31"/>
      <c r="AO685" s="33"/>
    </row>
    <row r="686" spans="1:41" ht="196" x14ac:dyDescent="0.25">
      <c r="A686" s="40">
        <v>570</v>
      </c>
      <c r="B686" s="44" t="s">
        <v>1047</v>
      </c>
      <c r="C686" s="186">
        <v>15.134</v>
      </c>
      <c r="D686" s="45" t="s">
        <v>772</v>
      </c>
      <c r="E686" s="43" t="s">
        <v>1053</v>
      </c>
      <c r="F686" s="45" t="s">
        <v>990</v>
      </c>
      <c r="G686" s="42" t="s">
        <v>80</v>
      </c>
      <c r="H686" s="40">
        <v>5269</v>
      </c>
      <c r="I686" s="40">
        <v>557</v>
      </c>
      <c r="J686" s="184">
        <f>10/20</f>
        <v>0.5</v>
      </c>
      <c r="K686" s="184"/>
      <c r="L686" s="184">
        <v>0.85</v>
      </c>
      <c r="M686" s="184"/>
      <c r="N686" s="184"/>
      <c r="O686" s="184"/>
      <c r="P686" s="184">
        <v>0.42499999999999999</v>
      </c>
      <c r="Q686" s="31"/>
      <c r="R686" s="31"/>
      <c r="S686" s="31"/>
      <c r="T686" s="31"/>
      <c r="U686" s="31"/>
      <c r="V686" s="31"/>
      <c r="W686" s="31"/>
      <c r="X686" s="31"/>
      <c r="Y686" s="31"/>
      <c r="Z686" s="31"/>
      <c r="AA686" s="31"/>
      <c r="AB686" s="31"/>
      <c r="AC686" s="31"/>
      <c r="AD686" s="31"/>
      <c r="AE686" s="31"/>
      <c r="AF686" s="31"/>
      <c r="AG686" s="31"/>
      <c r="AH686" s="31"/>
      <c r="AI686" s="31"/>
      <c r="AJ686" s="31"/>
      <c r="AK686" s="31"/>
      <c r="AL686" s="28" t="str">
        <f>VLOOKUP($G686,'[42]Sheet1 (2)'!$A$1:$B$1048440,2,FALSE)</f>
        <v>Rmt.</v>
      </c>
      <c r="AM686" s="32" t="s">
        <v>1054</v>
      </c>
      <c r="AN686" s="31"/>
      <c r="AO686" s="33"/>
    </row>
    <row r="687" spans="1:41" ht="196" x14ac:dyDescent="0.25">
      <c r="A687" s="40">
        <v>571</v>
      </c>
      <c r="B687" s="44" t="s">
        <v>1047</v>
      </c>
      <c r="C687" s="186">
        <v>15.135</v>
      </c>
      <c r="D687" s="45" t="s">
        <v>772</v>
      </c>
      <c r="E687" s="43" t="s">
        <v>1055</v>
      </c>
      <c r="F687" s="45" t="s">
        <v>990</v>
      </c>
      <c r="G687" s="42" t="s">
        <v>80</v>
      </c>
      <c r="H687" s="40">
        <v>5443</v>
      </c>
      <c r="I687" s="40">
        <v>578</v>
      </c>
      <c r="J687" s="184">
        <f>9.2/20</f>
        <v>0.45999999999999996</v>
      </c>
      <c r="K687" s="184"/>
      <c r="L687" s="184">
        <v>0.85</v>
      </c>
      <c r="M687" s="184"/>
      <c r="N687" s="184"/>
      <c r="O687" s="184"/>
      <c r="P687" s="184">
        <v>0.42499999999999999</v>
      </c>
      <c r="Q687" s="31"/>
      <c r="R687" s="31"/>
      <c r="S687" s="31"/>
      <c r="T687" s="31"/>
      <c r="U687" s="31"/>
      <c r="V687" s="31"/>
      <c r="W687" s="31"/>
      <c r="X687" s="31"/>
      <c r="Y687" s="31"/>
      <c r="Z687" s="31"/>
      <c r="AA687" s="31"/>
      <c r="AB687" s="31"/>
      <c r="AC687" s="31"/>
      <c r="AD687" s="31"/>
      <c r="AE687" s="31"/>
      <c r="AF687" s="31"/>
      <c r="AG687" s="31"/>
      <c r="AH687" s="31"/>
      <c r="AI687" s="31"/>
      <c r="AJ687" s="31"/>
      <c r="AK687" s="31"/>
      <c r="AL687" s="28" t="str">
        <f>VLOOKUP($G687,'[42]Sheet1 (2)'!$A$1:$B$1048440,2,FALSE)</f>
        <v>Rmt.</v>
      </c>
      <c r="AM687" s="32" t="s">
        <v>995</v>
      </c>
      <c r="AN687" s="31"/>
      <c r="AO687" s="33"/>
    </row>
    <row r="688" spans="1:41" ht="210" x14ac:dyDescent="0.25">
      <c r="A688" s="40">
        <v>572</v>
      </c>
      <c r="B688" s="44" t="s">
        <v>1047</v>
      </c>
      <c r="C688" s="186">
        <v>15.135999999999999</v>
      </c>
      <c r="D688" s="45" t="s">
        <v>772</v>
      </c>
      <c r="E688" s="43" t="s">
        <v>1056</v>
      </c>
      <c r="F688" s="45" t="s">
        <v>990</v>
      </c>
      <c r="G688" s="42" t="s">
        <v>80</v>
      </c>
      <c r="H688" s="40">
        <v>5624</v>
      </c>
      <c r="I688" s="40">
        <v>600</v>
      </c>
      <c r="J688" s="184">
        <f>10/20</f>
        <v>0.5</v>
      </c>
      <c r="K688" s="184"/>
      <c r="L688" s="184">
        <v>0.85</v>
      </c>
      <c r="M688" s="184"/>
      <c r="N688" s="184"/>
      <c r="O688" s="184"/>
      <c r="P688" s="184">
        <v>0.42499999999999999</v>
      </c>
      <c r="Q688" s="31"/>
      <c r="R688" s="31"/>
      <c r="S688" s="31"/>
      <c r="T688" s="31"/>
      <c r="U688" s="31"/>
      <c r="V688" s="31"/>
      <c r="W688" s="31"/>
      <c r="X688" s="31"/>
      <c r="Y688" s="31"/>
      <c r="Z688" s="31"/>
      <c r="AA688" s="31"/>
      <c r="AB688" s="31"/>
      <c r="AC688" s="31"/>
      <c r="AD688" s="31"/>
      <c r="AE688" s="31"/>
      <c r="AF688" s="31"/>
      <c r="AG688" s="31"/>
      <c r="AH688" s="31"/>
      <c r="AI688" s="31"/>
      <c r="AJ688" s="31"/>
      <c r="AK688" s="31"/>
      <c r="AL688" s="28" t="str">
        <f>VLOOKUP($G688,'[42]Sheet1 (2)'!$A$1:$B$1048440,2,FALSE)</f>
        <v>Rmt.</v>
      </c>
      <c r="AM688" s="32" t="s">
        <v>999</v>
      </c>
      <c r="AN688" s="31"/>
      <c r="AO688" s="33"/>
    </row>
    <row r="689" spans="1:41" ht="196" x14ac:dyDescent="0.25">
      <c r="A689" s="40">
        <v>573</v>
      </c>
      <c r="B689" s="44" t="s">
        <v>1047</v>
      </c>
      <c r="C689" s="186">
        <v>15.137</v>
      </c>
      <c r="D689" s="45" t="s">
        <v>772</v>
      </c>
      <c r="E689" s="43" t="s">
        <v>1057</v>
      </c>
      <c r="F689" s="45" t="s">
        <v>990</v>
      </c>
      <c r="G689" s="42" t="s">
        <v>80</v>
      </c>
      <c r="H689" s="40">
        <v>8155</v>
      </c>
      <c r="I689" s="40">
        <v>863</v>
      </c>
      <c r="J689" s="31"/>
      <c r="K689" s="31"/>
      <c r="L689" s="31"/>
      <c r="M689" s="31"/>
      <c r="N689" s="31"/>
      <c r="O689" s="31"/>
      <c r="P689" s="31"/>
      <c r="Q689" s="31"/>
      <c r="R689" s="31"/>
      <c r="S689" s="31"/>
      <c r="T689" s="31"/>
      <c r="U689" s="31"/>
      <c r="V689" s="31"/>
      <c r="W689" s="31"/>
      <c r="X689" s="31"/>
      <c r="Y689" s="31"/>
      <c r="Z689" s="31"/>
      <c r="AA689" s="31"/>
      <c r="AB689" s="31"/>
      <c r="AC689" s="31"/>
      <c r="AD689" s="31"/>
      <c r="AE689" s="31"/>
      <c r="AF689" s="31"/>
      <c r="AG689" s="31"/>
      <c r="AH689" s="31"/>
      <c r="AI689" s="31"/>
      <c r="AJ689" s="31"/>
      <c r="AK689" s="31"/>
      <c r="AL689" s="28" t="str">
        <f>VLOOKUP($G689,'[42]Sheet1 (2)'!$A$1:$B$1048440,2,FALSE)</f>
        <v>Rmt.</v>
      </c>
      <c r="AM689" s="32"/>
      <c r="AN689" s="31"/>
      <c r="AO689" s="33"/>
    </row>
    <row r="690" spans="1:41" ht="196" x14ac:dyDescent="0.25">
      <c r="A690" s="40">
        <v>574</v>
      </c>
      <c r="B690" s="44" t="s">
        <v>1047</v>
      </c>
      <c r="C690" s="186">
        <v>15.138</v>
      </c>
      <c r="D690" s="45" t="s">
        <v>772</v>
      </c>
      <c r="E690" s="43" t="s">
        <v>1058</v>
      </c>
      <c r="F690" s="45" t="s">
        <v>990</v>
      </c>
      <c r="G690" s="42" t="s">
        <v>80</v>
      </c>
      <c r="H690" s="40">
        <v>8627</v>
      </c>
      <c r="I690" s="40">
        <v>946</v>
      </c>
      <c r="J690" s="31"/>
      <c r="K690" s="31"/>
      <c r="L690" s="31"/>
      <c r="M690" s="31"/>
      <c r="N690" s="31"/>
      <c r="O690" s="31"/>
      <c r="P690" s="31"/>
      <c r="Q690" s="31"/>
      <c r="R690" s="31"/>
      <c r="S690" s="31"/>
      <c r="T690" s="31"/>
      <c r="U690" s="31"/>
      <c r="V690" s="31"/>
      <c r="W690" s="31"/>
      <c r="X690" s="31"/>
      <c r="Y690" s="31"/>
      <c r="Z690" s="31"/>
      <c r="AA690" s="31"/>
      <c r="AB690" s="31"/>
      <c r="AC690" s="31"/>
      <c r="AD690" s="31"/>
      <c r="AE690" s="31"/>
      <c r="AF690" s="31"/>
      <c r="AG690" s="31"/>
      <c r="AH690" s="31"/>
      <c r="AI690" s="31"/>
      <c r="AJ690" s="31"/>
      <c r="AK690" s="31"/>
      <c r="AL690" s="28" t="str">
        <f>VLOOKUP($G690,'[42]Sheet1 (2)'!$A$1:$B$1048440,2,FALSE)</f>
        <v>Rmt.</v>
      </c>
      <c r="AM690" s="32"/>
      <c r="AN690" s="31"/>
      <c r="AO690" s="33"/>
    </row>
    <row r="691" spans="1:41" ht="196" x14ac:dyDescent="0.25">
      <c r="A691" s="40">
        <v>575</v>
      </c>
      <c r="B691" s="44" t="s">
        <v>1047</v>
      </c>
      <c r="C691" s="186">
        <v>15.138999999999999</v>
      </c>
      <c r="D691" s="45" t="s">
        <v>772</v>
      </c>
      <c r="E691" s="43" t="s">
        <v>1059</v>
      </c>
      <c r="F691" s="45" t="s">
        <v>990</v>
      </c>
      <c r="G691" s="42" t="s">
        <v>80</v>
      </c>
      <c r="H691" s="40">
        <v>8903</v>
      </c>
      <c r="I691" s="40">
        <v>1019</v>
      </c>
      <c r="J691" s="31"/>
      <c r="K691" s="31"/>
      <c r="L691" s="31"/>
      <c r="M691" s="31"/>
      <c r="N691" s="31"/>
      <c r="O691" s="31"/>
      <c r="P691" s="31"/>
      <c r="Q691" s="31"/>
      <c r="R691" s="31"/>
      <c r="S691" s="31"/>
      <c r="T691" s="31"/>
      <c r="U691" s="31"/>
      <c r="V691" s="31"/>
      <c r="W691" s="31"/>
      <c r="X691" s="31"/>
      <c r="Y691" s="31"/>
      <c r="Z691" s="31"/>
      <c r="AA691" s="31"/>
      <c r="AB691" s="31"/>
      <c r="AC691" s="31"/>
      <c r="AD691" s="31"/>
      <c r="AE691" s="31"/>
      <c r="AF691" s="31"/>
      <c r="AG691" s="31"/>
      <c r="AH691" s="31"/>
      <c r="AI691" s="31"/>
      <c r="AJ691" s="31"/>
      <c r="AK691" s="31"/>
      <c r="AL691" s="28" t="str">
        <f>VLOOKUP($G691,'[42]Sheet1 (2)'!$A$1:$B$1048440,2,FALSE)</f>
        <v>Rmt.</v>
      </c>
      <c r="AM691" s="32"/>
      <c r="AN691" s="31"/>
      <c r="AO691" s="33"/>
    </row>
    <row r="692" spans="1:41" ht="196" x14ac:dyDescent="0.25">
      <c r="A692" s="40">
        <v>576</v>
      </c>
      <c r="B692" s="44" t="s">
        <v>1047</v>
      </c>
      <c r="C692" s="186">
        <v>15.14</v>
      </c>
      <c r="D692" s="45" t="s">
        <v>772</v>
      </c>
      <c r="E692" s="43" t="s">
        <v>1060</v>
      </c>
      <c r="F692" s="45" t="s">
        <v>990</v>
      </c>
      <c r="G692" s="42" t="s">
        <v>80</v>
      </c>
      <c r="H692" s="40">
        <v>9714</v>
      </c>
      <c r="I692" s="48">
        <v>1182</v>
      </c>
      <c r="J692" s="31"/>
      <c r="K692" s="31"/>
      <c r="L692" s="31"/>
      <c r="M692" s="31"/>
      <c r="N692" s="31"/>
      <c r="O692" s="31"/>
      <c r="P692" s="31"/>
      <c r="Q692" s="31"/>
      <c r="R692" s="31"/>
      <c r="S692" s="31"/>
      <c r="T692" s="31"/>
      <c r="U692" s="31"/>
      <c r="V692" s="31"/>
      <c r="W692" s="31"/>
      <c r="X692" s="31"/>
      <c r="Y692" s="31"/>
      <c r="Z692" s="31"/>
      <c r="AA692" s="31"/>
      <c r="AB692" s="31"/>
      <c r="AC692" s="31"/>
      <c r="AD692" s="31"/>
      <c r="AE692" s="31"/>
      <c r="AF692" s="31"/>
      <c r="AG692" s="31"/>
      <c r="AH692" s="31"/>
      <c r="AI692" s="31"/>
      <c r="AJ692" s="31"/>
      <c r="AK692" s="31"/>
      <c r="AL692" s="28" t="str">
        <f>VLOOKUP($G692,'[42]Sheet1 (2)'!$A$1:$B$1048440,2,FALSE)</f>
        <v>Rmt.</v>
      </c>
      <c r="AM692" s="32"/>
      <c r="AN692" s="31"/>
      <c r="AO692" s="33"/>
    </row>
    <row r="693" spans="1:41" ht="196" x14ac:dyDescent="0.25">
      <c r="A693" s="40">
        <v>577</v>
      </c>
      <c r="B693" s="44" t="s">
        <v>1047</v>
      </c>
      <c r="C693" s="186">
        <v>15.141</v>
      </c>
      <c r="D693" s="45" t="s">
        <v>772</v>
      </c>
      <c r="E693" s="43" t="s">
        <v>1061</v>
      </c>
      <c r="F693" s="45" t="s">
        <v>990</v>
      </c>
      <c r="G693" s="42" t="s">
        <v>80</v>
      </c>
      <c r="H693" s="40">
        <v>10587</v>
      </c>
      <c r="I693" s="48">
        <v>1353</v>
      </c>
      <c r="J693" s="31"/>
      <c r="K693" s="31"/>
      <c r="L693" s="31"/>
      <c r="M693" s="31"/>
      <c r="N693" s="31"/>
      <c r="O693" s="31"/>
      <c r="P693" s="31"/>
      <c r="Q693" s="31"/>
      <c r="R693" s="31"/>
      <c r="S693" s="31"/>
      <c r="T693" s="31"/>
      <c r="U693" s="31"/>
      <c r="V693" s="31"/>
      <c r="W693" s="31"/>
      <c r="X693" s="31"/>
      <c r="Y693" s="31"/>
      <c r="Z693" s="31"/>
      <c r="AA693" s="31"/>
      <c r="AB693" s="31"/>
      <c r="AC693" s="31"/>
      <c r="AD693" s="31"/>
      <c r="AE693" s="31"/>
      <c r="AF693" s="31"/>
      <c r="AG693" s="31"/>
      <c r="AH693" s="31"/>
      <c r="AI693" s="31"/>
      <c r="AJ693" s="31"/>
      <c r="AK693" s="31"/>
      <c r="AL693" s="28" t="str">
        <f>VLOOKUP($G693,'[42]Sheet1 (2)'!$A$1:$B$1048440,2,FALSE)</f>
        <v>Rmt.</v>
      </c>
      <c r="AM693" s="32"/>
      <c r="AN693" s="31"/>
      <c r="AO693" s="33"/>
    </row>
    <row r="694" spans="1:41" ht="196" x14ac:dyDescent="0.25">
      <c r="A694" s="40">
        <v>578</v>
      </c>
      <c r="B694" s="44" t="s">
        <v>1047</v>
      </c>
      <c r="C694" s="186">
        <v>15.141999999999999</v>
      </c>
      <c r="D694" s="45" t="s">
        <v>772</v>
      </c>
      <c r="E694" s="43" t="s">
        <v>1062</v>
      </c>
      <c r="F694" s="45" t="s">
        <v>990</v>
      </c>
      <c r="G694" s="42" t="s">
        <v>80</v>
      </c>
      <c r="H694" s="40">
        <v>12912</v>
      </c>
      <c r="I694" s="48">
        <v>1548</v>
      </c>
      <c r="J694" s="31"/>
      <c r="K694" s="31"/>
      <c r="L694" s="31"/>
      <c r="M694" s="31"/>
      <c r="N694" s="31"/>
      <c r="O694" s="31"/>
      <c r="P694" s="31"/>
      <c r="Q694" s="31"/>
      <c r="R694" s="31"/>
      <c r="S694" s="31"/>
      <c r="T694" s="31"/>
      <c r="U694" s="31"/>
      <c r="V694" s="31"/>
      <c r="W694" s="31"/>
      <c r="X694" s="31"/>
      <c r="Y694" s="31"/>
      <c r="Z694" s="31"/>
      <c r="AA694" s="31"/>
      <c r="AB694" s="31"/>
      <c r="AC694" s="31"/>
      <c r="AD694" s="31"/>
      <c r="AE694" s="31"/>
      <c r="AF694" s="31"/>
      <c r="AG694" s="31"/>
      <c r="AH694" s="31"/>
      <c r="AI694" s="31"/>
      <c r="AJ694" s="31"/>
      <c r="AK694" s="31"/>
      <c r="AL694" s="28" t="str">
        <f>VLOOKUP($G694,'[42]Sheet1 (2)'!$A$1:$B$1048440,2,FALSE)</f>
        <v>Rmt.</v>
      </c>
      <c r="AM694" s="32"/>
      <c r="AN694" s="31"/>
      <c r="AO694" s="33"/>
    </row>
    <row r="695" spans="1:41" ht="196" x14ac:dyDescent="0.25">
      <c r="A695" s="40">
        <v>579</v>
      </c>
      <c r="B695" s="44" t="s">
        <v>1047</v>
      </c>
      <c r="C695" s="186">
        <v>15.143000000000001</v>
      </c>
      <c r="D695" s="45" t="s">
        <v>772</v>
      </c>
      <c r="E695" s="43" t="s">
        <v>1063</v>
      </c>
      <c r="F695" s="45" t="s">
        <v>990</v>
      </c>
      <c r="G695" s="42" t="s">
        <v>80</v>
      </c>
      <c r="H695" s="48">
        <v>14453</v>
      </c>
      <c r="I695" s="48">
        <v>1662</v>
      </c>
      <c r="J695" s="31"/>
      <c r="K695" s="31"/>
      <c r="L695" s="31"/>
      <c r="M695" s="31"/>
      <c r="N695" s="31"/>
      <c r="O695" s="31"/>
      <c r="P695" s="31"/>
      <c r="Q695" s="31"/>
      <c r="R695" s="31"/>
      <c r="S695" s="31"/>
      <c r="T695" s="31"/>
      <c r="U695" s="31"/>
      <c r="V695" s="31"/>
      <c r="W695" s="31"/>
      <c r="X695" s="31"/>
      <c r="Y695" s="31"/>
      <c r="Z695" s="31"/>
      <c r="AA695" s="31"/>
      <c r="AB695" s="31"/>
      <c r="AC695" s="31"/>
      <c r="AD695" s="31"/>
      <c r="AE695" s="31"/>
      <c r="AF695" s="31"/>
      <c r="AG695" s="31"/>
      <c r="AH695" s="31"/>
      <c r="AI695" s="31"/>
      <c r="AJ695" s="31"/>
      <c r="AK695" s="31"/>
      <c r="AL695" s="28" t="str">
        <f>VLOOKUP($G695,'[42]Sheet1 (2)'!$A$1:$B$1048440,2,FALSE)</f>
        <v>Rmt.</v>
      </c>
      <c r="AM695" s="32"/>
      <c r="AN695" s="31"/>
      <c r="AO695" s="33"/>
    </row>
    <row r="696" spans="1:41" ht="196" x14ac:dyDescent="0.25">
      <c r="A696" s="40">
        <v>580</v>
      </c>
      <c r="B696" s="44" t="s">
        <v>1047</v>
      </c>
      <c r="C696" s="186">
        <v>15.144</v>
      </c>
      <c r="D696" s="45" t="s">
        <v>772</v>
      </c>
      <c r="E696" s="43" t="s">
        <v>1064</v>
      </c>
      <c r="F696" s="45" t="s">
        <v>990</v>
      </c>
      <c r="G696" s="42" t="s">
        <v>80</v>
      </c>
      <c r="H696" s="48">
        <v>15140</v>
      </c>
      <c r="I696" s="48">
        <v>1811</v>
      </c>
      <c r="J696" s="31"/>
      <c r="K696" s="31"/>
      <c r="L696" s="31"/>
      <c r="M696" s="31"/>
      <c r="N696" s="31"/>
      <c r="O696" s="31"/>
      <c r="P696" s="31"/>
      <c r="Q696" s="31"/>
      <c r="R696" s="31"/>
      <c r="S696" s="31"/>
      <c r="T696" s="31"/>
      <c r="U696" s="31"/>
      <c r="V696" s="31"/>
      <c r="W696" s="31"/>
      <c r="X696" s="31"/>
      <c r="Y696" s="31"/>
      <c r="Z696" s="31"/>
      <c r="AA696" s="31"/>
      <c r="AB696" s="31"/>
      <c r="AC696" s="31"/>
      <c r="AD696" s="31"/>
      <c r="AE696" s="31"/>
      <c r="AF696" s="31"/>
      <c r="AG696" s="31"/>
      <c r="AH696" s="31"/>
      <c r="AI696" s="31"/>
      <c r="AJ696" s="31"/>
      <c r="AK696" s="31"/>
      <c r="AL696" s="28" t="str">
        <f>VLOOKUP($G696,'[42]Sheet1 (2)'!$A$1:$B$1048440,2,FALSE)</f>
        <v>Rmt.</v>
      </c>
      <c r="AM696" s="32"/>
      <c r="AN696" s="31"/>
      <c r="AO696" s="33"/>
    </row>
    <row r="697" spans="1:41" ht="196" x14ac:dyDescent="0.25">
      <c r="A697" s="40">
        <v>581</v>
      </c>
      <c r="B697" s="44" t="s">
        <v>1047</v>
      </c>
      <c r="C697" s="186">
        <v>15.145</v>
      </c>
      <c r="D697" s="45" t="s">
        <v>772</v>
      </c>
      <c r="E697" s="43" t="s">
        <v>1065</v>
      </c>
      <c r="F697" s="45" t="s">
        <v>990</v>
      </c>
      <c r="G697" s="42" t="s">
        <v>80</v>
      </c>
      <c r="H697" s="48">
        <v>17887</v>
      </c>
      <c r="I697" s="48">
        <v>2195</v>
      </c>
      <c r="J697" s="31"/>
      <c r="K697" s="31"/>
      <c r="L697" s="31"/>
      <c r="M697" s="31"/>
      <c r="N697" s="31"/>
      <c r="O697" s="31"/>
      <c r="P697" s="31"/>
      <c r="Q697" s="31"/>
      <c r="R697" s="31"/>
      <c r="S697" s="31"/>
      <c r="T697" s="31"/>
      <c r="U697" s="31"/>
      <c r="V697" s="31"/>
      <c r="W697" s="31"/>
      <c r="X697" s="31"/>
      <c r="Y697" s="31"/>
      <c r="Z697" s="31"/>
      <c r="AA697" s="31"/>
      <c r="AB697" s="31"/>
      <c r="AC697" s="31"/>
      <c r="AD697" s="31"/>
      <c r="AE697" s="31"/>
      <c r="AF697" s="31"/>
      <c r="AG697" s="31"/>
      <c r="AH697" s="31"/>
      <c r="AI697" s="31"/>
      <c r="AJ697" s="31"/>
      <c r="AK697" s="31"/>
      <c r="AL697" s="28" t="str">
        <f>VLOOKUP($G697,'[42]Sheet1 (2)'!$A$1:$B$1048440,2,FALSE)</f>
        <v>Rmt.</v>
      </c>
      <c r="AM697" s="32"/>
      <c r="AN697" s="31"/>
      <c r="AO697" s="33"/>
    </row>
    <row r="698" spans="1:41" ht="196" x14ac:dyDescent="0.25">
      <c r="A698" s="36">
        <v>582</v>
      </c>
      <c r="B698" s="44" t="s">
        <v>1047</v>
      </c>
      <c r="C698" s="187">
        <v>15.146000000000001</v>
      </c>
      <c r="D698" s="45" t="s">
        <v>772</v>
      </c>
      <c r="E698" s="43" t="s">
        <v>1066</v>
      </c>
      <c r="F698" s="45" t="s">
        <v>990</v>
      </c>
      <c r="G698" s="42" t="s">
        <v>80</v>
      </c>
      <c r="H698" s="36">
        <v>27949</v>
      </c>
      <c r="I698" s="36">
        <v>3407</v>
      </c>
      <c r="J698" s="31"/>
      <c r="K698" s="31"/>
      <c r="L698" s="31"/>
      <c r="M698" s="31"/>
      <c r="N698" s="31"/>
      <c r="O698" s="31"/>
      <c r="P698" s="31"/>
      <c r="Q698" s="31"/>
      <c r="R698" s="31"/>
      <c r="S698" s="31"/>
      <c r="T698" s="31"/>
      <c r="U698" s="31"/>
      <c r="V698" s="31"/>
      <c r="W698" s="31"/>
      <c r="X698" s="31"/>
      <c r="Y698" s="31"/>
      <c r="Z698" s="31"/>
      <c r="AA698" s="31"/>
      <c r="AB698" s="31"/>
      <c r="AC698" s="31"/>
      <c r="AD698" s="31"/>
      <c r="AE698" s="31"/>
      <c r="AF698" s="31"/>
      <c r="AG698" s="31"/>
      <c r="AH698" s="31"/>
      <c r="AI698" s="31"/>
      <c r="AJ698" s="31"/>
      <c r="AK698" s="31"/>
      <c r="AL698" s="28" t="str">
        <f>VLOOKUP($G698,'[42]Sheet1 (2)'!$A$1:$B$1048440,2,FALSE)</f>
        <v>Rmt.</v>
      </c>
      <c r="AM698" s="32"/>
      <c r="AN698" s="31"/>
      <c r="AO698" s="33"/>
    </row>
    <row r="699" spans="1:41" ht="17.5" x14ac:dyDescent="0.25">
      <c r="A699" s="68">
        <v>532</v>
      </c>
      <c r="B699" s="188"/>
      <c r="C699" s="188"/>
      <c r="D699" s="134" t="s">
        <v>1067</v>
      </c>
      <c r="E699" s="147" t="s">
        <v>1068</v>
      </c>
      <c r="F699" s="134" t="s">
        <v>1067</v>
      </c>
      <c r="G699" s="136" t="s">
        <v>1067</v>
      </c>
      <c r="H699" s="137" t="s">
        <v>1067</v>
      </c>
      <c r="I699" s="137" t="s">
        <v>1067</v>
      </c>
      <c r="J699" s="31"/>
      <c r="K699" s="31"/>
      <c r="L699" s="31"/>
      <c r="M699" s="31"/>
      <c r="N699" s="31"/>
      <c r="O699" s="31"/>
      <c r="P699" s="31"/>
      <c r="Q699" s="31"/>
      <c r="R699" s="31"/>
      <c r="S699" s="31"/>
      <c r="T699" s="31"/>
      <c r="U699" s="31"/>
      <c r="V699" s="31"/>
      <c r="W699" s="31"/>
      <c r="X699" s="31"/>
      <c r="Y699" s="31"/>
      <c r="Z699" s="31"/>
      <c r="AA699" s="31"/>
      <c r="AB699" s="31"/>
      <c r="AC699" s="31"/>
      <c r="AD699" s="31"/>
      <c r="AE699" s="31"/>
      <c r="AF699" s="31"/>
      <c r="AG699" s="31"/>
      <c r="AH699" s="31"/>
      <c r="AI699" s="31"/>
      <c r="AJ699" s="31"/>
      <c r="AK699" s="31"/>
      <c r="AL699" s="28" t="e">
        <f>VLOOKUP($G699,'[42]Sheet1 (2)'!$A$1:$B$1048440,2,FALSE)</f>
        <v>#N/A</v>
      </c>
      <c r="AM699" s="32"/>
      <c r="AN699" s="31"/>
      <c r="AO699" s="33"/>
    </row>
    <row r="700" spans="1:41" ht="70" x14ac:dyDescent="0.25">
      <c r="A700" s="40">
        <v>583</v>
      </c>
      <c r="B700" s="42" t="s">
        <v>1068</v>
      </c>
      <c r="C700" s="37">
        <v>16.010000000000002</v>
      </c>
      <c r="D700" s="45" t="s">
        <v>772</v>
      </c>
      <c r="E700" s="43" t="s">
        <v>1069</v>
      </c>
      <c r="F700" s="44" t="s">
        <v>742</v>
      </c>
      <c r="G700" s="45" t="s">
        <v>1070</v>
      </c>
      <c r="H700" s="40">
        <v>1381</v>
      </c>
      <c r="I700" s="40">
        <v>177</v>
      </c>
      <c r="J700" s="31"/>
      <c r="K700" s="31"/>
      <c r="L700" s="31"/>
      <c r="M700" s="31"/>
      <c r="N700" s="31"/>
      <c r="O700" s="31"/>
      <c r="P700" s="31"/>
      <c r="Q700" s="31"/>
      <c r="R700" s="31"/>
      <c r="S700" s="31"/>
      <c r="T700" s="31"/>
      <c r="U700" s="31"/>
      <c r="V700" s="31"/>
      <c r="W700" s="31"/>
      <c r="X700" s="31"/>
      <c r="Y700" s="31"/>
      <c r="Z700" s="31"/>
      <c r="AA700" s="31"/>
      <c r="AB700" s="31"/>
      <c r="AC700" s="31"/>
      <c r="AD700" s="31"/>
      <c r="AE700" s="31"/>
      <c r="AF700" s="31"/>
      <c r="AG700" s="31"/>
      <c r="AH700" s="31"/>
      <c r="AI700" s="31"/>
      <c r="AJ700" s="31"/>
      <c r="AK700" s="31"/>
      <c r="AL700" s="28" t="e">
        <f>VLOOKUP($G700,'[42]Sheet1 (2)'!$A$1:$B$1048440,2,FALSE)</f>
        <v>#N/A</v>
      </c>
      <c r="AM700" s="32"/>
      <c r="AN700" s="31"/>
      <c r="AO700" s="33"/>
    </row>
    <row r="701" spans="1:41" ht="84" x14ac:dyDescent="0.25">
      <c r="A701" s="40">
        <v>584</v>
      </c>
      <c r="B701" s="42" t="s">
        <v>1068</v>
      </c>
      <c r="C701" s="37">
        <v>16.02</v>
      </c>
      <c r="D701" s="45" t="s">
        <v>772</v>
      </c>
      <c r="E701" s="44" t="s">
        <v>1071</v>
      </c>
      <c r="F701" s="44" t="s">
        <v>742</v>
      </c>
      <c r="G701" s="42" t="s">
        <v>217</v>
      </c>
      <c r="H701" s="40">
        <v>794</v>
      </c>
      <c r="I701" s="40">
        <v>64</v>
      </c>
      <c r="J701" s="184"/>
      <c r="K701" s="184"/>
      <c r="L701" s="184"/>
      <c r="M701" s="184"/>
      <c r="N701" s="184"/>
      <c r="O701" s="184"/>
      <c r="P701" s="184"/>
      <c r="Q701" s="31"/>
      <c r="R701" s="31"/>
      <c r="S701" s="31"/>
      <c r="T701" s="31"/>
      <c r="U701" s="31"/>
      <c r="V701" s="31"/>
      <c r="W701" s="31"/>
      <c r="X701" s="31"/>
      <c r="Y701" s="31"/>
      <c r="Z701" s="31"/>
      <c r="AA701" s="31"/>
      <c r="AB701" s="31"/>
      <c r="AC701" s="31"/>
      <c r="AD701" s="31"/>
      <c r="AE701" s="31"/>
      <c r="AF701" s="31"/>
      <c r="AG701" s="31"/>
      <c r="AH701" s="31"/>
      <c r="AI701" s="31"/>
      <c r="AJ701" s="31"/>
      <c r="AK701" s="31"/>
      <c r="AL701" s="28" t="str">
        <f>VLOOKUP($G701,'[42]Sheet1 (2)'!$A$1:$B$1048440,2,FALSE)</f>
        <v>Sqm</v>
      </c>
      <c r="AM701" s="32"/>
      <c r="AN701" s="31"/>
      <c r="AO701" s="33"/>
    </row>
    <row r="702" spans="1:41" ht="98" x14ac:dyDescent="0.25">
      <c r="A702" s="40">
        <v>585</v>
      </c>
      <c r="B702" s="42" t="s">
        <v>1068</v>
      </c>
      <c r="C702" s="37">
        <v>16.03</v>
      </c>
      <c r="D702" s="45" t="s">
        <v>772</v>
      </c>
      <c r="E702" s="43" t="s">
        <v>1072</v>
      </c>
      <c r="F702" s="44" t="s">
        <v>742</v>
      </c>
      <c r="G702" s="42" t="s">
        <v>217</v>
      </c>
      <c r="H702" s="40">
        <v>823</v>
      </c>
      <c r="I702" s="40">
        <v>64</v>
      </c>
      <c r="J702" s="31"/>
      <c r="K702" s="31"/>
      <c r="L702" s="31"/>
      <c r="M702" s="31"/>
      <c r="N702" s="31"/>
      <c r="O702" s="31"/>
      <c r="P702" s="31"/>
      <c r="Q702" s="31"/>
      <c r="R702" s="31"/>
      <c r="S702" s="31"/>
      <c r="T702" s="31"/>
      <c r="U702" s="31"/>
      <c r="V702" s="31"/>
      <c r="W702" s="31"/>
      <c r="X702" s="31"/>
      <c r="Y702" s="31"/>
      <c r="Z702" s="31"/>
      <c r="AA702" s="31"/>
      <c r="AB702" s="31"/>
      <c r="AC702" s="31"/>
      <c r="AD702" s="31"/>
      <c r="AE702" s="31"/>
      <c r="AF702" s="31"/>
      <c r="AG702" s="31"/>
      <c r="AH702" s="31"/>
      <c r="AI702" s="31"/>
      <c r="AJ702" s="31"/>
      <c r="AK702" s="31"/>
      <c r="AL702" s="28" t="str">
        <f>VLOOKUP($G702,'[42]Sheet1 (2)'!$A$1:$B$1048440,2,FALSE)</f>
        <v>Sqm</v>
      </c>
      <c r="AM702" s="32"/>
      <c r="AN702" s="31"/>
      <c r="AO702" s="33"/>
    </row>
    <row r="703" spans="1:41" ht="56" x14ac:dyDescent="0.25">
      <c r="A703" s="40">
        <v>586</v>
      </c>
      <c r="B703" s="42" t="s">
        <v>1068</v>
      </c>
      <c r="C703" s="37">
        <v>16.04</v>
      </c>
      <c r="D703" s="45" t="s">
        <v>772</v>
      </c>
      <c r="E703" s="43" t="s">
        <v>1073</v>
      </c>
      <c r="F703" s="44" t="s">
        <v>742</v>
      </c>
      <c r="G703" s="42" t="s">
        <v>217</v>
      </c>
      <c r="H703" s="40">
        <v>3710</v>
      </c>
      <c r="I703" s="40">
        <v>1155</v>
      </c>
      <c r="J703" s="31"/>
      <c r="K703" s="31"/>
      <c r="L703" s="31"/>
      <c r="M703" s="31"/>
      <c r="N703" s="31"/>
      <c r="O703" s="31"/>
      <c r="P703" s="31"/>
      <c r="Q703" s="31"/>
      <c r="R703" s="31"/>
      <c r="S703" s="31"/>
      <c r="T703" s="31"/>
      <c r="U703" s="31"/>
      <c r="V703" s="31"/>
      <c r="W703" s="31"/>
      <c r="X703" s="31"/>
      <c r="Y703" s="31"/>
      <c r="Z703" s="31"/>
      <c r="AA703" s="31"/>
      <c r="AB703" s="31"/>
      <c r="AC703" s="31"/>
      <c r="AD703" s="31"/>
      <c r="AE703" s="31"/>
      <c r="AF703" s="31"/>
      <c r="AG703" s="31"/>
      <c r="AH703" s="31"/>
      <c r="AI703" s="31"/>
      <c r="AJ703" s="31"/>
      <c r="AK703" s="31"/>
      <c r="AL703" s="28" t="str">
        <f>VLOOKUP($G703,'[42]Sheet1 (2)'!$A$1:$B$1048440,2,FALSE)</f>
        <v>Sqm</v>
      </c>
      <c r="AM703" s="32"/>
      <c r="AN703" s="31"/>
      <c r="AO703" s="33"/>
    </row>
    <row r="704" spans="1:41" ht="84" x14ac:dyDescent="0.25">
      <c r="A704" s="40">
        <v>587</v>
      </c>
      <c r="B704" s="42" t="s">
        <v>1068</v>
      </c>
      <c r="C704" s="37">
        <v>16.07</v>
      </c>
      <c r="D704" s="45" t="s">
        <v>772</v>
      </c>
      <c r="E704" s="44" t="s">
        <v>1074</v>
      </c>
      <c r="F704" s="44" t="s">
        <v>742</v>
      </c>
      <c r="G704" s="45" t="s">
        <v>47</v>
      </c>
      <c r="H704" s="40">
        <v>7734</v>
      </c>
      <c r="I704" s="40">
        <v>1788</v>
      </c>
      <c r="J704" s="184">
        <f>9.5/20</f>
        <v>0.47499999999999998</v>
      </c>
      <c r="K704" s="184"/>
      <c r="L704" s="184">
        <v>0.85</v>
      </c>
      <c r="M704" s="184"/>
      <c r="N704" s="184"/>
      <c r="O704" s="184"/>
      <c r="P704" s="184">
        <v>0.42499999999999999</v>
      </c>
      <c r="Q704" s="31"/>
      <c r="R704" s="31"/>
      <c r="S704" s="31"/>
      <c r="T704" s="31"/>
      <c r="U704" s="31"/>
      <c r="V704" s="31"/>
      <c r="W704" s="31"/>
      <c r="X704" s="31"/>
      <c r="Y704" s="31"/>
      <c r="Z704" s="31"/>
      <c r="AA704" s="31"/>
      <c r="AB704" s="31"/>
      <c r="AC704" s="31"/>
      <c r="AD704" s="31"/>
      <c r="AE704" s="31"/>
      <c r="AF704" s="31"/>
      <c r="AG704" s="31"/>
      <c r="AH704" s="31"/>
      <c r="AI704" s="31"/>
      <c r="AJ704" s="31"/>
      <c r="AK704" s="31"/>
      <c r="AL704" s="28" t="str">
        <f>VLOOKUP($G704,'[42]Sheet1 (2)'!$A$1:$B$1048440,2,FALSE)</f>
        <v>Cum</v>
      </c>
      <c r="AM704" s="32" t="s">
        <v>1075</v>
      </c>
      <c r="AN704" s="31"/>
      <c r="AO704" s="33"/>
    </row>
    <row r="705" spans="1:41" ht="56" x14ac:dyDescent="0.25">
      <c r="A705" s="40">
        <v>588</v>
      </c>
      <c r="B705" s="42" t="s">
        <v>1068</v>
      </c>
      <c r="C705" s="37">
        <v>16.09</v>
      </c>
      <c r="D705" s="45" t="s">
        <v>772</v>
      </c>
      <c r="E705" s="44" t="s">
        <v>1076</v>
      </c>
      <c r="F705" s="44" t="s">
        <v>742</v>
      </c>
      <c r="G705" s="45" t="s">
        <v>45</v>
      </c>
      <c r="H705" s="40">
        <v>2766</v>
      </c>
      <c r="I705" s="40">
        <v>354</v>
      </c>
      <c r="J705" s="31"/>
      <c r="K705" s="31"/>
      <c r="L705" s="31"/>
      <c r="M705" s="31"/>
      <c r="N705" s="31"/>
      <c r="O705" s="31"/>
      <c r="P705" s="31"/>
      <c r="Q705" s="31"/>
      <c r="R705" s="31"/>
      <c r="S705" s="31"/>
      <c r="T705" s="31"/>
      <c r="U705" s="31"/>
      <c r="V705" s="31"/>
      <c r="W705" s="31"/>
      <c r="X705" s="31"/>
      <c r="Y705" s="31"/>
      <c r="Z705" s="31"/>
      <c r="AA705" s="31"/>
      <c r="AB705" s="31"/>
      <c r="AC705" s="31"/>
      <c r="AD705" s="31"/>
      <c r="AE705" s="31"/>
      <c r="AF705" s="31"/>
      <c r="AG705" s="31"/>
      <c r="AH705" s="31"/>
      <c r="AI705" s="31"/>
      <c r="AJ705" s="31"/>
      <c r="AK705" s="31"/>
      <c r="AL705" s="28" t="str">
        <f>VLOOKUP($G705,'[42]Sheet1 (2)'!$A$1:$B$1048440,2,FALSE)</f>
        <v>No.</v>
      </c>
      <c r="AM705" s="32"/>
      <c r="AN705" s="31"/>
      <c r="AO705" s="33"/>
    </row>
    <row r="706" spans="1:41" x14ac:dyDescent="0.25">
      <c r="A706" s="189"/>
      <c r="B706" s="42"/>
      <c r="C706" s="37"/>
      <c r="D706" s="190"/>
      <c r="E706" s="191"/>
      <c r="F706" s="191"/>
      <c r="G706" s="190"/>
      <c r="H706" s="192"/>
      <c r="I706" s="192"/>
      <c r="J706" s="31"/>
      <c r="K706" s="31"/>
      <c r="L706" s="31"/>
      <c r="M706" s="31"/>
      <c r="N706" s="31"/>
      <c r="O706" s="31"/>
      <c r="P706" s="31"/>
      <c r="Q706" s="31"/>
      <c r="R706" s="31"/>
      <c r="S706" s="31"/>
      <c r="T706" s="31"/>
      <c r="U706" s="31"/>
      <c r="V706" s="31"/>
      <c r="W706" s="31"/>
      <c r="X706" s="31"/>
      <c r="Y706" s="31"/>
      <c r="Z706" s="31"/>
      <c r="AA706" s="31"/>
      <c r="AB706" s="31"/>
      <c r="AC706" s="31"/>
      <c r="AD706" s="31"/>
      <c r="AE706" s="31"/>
      <c r="AF706" s="31"/>
      <c r="AG706" s="31"/>
      <c r="AH706" s="31"/>
      <c r="AI706" s="31"/>
      <c r="AJ706" s="31"/>
      <c r="AK706" s="31"/>
      <c r="AL706" s="28" t="e">
        <f>VLOOKUP($G706,'[42]Sheet1 (2)'!$A$1:$B$1048440,2,FALSE)</f>
        <v>#N/A</v>
      </c>
      <c r="AM706" s="32"/>
      <c r="AN706" s="31"/>
      <c r="AO706" s="33"/>
    </row>
    <row r="707" spans="1:41" ht="56" x14ac:dyDescent="0.25">
      <c r="A707" s="26">
        <v>589</v>
      </c>
      <c r="B707" s="24" t="s">
        <v>813</v>
      </c>
      <c r="C707" s="22">
        <v>17.010000000000002</v>
      </c>
      <c r="D707" s="25" t="s">
        <v>772</v>
      </c>
      <c r="E707" s="23" t="s">
        <v>1077</v>
      </c>
      <c r="F707" s="21" t="s">
        <v>1078</v>
      </c>
      <c r="G707" s="25" t="s">
        <v>1079</v>
      </c>
      <c r="H707" s="26">
        <v>1036</v>
      </c>
      <c r="I707" s="26">
        <v>1036</v>
      </c>
      <c r="J707" s="31"/>
      <c r="K707" s="31"/>
      <c r="L707" s="31"/>
      <c r="M707" s="31"/>
      <c r="N707" s="31"/>
      <c r="O707" s="31"/>
      <c r="P707" s="31"/>
      <c r="Q707" s="31"/>
      <c r="R707" s="31"/>
      <c r="S707" s="31"/>
      <c r="T707" s="31"/>
      <c r="U707" s="31"/>
      <c r="V707" s="31"/>
      <c r="W707" s="31"/>
      <c r="X707" s="31"/>
      <c r="Y707" s="31"/>
      <c r="Z707" s="31"/>
      <c r="AA707" s="31"/>
      <c r="AB707" s="31"/>
      <c r="AC707" s="31"/>
      <c r="AD707" s="31"/>
      <c r="AE707" s="31"/>
      <c r="AF707" s="31"/>
      <c r="AG707" s="31"/>
      <c r="AH707" s="31"/>
      <c r="AI707" s="31"/>
      <c r="AJ707" s="31"/>
      <c r="AK707" s="31"/>
      <c r="AL707" s="28" t="str">
        <f>VLOOKUP($G707,'[42]Sheet1 (2)'!$A$1:$B$1048440,2,FALSE)</f>
        <v>Rmt.</v>
      </c>
      <c r="AM707" s="32"/>
      <c r="AN707" s="31"/>
      <c r="AO707" s="33"/>
    </row>
    <row r="708" spans="1:41" ht="56" x14ac:dyDescent="0.25">
      <c r="A708" s="26">
        <v>590</v>
      </c>
      <c r="B708" s="24" t="s">
        <v>813</v>
      </c>
      <c r="C708" s="22">
        <v>17.02</v>
      </c>
      <c r="D708" s="25" t="s">
        <v>772</v>
      </c>
      <c r="E708" s="23" t="s">
        <v>1080</v>
      </c>
      <c r="F708" s="21" t="s">
        <v>1078</v>
      </c>
      <c r="G708" s="21" t="s">
        <v>1081</v>
      </c>
      <c r="H708" s="26">
        <v>1380</v>
      </c>
      <c r="I708" s="26">
        <v>1380</v>
      </c>
      <c r="J708" s="31"/>
      <c r="K708" s="31"/>
      <c r="L708" s="31"/>
      <c r="M708" s="31"/>
      <c r="N708" s="31"/>
      <c r="O708" s="31"/>
      <c r="P708" s="31"/>
      <c r="Q708" s="31"/>
      <c r="R708" s="31"/>
      <c r="S708" s="31"/>
      <c r="T708" s="31"/>
      <c r="U708" s="31"/>
      <c r="V708" s="31"/>
      <c r="W708" s="31"/>
      <c r="X708" s="31"/>
      <c r="Y708" s="31"/>
      <c r="Z708" s="31"/>
      <c r="AA708" s="31"/>
      <c r="AB708" s="31"/>
      <c r="AC708" s="31"/>
      <c r="AD708" s="31"/>
      <c r="AE708" s="31"/>
      <c r="AF708" s="31"/>
      <c r="AG708" s="31"/>
      <c r="AH708" s="31"/>
      <c r="AI708" s="31"/>
      <c r="AJ708" s="31"/>
      <c r="AK708" s="31"/>
      <c r="AL708" s="28" t="e">
        <f>VLOOKUP($G708,'[42]Sheet1 (2)'!$A$1:$B$1048440,2,FALSE)</f>
        <v>#N/A</v>
      </c>
      <c r="AM708" s="32"/>
      <c r="AN708" s="31"/>
      <c r="AO708" s="33"/>
    </row>
    <row r="709" spans="1:41" ht="56" x14ac:dyDescent="0.25">
      <c r="A709" s="26">
        <v>591</v>
      </c>
      <c r="B709" s="24" t="s">
        <v>813</v>
      </c>
      <c r="C709" s="22">
        <v>17.03</v>
      </c>
      <c r="D709" s="25" t="s">
        <v>772</v>
      </c>
      <c r="E709" s="23" t="s">
        <v>1082</v>
      </c>
      <c r="F709" s="21" t="s">
        <v>1078</v>
      </c>
      <c r="G709" s="21" t="s">
        <v>1081</v>
      </c>
      <c r="H709" s="26">
        <v>1729</v>
      </c>
      <c r="I709" s="26">
        <v>1729</v>
      </c>
      <c r="J709" s="31"/>
      <c r="K709" s="31"/>
      <c r="L709" s="31"/>
      <c r="M709" s="31"/>
      <c r="N709" s="31"/>
      <c r="O709" s="31"/>
      <c r="P709" s="31"/>
      <c r="Q709" s="31"/>
      <c r="R709" s="31"/>
      <c r="S709" s="31"/>
      <c r="T709" s="31"/>
      <c r="U709" s="31"/>
      <c r="V709" s="31"/>
      <c r="W709" s="31"/>
      <c r="X709" s="31"/>
      <c r="Y709" s="31"/>
      <c r="Z709" s="31"/>
      <c r="AA709" s="31"/>
      <c r="AB709" s="31"/>
      <c r="AC709" s="31"/>
      <c r="AD709" s="31"/>
      <c r="AE709" s="31"/>
      <c r="AF709" s="31"/>
      <c r="AG709" s="31"/>
      <c r="AH709" s="31"/>
      <c r="AI709" s="31"/>
      <c r="AJ709" s="31"/>
      <c r="AK709" s="31"/>
      <c r="AL709" s="28" t="e">
        <f>VLOOKUP($G709,'[42]Sheet1 (2)'!$A$1:$B$1048440,2,FALSE)</f>
        <v>#N/A</v>
      </c>
      <c r="AM709" s="32"/>
      <c r="AN709" s="31"/>
      <c r="AO709" s="33"/>
    </row>
    <row r="710" spans="1:41" ht="56" x14ac:dyDescent="0.25">
      <c r="A710" s="26">
        <v>592</v>
      </c>
      <c r="B710" s="24" t="s">
        <v>813</v>
      </c>
      <c r="C710" s="22">
        <v>17.04</v>
      </c>
      <c r="D710" s="25" t="s">
        <v>772</v>
      </c>
      <c r="E710" s="23" t="s">
        <v>1083</v>
      </c>
      <c r="F710" s="21" t="s">
        <v>1078</v>
      </c>
      <c r="G710" s="21" t="s">
        <v>1081</v>
      </c>
      <c r="H710" s="26">
        <v>2727</v>
      </c>
      <c r="I710" s="26">
        <v>2727</v>
      </c>
      <c r="J710" s="31"/>
      <c r="K710" s="31"/>
      <c r="L710" s="31"/>
      <c r="M710" s="31"/>
      <c r="N710" s="31"/>
      <c r="O710" s="31"/>
      <c r="P710" s="31"/>
      <c r="Q710" s="31"/>
      <c r="R710" s="31"/>
      <c r="S710" s="31"/>
      <c r="T710" s="31"/>
      <c r="U710" s="31"/>
      <c r="V710" s="31"/>
      <c r="W710" s="31"/>
      <c r="X710" s="31"/>
      <c r="Y710" s="31"/>
      <c r="Z710" s="31"/>
      <c r="AA710" s="31"/>
      <c r="AB710" s="31"/>
      <c r="AC710" s="31"/>
      <c r="AD710" s="31"/>
      <c r="AE710" s="31"/>
      <c r="AF710" s="31"/>
      <c r="AG710" s="31"/>
      <c r="AH710" s="31"/>
      <c r="AI710" s="31"/>
      <c r="AJ710" s="31"/>
      <c r="AK710" s="31"/>
      <c r="AL710" s="28" t="e">
        <f>VLOOKUP($G710,'[42]Sheet1 (2)'!$A$1:$B$1048440,2,FALSE)</f>
        <v>#N/A</v>
      </c>
      <c r="AM710" s="32"/>
      <c r="AN710" s="31"/>
      <c r="AO710" s="33"/>
    </row>
    <row r="711" spans="1:41" ht="126" x14ac:dyDescent="0.25">
      <c r="A711" s="26">
        <v>593</v>
      </c>
      <c r="B711" s="21" t="s">
        <v>1084</v>
      </c>
      <c r="C711" s="22">
        <v>17.05</v>
      </c>
      <c r="D711" s="25" t="s">
        <v>772</v>
      </c>
      <c r="E711" s="23" t="s">
        <v>1085</v>
      </c>
      <c r="F711" s="21" t="s">
        <v>1086</v>
      </c>
      <c r="G711" s="25" t="s">
        <v>45</v>
      </c>
      <c r="H711" s="26">
        <v>94766</v>
      </c>
      <c r="I711" s="26">
        <v>11490</v>
      </c>
      <c r="J711" s="31"/>
      <c r="K711" s="31"/>
      <c r="L711" s="31"/>
      <c r="M711" s="31"/>
      <c r="N711" s="31"/>
      <c r="O711" s="31"/>
      <c r="P711" s="31"/>
      <c r="Q711" s="31"/>
      <c r="R711" s="31"/>
      <c r="S711" s="31"/>
      <c r="T711" s="31"/>
      <c r="U711" s="31"/>
      <c r="V711" s="31"/>
      <c r="W711" s="31"/>
      <c r="X711" s="31"/>
      <c r="Y711" s="31"/>
      <c r="Z711" s="31"/>
      <c r="AA711" s="31"/>
      <c r="AB711" s="31"/>
      <c r="AC711" s="31"/>
      <c r="AD711" s="31"/>
      <c r="AE711" s="31"/>
      <c r="AF711" s="31"/>
      <c r="AG711" s="31"/>
      <c r="AH711" s="31"/>
      <c r="AI711" s="31"/>
      <c r="AJ711" s="31"/>
      <c r="AK711" s="31"/>
      <c r="AL711" s="28" t="str">
        <f>VLOOKUP($G711,'[42]Sheet1 (2)'!$A$1:$B$1048440,2,FALSE)</f>
        <v>No.</v>
      </c>
      <c r="AM711" s="32"/>
      <c r="AN711" s="31"/>
      <c r="AO711" s="33"/>
    </row>
    <row r="712" spans="1:41" ht="126" x14ac:dyDescent="0.25">
      <c r="A712" s="26">
        <v>594</v>
      </c>
      <c r="B712" s="21" t="s">
        <v>1084</v>
      </c>
      <c r="C712" s="22">
        <v>17.059999999999999</v>
      </c>
      <c r="D712" s="25" t="s">
        <v>772</v>
      </c>
      <c r="E712" s="23" t="s">
        <v>1087</v>
      </c>
      <c r="F712" s="21" t="s">
        <v>1086</v>
      </c>
      <c r="G712" s="25" t="s">
        <v>45</v>
      </c>
      <c r="H712" s="26">
        <v>429090</v>
      </c>
      <c r="I712" s="26">
        <v>90506</v>
      </c>
      <c r="J712" s="31"/>
      <c r="K712" s="31"/>
      <c r="L712" s="31"/>
      <c r="M712" s="31"/>
      <c r="N712" s="31"/>
      <c r="O712" s="31"/>
      <c r="P712" s="31"/>
      <c r="Q712" s="31"/>
      <c r="R712" s="31"/>
      <c r="S712" s="31"/>
      <c r="T712" s="31"/>
      <c r="U712" s="31"/>
      <c r="V712" s="31"/>
      <c r="W712" s="31"/>
      <c r="X712" s="31"/>
      <c r="Y712" s="31"/>
      <c r="Z712" s="31"/>
      <c r="AA712" s="31"/>
      <c r="AB712" s="31"/>
      <c r="AC712" s="31"/>
      <c r="AD712" s="31"/>
      <c r="AE712" s="31"/>
      <c r="AF712" s="31"/>
      <c r="AG712" s="31"/>
      <c r="AH712" s="31"/>
      <c r="AI712" s="31"/>
      <c r="AJ712" s="31"/>
      <c r="AK712" s="31"/>
      <c r="AL712" s="28" t="str">
        <f>VLOOKUP($G712,'[42]Sheet1 (2)'!$A$1:$B$1048440,2,FALSE)</f>
        <v>No.</v>
      </c>
      <c r="AM712" s="32"/>
      <c r="AN712" s="31"/>
      <c r="AO712" s="33"/>
    </row>
    <row r="713" spans="1:41" ht="196" x14ac:dyDescent="0.25">
      <c r="A713" s="26">
        <v>595</v>
      </c>
      <c r="B713" s="21" t="s">
        <v>1084</v>
      </c>
      <c r="C713" s="22">
        <v>17.07</v>
      </c>
      <c r="D713" s="25" t="s">
        <v>772</v>
      </c>
      <c r="E713" s="23" t="s">
        <v>1088</v>
      </c>
      <c r="F713" s="21" t="s">
        <v>1089</v>
      </c>
      <c r="G713" s="21" t="s">
        <v>1081</v>
      </c>
      <c r="H713" s="26">
        <v>65909</v>
      </c>
      <c r="I713" s="26">
        <v>12000</v>
      </c>
      <c r="J713" s="31"/>
      <c r="K713" s="31"/>
      <c r="L713" s="31"/>
      <c r="M713" s="31"/>
      <c r="N713" s="31"/>
      <c r="O713" s="31"/>
      <c r="P713" s="31"/>
      <c r="Q713" s="31"/>
      <c r="R713" s="31"/>
      <c r="S713" s="31"/>
      <c r="T713" s="31"/>
      <c r="U713" s="31"/>
      <c r="V713" s="31"/>
      <c r="W713" s="31"/>
      <c r="X713" s="31"/>
      <c r="Y713" s="31"/>
      <c r="Z713" s="31"/>
      <c r="AA713" s="31"/>
      <c r="AB713" s="31"/>
      <c r="AC713" s="31"/>
      <c r="AD713" s="31"/>
      <c r="AE713" s="31"/>
      <c r="AF713" s="31"/>
      <c r="AG713" s="31"/>
      <c r="AH713" s="31"/>
      <c r="AI713" s="31"/>
      <c r="AJ713" s="31"/>
      <c r="AK713" s="31"/>
      <c r="AL713" s="28" t="e">
        <f>VLOOKUP($G713,'[42]Sheet1 (2)'!$A$1:$B$1048440,2,FALSE)</f>
        <v>#N/A</v>
      </c>
      <c r="AM713" s="32"/>
      <c r="AN713" s="31"/>
      <c r="AO713" s="33"/>
    </row>
    <row r="714" spans="1:41" ht="196" x14ac:dyDescent="0.25">
      <c r="A714" s="26">
        <v>596</v>
      </c>
      <c r="B714" s="21" t="s">
        <v>1084</v>
      </c>
      <c r="C714" s="22">
        <v>17.079999999999998</v>
      </c>
      <c r="D714" s="25" t="s">
        <v>772</v>
      </c>
      <c r="E714" s="23" t="s">
        <v>1090</v>
      </c>
      <c r="F714" s="21" t="s">
        <v>1089</v>
      </c>
      <c r="G714" s="21" t="s">
        <v>1081</v>
      </c>
      <c r="H714" s="26">
        <v>100707</v>
      </c>
      <c r="I714" s="26">
        <v>15198</v>
      </c>
      <c r="J714" s="31"/>
      <c r="K714" s="31"/>
      <c r="L714" s="31"/>
      <c r="M714" s="31"/>
      <c r="N714" s="31"/>
      <c r="O714" s="31"/>
      <c r="P714" s="31"/>
      <c r="Q714" s="31"/>
      <c r="R714" s="31"/>
      <c r="S714" s="31"/>
      <c r="T714" s="31"/>
      <c r="U714" s="31"/>
      <c r="V714" s="31"/>
      <c r="W714" s="31"/>
      <c r="X714" s="31"/>
      <c r="Y714" s="31"/>
      <c r="Z714" s="31"/>
      <c r="AA714" s="31"/>
      <c r="AB714" s="31"/>
      <c r="AC714" s="31"/>
      <c r="AD714" s="31"/>
      <c r="AE714" s="31"/>
      <c r="AF714" s="31"/>
      <c r="AG714" s="31"/>
      <c r="AH714" s="31"/>
      <c r="AI714" s="31"/>
      <c r="AJ714" s="31"/>
      <c r="AK714" s="31"/>
      <c r="AL714" s="28" t="e">
        <f>VLOOKUP($G714,'[42]Sheet1 (2)'!$A$1:$B$1048440,2,FALSE)</f>
        <v>#N/A</v>
      </c>
      <c r="AM714" s="32"/>
      <c r="AN714" s="31"/>
      <c r="AO714" s="33"/>
    </row>
    <row r="715" spans="1:41" ht="196" x14ac:dyDescent="0.25">
      <c r="A715" s="26">
        <v>597</v>
      </c>
      <c r="B715" s="21" t="s">
        <v>1084</v>
      </c>
      <c r="C715" s="22">
        <v>17.09</v>
      </c>
      <c r="D715" s="25" t="s">
        <v>772</v>
      </c>
      <c r="E715" s="23" t="s">
        <v>1091</v>
      </c>
      <c r="F715" s="21" t="s">
        <v>1089</v>
      </c>
      <c r="G715" s="21" t="s">
        <v>1081</v>
      </c>
      <c r="H715" s="26">
        <v>119584</v>
      </c>
      <c r="I715" s="26">
        <v>19186</v>
      </c>
      <c r="J715" s="31"/>
      <c r="K715" s="31"/>
      <c r="L715" s="31"/>
      <c r="M715" s="31"/>
      <c r="N715" s="31"/>
      <c r="O715" s="31"/>
      <c r="P715" s="31"/>
      <c r="Q715" s="31"/>
      <c r="R715" s="31"/>
      <c r="S715" s="31"/>
      <c r="T715" s="31"/>
      <c r="U715" s="31"/>
      <c r="V715" s="31"/>
      <c r="W715" s="31"/>
      <c r="X715" s="31"/>
      <c r="Y715" s="31"/>
      <c r="Z715" s="31"/>
      <c r="AA715" s="31"/>
      <c r="AB715" s="31"/>
      <c r="AC715" s="31"/>
      <c r="AD715" s="31"/>
      <c r="AE715" s="31"/>
      <c r="AF715" s="31"/>
      <c r="AG715" s="31"/>
      <c r="AH715" s="31"/>
      <c r="AI715" s="31"/>
      <c r="AJ715" s="31"/>
      <c r="AK715" s="31"/>
      <c r="AL715" s="28" t="e">
        <f>VLOOKUP($G715,'[42]Sheet1 (2)'!$A$1:$B$1048440,2,FALSE)</f>
        <v>#N/A</v>
      </c>
      <c r="AM715" s="32"/>
      <c r="AN715" s="31"/>
      <c r="AO715" s="33"/>
    </row>
    <row r="716" spans="1:41" ht="196" x14ac:dyDescent="0.25">
      <c r="A716" s="26">
        <v>598</v>
      </c>
      <c r="B716" s="21" t="s">
        <v>1084</v>
      </c>
      <c r="C716" s="22">
        <v>17.100000000000001</v>
      </c>
      <c r="D716" s="25" t="s">
        <v>772</v>
      </c>
      <c r="E716" s="23" t="s">
        <v>1092</v>
      </c>
      <c r="F716" s="21" t="s">
        <v>1089</v>
      </c>
      <c r="G716" s="21" t="s">
        <v>1081</v>
      </c>
      <c r="H716" s="26">
        <v>167261</v>
      </c>
      <c r="I716" s="26">
        <v>24755</v>
      </c>
      <c r="J716" s="31"/>
      <c r="K716" s="31"/>
      <c r="L716" s="31"/>
      <c r="M716" s="31"/>
      <c r="N716" s="31"/>
      <c r="O716" s="31"/>
      <c r="P716" s="31"/>
      <c r="Q716" s="31"/>
      <c r="R716" s="31"/>
      <c r="S716" s="31"/>
      <c r="T716" s="31"/>
      <c r="U716" s="31"/>
      <c r="V716" s="31"/>
      <c r="W716" s="31"/>
      <c r="X716" s="31"/>
      <c r="Y716" s="31"/>
      <c r="Z716" s="31"/>
      <c r="AA716" s="31"/>
      <c r="AB716" s="31"/>
      <c r="AC716" s="31"/>
      <c r="AD716" s="31"/>
      <c r="AE716" s="31"/>
      <c r="AF716" s="31"/>
      <c r="AG716" s="31"/>
      <c r="AH716" s="31"/>
      <c r="AI716" s="31"/>
      <c r="AJ716" s="31"/>
      <c r="AK716" s="31"/>
      <c r="AL716" s="28" t="e">
        <f>VLOOKUP($G716,'[42]Sheet1 (2)'!$A$1:$B$1048440,2,FALSE)</f>
        <v>#N/A</v>
      </c>
      <c r="AM716" s="32"/>
      <c r="AN716" s="31"/>
      <c r="AO716" s="33"/>
    </row>
    <row r="717" spans="1:41" ht="196" x14ac:dyDescent="0.25">
      <c r="A717" s="26">
        <v>599</v>
      </c>
      <c r="B717" s="21" t="s">
        <v>1084</v>
      </c>
      <c r="C717" s="22">
        <v>17.11</v>
      </c>
      <c r="D717" s="25" t="s">
        <v>772</v>
      </c>
      <c r="E717" s="23" t="s">
        <v>1093</v>
      </c>
      <c r="F717" s="21" t="s">
        <v>1089</v>
      </c>
      <c r="G717" s="21" t="s">
        <v>1081</v>
      </c>
      <c r="H717" s="26">
        <v>180506</v>
      </c>
      <c r="I717" s="121">
        <v>26372</v>
      </c>
      <c r="J717" s="31"/>
      <c r="K717" s="31"/>
      <c r="L717" s="31"/>
      <c r="M717" s="31"/>
      <c r="N717" s="31"/>
      <c r="O717" s="31"/>
      <c r="P717" s="31"/>
      <c r="Q717" s="31"/>
      <c r="R717" s="31"/>
      <c r="S717" s="31"/>
      <c r="T717" s="31"/>
      <c r="U717" s="31"/>
      <c r="V717" s="31"/>
      <c r="W717" s="31"/>
      <c r="X717" s="31"/>
      <c r="Y717" s="31"/>
      <c r="Z717" s="31"/>
      <c r="AA717" s="31"/>
      <c r="AB717" s="31"/>
      <c r="AC717" s="31"/>
      <c r="AD717" s="31"/>
      <c r="AE717" s="31"/>
      <c r="AF717" s="31"/>
      <c r="AG717" s="31"/>
      <c r="AH717" s="31"/>
      <c r="AI717" s="31"/>
      <c r="AJ717" s="31"/>
      <c r="AK717" s="31"/>
      <c r="AL717" s="28" t="e">
        <f>VLOOKUP($G717,'[42]Sheet1 (2)'!$A$1:$B$1048440,2,FALSE)</f>
        <v>#N/A</v>
      </c>
      <c r="AM717" s="32"/>
      <c r="AN717" s="31"/>
      <c r="AO717" s="33"/>
    </row>
    <row r="718" spans="1:41" ht="196" x14ac:dyDescent="0.25">
      <c r="A718" s="26">
        <v>600</v>
      </c>
      <c r="B718" s="21" t="s">
        <v>1084</v>
      </c>
      <c r="C718" s="22">
        <v>17.12</v>
      </c>
      <c r="D718" s="25" t="s">
        <v>772</v>
      </c>
      <c r="E718" s="23" t="s">
        <v>1094</v>
      </c>
      <c r="F718" s="21" t="s">
        <v>1089</v>
      </c>
      <c r="G718" s="21" t="s">
        <v>1081</v>
      </c>
      <c r="H718" s="26">
        <v>199726</v>
      </c>
      <c r="I718" s="121">
        <v>30466</v>
      </c>
      <c r="J718" s="31"/>
      <c r="K718" s="31"/>
      <c r="L718" s="31"/>
      <c r="M718" s="31"/>
      <c r="N718" s="31"/>
      <c r="O718" s="31"/>
      <c r="P718" s="31"/>
      <c r="Q718" s="31"/>
      <c r="R718" s="31"/>
      <c r="S718" s="31"/>
      <c r="T718" s="31"/>
      <c r="U718" s="31"/>
      <c r="V718" s="31"/>
      <c r="W718" s="31"/>
      <c r="X718" s="31"/>
      <c r="Y718" s="31"/>
      <c r="Z718" s="31"/>
      <c r="AA718" s="31"/>
      <c r="AB718" s="31"/>
      <c r="AC718" s="31"/>
      <c r="AD718" s="31"/>
      <c r="AE718" s="31"/>
      <c r="AF718" s="31"/>
      <c r="AG718" s="31"/>
      <c r="AH718" s="31"/>
      <c r="AI718" s="31"/>
      <c r="AJ718" s="31"/>
      <c r="AK718" s="31"/>
      <c r="AL718" s="28" t="e">
        <f>VLOOKUP($G718,'[42]Sheet1 (2)'!$A$1:$B$1048440,2,FALSE)</f>
        <v>#N/A</v>
      </c>
      <c r="AM718" s="32"/>
      <c r="AN718" s="31"/>
      <c r="AO718" s="33"/>
    </row>
    <row r="719" spans="1:41" ht="56" x14ac:dyDescent="0.25">
      <c r="A719" s="26">
        <v>601</v>
      </c>
      <c r="B719" s="21" t="s">
        <v>1084</v>
      </c>
      <c r="C719" s="22">
        <v>17.13</v>
      </c>
      <c r="D719" s="25" t="s">
        <v>772</v>
      </c>
      <c r="E719" s="24" t="s">
        <v>1095</v>
      </c>
      <c r="F719" s="21" t="s">
        <v>1096</v>
      </c>
      <c r="G719" s="21" t="s">
        <v>1081</v>
      </c>
      <c r="H719" s="26">
        <v>5613</v>
      </c>
      <c r="I719" s="103">
        <v>157</v>
      </c>
      <c r="J719" s="31"/>
      <c r="K719" s="31"/>
      <c r="L719" s="31"/>
      <c r="M719" s="31"/>
      <c r="N719" s="31"/>
      <c r="O719" s="31"/>
      <c r="P719" s="31"/>
      <c r="Q719" s="31"/>
      <c r="R719" s="31"/>
      <c r="S719" s="31"/>
      <c r="T719" s="31"/>
      <c r="U719" s="31"/>
      <c r="V719" s="31"/>
      <c r="W719" s="31"/>
      <c r="X719" s="31"/>
      <c r="Y719" s="31"/>
      <c r="Z719" s="31"/>
      <c r="AA719" s="31"/>
      <c r="AB719" s="31"/>
      <c r="AC719" s="31"/>
      <c r="AD719" s="31"/>
      <c r="AE719" s="31"/>
      <c r="AF719" s="31"/>
      <c r="AG719" s="31"/>
      <c r="AH719" s="31"/>
      <c r="AI719" s="31"/>
      <c r="AJ719" s="31"/>
      <c r="AK719" s="31"/>
      <c r="AL719" s="28" t="e">
        <f>VLOOKUP($G719,'[42]Sheet1 (2)'!$A$1:$B$1048440,2,FALSE)</f>
        <v>#N/A</v>
      </c>
      <c r="AM719" s="32"/>
      <c r="AN719" s="31"/>
      <c r="AO719" s="33"/>
    </row>
    <row r="720" spans="1:41" ht="98" x14ac:dyDescent="0.25">
      <c r="A720" s="26">
        <v>602</v>
      </c>
      <c r="B720" s="21" t="s">
        <v>1084</v>
      </c>
      <c r="C720" s="22">
        <v>17.14</v>
      </c>
      <c r="D720" s="25" t="s">
        <v>772</v>
      </c>
      <c r="E720" s="24" t="s">
        <v>1097</v>
      </c>
      <c r="F720" s="21" t="s">
        <v>1098</v>
      </c>
      <c r="G720" s="25" t="s">
        <v>1099</v>
      </c>
      <c r="H720" s="26">
        <v>7479</v>
      </c>
      <c r="I720" s="121">
        <v>1655</v>
      </c>
      <c r="J720" s="184">
        <f>7/20</f>
        <v>0.35</v>
      </c>
      <c r="K720" s="184"/>
      <c r="L720" s="184">
        <v>0.85</v>
      </c>
      <c r="M720" s="184"/>
      <c r="N720" s="184"/>
      <c r="O720" s="184"/>
      <c r="P720" s="184">
        <v>0.42499999999999999</v>
      </c>
      <c r="Q720" s="31"/>
      <c r="R720" s="31"/>
      <c r="S720" s="31"/>
      <c r="T720" s="31"/>
      <c r="U720" s="31"/>
      <c r="V720" s="31"/>
      <c r="W720" s="31"/>
      <c r="X720" s="31"/>
      <c r="Y720" s="31"/>
      <c r="Z720" s="31"/>
      <c r="AA720" s="31"/>
      <c r="AB720" s="31"/>
      <c r="AC720" s="31"/>
      <c r="AD720" s="31"/>
      <c r="AE720" s="31"/>
      <c r="AF720" s="31"/>
      <c r="AG720" s="31"/>
      <c r="AH720" s="31"/>
      <c r="AI720" s="31"/>
      <c r="AJ720" s="31"/>
      <c r="AK720" s="31"/>
      <c r="AL720" s="28" t="e">
        <f>VLOOKUP($G720,'[42]Sheet1 (2)'!$A$1:$B$1048440,2,FALSE)</f>
        <v>#N/A</v>
      </c>
      <c r="AM720" s="32" t="s">
        <v>1100</v>
      </c>
      <c r="AN720" s="31"/>
      <c r="AO720" s="33"/>
    </row>
    <row r="721" spans="1:41" ht="98" x14ac:dyDescent="0.25">
      <c r="A721" s="26">
        <v>603</v>
      </c>
      <c r="B721" s="21" t="s">
        <v>1084</v>
      </c>
      <c r="C721" s="22">
        <v>17.149999999999999</v>
      </c>
      <c r="D721" s="25" t="s">
        <v>772</v>
      </c>
      <c r="E721" s="24" t="s">
        <v>1101</v>
      </c>
      <c r="F721" s="21" t="s">
        <v>1098</v>
      </c>
      <c r="G721" s="25" t="s">
        <v>1099</v>
      </c>
      <c r="H721" s="26">
        <v>7726</v>
      </c>
      <c r="I721" s="121">
        <v>1655</v>
      </c>
      <c r="J721" s="184">
        <f>8/20</f>
        <v>0.4</v>
      </c>
      <c r="K721" s="184"/>
      <c r="L721" s="184">
        <v>0.85</v>
      </c>
      <c r="M721" s="184"/>
      <c r="N721" s="184"/>
      <c r="O721" s="184"/>
      <c r="P721" s="184">
        <v>0.42499999999999999</v>
      </c>
      <c r="Q721" s="31"/>
      <c r="R721" s="31"/>
      <c r="S721" s="31"/>
      <c r="T721" s="31"/>
      <c r="U721" s="31"/>
      <c r="V721" s="31"/>
      <c r="W721" s="31"/>
      <c r="X721" s="31"/>
      <c r="Y721" s="31"/>
      <c r="Z721" s="31"/>
      <c r="AA721" s="31"/>
      <c r="AB721" s="31"/>
      <c r="AC721" s="31"/>
      <c r="AD721" s="31"/>
      <c r="AE721" s="31"/>
      <c r="AF721" s="31"/>
      <c r="AG721" s="31"/>
      <c r="AH721" s="31"/>
      <c r="AI721" s="31"/>
      <c r="AJ721" s="31"/>
      <c r="AK721" s="31"/>
      <c r="AL721" s="28" t="e">
        <f>VLOOKUP($G721,'[42]Sheet1 (2)'!$A$1:$B$1048440,2,FALSE)</f>
        <v>#N/A</v>
      </c>
      <c r="AM721" s="32" t="s">
        <v>1102</v>
      </c>
      <c r="AN721" s="31"/>
      <c r="AO721" s="33"/>
    </row>
    <row r="722" spans="1:41" ht="98" x14ac:dyDescent="0.25">
      <c r="A722" s="26">
        <v>604</v>
      </c>
      <c r="B722" s="21" t="s">
        <v>1084</v>
      </c>
      <c r="C722" s="22">
        <v>17.16</v>
      </c>
      <c r="D722" s="25" t="s">
        <v>772</v>
      </c>
      <c r="E722" s="24" t="s">
        <v>1103</v>
      </c>
      <c r="F722" s="21" t="s">
        <v>1098</v>
      </c>
      <c r="G722" s="25" t="s">
        <v>1099</v>
      </c>
      <c r="H722" s="26">
        <v>7886</v>
      </c>
      <c r="I722" s="121">
        <v>1655</v>
      </c>
      <c r="J722" s="184">
        <f>8.4/20</f>
        <v>0.42000000000000004</v>
      </c>
      <c r="K722" s="184"/>
      <c r="L722" s="184">
        <v>0.85</v>
      </c>
      <c r="M722" s="184"/>
      <c r="N722" s="184"/>
      <c r="O722" s="184"/>
      <c r="P722" s="184">
        <v>0.42499999999999999</v>
      </c>
      <c r="Q722" s="31"/>
      <c r="R722" s="31"/>
      <c r="S722" s="31"/>
      <c r="T722" s="31"/>
      <c r="U722" s="31"/>
      <c r="V722" s="31"/>
      <c r="W722" s="31"/>
      <c r="X722" s="31"/>
      <c r="Y722" s="31"/>
      <c r="Z722" s="31"/>
      <c r="AA722" s="31"/>
      <c r="AB722" s="31"/>
      <c r="AC722" s="31"/>
      <c r="AD722" s="31"/>
      <c r="AE722" s="31"/>
      <c r="AF722" s="31"/>
      <c r="AG722" s="31"/>
      <c r="AH722" s="31"/>
      <c r="AI722" s="31"/>
      <c r="AJ722" s="31"/>
      <c r="AK722" s="31"/>
      <c r="AL722" s="28" t="e">
        <f>VLOOKUP($G722,'[42]Sheet1 (2)'!$A$1:$B$1048440,2,FALSE)</f>
        <v>#N/A</v>
      </c>
      <c r="AM722" s="32" t="s">
        <v>1104</v>
      </c>
      <c r="AN722" s="31"/>
      <c r="AO722" s="33"/>
    </row>
    <row r="723" spans="1:41" ht="98" x14ac:dyDescent="0.25">
      <c r="A723" s="26">
        <v>605</v>
      </c>
      <c r="B723" s="21" t="s">
        <v>1084</v>
      </c>
      <c r="C723" s="22">
        <v>17.170000000000002</v>
      </c>
      <c r="D723" s="25" t="s">
        <v>772</v>
      </c>
      <c r="E723" s="24" t="s">
        <v>1105</v>
      </c>
      <c r="F723" s="21" t="s">
        <v>1098</v>
      </c>
      <c r="G723" s="25" t="s">
        <v>1099</v>
      </c>
      <c r="H723" s="26">
        <v>7973</v>
      </c>
      <c r="I723" s="121">
        <v>1655</v>
      </c>
      <c r="J723" s="184">
        <f t="shared" ref="J723:J728" si="4">9.5/20</f>
        <v>0.47499999999999998</v>
      </c>
      <c r="K723" s="184"/>
      <c r="L723" s="184">
        <f>0.57+0.28</f>
        <v>0.85</v>
      </c>
      <c r="M723" s="184"/>
      <c r="N723" s="184"/>
      <c r="O723" s="184"/>
      <c r="P723" s="184">
        <v>0.4</v>
      </c>
      <c r="Q723" s="31"/>
      <c r="R723" s="31"/>
      <c r="S723" s="31"/>
      <c r="T723" s="31"/>
      <c r="U723" s="31"/>
      <c r="V723" s="31"/>
      <c r="W723" s="31"/>
      <c r="X723" s="31"/>
      <c r="Y723" s="31"/>
      <c r="Z723" s="31"/>
      <c r="AA723" s="31"/>
      <c r="AB723" s="31"/>
      <c r="AC723" s="31"/>
      <c r="AD723" s="31"/>
      <c r="AE723" s="31"/>
      <c r="AF723" s="31"/>
      <c r="AG723" s="31"/>
      <c r="AH723" s="31"/>
      <c r="AI723" s="31"/>
      <c r="AJ723" s="31"/>
      <c r="AK723" s="31"/>
      <c r="AL723" s="28" t="e">
        <f>VLOOKUP($G723,'[42]Sheet1 (2)'!$A$1:$B$1048440,2,FALSE)</f>
        <v>#N/A</v>
      </c>
      <c r="AM723" s="32" t="s">
        <v>1106</v>
      </c>
      <c r="AN723" s="31"/>
      <c r="AO723" s="33"/>
    </row>
    <row r="724" spans="1:41" ht="126" x14ac:dyDescent="0.25">
      <c r="A724" s="26">
        <v>606</v>
      </c>
      <c r="B724" s="21" t="s">
        <v>1084</v>
      </c>
      <c r="C724" s="22">
        <v>17.18</v>
      </c>
      <c r="D724" s="25" t="s">
        <v>772</v>
      </c>
      <c r="E724" s="23" t="s">
        <v>1107</v>
      </c>
      <c r="F724" s="21" t="s">
        <v>1108</v>
      </c>
      <c r="G724" s="25" t="s">
        <v>1099</v>
      </c>
      <c r="H724" s="26">
        <v>7055</v>
      </c>
      <c r="I724" s="121">
        <v>1468</v>
      </c>
      <c r="J724" s="184">
        <f>7.6/20</f>
        <v>0.38</v>
      </c>
      <c r="K724" s="184"/>
      <c r="L724" s="184">
        <f>0.57+0.22+0.11</f>
        <v>0.89999999999999991</v>
      </c>
      <c r="M724" s="184"/>
      <c r="N724" s="184"/>
      <c r="O724" s="184"/>
      <c r="P724" s="184">
        <v>0.45</v>
      </c>
      <c r="Q724" s="31"/>
      <c r="R724" s="31"/>
      <c r="S724" s="31"/>
      <c r="T724" s="31"/>
      <c r="U724" s="31"/>
      <c r="V724" s="31"/>
      <c r="W724" s="31"/>
      <c r="X724" s="31"/>
      <c r="Y724" s="31"/>
      <c r="Z724" s="31"/>
      <c r="AA724" s="31"/>
      <c r="AB724" s="31"/>
      <c r="AC724" s="31"/>
      <c r="AD724" s="31"/>
      <c r="AE724" s="31"/>
      <c r="AF724" s="31"/>
      <c r="AG724" s="31"/>
      <c r="AH724" s="31"/>
      <c r="AI724" s="31"/>
      <c r="AJ724" s="31"/>
      <c r="AK724" s="31"/>
      <c r="AL724" s="28" t="e">
        <f>VLOOKUP($G724,'[42]Sheet1 (2)'!$A$1:$B$1048440,2,FALSE)</f>
        <v>#N/A</v>
      </c>
      <c r="AM724" s="32" t="s">
        <v>1109</v>
      </c>
      <c r="AN724" s="31"/>
      <c r="AO724" s="33"/>
    </row>
    <row r="725" spans="1:41" ht="126" x14ac:dyDescent="0.25">
      <c r="A725" s="26">
        <v>607</v>
      </c>
      <c r="B725" s="21" t="s">
        <v>1084</v>
      </c>
      <c r="C725" s="22">
        <v>17.190000000000001</v>
      </c>
      <c r="D725" s="25" t="s">
        <v>772</v>
      </c>
      <c r="E725" s="23" t="s">
        <v>1110</v>
      </c>
      <c r="F725" s="21" t="s">
        <v>1108</v>
      </c>
      <c r="G725" s="25" t="s">
        <v>1099</v>
      </c>
      <c r="H725" s="26">
        <v>7131</v>
      </c>
      <c r="I725" s="121">
        <v>1468</v>
      </c>
      <c r="J725" s="184">
        <f>8/20</f>
        <v>0.4</v>
      </c>
      <c r="K725" s="184"/>
      <c r="L725" s="184">
        <f>0.382+0.304+0.294</f>
        <v>0.98</v>
      </c>
      <c r="M725" s="184"/>
      <c r="N725" s="184"/>
      <c r="O725" s="184"/>
      <c r="P725" s="184">
        <v>0.36499999999999999</v>
      </c>
      <c r="Q725" s="31"/>
      <c r="R725" s="31"/>
      <c r="S725" s="31"/>
      <c r="T725" s="31"/>
      <c r="U725" s="31"/>
      <c r="V725" s="31"/>
      <c r="W725" s="31"/>
      <c r="X725" s="31"/>
      <c r="Y725" s="31"/>
      <c r="Z725" s="31"/>
      <c r="AA725" s="31"/>
      <c r="AB725" s="31"/>
      <c r="AC725" s="31"/>
      <c r="AD725" s="31"/>
      <c r="AE725" s="31"/>
      <c r="AF725" s="31"/>
      <c r="AG725" s="31"/>
      <c r="AH725" s="31"/>
      <c r="AI725" s="31"/>
      <c r="AJ725" s="31"/>
      <c r="AK725" s="31"/>
      <c r="AL725" s="28" t="e">
        <f>VLOOKUP($G725,'[42]Sheet1 (2)'!$A$1:$B$1048440,2,FALSE)</f>
        <v>#N/A</v>
      </c>
      <c r="AM725" s="32" t="s">
        <v>1111</v>
      </c>
      <c r="AN725" s="31"/>
      <c r="AO725" s="33"/>
    </row>
    <row r="726" spans="1:41" ht="126" x14ac:dyDescent="0.25">
      <c r="A726" s="26">
        <v>608</v>
      </c>
      <c r="B726" s="21" t="s">
        <v>1084</v>
      </c>
      <c r="C726" s="22">
        <v>17.2</v>
      </c>
      <c r="D726" s="25" t="s">
        <v>772</v>
      </c>
      <c r="E726" s="23" t="s">
        <v>1112</v>
      </c>
      <c r="F726" s="21" t="s">
        <v>1108</v>
      </c>
      <c r="G726" s="25" t="s">
        <v>1099</v>
      </c>
      <c r="H726" s="26">
        <v>7472</v>
      </c>
      <c r="I726" s="121">
        <v>1622</v>
      </c>
      <c r="J726" s="184">
        <f>8.4/20</f>
        <v>0.42000000000000004</v>
      </c>
      <c r="K726" s="184"/>
      <c r="L726" s="184">
        <f>0.382+0.304+0.299</f>
        <v>0.98499999999999988</v>
      </c>
      <c r="M726" s="184"/>
      <c r="N726" s="184"/>
      <c r="O726" s="184"/>
      <c r="P726" s="184">
        <v>0.36499999999999999</v>
      </c>
      <c r="Q726" s="31"/>
      <c r="R726" s="31"/>
      <c r="S726" s="31"/>
      <c r="T726" s="31"/>
      <c r="U726" s="31"/>
      <c r="V726" s="31"/>
      <c r="W726" s="31"/>
      <c r="X726" s="31"/>
      <c r="Y726" s="31"/>
      <c r="Z726" s="31"/>
      <c r="AA726" s="31"/>
      <c r="AB726" s="31"/>
      <c r="AC726" s="31"/>
      <c r="AD726" s="31"/>
      <c r="AE726" s="31"/>
      <c r="AF726" s="31"/>
      <c r="AG726" s="31"/>
      <c r="AH726" s="31"/>
      <c r="AI726" s="31"/>
      <c r="AJ726" s="31"/>
      <c r="AK726" s="31"/>
      <c r="AL726" s="28" t="e">
        <f>VLOOKUP($G726,'[42]Sheet1 (2)'!$A$1:$B$1048440,2,FALSE)</f>
        <v>#N/A</v>
      </c>
      <c r="AM726" s="32" t="s">
        <v>1113</v>
      </c>
      <c r="AN726" s="31"/>
      <c r="AO726" s="33"/>
    </row>
    <row r="727" spans="1:41" ht="98" x14ac:dyDescent="0.25">
      <c r="A727" s="26">
        <v>609</v>
      </c>
      <c r="B727" s="21" t="s">
        <v>1084</v>
      </c>
      <c r="C727" s="22">
        <v>17.21</v>
      </c>
      <c r="D727" s="25" t="s">
        <v>772</v>
      </c>
      <c r="E727" s="23" t="s">
        <v>1114</v>
      </c>
      <c r="F727" s="21" t="s">
        <v>1115</v>
      </c>
      <c r="G727" s="25" t="s">
        <v>1099</v>
      </c>
      <c r="H727" s="26">
        <v>7568</v>
      </c>
      <c r="I727" s="121">
        <v>1622</v>
      </c>
      <c r="J727" s="184">
        <f>8/20</f>
        <v>0.4</v>
      </c>
      <c r="K727" s="184"/>
      <c r="L727" s="184">
        <f>0.382+0.304+0.294</f>
        <v>0.98</v>
      </c>
      <c r="M727" s="184"/>
      <c r="N727" s="184"/>
      <c r="O727" s="184"/>
      <c r="P727" s="184">
        <v>0.36499999999999999</v>
      </c>
      <c r="Q727" s="31"/>
      <c r="R727" s="31"/>
      <c r="S727" s="31"/>
      <c r="T727" s="31"/>
      <c r="U727" s="31"/>
      <c r="V727" s="31"/>
      <c r="W727" s="31"/>
      <c r="X727" s="31"/>
      <c r="Y727" s="31"/>
      <c r="Z727" s="31"/>
      <c r="AA727" s="31"/>
      <c r="AB727" s="31"/>
      <c r="AC727" s="31"/>
      <c r="AD727" s="31"/>
      <c r="AE727" s="31"/>
      <c r="AF727" s="31"/>
      <c r="AG727" s="31"/>
      <c r="AH727" s="31"/>
      <c r="AI727" s="31"/>
      <c r="AJ727" s="31"/>
      <c r="AK727" s="31"/>
      <c r="AL727" s="28" t="e">
        <f>VLOOKUP($G727,'[42]Sheet1 (2)'!$A$1:$B$1048440,2,FALSE)</f>
        <v>#N/A</v>
      </c>
      <c r="AM727" s="32" t="s">
        <v>1116</v>
      </c>
      <c r="AN727" s="31"/>
      <c r="AO727" s="33"/>
    </row>
    <row r="728" spans="1:41" ht="98" x14ac:dyDescent="0.25">
      <c r="A728" s="40">
        <v>610</v>
      </c>
      <c r="B728" s="42" t="s">
        <v>1084</v>
      </c>
      <c r="C728" s="37">
        <v>17.22</v>
      </c>
      <c r="D728" s="45" t="s">
        <v>772</v>
      </c>
      <c r="E728" s="43" t="s">
        <v>1117</v>
      </c>
      <c r="F728" s="42" t="s">
        <v>1115</v>
      </c>
      <c r="G728" s="45" t="s">
        <v>1099</v>
      </c>
      <c r="H728" s="40">
        <v>7668</v>
      </c>
      <c r="I728" s="40">
        <v>1622</v>
      </c>
      <c r="J728" s="184">
        <f t="shared" si="4"/>
        <v>0.47499999999999998</v>
      </c>
      <c r="K728" s="184"/>
      <c r="L728" s="184">
        <v>0.85</v>
      </c>
      <c r="M728" s="184"/>
      <c r="N728" s="184"/>
      <c r="O728" s="184"/>
      <c r="P728" s="184">
        <v>0.42499999999999999</v>
      </c>
      <c r="Q728" s="31"/>
      <c r="R728" s="31"/>
      <c r="S728" s="31"/>
      <c r="T728" s="31"/>
      <c r="U728" s="31"/>
      <c r="V728" s="31"/>
      <c r="W728" s="31"/>
      <c r="X728" s="31"/>
      <c r="Y728" s="31"/>
      <c r="Z728" s="31"/>
      <c r="AA728" s="31"/>
      <c r="AB728" s="31"/>
      <c r="AC728" s="31"/>
      <c r="AD728" s="31"/>
      <c r="AE728" s="31"/>
      <c r="AF728" s="31"/>
      <c r="AG728" s="31"/>
      <c r="AH728" s="31"/>
      <c r="AI728" s="31"/>
      <c r="AJ728" s="31"/>
      <c r="AK728" s="31"/>
      <c r="AL728" s="28" t="e">
        <f>VLOOKUP($G728,'[42]Sheet1 (2)'!$A$1:$B$1048440,2,FALSE)</f>
        <v>#N/A</v>
      </c>
      <c r="AM728" s="32" t="s">
        <v>1118</v>
      </c>
      <c r="AN728" s="31"/>
      <c r="AO728" s="33"/>
    </row>
    <row r="729" spans="1:41" ht="112" x14ac:dyDescent="0.25">
      <c r="A729" s="40">
        <v>611</v>
      </c>
      <c r="B729" s="42" t="s">
        <v>1084</v>
      </c>
      <c r="C729" s="37">
        <v>17.23</v>
      </c>
      <c r="D729" s="45" t="s">
        <v>772</v>
      </c>
      <c r="E729" s="44" t="s">
        <v>1119</v>
      </c>
      <c r="F729" s="47" t="s">
        <v>1120</v>
      </c>
      <c r="G729" s="45" t="s">
        <v>1099</v>
      </c>
      <c r="H729" s="40">
        <v>7664</v>
      </c>
      <c r="I729" s="40">
        <v>1478</v>
      </c>
      <c r="J729" s="184">
        <f>8/20</f>
        <v>0.4</v>
      </c>
      <c r="K729" s="184"/>
      <c r="L729" s="184">
        <v>0.85</v>
      </c>
      <c r="M729" s="184"/>
      <c r="N729" s="184"/>
      <c r="O729" s="184"/>
      <c r="P729" s="184">
        <v>0.42499999999999999</v>
      </c>
      <c r="Q729" s="31"/>
      <c r="R729" s="31"/>
      <c r="S729" s="31"/>
      <c r="T729" s="31"/>
      <c r="U729" s="31"/>
      <c r="V729" s="31"/>
      <c r="W729" s="31"/>
      <c r="X729" s="31"/>
      <c r="Y729" s="31"/>
      <c r="Z729" s="31"/>
      <c r="AA729" s="31"/>
      <c r="AB729" s="31"/>
      <c r="AC729" s="31"/>
      <c r="AD729" s="31"/>
      <c r="AE729" s="31"/>
      <c r="AF729" s="31"/>
      <c r="AG729" s="31"/>
      <c r="AH729" s="31"/>
      <c r="AI729" s="31"/>
      <c r="AJ729" s="31"/>
      <c r="AK729" s="31"/>
      <c r="AL729" s="28" t="e">
        <f>VLOOKUP($G729,'[42]Sheet1 (2)'!$A$1:$B$1048440,2,FALSE)</f>
        <v>#N/A</v>
      </c>
      <c r="AM729" s="32" t="s">
        <v>1121</v>
      </c>
      <c r="AN729" s="31"/>
      <c r="AO729" s="33"/>
    </row>
    <row r="730" spans="1:41" ht="112" x14ac:dyDescent="0.25">
      <c r="A730" s="40">
        <v>612</v>
      </c>
      <c r="B730" s="42" t="s">
        <v>1084</v>
      </c>
      <c r="C730" s="37">
        <v>17.239999999999998</v>
      </c>
      <c r="D730" s="45" t="s">
        <v>772</v>
      </c>
      <c r="E730" s="44" t="s">
        <v>1122</v>
      </c>
      <c r="F730" s="47" t="s">
        <v>1120</v>
      </c>
      <c r="G730" s="45" t="s">
        <v>1099</v>
      </c>
      <c r="H730" s="40">
        <v>7810</v>
      </c>
      <c r="I730" s="40">
        <v>1478</v>
      </c>
      <c r="J730" s="184">
        <f>8.4/20</f>
        <v>0.42000000000000004</v>
      </c>
      <c r="K730" s="184"/>
      <c r="L730" s="184">
        <v>0.85</v>
      </c>
      <c r="M730" s="184"/>
      <c r="N730" s="184"/>
      <c r="O730" s="184"/>
      <c r="P730" s="184">
        <v>0.42499999999999999</v>
      </c>
      <c r="Q730" s="31"/>
      <c r="R730" s="31"/>
      <c r="S730" s="31"/>
      <c r="T730" s="31"/>
      <c r="U730" s="31"/>
      <c r="V730" s="31"/>
      <c r="W730" s="31"/>
      <c r="X730" s="31"/>
      <c r="Y730" s="31"/>
      <c r="Z730" s="31"/>
      <c r="AA730" s="31"/>
      <c r="AB730" s="31"/>
      <c r="AC730" s="31"/>
      <c r="AD730" s="31"/>
      <c r="AE730" s="31"/>
      <c r="AF730" s="31"/>
      <c r="AG730" s="31"/>
      <c r="AH730" s="31"/>
      <c r="AI730" s="31"/>
      <c r="AJ730" s="31"/>
      <c r="AK730" s="31"/>
      <c r="AL730" s="28" t="e">
        <f>VLOOKUP($G730,'[42]Sheet1 (2)'!$A$1:$B$1048440,2,FALSE)</f>
        <v>#N/A</v>
      </c>
      <c r="AM730" s="32" t="s">
        <v>1123</v>
      </c>
      <c r="AN730" s="31"/>
      <c r="AO730" s="33"/>
    </row>
    <row r="731" spans="1:41" ht="112" x14ac:dyDescent="0.25">
      <c r="A731" s="40">
        <v>613</v>
      </c>
      <c r="B731" s="42" t="s">
        <v>1084</v>
      </c>
      <c r="C731" s="37">
        <v>17.25</v>
      </c>
      <c r="D731" s="45" t="s">
        <v>772</v>
      </c>
      <c r="E731" s="44" t="s">
        <v>1124</v>
      </c>
      <c r="F731" s="47" t="s">
        <v>1120</v>
      </c>
      <c r="G731" s="45" t="s">
        <v>1099</v>
      </c>
      <c r="H731" s="40">
        <v>7589</v>
      </c>
      <c r="I731" s="40">
        <v>1478</v>
      </c>
      <c r="J731" s="184">
        <f>9.5/20</f>
        <v>0.47499999999999998</v>
      </c>
      <c r="K731" s="184"/>
      <c r="L731" s="184">
        <v>0.85</v>
      </c>
      <c r="M731" s="184"/>
      <c r="N731" s="184"/>
      <c r="O731" s="184"/>
      <c r="P731" s="184">
        <v>0.42499999999999999</v>
      </c>
      <c r="Q731" s="31"/>
      <c r="R731" s="31"/>
      <c r="S731" s="31"/>
      <c r="T731" s="31"/>
      <c r="U731" s="31"/>
      <c r="V731" s="31"/>
      <c r="W731" s="31"/>
      <c r="X731" s="31"/>
      <c r="Y731" s="31"/>
      <c r="Z731" s="31"/>
      <c r="AA731" s="31"/>
      <c r="AB731" s="31"/>
      <c r="AC731" s="31"/>
      <c r="AD731" s="31"/>
      <c r="AE731" s="31"/>
      <c r="AF731" s="31"/>
      <c r="AG731" s="31"/>
      <c r="AH731" s="31"/>
      <c r="AI731" s="31"/>
      <c r="AJ731" s="31"/>
      <c r="AK731" s="31"/>
      <c r="AL731" s="28" t="e">
        <f>VLOOKUP($G731,'[42]Sheet1 (2)'!$A$1:$B$1048440,2,FALSE)</f>
        <v>#N/A</v>
      </c>
      <c r="AM731" s="32" t="s">
        <v>1125</v>
      </c>
      <c r="AN731" s="31"/>
      <c r="AO731" s="33"/>
    </row>
    <row r="732" spans="1:41" ht="56" x14ac:dyDescent="0.25">
      <c r="A732" s="40">
        <v>614</v>
      </c>
      <c r="B732" s="193" t="s">
        <v>1126</v>
      </c>
      <c r="C732" s="37">
        <v>17.260000000000002</v>
      </c>
      <c r="D732" s="45" t="s">
        <v>772</v>
      </c>
      <c r="E732" s="43" t="s">
        <v>1127</v>
      </c>
      <c r="F732" s="47" t="s">
        <v>1128</v>
      </c>
      <c r="G732" s="45" t="s">
        <v>1099</v>
      </c>
      <c r="H732" s="40">
        <v>4450</v>
      </c>
      <c r="I732" s="40">
        <v>2701</v>
      </c>
      <c r="J732" s="31"/>
      <c r="K732" s="31"/>
      <c r="L732" s="31"/>
      <c r="M732" s="31"/>
      <c r="N732" s="31"/>
      <c r="O732" s="31"/>
      <c r="P732" s="31"/>
      <c r="Q732" s="31"/>
      <c r="R732" s="31"/>
      <c r="S732" s="31"/>
      <c r="T732" s="31"/>
      <c r="U732" s="31"/>
      <c r="V732" s="31"/>
      <c r="W732" s="31"/>
      <c r="X732" s="31"/>
      <c r="Y732" s="31"/>
      <c r="Z732" s="31"/>
      <c r="AA732" s="31"/>
      <c r="AB732" s="31"/>
      <c r="AC732" s="31"/>
      <c r="AD732" s="31"/>
      <c r="AE732" s="31"/>
      <c r="AF732" s="31"/>
      <c r="AG732" s="31"/>
      <c r="AH732" s="31"/>
      <c r="AI732" s="31"/>
      <c r="AJ732" s="31"/>
      <c r="AK732" s="31"/>
      <c r="AL732" s="28" t="e">
        <f>VLOOKUP($G732,'[42]Sheet1 (2)'!$A$1:$B$1048440,2,FALSE)</f>
        <v>#N/A</v>
      </c>
      <c r="AM732" s="32"/>
      <c r="AN732" s="31"/>
      <c r="AO732" s="33"/>
    </row>
    <row r="733" spans="1:41" ht="42" x14ac:dyDescent="0.25">
      <c r="A733" s="40">
        <v>615</v>
      </c>
      <c r="B733" s="193" t="s">
        <v>1126</v>
      </c>
      <c r="C733" s="37">
        <v>17.27</v>
      </c>
      <c r="D733" s="45" t="s">
        <v>772</v>
      </c>
      <c r="E733" s="43" t="s">
        <v>1129</v>
      </c>
      <c r="F733" s="47" t="s">
        <v>1130</v>
      </c>
      <c r="G733" s="45" t="s">
        <v>1099</v>
      </c>
      <c r="H733" s="40">
        <v>1822</v>
      </c>
      <c r="I733" s="40">
        <v>246</v>
      </c>
      <c r="J733" s="31"/>
      <c r="K733" s="31"/>
      <c r="L733" s="31"/>
      <c r="M733" s="31"/>
      <c r="N733" s="31"/>
      <c r="O733" s="31"/>
      <c r="P733" s="31"/>
      <c r="Q733" s="31"/>
      <c r="R733" s="31"/>
      <c r="S733" s="31"/>
      <c r="T733" s="31"/>
      <c r="U733" s="31"/>
      <c r="V733" s="31"/>
      <c r="W733" s="31"/>
      <c r="X733" s="31"/>
      <c r="Y733" s="31"/>
      <c r="Z733" s="31"/>
      <c r="AA733" s="31"/>
      <c r="AB733" s="31"/>
      <c r="AC733" s="31"/>
      <c r="AD733" s="31"/>
      <c r="AE733" s="31"/>
      <c r="AF733" s="31"/>
      <c r="AG733" s="31"/>
      <c r="AH733" s="31"/>
      <c r="AI733" s="31"/>
      <c r="AJ733" s="31"/>
      <c r="AK733" s="31"/>
      <c r="AL733" s="28" t="e">
        <f>VLOOKUP($G733,'[42]Sheet1 (2)'!$A$1:$B$1048440,2,FALSE)</f>
        <v>#N/A</v>
      </c>
      <c r="AM733" s="32"/>
      <c r="AN733" s="31"/>
      <c r="AO733" s="33"/>
    </row>
    <row r="734" spans="1:41" ht="17.5" x14ac:dyDescent="0.25">
      <c r="A734" s="40"/>
      <c r="B734" s="193"/>
      <c r="C734" s="37"/>
      <c r="D734" s="45"/>
      <c r="E734" s="147" t="s">
        <v>1131</v>
      </c>
      <c r="F734" s="47"/>
      <c r="G734" s="45"/>
      <c r="H734" s="40"/>
      <c r="I734" s="40"/>
      <c r="J734" s="31"/>
      <c r="K734" s="31"/>
      <c r="L734" s="31"/>
      <c r="M734" s="31"/>
      <c r="N734" s="31"/>
      <c r="O734" s="31"/>
      <c r="P734" s="31"/>
      <c r="Q734" s="31"/>
      <c r="R734" s="31"/>
      <c r="S734" s="31"/>
      <c r="T734" s="31"/>
      <c r="U734" s="31"/>
      <c r="V734" s="31"/>
      <c r="W734" s="31"/>
      <c r="X734" s="31"/>
      <c r="Y734" s="31"/>
      <c r="Z734" s="31"/>
      <c r="AA734" s="31"/>
      <c r="AB734" s="31"/>
      <c r="AC734" s="31"/>
      <c r="AD734" s="31"/>
      <c r="AE734" s="31"/>
      <c r="AF734" s="31"/>
      <c r="AG734" s="31"/>
      <c r="AH734" s="31"/>
      <c r="AI734" s="31"/>
      <c r="AJ734" s="31"/>
      <c r="AK734" s="31"/>
      <c r="AL734" s="28"/>
      <c r="AM734" s="32"/>
      <c r="AN734" s="31"/>
      <c r="AO734" s="33"/>
    </row>
    <row r="735" spans="1:41" ht="126" x14ac:dyDescent="0.25">
      <c r="A735" s="40">
        <v>616</v>
      </c>
      <c r="B735" s="45" t="s">
        <v>1131</v>
      </c>
      <c r="C735" s="37">
        <v>17.28</v>
      </c>
      <c r="D735" s="45" t="s">
        <v>772</v>
      </c>
      <c r="E735" s="43" t="s">
        <v>1132</v>
      </c>
      <c r="F735" s="42" t="s">
        <v>1133</v>
      </c>
      <c r="G735" s="143" t="s">
        <v>47</v>
      </c>
      <c r="H735" s="40">
        <v>7454</v>
      </c>
      <c r="I735" s="40">
        <v>1775</v>
      </c>
      <c r="J735" s="184">
        <f>7/20</f>
        <v>0.35</v>
      </c>
      <c r="K735" s="184"/>
      <c r="L735" s="184">
        <v>0.85</v>
      </c>
      <c r="M735" s="184"/>
      <c r="N735" s="184"/>
      <c r="O735" s="184"/>
      <c r="P735" s="184">
        <v>0.42499999999999999</v>
      </c>
      <c r="Q735" s="31"/>
      <c r="R735" s="31"/>
      <c r="S735" s="31"/>
      <c r="T735" s="31"/>
      <c r="U735" s="31"/>
      <c r="V735" s="31"/>
      <c r="W735" s="31"/>
      <c r="X735" s="31"/>
      <c r="Y735" s="31"/>
      <c r="Z735" s="31"/>
      <c r="AA735" s="31"/>
      <c r="AB735" s="31"/>
      <c r="AC735" s="31"/>
      <c r="AD735" s="31"/>
      <c r="AE735" s="31"/>
      <c r="AF735" s="31"/>
      <c r="AG735" s="31"/>
      <c r="AH735" s="31"/>
      <c r="AI735" s="31"/>
      <c r="AJ735" s="31"/>
      <c r="AK735" s="31"/>
      <c r="AL735" s="28" t="str">
        <f>VLOOKUP($G735,'[42]Sheet1 (2)'!$A$1:$B$1048440,2,FALSE)</f>
        <v>Cum</v>
      </c>
      <c r="AM735" s="32" t="s">
        <v>1134</v>
      </c>
      <c r="AN735" s="31"/>
      <c r="AO735" s="33"/>
    </row>
    <row r="736" spans="1:41" ht="126" x14ac:dyDescent="0.25">
      <c r="A736" s="40">
        <v>617</v>
      </c>
      <c r="B736" s="45" t="s">
        <v>1131</v>
      </c>
      <c r="C736" s="37">
        <v>17.29</v>
      </c>
      <c r="D736" s="45" t="s">
        <v>772</v>
      </c>
      <c r="E736" s="43" t="s">
        <v>1135</v>
      </c>
      <c r="F736" s="42" t="s">
        <v>1133</v>
      </c>
      <c r="G736" s="143" t="s">
        <v>47</v>
      </c>
      <c r="H736" s="40">
        <v>7832</v>
      </c>
      <c r="I736" s="40">
        <v>1775</v>
      </c>
      <c r="J736" s="184">
        <f>7.5/20</f>
        <v>0.375</v>
      </c>
      <c r="K736" s="184"/>
      <c r="L736" s="184">
        <v>0.85</v>
      </c>
      <c r="M736" s="184"/>
      <c r="N736" s="184"/>
      <c r="O736" s="184"/>
      <c r="P736" s="184">
        <v>0.42499999999999999</v>
      </c>
      <c r="Q736" s="31"/>
      <c r="R736" s="31"/>
      <c r="S736" s="31"/>
      <c r="T736" s="31"/>
      <c r="U736" s="31"/>
      <c r="V736" s="31"/>
      <c r="W736" s="31"/>
      <c r="X736" s="31"/>
      <c r="Y736" s="31"/>
      <c r="Z736" s="31"/>
      <c r="AA736" s="31"/>
      <c r="AB736" s="31"/>
      <c r="AC736" s="31"/>
      <c r="AD736" s="31"/>
      <c r="AE736" s="31"/>
      <c r="AF736" s="31"/>
      <c r="AG736" s="31"/>
      <c r="AH736" s="31"/>
      <c r="AI736" s="31"/>
      <c r="AJ736" s="31"/>
      <c r="AK736" s="31"/>
      <c r="AL736" s="28" t="str">
        <f>VLOOKUP($G736,'[42]Sheet1 (2)'!$A$1:$B$1048440,2,FALSE)</f>
        <v>Cum</v>
      </c>
      <c r="AM736" s="32" t="s">
        <v>1136</v>
      </c>
      <c r="AN736" s="31"/>
      <c r="AO736" s="33"/>
    </row>
    <row r="737" spans="1:41" ht="126" x14ac:dyDescent="0.25">
      <c r="A737" s="40">
        <v>618</v>
      </c>
      <c r="B737" s="45" t="s">
        <v>1131</v>
      </c>
      <c r="C737" s="37">
        <v>17.3</v>
      </c>
      <c r="D737" s="45" t="s">
        <v>772</v>
      </c>
      <c r="E737" s="43" t="s">
        <v>1137</v>
      </c>
      <c r="F737" s="42" t="s">
        <v>1133</v>
      </c>
      <c r="G737" s="143" t="s">
        <v>47</v>
      </c>
      <c r="H737" s="40">
        <v>7983</v>
      </c>
      <c r="I737" s="40">
        <v>1775</v>
      </c>
      <c r="J737" s="184">
        <f>8/20</f>
        <v>0.4</v>
      </c>
      <c r="K737" s="184"/>
      <c r="L737" s="184">
        <v>0.85</v>
      </c>
      <c r="M737" s="184"/>
      <c r="N737" s="184"/>
      <c r="O737" s="184"/>
      <c r="P737" s="184">
        <v>0.42499999999999999</v>
      </c>
      <c r="Q737" s="31"/>
      <c r="R737" s="31"/>
      <c r="S737" s="31"/>
      <c r="T737" s="31"/>
      <c r="U737" s="31"/>
      <c r="V737" s="31"/>
      <c r="W737" s="31"/>
      <c r="X737" s="31"/>
      <c r="Y737" s="31"/>
      <c r="Z737" s="31"/>
      <c r="AA737" s="31"/>
      <c r="AB737" s="31"/>
      <c r="AC737" s="31"/>
      <c r="AD737" s="31"/>
      <c r="AE737" s="31"/>
      <c r="AF737" s="31"/>
      <c r="AG737" s="31"/>
      <c r="AH737" s="31"/>
      <c r="AI737" s="31"/>
      <c r="AJ737" s="31"/>
      <c r="AK737" s="31"/>
      <c r="AL737" s="28" t="str">
        <f>VLOOKUP($G737,'[42]Sheet1 (2)'!$A$1:$B$1048440,2,FALSE)</f>
        <v>Cum</v>
      </c>
      <c r="AM737" s="32" t="s">
        <v>1138</v>
      </c>
      <c r="AN737" s="31"/>
      <c r="AO737" s="33"/>
    </row>
    <row r="738" spans="1:41" ht="126" x14ac:dyDescent="0.25">
      <c r="A738" s="40">
        <v>619</v>
      </c>
      <c r="B738" s="45" t="s">
        <v>1131</v>
      </c>
      <c r="C738" s="37">
        <v>17.309999999999999</v>
      </c>
      <c r="D738" s="45" t="s">
        <v>772</v>
      </c>
      <c r="E738" s="43" t="s">
        <v>1139</v>
      </c>
      <c r="F738" s="42" t="s">
        <v>1133</v>
      </c>
      <c r="G738" s="143" t="s">
        <v>47</v>
      </c>
      <c r="H738" s="40">
        <v>8399</v>
      </c>
      <c r="I738" s="40">
        <v>1775</v>
      </c>
      <c r="J738" s="184">
        <f>8.25/20</f>
        <v>0.41249999999999998</v>
      </c>
      <c r="K738" s="184"/>
      <c r="L738" s="184">
        <v>0.85</v>
      </c>
      <c r="M738" s="184"/>
      <c r="N738" s="184"/>
      <c r="O738" s="184"/>
      <c r="P738" s="184">
        <v>0.42499999999999999</v>
      </c>
      <c r="Q738" s="31"/>
      <c r="R738" s="31"/>
      <c r="S738" s="31"/>
      <c r="T738" s="31"/>
      <c r="U738" s="31"/>
      <c r="V738" s="31"/>
      <c r="W738" s="31"/>
      <c r="X738" s="31"/>
      <c r="Y738" s="31"/>
      <c r="Z738" s="31"/>
      <c r="AA738" s="31"/>
      <c r="AB738" s="31"/>
      <c r="AC738" s="31"/>
      <c r="AD738" s="31"/>
      <c r="AE738" s="31"/>
      <c r="AF738" s="31"/>
      <c r="AG738" s="31"/>
      <c r="AH738" s="31"/>
      <c r="AI738" s="31"/>
      <c r="AJ738" s="31"/>
      <c r="AK738" s="31"/>
      <c r="AL738" s="28" t="str">
        <f>VLOOKUP($G738,'[42]Sheet1 (2)'!$A$1:$B$1048440,2,FALSE)</f>
        <v>Cum</v>
      </c>
      <c r="AM738" s="32" t="s">
        <v>1138</v>
      </c>
      <c r="AN738" s="31"/>
      <c r="AO738" s="33"/>
    </row>
    <row r="739" spans="1:41" ht="126" x14ac:dyDescent="0.25">
      <c r="A739" s="40">
        <v>620</v>
      </c>
      <c r="B739" s="45" t="s">
        <v>1131</v>
      </c>
      <c r="C739" s="37">
        <v>17.32</v>
      </c>
      <c r="D739" s="45" t="s">
        <v>772</v>
      </c>
      <c r="E739" s="43" t="s">
        <v>1140</v>
      </c>
      <c r="F739" s="42" t="s">
        <v>1141</v>
      </c>
      <c r="G739" s="143" t="s">
        <v>47</v>
      </c>
      <c r="H739" s="40">
        <v>6060</v>
      </c>
      <c r="I739" s="40">
        <v>932</v>
      </c>
      <c r="J739" s="184">
        <f>7/20</f>
        <v>0.35</v>
      </c>
      <c r="K739" s="184"/>
      <c r="L739" s="184">
        <v>0.85</v>
      </c>
      <c r="M739" s="184"/>
      <c r="N739" s="184"/>
      <c r="O739" s="184"/>
      <c r="P739" s="184">
        <v>0.42499999999999999</v>
      </c>
      <c r="Q739" s="31"/>
      <c r="R739" s="31"/>
      <c r="S739" s="31"/>
      <c r="T739" s="31"/>
      <c r="U739" s="31"/>
      <c r="V739" s="31"/>
      <c r="W739" s="31"/>
      <c r="X739" s="31"/>
      <c r="Y739" s="31"/>
      <c r="Z739" s="31"/>
      <c r="AA739" s="31"/>
      <c r="AB739" s="31"/>
      <c r="AC739" s="31"/>
      <c r="AD739" s="31"/>
      <c r="AE739" s="31"/>
      <c r="AF739" s="31"/>
      <c r="AG739" s="31"/>
      <c r="AH739" s="31"/>
      <c r="AI739" s="31"/>
      <c r="AJ739" s="31"/>
      <c r="AK739" s="31"/>
      <c r="AL739" s="28" t="str">
        <f>VLOOKUP($G739,'[42]Sheet1 (2)'!$A$1:$B$1048440,2,FALSE)</f>
        <v>Cum</v>
      </c>
      <c r="AM739" s="32" t="s">
        <v>1142</v>
      </c>
      <c r="AN739" s="31"/>
      <c r="AO739" s="33"/>
    </row>
    <row r="740" spans="1:41" ht="126" x14ac:dyDescent="0.25">
      <c r="A740" s="40">
        <v>621</v>
      </c>
      <c r="B740" s="45" t="s">
        <v>1131</v>
      </c>
      <c r="C740" s="37">
        <v>17.329999999999998</v>
      </c>
      <c r="D740" s="45" t="s">
        <v>772</v>
      </c>
      <c r="E740" s="43" t="s">
        <v>1143</v>
      </c>
      <c r="F740" s="42" t="s">
        <v>1141</v>
      </c>
      <c r="G740" s="143" t="s">
        <v>47</v>
      </c>
      <c r="H740" s="40">
        <v>6241</v>
      </c>
      <c r="I740" s="40">
        <v>925</v>
      </c>
      <c r="J740" s="184">
        <f>7.5/20</f>
        <v>0.375</v>
      </c>
      <c r="K740" s="184"/>
      <c r="L740" s="184">
        <v>0.85</v>
      </c>
      <c r="M740" s="184"/>
      <c r="N740" s="184"/>
      <c r="O740" s="184"/>
      <c r="P740" s="184">
        <v>0.42499999999999999</v>
      </c>
      <c r="Q740" s="31"/>
      <c r="R740" s="31"/>
      <c r="S740" s="31"/>
      <c r="T740" s="31"/>
      <c r="U740" s="31"/>
      <c r="V740" s="31"/>
      <c r="W740" s="31"/>
      <c r="X740" s="31"/>
      <c r="Y740" s="31"/>
      <c r="Z740" s="31"/>
      <c r="AA740" s="31"/>
      <c r="AB740" s="31"/>
      <c r="AC740" s="31"/>
      <c r="AD740" s="31"/>
      <c r="AE740" s="31"/>
      <c r="AF740" s="31"/>
      <c r="AG740" s="31"/>
      <c r="AH740" s="31"/>
      <c r="AI740" s="31"/>
      <c r="AJ740" s="31"/>
      <c r="AK740" s="31"/>
      <c r="AL740" s="28" t="str">
        <f>VLOOKUP($G740,'[42]Sheet1 (2)'!$A$1:$B$1048440,2,FALSE)</f>
        <v>Cum</v>
      </c>
      <c r="AM740" s="32" t="s">
        <v>1142</v>
      </c>
      <c r="AN740" s="31"/>
      <c r="AO740" s="33"/>
    </row>
    <row r="741" spans="1:41" ht="126" x14ac:dyDescent="0.25">
      <c r="A741" s="40">
        <v>622</v>
      </c>
      <c r="B741" s="45" t="s">
        <v>1131</v>
      </c>
      <c r="C741" s="37">
        <v>17.34</v>
      </c>
      <c r="D741" s="45" t="s">
        <v>772</v>
      </c>
      <c r="E741" s="43" t="s">
        <v>1144</v>
      </c>
      <c r="F741" s="42" t="s">
        <v>1141</v>
      </c>
      <c r="G741" s="143" t="s">
        <v>47</v>
      </c>
      <c r="H741" s="40">
        <v>6401</v>
      </c>
      <c r="I741" s="40">
        <v>925</v>
      </c>
      <c r="J741" s="184">
        <f>8/20</f>
        <v>0.4</v>
      </c>
      <c r="K741" s="184"/>
      <c r="L741" s="184">
        <v>0.85</v>
      </c>
      <c r="M741" s="184"/>
      <c r="N741" s="184"/>
      <c r="O741" s="184"/>
      <c r="P741" s="184">
        <v>0.42499999999999999</v>
      </c>
      <c r="Q741" s="31"/>
      <c r="R741" s="31"/>
      <c r="S741" s="31"/>
      <c r="T741" s="31"/>
      <c r="U741" s="31"/>
      <c r="V741" s="31"/>
      <c r="W741" s="31"/>
      <c r="X741" s="31"/>
      <c r="Y741" s="31"/>
      <c r="Z741" s="31"/>
      <c r="AA741" s="31"/>
      <c r="AB741" s="31"/>
      <c r="AC741" s="31"/>
      <c r="AD741" s="31"/>
      <c r="AE741" s="31"/>
      <c r="AF741" s="31"/>
      <c r="AG741" s="31"/>
      <c r="AH741" s="31"/>
      <c r="AI741" s="31"/>
      <c r="AJ741" s="31"/>
      <c r="AK741" s="31"/>
      <c r="AL741" s="28" t="str">
        <f>VLOOKUP($G741,'[42]Sheet1 (2)'!$A$1:$B$1048440,2,FALSE)</f>
        <v>Cum</v>
      </c>
      <c r="AM741" s="32" t="s">
        <v>1142</v>
      </c>
      <c r="AN741" s="31"/>
      <c r="AO741" s="33"/>
    </row>
    <row r="742" spans="1:41" ht="126" x14ac:dyDescent="0.25">
      <c r="A742" s="26">
        <v>623</v>
      </c>
      <c r="B742" s="25" t="s">
        <v>1131</v>
      </c>
      <c r="C742" s="22">
        <v>17.350000000000001</v>
      </c>
      <c r="D742" s="25" t="s">
        <v>772</v>
      </c>
      <c r="E742" s="23" t="s">
        <v>1145</v>
      </c>
      <c r="F742" s="21" t="s">
        <v>1141</v>
      </c>
      <c r="G742" s="143" t="s">
        <v>47</v>
      </c>
      <c r="H742" s="26">
        <v>6529</v>
      </c>
      <c r="I742" s="26">
        <v>925</v>
      </c>
      <c r="J742" s="184">
        <f>8/20</f>
        <v>0.4</v>
      </c>
      <c r="K742" s="184"/>
      <c r="L742" s="184">
        <v>0.85</v>
      </c>
      <c r="M742" s="184"/>
      <c r="N742" s="184"/>
      <c r="O742" s="184"/>
      <c r="P742" s="184">
        <v>0.42499999999999999</v>
      </c>
      <c r="Q742" s="31"/>
      <c r="R742" s="31"/>
      <c r="S742" s="31"/>
      <c r="T742" s="31"/>
      <c r="U742" s="31"/>
      <c r="V742" s="31"/>
      <c r="W742" s="31"/>
      <c r="X742" s="31"/>
      <c r="Y742" s="31"/>
      <c r="Z742" s="31"/>
      <c r="AA742" s="31"/>
      <c r="AB742" s="31"/>
      <c r="AC742" s="31"/>
      <c r="AD742" s="31"/>
      <c r="AE742" s="31"/>
      <c r="AF742" s="31"/>
      <c r="AG742" s="31"/>
      <c r="AH742" s="31"/>
      <c r="AI742" s="31"/>
      <c r="AJ742" s="31"/>
      <c r="AK742" s="31"/>
      <c r="AL742" s="28" t="str">
        <f>VLOOKUP($G742,'[42]Sheet1 (2)'!$A$1:$B$1048440,2,FALSE)</f>
        <v>Cum</v>
      </c>
      <c r="AM742" s="32" t="s">
        <v>1142</v>
      </c>
      <c r="AN742" s="31"/>
      <c r="AO742" s="33"/>
    </row>
    <row r="743" spans="1:41" ht="70" x14ac:dyDescent="0.25">
      <c r="A743" s="26">
        <v>624</v>
      </c>
      <c r="B743" s="92" t="s">
        <v>1146</v>
      </c>
      <c r="C743" s="22">
        <v>17.36</v>
      </c>
      <c r="D743" s="25" t="s">
        <v>772</v>
      </c>
      <c r="E743" s="23" t="s">
        <v>1147</v>
      </c>
      <c r="F743" s="21" t="s">
        <v>1148</v>
      </c>
      <c r="G743" s="21" t="s">
        <v>1081</v>
      </c>
      <c r="H743" s="26">
        <v>479</v>
      </c>
      <c r="I743" s="26">
        <v>83</v>
      </c>
      <c r="J743" s="31"/>
      <c r="K743" s="31"/>
      <c r="L743" s="31"/>
      <c r="M743" s="31"/>
      <c r="N743" s="31"/>
      <c r="O743" s="31"/>
      <c r="P743" s="31"/>
      <c r="Q743" s="31"/>
      <c r="R743" s="31"/>
      <c r="S743" s="31"/>
      <c r="T743" s="31"/>
      <c r="U743" s="31"/>
      <c r="V743" s="31"/>
      <c r="W743" s="31"/>
      <c r="X743" s="31"/>
      <c r="Y743" s="31"/>
      <c r="Z743" s="31"/>
      <c r="AA743" s="31"/>
      <c r="AB743" s="31"/>
      <c r="AC743" s="31"/>
      <c r="AD743" s="31"/>
      <c r="AE743" s="31"/>
      <c r="AF743" s="31"/>
      <c r="AG743" s="31"/>
      <c r="AH743" s="31"/>
      <c r="AI743" s="31"/>
      <c r="AJ743" s="31"/>
      <c r="AK743" s="31"/>
      <c r="AL743" s="28" t="e">
        <f>VLOOKUP($G743,'[42]Sheet1 (2)'!$A$1:$B$1048440,2,FALSE)</f>
        <v>#N/A</v>
      </c>
      <c r="AM743" s="32"/>
      <c r="AN743" s="31"/>
      <c r="AO743" s="33"/>
    </row>
    <row r="744" spans="1:41" ht="70" x14ac:dyDescent="0.25">
      <c r="A744" s="26">
        <v>625</v>
      </c>
      <c r="B744" s="92" t="s">
        <v>1146</v>
      </c>
      <c r="C744" s="22">
        <v>17.37</v>
      </c>
      <c r="D744" s="25" t="s">
        <v>772</v>
      </c>
      <c r="E744" s="24" t="s">
        <v>1149</v>
      </c>
      <c r="F744" s="21" t="s">
        <v>1148</v>
      </c>
      <c r="G744" s="145" t="s">
        <v>80</v>
      </c>
      <c r="H744" s="26">
        <v>533</v>
      </c>
      <c r="I744" s="26">
        <v>75</v>
      </c>
      <c r="J744" s="31"/>
      <c r="K744" s="31"/>
      <c r="L744" s="31"/>
      <c r="M744" s="31"/>
      <c r="N744" s="31"/>
      <c r="O744" s="31"/>
      <c r="P744" s="31"/>
      <c r="Q744" s="31"/>
      <c r="R744" s="31"/>
      <c r="S744" s="31"/>
      <c r="T744" s="31"/>
      <c r="U744" s="31"/>
      <c r="V744" s="31"/>
      <c r="W744" s="31"/>
      <c r="X744" s="31"/>
      <c r="Y744" s="31"/>
      <c r="Z744" s="31"/>
      <c r="AA744" s="31"/>
      <c r="AB744" s="31"/>
      <c r="AC744" s="31"/>
      <c r="AD744" s="31"/>
      <c r="AE744" s="31"/>
      <c r="AF744" s="31"/>
      <c r="AG744" s="31"/>
      <c r="AH744" s="31"/>
      <c r="AI744" s="31"/>
      <c r="AJ744" s="31"/>
      <c r="AK744" s="31"/>
      <c r="AL744" s="28" t="str">
        <f>VLOOKUP($G744,'[42]Sheet1 (2)'!$A$1:$B$1048440,2,FALSE)</f>
        <v>Rmt.</v>
      </c>
      <c r="AM744" s="32"/>
      <c r="AN744" s="31"/>
      <c r="AO744" s="33"/>
    </row>
    <row r="745" spans="1:41" ht="252" x14ac:dyDescent="0.25">
      <c r="A745" s="26">
        <v>626</v>
      </c>
      <c r="B745" s="25" t="s">
        <v>1131</v>
      </c>
      <c r="C745" s="22">
        <v>17.38</v>
      </c>
      <c r="D745" s="25" t="s">
        <v>772</v>
      </c>
      <c r="E745" s="23" t="s">
        <v>1150</v>
      </c>
      <c r="F745" s="21" t="s">
        <v>1151</v>
      </c>
      <c r="G745" s="143" t="s">
        <v>47</v>
      </c>
      <c r="H745" s="26">
        <v>7519</v>
      </c>
      <c r="I745" s="26">
        <v>1929</v>
      </c>
      <c r="J745" s="184">
        <v>0.33</v>
      </c>
      <c r="K745" s="184"/>
      <c r="L745" s="184">
        <f>0.52+0.22+0.11</f>
        <v>0.85</v>
      </c>
      <c r="M745" s="184"/>
      <c r="N745" s="184"/>
      <c r="O745" s="184"/>
      <c r="P745" s="184">
        <v>0.45</v>
      </c>
      <c r="Q745" s="31"/>
      <c r="R745" s="31"/>
      <c r="S745" s="31"/>
      <c r="T745" s="31"/>
      <c r="U745" s="31"/>
      <c r="V745" s="31"/>
      <c r="W745" s="31"/>
      <c r="X745" s="31"/>
      <c r="Y745" s="31"/>
      <c r="Z745" s="31"/>
      <c r="AA745" s="31"/>
      <c r="AB745" s="31"/>
      <c r="AC745" s="31"/>
      <c r="AD745" s="31"/>
      <c r="AE745" s="31"/>
      <c r="AF745" s="31"/>
      <c r="AG745" s="31"/>
      <c r="AH745" s="31"/>
      <c r="AI745" s="31"/>
      <c r="AJ745" s="31"/>
      <c r="AK745" s="31"/>
      <c r="AL745" s="28" t="str">
        <f>VLOOKUP($G745,'[42]Sheet1 (2)'!$A$1:$B$1048440,2,FALSE)</f>
        <v>Cum</v>
      </c>
      <c r="AM745" s="32" t="s">
        <v>1152</v>
      </c>
      <c r="AN745" s="33"/>
      <c r="AO745" s="33"/>
    </row>
    <row r="746" spans="1:41" ht="238" x14ac:dyDescent="0.25">
      <c r="A746" s="26">
        <v>627</v>
      </c>
      <c r="B746" s="25" t="s">
        <v>1131</v>
      </c>
      <c r="C746" s="22">
        <v>17.39</v>
      </c>
      <c r="D746" s="25" t="s">
        <v>772</v>
      </c>
      <c r="E746" s="23" t="s">
        <v>1153</v>
      </c>
      <c r="F746" s="21" t="s">
        <v>1151</v>
      </c>
      <c r="G746" s="143" t="s">
        <v>47</v>
      </c>
      <c r="H746" s="26">
        <v>8048</v>
      </c>
      <c r="I746" s="121">
        <v>1929</v>
      </c>
      <c r="J746" s="184">
        <v>0.38</v>
      </c>
      <c r="K746" s="184"/>
      <c r="L746" s="184">
        <f>0.57+0.22+0.11</f>
        <v>0.89999999999999991</v>
      </c>
      <c r="M746" s="184"/>
      <c r="N746" s="184"/>
      <c r="O746" s="184"/>
      <c r="P746" s="184">
        <v>0.45</v>
      </c>
      <c r="Q746" s="31"/>
      <c r="R746" s="31"/>
      <c r="S746" s="31"/>
      <c r="T746" s="31"/>
      <c r="U746" s="31"/>
      <c r="V746" s="31"/>
      <c r="W746" s="31"/>
      <c r="X746" s="31"/>
      <c r="Y746" s="31"/>
      <c r="Z746" s="31"/>
      <c r="AA746" s="31"/>
      <c r="AB746" s="31"/>
      <c r="AC746" s="31"/>
      <c r="AD746" s="31"/>
      <c r="AE746" s="31"/>
      <c r="AF746" s="31"/>
      <c r="AG746" s="31"/>
      <c r="AH746" s="31"/>
      <c r="AI746" s="31"/>
      <c r="AJ746" s="31"/>
      <c r="AK746" s="31"/>
      <c r="AL746" s="28" t="str">
        <f>VLOOKUP($G746,'[42]Sheet1 (2)'!$A$1:$B$1048440,2,FALSE)</f>
        <v>Cum</v>
      </c>
      <c r="AM746" s="32" t="s">
        <v>1154</v>
      </c>
      <c r="AN746" s="33"/>
      <c r="AO746" s="33"/>
    </row>
    <row r="747" spans="1:41" ht="238" x14ac:dyDescent="0.25">
      <c r="A747" s="26">
        <v>628</v>
      </c>
      <c r="B747" s="25" t="s">
        <v>1131</v>
      </c>
      <c r="C747" s="22">
        <v>17.399999999999999</v>
      </c>
      <c r="D747" s="23"/>
      <c r="E747" s="23" t="s">
        <v>1155</v>
      </c>
      <c r="F747" s="23"/>
      <c r="G747" s="143" t="s">
        <v>47</v>
      </c>
      <c r="H747" s="26">
        <v>8212</v>
      </c>
      <c r="I747" s="121">
        <v>1929</v>
      </c>
      <c r="J747" s="184">
        <f>8/20</f>
        <v>0.4</v>
      </c>
      <c r="K747" s="184"/>
      <c r="L747" s="184">
        <f>0.382+0.304+0.299</f>
        <v>0.98499999999999988</v>
      </c>
      <c r="M747" s="184"/>
      <c r="N747" s="184"/>
      <c r="O747" s="184"/>
      <c r="P747" s="184">
        <v>0.36499999999999999</v>
      </c>
      <c r="Q747" s="31"/>
      <c r="R747" s="31"/>
      <c r="S747" s="31"/>
      <c r="T747" s="31"/>
      <c r="U747" s="31"/>
      <c r="V747" s="31"/>
      <c r="W747" s="31"/>
      <c r="X747" s="31"/>
      <c r="Y747" s="31"/>
      <c r="Z747" s="31"/>
      <c r="AA747" s="31"/>
      <c r="AB747" s="31"/>
      <c r="AC747" s="31"/>
      <c r="AD747" s="31"/>
      <c r="AE747" s="31"/>
      <c r="AF747" s="31"/>
      <c r="AG747" s="31"/>
      <c r="AH747" s="31"/>
      <c r="AI747" s="31"/>
      <c r="AJ747" s="31"/>
      <c r="AK747" s="31"/>
      <c r="AL747" s="28" t="str">
        <f>VLOOKUP($G747,'[42]Sheet1 (2)'!$A$1:$B$1048440,2,FALSE)</f>
        <v>Cum</v>
      </c>
      <c r="AM747" s="32" t="s">
        <v>1156</v>
      </c>
      <c r="AN747" s="33"/>
      <c r="AO747" s="33"/>
    </row>
    <row r="748" spans="1:41" ht="238" x14ac:dyDescent="0.25">
      <c r="A748" s="26">
        <v>629</v>
      </c>
      <c r="B748" s="25" t="s">
        <v>1131</v>
      </c>
      <c r="C748" s="22">
        <v>17.41</v>
      </c>
      <c r="D748" s="23"/>
      <c r="E748" s="23" t="s">
        <v>1157</v>
      </c>
      <c r="F748" s="23"/>
      <c r="G748" s="143" t="s">
        <v>47</v>
      </c>
      <c r="H748" s="26">
        <v>8305</v>
      </c>
      <c r="I748" s="121">
        <v>1929</v>
      </c>
      <c r="J748" s="184">
        <v>0.42</v>
      </c>
      <c r="K748" s="184"/>
      <c r="L748" s="184">
        <f>0.382+0.304+0.299</f>
        <v>0.98499999999999988</v>
      </c>
      <c r="M748" s="184"/>
      <c r="N748" s="184"/>
      <c r="O748" s="184"/>
      <c r="P748" s="184">
        <v>0.36499999999999999</v>
      </c>
      <c r="Q748" s="31"/>
      <c r="R748" s="31"/>
      <c r="S748" s="31"/>
      <c r="T748" s="31"/>
      <c r="U748" s="31"/>
      <c r="V748" s="31"/>
      <c r="W748" s="31"/>
      <c r="X748" s="31"/>
      <c r="Y748" s="31"/>
      <c r="Z748" s="31"/>
      <c r="AA748" s="31"/>
      <c r="AB748" s="31"/>
      <c r="AC748" s="31"/>
      <c r="AD748" s="31"/>
      <c r="AE748" s="31"/>
      <c r="AF748" s="31"/>
      <c r="AG748" s="31"/>
      <c r="AH748" s="31"/>
      <c r="AI748" s="31"/>
      <c r="AJ748" s="31"/>
      <c r="AK748" s="31"/>
      <c r="AL748" s="28" t="str">
        <f>VLOOKUP($G748,'[42]Sheet1 (2)'!$A$1:$B$1048440,2,FALSE)</f>
        <v>Cum</v>
      </c>
      <c r="AM748" s="32" t="s">
        <v>1158</v>
      </c>
      <c r="AN748" s="33"/>
      <c r="AO748" s="33"/>
    </row>
    <row r="749" spans="1:41" ht="238" x14ac:dyDescent="0.25">
      <c r="A749" s="26">
        <v>630</v>
      </c>
      <c r="B749" s="25" t="s">
        <v>1131</v>
      </c>
      <c r="C749" s="22">
        <v>17.420000000000002</v>
      </c>
      <c r="D749" s="23"/>
      <c r="E749" s="23" t="s">
        <v>1159</v>
      </c>
      <c r="F749" s="23"/>
      <c r="G749" s="143" t="s">
        <v>47</v>
      </c>
      <c r="H749" s="26">
        <v>9422</v>
      </c>
      <c r="I749" s="121">
        <v>1929</v>
      </c>
      <c r="J749" s="184">
        <v>0.46</v>
      </c>
      <c r="K749" s="184"/>
      <c r="L749" s="184">
        <f>0.382+0.304+0.299</f>
        <v>0.98499999999999988</v>
      </c>
      <c r="M749" s="184"/>
      <c r="N749" s="184"/>
      <c r="O749" s="184"/>
      <c r="P749" s="184">
        <v>0.36499999999999999</v>
      </c>
      <c r="Q749" s="31"/>
      <c r="R749" s="31"/>
      <c r="S749" s="31"/>
      <c r="T749" s="31"/>
      <c r="U749" s="31"/>
      <c r="V749" s="31"/>
      <c r="W749" s="31"/>
      <c r="X749" s="31"/>
      <c r="Y749" s="31"/>
      <c r="Z749" s="31"/>
      <c r="AA749" s="31"/>
      <c r="AB749" s="31"/>
      <c r="AC749" s="31"/>
      <c r="AD749" s="31"/>
      <c r="AE749" s="31"/>
      <c r="AF749" s="31"/>
      <c r="AG749" s="31"/>
      <c r="AH749" s="31"/>
      <c r="AI749" s="31"/>
      <c r="AJ749" s="31"/>
      <c r="AK749" s="31"/>
      <c r="AL749" s="28" t="str">
        <f>VLOOKUP($G749,'[42]Sheet1 (2)'!$A$1:$B$1048440,2,FALSE)</f>
        <v>Cum</v>
      </c>
      <c r="AM749" s="32" t="s">
        <v>1160</v>
      </c>
      <c r="AN749" s="33"/>
      <c r="AO749" s="33"/>
    </row>
    <row r="750" spans="1:41" ht="252" x14ac:dyDescent="0.25">
      <c r="A750" s="26">
        <v>631</v>
      </c>
      <c r="B750" s="25" t="s">
        <v>1131</v>
      </c>
      <c r="C750" s="22">
        <v>17.43</v>
      </c>
      <c r="D750" s="25" t="s">
        <v>772</v>
      </c>
      <c r="E750" s="23" t="s">
        <v>1161</v>
      </c>
      <c r="F750" s="21" t="s">
        <v>1151</v>
      </c>
      <c r="G750" s="143" t="s">
        <v>47</v>
      </c>
      <c r="H750" s="26">
        <v>8776</v>
      </c>
      <c r="I750" s="121">
        <v>1929</v>
      </c>
      <c r="J750" s="184">
        <f>7/20</f>
        <v>0.35</v>
      </c>
      <c r="K750" s="184"/>
      <c r="L750" s="184">
        <v>0.85</v>
      </c>
      <c r="M750" s="184"/>
      <c r="N750" s="184"/>
      <c r="O750" s="184"/>
      <c r="P750" s="184">
        <v>0.42499999999999999</v>
      </c>
      <c r="Q750" s="31"/>
      <c r="R750" s="31"/>
      <c r="S750" s="31"/>
      <c r="T750" s="31"/>
      <c r="U750" s="31"/>
      <c r="V750" s="31"/>
      <c r="W750" s="31"/>
      <c r="X750" s="31"/>
      <c r="Y750" s="31"/>
      <c r="Z750" s="31"/>
      <c r="AA750" s="31"/>
      <c r="AB750" s="31"/>
      <c r="AC750" s="31"/>
      <c r="AD750" s="31"/>
      <c r="AE750" s="31"/>
      <c r="AF750" s="31"/>
      <c r="AG750" s="31"/>
      <c r="AH750" s="31"/>
      <c r="AI750" s="31"/>
      <c r="AJ750" s="31"/>
      <c r="AK750" s="31"/>
      <c r="AL750" s="28" t="str">
        <f>VLOOKUP($G750,'[42]Sheet1 (2)'!$A$1:$B$1048440,2,FALSE)</f>
        <v>Cum</v>
      </c>
      <c r="AM750" s="32" t="s">
        <v>1154</v>
      </c>
      <c r="AN750" s="33"/>
      <c r="AO750" s="33"/>
    </row>
    <row r="751" spans="1:41" ht="252" x14ac:dyDescent="0.25">
      <c r="A751" s="26">
        <v>632</v>
      </c>
      <c r="B751" s="25" t="s">
        <v>1131</v>
      </c>
      <c r="C751" s="22">
        <v>17.440000000000001</v>
      </c>
      <c r="D751" s="25" t="s">
        <v>772</v>
      </c>
      <c r="E751" s="23" t="s">
        <v>1162</v>
      </c>
      <c r="F751" s="21" t="s">
        <v>1151</v>
      </c>
      <c r="G751" s="143" t="s">
        <v>47</v>
      </c>
      <c r="H751" s="26">
        <v>8935</v>
      </c>
      <c r="I751" s="121">
        <v>1929</v>
      </c>
      <c r="J751" s="184">
        <f>7.5/20</f>
        <v>0.375</v>
      </c>
      <c r="K751" s="184"/>
      <c r="L751" s="184">
        <v>0.85</v>
      </c>
      <c r="M751" s="184"/>
      <c r="N751" s="184"/>
      <c r="O751" s="184"/>
      <c r="P751" s="184">
        <v>0.42499999999999999</v>
      </c>
      <c r="Q751" s="31"/>
      <c r="R751" s="31"/>
      <c r="S751" s="31"/>
      <c r="T751" s="31"/>
      <c r="U751" s="31"/>
      <c r="V751" s="31"/>
      <c r="W751" s="31"/>
      <c r="X751" s="31"/>
      <c r="Y751" s="31"/>
      <c r="Z751" s="31"/>
      <c r="AA751" s="31"/>
      <c r="AB751" s="31"/>
      <c r="AC751" s="31"/>
      <c r="AD751" s="31"/>
      <c r="AE751" s="31"/>
      <c r="AF751" s="31"/>
      <c r="AG751" s="31"/>
      <c r="AH751" s="31"/>
      <c r="AI751" s="31"/>
      <c r="AJ751" s="31"/>
      <c r="AK751" s="31"/>
      <c r="AL751" s="28" t="str">
        <f>VLOOKUP($G751,'[42]Sheet1 (2)'!$A$1:$B$1048440,2,FALSE)</f>
        <v>Cum</v>
      </c>
      <c r="AM751" s="32" t="s">
        <v>1163</v>
      </c>
      <c r="AN751" s="33"/>
      <c r="AO751" s="33"/>
    </row>
    <row r="752" spans="1:41" ht="252" x14ac:dyDescent="0.25">
      <c r="A752" s="26">
        <v>633</v>
      </c>
      <c r="B752" s="25" t="s">
        <v>1131</v>
      </c>
      <c r="C752" s="22">
        <v>17.45</v>
      </c>
      <c r="D752" s="25" t="s">
        <v>772</v>
      </c>
      <c r="E752" s="23" t="s">
        <v>1164</v>
      </c>
      <c r="F752" s="21" t="s">
        <v>1151</v>
      </c>
      <c r="G752" s="143" t="s">
        <v>47</v>
      </c>
      <c r="H752" s="26">
        <v>9176</v>
      </c>
      <c r="I752" s="121">
        <v>1929</v>
      </c>
      <c r="J752" s="184">
        <f>8/20</f>
        <v>0.4</v>
      </c>
      <c r="K752" s="184"/>
      <c r="L752" s="184">
        <v>0.85</v>
      </c>
      <c r="M752" s="184"/>
      <c r="N752" s="184"/>
      <c r="O752" s="184"/>
      <c r="P752" s="184">
        <v>0.42499999999999999</v>
      </c>
      <c r="Q752" s="31"/>
      <c r="R752" s="31"/>
      <c r="S752" s="31"/>
      <c r="T752" s="31"/>
      <c r="U752" s="31"/>
      <c r="V752" s="31"/>
      <c r="W752" s="31"/>
      <c r="X752" s="31"/>
      <c r="Y752" s="31"/>
      <c r="Z752" s="31"/>
      <c r="AA752" s="31"/>
      <c r="AB752" s="31"/>
      <c r="AC752" s="31"/>
      <c r="AD752" s="31"/>
      <c r="AE752" s="31"/>
      <c r="AF752" s="31"/>
      <c r="AG752" s="31"/>
      <c r="AH752" s="31"/>
      <c r="AI752" s="31"/>
      <c r="AJ752" s="31"/>
      <c r="AK752" s="31"/>
      <c r="AL752" s="28" t="str">
        <f>VLOOKUP($G752,'[42]Sheet1 (2)'!$A$1:$B$1048440,2,FALSE)</f>
        <v>Cum</v>
      </c>
      <c r="AM752" s="32" t="s">
        <v>1165</v>
      </c>
      <c r="AN752" s="33"/>
      <c r="AO752" s="33"/>
    </row>
    <row r="753" spans="1:41" ht="252" x14ac:dyDescent="0.25">
      <c r="A753" s="26">
        <v>634</v>
      </c>
      <c r="B753" s="25" t="s">
        <v>1131</v>
      </c>
      <c r="C753" s="22">
        <v>17.46</v>
      </c>
      <c r="D753" s="25" t="s">
        <v>772</v>
      </c>
      <c r="E753" s="24" t="s">
        <v>1166</v>
      </c>
      <c r="F753" s="21" t="s">
        <v>1151</v>
      </c>
      <c r="G753" s="143" t="s">
        <v>47</v>
      </c>
      <c r="H753" s="26">
        <v>9528</v>
      </c>
      <c r="I753" s="121">
        <v>1929</v>
      </c>
      <c r="J753" s="184">
        <f>8.25/20</f>
        <v>0.41249999999999998</v>
      </c>
      <c r="K753" s="184"/>
      <c r="L753" s="184">
        <v>0.85</v>
      </c>
      <c r="M753" s="184"/>
      <c r="N753" s="184"/>
      <c r="O753" s="184"/>
      <c r="P753" s="184">
        <v>0.42499999999999999</v>
      </c>
      <c r="Q753" s="31"/>
      <c r="R753" s="31"/>
      <c r="S753" s="31"/>
      <c r="T753" s="31"/>
      <c r="U753" s="31"/>
      <c r="V753" s="31"/>
      <c r="W753" s="31"/>
      <c r="X753" s="31"/>
      <c r="Y753" s="31"/>
      <c r="Z753" s="31"/>
      <c r="AA753" s="31"/>
      <c r="AB753" s="31"/>
      <c r="AC753" s="31"/>
      <c r="AD753" s="31"/>
      <c r="AE753" s="31"/>
      <c r="AF753" s="31"/>
      <c r="AG753" s="31"/>
      <c r="AH753" s="31"/>
      <c r="AI753" s="31"/>
      <c r="AJ753" s="31"/>
      <c r="AK753" s="31"/>
      <c r="AL753" s="28" t="str">
        <f>VLOOKUP($G753,'[42]Sheet1 (2)'!$A$1:$B$1048440,2,FALSE)</f>
        <v>Cum</v>
      </c>
      <c r="AM753" s="32" t="s">
        <v>1160</v>
      </c>
      <c r="AN753" s="33"/>
      <c r="AO753" s="33"/>
    </row>
    <row r="754" spans="1:41" ht="210" x14ac:dyDescent="0.25">
      <c r="A754" s="26">
        <v>635</v>
      </c>
      <c r="B754" s="25" t="s">
        <v>1131</v>
      </c>
      <c r="C754" s="22">
        <v>17.47</v>
      </c>
      <c r="D754" s="25" t="s">
        <v>772</v>
      </c>
      <c r="E754" s="23" t="s">
        <v>1167</v>
      </c>
      <c r="F754" s="35" t="s">
        <v>1168</v>
      </c>
      <c r="G754" s="143" t="s">
        <v>47</v>
      </c>
      <c r="H754" s="26">
        <v>8088</v>
      </c>
      <c r="I754" s="121">
        <v>1929</v>
      </c>
      <c r="J754" s="184">
        <f>7/20</f>
        <v>0.35</v>
      </c>
      <c r="K754" s="184"/>
      <c r="L754" s="184">
        <v>0.85</v>
      </c>
      <c r="M754" s="184"/>
      <c r="N754" s="184"/>
      <c r="O754" s="184"/>
      <c r="P754" s="184">
        <v>0.42499999999999999</v>
      </c>
      <c r="Q754" s="31"/>
      <c r="R754" s="31"/>
      <c r="S754" s="31"/>
      <c r="T754" s="31"/>
      <c r="U754" s="31"/>
      <c r="V754" s="31"/>
      <c r="W754" s="31"/>
      <c r="X754" s="31"/>
      <c r="Y754" s="31"/>
      <c r="Z754" s="31"/>
      <c r="AA754" s="31"/>
      <c r="AB754" s="31"/>
      <c r="AC754" s="31"/>
      <c r="AD754" s="31"/>
      <c r="AE754" s="31"/>
      <c r="AF754" s="31"/>
      <c r="AG754" s="31"/>
      <c r="AH754" s="31"/>
      <c r="AI754" s="31"/>
      <c r="AJ754" s="31"/>
      <c r="AK754" s="31"/>
      <c r="AL754" s="28" t="str">
        <f>VLOOKUP($G754,'[42]Sheet1 (2)'!$A$1:$B$1048440,2,FALSE)</f>
        <v>Cum</v>
      </c>
      <c r="AM754" s="32" t="s">
        <v>1169</v>
      </c>
      <c r="AN754" s="33"/>
      <c r="AO754" s="33"/>
    </row>
    <row r="755" spans="1:41" ht="210" x14ac:dyDescent="0.25">
      <c r="A755" s="26">
        <v>636</v>
      </c>
      <c r="B755" s="25" t="s">
        <v>1131</v>
      </c>
      <c r="C755" s="22">
        <v>17.48</v>
      </c>
      <c r="D755" s="25" t="s">
        <v>772</v>
      </c>
      <c r="E755" s="23" t="s">
        <v>1170</v>
      </c>
      <c r="F755" s="35" t="s">
        <v>1168</v>
      </c>
      <c r="G755" s="143" t="s">
        <v>47</v>
      </c>
      <c r="H755" s="26">
        <v>8246</v>
      </c>
      <c r="I755" s="121">
        <v>1929</v>
      </c>
      <c r="J755" s="184">
        <f>7.5/20</f>
        <v>0.375</v>
      </c>
      <c r="K755" s="184"/>
      <c r="L755" s="184">
        <v>0.85</v>
      </c>
      <c r="M755" s="184"/>
      <c r="N755" s="184"/>
      <c r="O755" s="184"/>
      <c r="P755" s="184">
        <v>0.42499999999999999</v>
      </c>
      <c r="Q755" s="31"/>
      <c r="R755" s="31"/>
      <c r="S755" s="31"/>
      <c r="T755" s="31"/>
      <c r="U755" s="31"/>
      <c r="V755" s="31"/>
      <c r="W755" s="31"/>
      <c r="X755" s="31"/>
      <c r="Y755" s="31"/>
      <c r="Z755" s="31"/>
      <c r="AA755" s="31"/>
      <c r="AB755" s="31"/>
      <c r="AC755" s="31"/>
      <c r="AD755" s="31"/>
      <c r="AE755" s="31"/>
      <c r="AF755" s="31"/>
      <c r="AG755" s="31"/>
      <c r="AH755" s="31"/>
      <c r="AI755" s="31"/>
      <c r="AJ755" s="31"/>
      <c r="AK755" s="31"/>
      <c r="AL755" s="28" t="str">
        <f>VLOOKUP($G755,'[42]Sheet1 (2)'!$A$1:$B$1048440,2,FALSE)</f>
        <v>Cum</v>
      </c>
      <c r="AM755" s="32" t="s">
        <v>1171</v>
      </c>
      <c r="AN755" s="33"/>
      <c r="AO755" s="33"/>
    </row>
    <row r="756" spans="1:41" ht="182" x14ac:dyDescent="0.25">
      <c r="A756" s="26">
        <v>637</v>
      </c>
      <c r="B756" s="25" t="s">
        <v>1131</v>
      </c>
      <c r="C756" s="22">
        <v>17.489999999999998</v>
      </c>
      <c r="D756" s="25" t="s">
        <v>772</v>
      </c>
      <c r="E756" s="23" t="s">
        <v>1172</v>
      </c>
      <c r="F756" s="35" t="s">
        <v>1168</v>
      </c>
      <c r="G756" s="143" t="s">
        <v>47</v>
      </c>
      <c r="H756" s="26">
        <v>8487</v>
      </c>
      <c r="I756" s="121">
        <v>1929</v>
      </c>
      <c r="J756" s="184">
        <f>8/20</f>
        <v>0.4</v>
      </c>
      <c r="K756" s="184"/>
      <c r="L756" s="184">
        <v>0.85</v>
      </c>
      <c r="M756" s="184"/>
      <c r="N756" s="184"/>
      <c r="O756" s="184"/>
      <c r="P756" s="184">
        <v>0.42499999999999999</v>
      </c>
      <c r="Q756" s="31"/>
      <c r="R756" s="31"/>
      <c r="S756" s="31"/>
      <c r="T756" s="31"/>
      <c r="U756" s="31"/>
      <c r="V756" s="31"/>
      <c r="W756" s="31"/>
      <c r="X756" s="31"/>
      <c r="Y756" s="31"/>
      <c r="Z756" s="31"/>
      <c r="AA756" s="31"/>
      <c r="AB756" s="31"/>
      <c r="AC756" s="31"/>
      <c r="AD756" s="31"/>
      <c r="AE756" s="31"/>
      <c r="AF756" s="31"/>
      <c r="AG756" s="31"/>
      <c r="AH756" s="31"/>
      <c r="AI756" s="31"/>
      <c r="AJ756" s="31"/>
      <c r="AK756" s="31"/>
      <c r="AL756" s="28" t="str">
        <f>VLOOKUP($G756,'[42]Sheet1 (2)'!$A$1:$B$1048440,2,FALSE)</f>
        <v>Cum</v>
      </c>
      <c r="AM756" s="32" t="s">
        <v>1173</v>
      </c>
      <c r="AN756" s="33"/>
      <c r="AO756" s="33"/>
    </row>
    <row r="757" spans="1:41" ht="210" x14ac:dyDescent="0.25">
      <c r="A757" s="26">
        <v>638</v>
      </c>
      <c r="B757" s="25" t="s">
        <v>1131</v>
      </c>
      <c r="C757" s="22">
        <v>17.5</v>
      </c>
      <c r="D757" s="25" t="s">
        <v>772</v>
      </c>
      <c r="E757" s="23" t="s">
        <v>1174</v>
      </c>
      <c r="F757" s="35" t="s">
        <v>1168</v>
      </c>
      <c r="G757" s="143" t="s">
        <v>47</v>
      </c>
      <c r="H757" s="26">
        <v>8854</v>
      </c>
      <c r="I757" s="26">
        <v>1929</v>
      </c>
      <c r="J757" s="184">
        <f>8.25/20</f>
        <v>0.41249999999999998</v>
      </c>
      <c r="K757" s="184"/>
      <c r="L757" s="184">
        <v>0.85</v>
      </c>
      <c r="M757" s="184"/>
      <c r="N757" s="184"/>
      <c r="O757" s="184"/>
      <c r="P757" s="184">
        <v>0.42499999999999999</v>
      </c>
      <c r="Q757" s="31"/>
      <c r="R757" s="31"/>
      <c r="S757" s="31"/>
      <c r="T757" s="31"/>
      <c r="U757" s="31"/>
      <c r="V757" s="31"/>
      <c r="W757" s="31"/>
      <c r="X757" s="31"/>
      <c r="Y757" s="31"/>
      <c r="Z757" s="31"/>
      <c r="AA757" s="31"/>
      <c r="AB757" s="31"/>
      <c r="AC757" s="31"/>
      <c r="AD757" s="31"/>
      <c r="AE757" s="31"/>
      <c r="AF757" s="31"/>
      <c r="AG757" s="31"/>
      <c r="AH757" s="31"/>
      <c r="AI757" s="31"/>
      <c r="AJ757" s="31"/>
      <c r="AK757" s="31"/>
      <c r="AL757" s="28" t="str">
        <f>VLOOKUP($G757,'[42]Sheet1 (2)'!$A$1:$B$1048440,2,FALSE)</f>
        <v>Cum</v>
      </c>
      <c r="AM757" s="32" t="s">
        <v>1175</v>
      </c>
      <c r="AN757" s="33"/>
      <c r="AO757" s="33"/>
    </row>
    <row r="758" spans="1:41" ht="70" x14ac:dyDescent="0.25">
      <c r="A758" s="26">
        <v>639</v>
      </c>
      <c r="B758" s="92" t="s">
        <v>1146</v>
      </c>
      <c r="C758" s="22">
        <v>17.510000000000002</v>
      </c>
      <c r="D758" s="25" t="s">
        <v>772</v>
      </c>
      <c r="E758" s="23" t="s">
        <v>1176</v>
      </c>
      <c r="F758" s="21" t="s">
        <v>1177</v>
      </c>
      <c r="G758" s="143" t="s">
        <v>47</v>
      </c>
      <c r="H758" s="26">
        <v>1165</v>
      </c>
      <c r="I758" s="26">
        <v>145</v>
      </c>
      <c r="J758" s="31"/>
      <c r="K758" s="31"/>
      <c r="L758" s="31"/>
      <c r="M758" s="31"/>
      <c r="N758" s="163">
        <v>1.1599999999999999</v>
      </c>
      <c r="O758" s="31"/>
      <c r="P758" s="31"/>
      <c r="Q758" s="31"/>
      <c r="R758" s="31"/>
      <c r="S758" s="31"/>
      <c r="T758" s="31"/>
      <c r="U758" s="31"/>
      <c r="V758" s="31"/>
      <c r="W758" s="31"/>
      <c r="X758" s="31"/>
      <c r="Y758" s="31"/>
      <c r="Z758" s="31"/>
      <c r="AA758" s="31"/>
      <c r="AB758" s="31"/>
      <c r="AC758" s="31"/>
      <c r="AD758" s="31"/>
      <c r="AE758" s="31"/>
      <c r="AF758" s="31"/>
      <c r="AG758" s="31"/>
      <c r="AH758" s="31"/>
      <c r="AI758" s="31"/>
      <c r="AJ758" s="31"/>
      <c r="AK758" s="31"/>
      <c r="AL758" s="28" t="str">
        <f>VLOOKUP($G758,'[42]Sheet1 (2)'!$A$1:$B$1048440,2,FALSE)</f>
        <v>Cum</v>
      </c>
      <c r="AM758" s="32"/>
      <c r="AN758" s="33"/>
      <c r="AO758" s="33"/>
    </row>
    <row r="759" spans="1:41" ht="126" x14ac:dyDescent="0.25">
      <c r="A759" s="26">
        <v>640</v>
      </c>
      <c r="B759" s="25" t="s">
        <v>1131</v>
      </c>
      <c r="C759" s="22">
        <v>17.52</v>
      </c>
      <c r="D759" s="25" t="s">
        <v>772</v>
      </c>
      <c r="E759" s="24" t="s">
        <v>1178</v>
      </c>
      <c r="F759" s="35" t="s">
        <v>1179</v>
      </c>
      <c r="G759" s="143" t="s">
        <v>47</v>
      </c>
      <c r="H759" s="26">
        <v>7913</v>
      </c>
      <c r="I759" s="26">
        <v>1964</v>
      </c>
      <c r="J759" s="184">
        <f>7/20</f>
        <v>0.35</v>
      </c>
      <c r="K759" s="184"/>
      <c r="L759" s="184">
        <v>0.85</v>
      </c>
      <c r="M759" s="184"/>
      <c r="N759" s="184"/>
      <c r="O759" s="184"/>
      <c r="P759" s="184">
        <v>0.42499999999999999</v>
      </c>
      <c r="Q759" s="31"/>
      <c r="R759" s="31"/>
      <c r="S759" s="31"/>
      <c r="T759" s="31"/>
      <c r="U759" s="31"/>
      <c r="V759" s="31"/>
      <c r="W759" s="31"/>
      <c r="X759" s="31"/>
      <c r="Y759" s="31"/>
      <c r="Z759" s="31"/>
      <c r="AA759" s="31"/>
      <c r="AB759" s="31"/>
      <c r="AC759" s="31"/>
      <c r="AD759" s="31"/>
      <c r="AE759" s="31"/>
      <c r="AF759" s="31"/>
      <c r="AG759" s="31"/>
      <c r="AH759" s="31"/>
      <c r="AI759" s="31"/>
      <c r="AJ759" s="31"/>
      <c r="AK759" s="31"/>
      <c r="AL759" s="28" t="str">
        <f>VLOOKUP($G759,'[42]Sheet1 (2)'!$A$1:$B$1048440,2,FALSE)</f>
        <v>Cum</v>
      </c>
      <c r="AM759" s="32" t="s">
        <v>1180</v>
      </c>
      <c r="AN759" s="33"/>
      <c r="AO759" s="33"/>
    </row>
    <row r="760" spans="1:41" ht="126" x14ac:dyDescent="0.25">
      <c r="A760" s="26">
        <v>641</v>
      </c>
      <c r="B760" s="25" t="s">
        <v>1131</v>
      </c>
      <c r="C760" s="22">
        <v>17.53</v>
      </c>
      <c r="D760" s="25" t="s">
        <v>772</v>
      </c>
      <c r="E760" s="24" t="s">
        <v>1181</v>
      </c>
      <c r="F760" s="35" t="s">
        <v>1179</v>
      </c>
      <c r="G760" s="143" t="s">
        <v>47</v>
      </c>
      <c r="H760" s="26">
        <v>8783</v>
      </c>
      <c r="I760" s="26">
        <v>1964</v>
      </c>
      <c r="J760" s="184">
        <f>7.5/20</f>
        <v>0.375</v>
      </c>
      <c r="K760" s="184"/>
      <c r="L760" s="184">
        <v>0.85</v>
      </c>
      <c r="M760" s="184"/>
      <c r="N760" s="184"/>
      <c r="O760" s="184"/>
      <c r="P760" s="184">
        <v>0.42499999999999999</v>
      </c>
      <c r="Q760" s="31"/>
      <c r="R760" s="31"/>
      <c r="S760" s="31"/>
      <c r="T760" s="31"/>
      <c r="U760" s="31"/>
      <c r="V760" s="31"/>
      <c r="W760" s="31"/>
      <c r="X760" s="31"/>
      <c r="Y760" s="31"/>
      <c r="Z760" s="31"/>
      <c r="AA760" s="31"/>
      <c r="AB760" s="31"/>
      <c r="AC760" s="31"/>
      <c r="AD760" s="31"/>
      <c r="AE760" s="31"/>
      <c r="AF760" s="31"/>
      <c r="AG760" s="31"/>
      <c r="AH760" s="31"/>
      <c r="AI760" s="31"/>
      <c r="AJ760" s="31"/>
      <c r="AK760" s="31"/>
      <c r="AL760" s="28" t="str">
        <f>VLOOKUP($G760,'[42]Sheet1 (2)'!$A$1:$B$1048440,2,FALSE)</f>
        <v>Cum</v>
      </c>
      <c r="AM760" s="32" t="s">
        <v>1182</v>
      </c>
      <c r="AN760" s="33"/>
      <c r="AO760" s="33"/>
    </row>
    <row r="761" spans="1:41" ht="126" x14ac:dyDescent="0.25">
      <c r="A761" s="26">
        <v>642</v>
      </c>
      <c r="B761" s="25" t="s">
        <v>1131</v>
      </c>
      <c r="C761" s="22">
        <v>17.54</v>
      </c>
      <c r="D761" s="25" t="s">
        <v>772</v>
      </c>
      <c r="E761" s="24" t="s">
        <v>1183</v>
      </c>
      <c r="F761" s="35" t="s">
        <v>1179</v>
      </c>
      <c r="G761" s="143" t="s">
        <v>47</v>
      </c>
      <c r="H761" s="26">
        <v>9039</v>
      </c>
      <c r="I761" s="26">
        <v>1964</v>
      </c>
      <c r="J761" s="184">
        <f>8/20</f>
        <v>0.4</v>
      </c>
      <c r="K761" s="184"/>
      <c r="L761" s="184">
        <v>0.85</v>
      </c>
      <c r="M761" s="184"/>
      <c r="N761" s="184"/>
      <c r="O761" s="184"/>
      <c r="P761" s="184">
        <v>0.42499999999999999</v>
      </c>
      <c r="Q761" s="31"/>
      <c r="R761" s="31"/>
      <c r="S761" s="31"/>
      <c r="T761" s="31"/>
      <c r="U761" s="31"/>
      <c r="V761" s="31"/>
      <c r="W761" s="31"/>
      <c r="X761" s="31"/>
      <c r="Y761" s="31"/>
      <c r="Z761" s="31"/>
      <c r="AA761" s="31"/>
      <c r="AB761" s="31"/>
      <c r="AC761" s="31"/>
      <c r="AD761" s="31"/>
      <c r="AE761" s="31"/>
      <c r="AF761" s="31"/>
      <c r="AG761" s="31"/>
      <c r="AH761" s="31"/>
      <c r="AI761" s="31"/>
      <c r="AJ761" s="31"/>
      <c r="AK761" s="31"/>
      <c r="AL761" s="28" t="str">
        <f>VLOOKUP($G761,'[42]Sheet1 (2)'!$A$1:$B$1048440,2,FALSE)</f>
        <v>Cum</v>
      </c>
      <c r="AM761" s="32" t="s">
        <v>1184</v>
      </c>
      <c r="AN761" s="33"/>
      <c r="AO761" s="33"/>
    </row>
    <row r="762" spans="1:41" ht="126" x14ac:dyDescent="0.25">
      <c r="A762" s="26">
        <v>643</v>
      </c>
      <c r="B762" s="25" t="s">
        <v>1131</v>
      </c>
      <c r="C762" s="22">
        <v>17.55</v>
      </c>
      <c r="D762" s="25" t="s">
        <v>772</v>
      </c>
      <c r="E762" s="24" t="s">
        <v>1185</v>
      </c>
      <c r="F762" s="35" t="s">
        <v>1179</v>
      </c>
      <c r="G762" s="143" t="s">
        <v>47</v>
      </c>
      <c r="H762" s="26">
        <v>9574</v>
      </c>
      <c r="I762" s="26">
        <v>1964</v>
      </c>
      <c r="J762" s="184">
        <f>8.25/20</f>
        <v>0.41249999999999998</v>
      </c>
      <c r="K762" s="184"/>
      <c r="L762" s="184">
        <v>0.85</v>
      </c>
      <c r="M762" s="184"/>
      <c r="N762" s="184"/>
      <c r="O762" s="184"/>
      <c r="P762" s="184">
        <v>0.42499999999999999</v>
      </c>
      <c r="Q762" s="31"/>
      <c r="R762" s="31"/>
      <c r="S762" s="31"/>
      <c r="T762" s="31"/>
      <c r="U762" s="31"/>
      <c r="V762" s="31"/>
      <c r="W762" s="31"/>
      <c r="X762" s="31"/>
      <c r="Y762" s="31"/>
      <c r="Z762" s="31"/>
      <c r="AA762" s="31"/>
      <c r="AB762" s="31"/>
      <c r="AC762" s="31"/>
      <c r="AD762" s="31"/>
      <c r="AE762" s="31"/>
      <c r="AF762" s="31"/>
      <c r="AG762" s="31"/>
      <c r="AH762" s="31"/>
      <c r="AI762" s="31"/>
      <c r="AJ762" s="31"/>
      <c r="AK762" s="31"/>
      <c r="AL762" s="28" t="str">
        <f>VLOOKUP($G762,'[42]Sheet1 (2)'!$A$1:$B$1048440,2,FALSE)</f>
        <v>Cum</v>
      </c>
      <c r="AM762" s="32" t="s">
        <v>1186</v>
      </c>
      <c r="AN762" s="33"/>
      <c r="AO762" s="33"/>
    </row>
    <row r="763" spans="1:41" ht="196" x14ac:dyDescent="0.25">
      <c r="A763" s="26">
        <v>644</v>
      </c>
      <c r="B763" s="25" t="s">
        <v>1131</v>
      </c>
      <c r="C763" s="22">
        <v>17.559999999999999</v>
      </c>
      <c r="D763" s="25" t="s">
        <v>772</v>
      </c>
      <c r="E763" s="24" t="s">
        <v>1187</v>
      </c>
      <c r="F763" s="21" t="s">
        <v>1188</v>
      </c>
      <c r="G763" s="25" t="s">
        <v>45</v>
      </c>
      <c r="H763" s="26">
        <v>570219</v>
      </c>
      <c r="I763" s="26">
        <v>27591</v>
      </c>
      <c r="J763" s="31"/>
      <c r="K763" s="31"/>
      <c r="L763" s="31"/>
      <c r="M763" s="31"/>
      <c r="N763" s="31"/>
      <c r="O763" s="31"/>
      <c r="P763" s="31"/>
      <c r="Q763" s="31"/>
      <c r="R763" s="31"/>
      <c r="S763" s="31"/>
      <c r="T763" s="31"/>
      <c r="U763" s="31"/>
      <c r="V763" s="31"/>
      <c r="W763" s="31"/>
      <c r="X763" s="31"/>
      <c r="Y763" s="31"/>
      <c r="Z763" s="31"/>
      <c r="AA763" s="31"/>
      <c r="AB763" s="31"/>
      <c r="AC763" s="31"/>
      <c r="AD763" s="31"/>
      <c r="AE763" s="31"/>
      <c r="AF763" s="31"/>
      <c r="AG763" s="31"/>
      <c r="AH763" s="31"/>
      <c r="AI763" s="31"/>
      <c r="AJ763" s="31"/>
      <c r="AK763" s="28" t="e">
        <f>VLOOKUP($G763,[43]Sheet1!$A$1:$B$1048440,2,FALSE)</f>
        <v>#N/A</v>
      </c>
      <c r="AL763" s="28" t="str">
        <f>VLOOKUP($G763,'[42]Sheet1 (2)'!$A$1:$B$1048440,2,FALSE)</f>
        <v>No.</v>
      </c>
      <c r="AM763" s="31"/>
      <c r="AN763" s="33"/>
      <c r="AO763" s="33"/>
    </row>
    <row r="764" spans="1:41" ht="196" x14ac:dyDescent="0.25">
      <c r="A764" s="26">
        <v>645</v>
      </c>
      <c r="B764" s="25" t="s">
        <v>1131</v>
      </c>
      <c r="C764" s="22">
        <v>17.57</v>
      </c>
      <c r="D764" s="25" t="s">
        <v>772</v>
      </c>
      <c r="E764" s="24" t="s">
        <v>1189</v>
      </c>
      <c r="F764" s="21" t="s">
        <v>1188</v>
      </c>
      <c r="G764" s="25" t="s">
        <v>45</v>
      </c>
      <c r="H764" s="26">
        <v>1589289</v>
      </c>
      <c r="I764" s="26">
        <v>83710</v>
      </c>
      <c r="J764" s="31"/>
      <c r="K764" s="31"/>
      <c r="L764" s="31"/>
      <c r="M764" s="31"/>
      <c r="N764" s="31"/>
      <c r="O764" s="31"/>
      <c r="P764" s="31"/>
      <c r="Q764" s="31"/>
      <c r="R764" s="31"/>
      <c r="S764" s="31"/>
      <c r="T764" s="31"/>
      <c r="U764" s="31"/>
      <c r="V764" s="31"/>
      <c r="W764" s="31"/>
      <c r="X764" s="31"/>
      <c r="Y764" s="31"/>
      <c r="Z764" s="31"/>
      <c r="AA764" s="31"/>
      <c r="AB764" s="31"/>
      <c r="AC764" s="31"/>
      <c r="AD764" s="31"/>
      <c r="AE764" s="31"/>
      <c r="AF764" s="31"/>
      <c r="AG764" s="31"/>
      <c r="AH764" s="31"/>
      <c r="AI764" s="31"/>
      <c r="AJ764" s="31"/>
      <c r="AK764" s="28" t="e">
        <f>VLOOKUP($G764,[43]Sheet1!$A$1:$B$1048440,2,FALSE)</f>
        <v>#N/A</v>
      </c>
      <c r="AL764" s="28" t="str">
        <f>VLOOKUP($G764,'[42]Sheet1 (2)'!$A$1:$B$1048440,2,FALSE)</f>
        <v>No.</v>
      </c>
      <c r="AM764" s="31"/>
      <c r="AN764" s="33"/>
      <c r="AO764" s="33"/>
    </row>
    <row r="765" spans="1:41" ht="20" x14ac:dyDescent="0.25">
      <c r="A765" s="26"/>
      <c r="B765" s="25"/>
      <c r="C765" s="22"/>
      <c r="D765" s="25"/>
      <c r="E765" s="194" t="s">
        <v>838</v>
      </c>
      <c r="F765" s="21"/>
      <c r="G765" s="25"/>
      <c r="H765" s="26"/>
      <c r="I765" s="26"/>
      <c r="J765" s="31"/>
      <c r="K765" s="31"/>
      <c r="L765" s="31"/>
      <c r="M765" s="31"/>
      <c r="N765" s="31"/>
      <c r="O765" s="31"/>
      <c r="P765" s="31"/>
      <c r="Q765" s="31"/>
      <c r="R765" s="31"/>
      <c r="S765" s="31"/>
      <c r="T765" s="31"/>
      <c r="U765" s="31"/>
      <c r="V765" s="31"/>
      <c r="W765" s="31"/>
      <c r="X765" s="31"/>
      <c r="Y765" s="31"/>
      <c r="Z765" s="31"/>
      <c r="AA765" s="31"/>
      <c r="AB765" s="31"/>
      <c r="AC765" s="31"/>
      <c r="AD765" s="31"/>
      <c r="AE765" s="31"/>
      <c r="AF765" s="31"/>
      <c r="AG765" s="31"/>
      <c r="AH765" s="31"/>
      <c r="AI765" s="31"/>
      <c r="AJ765" s="31"/>
      <c r="AK765" s="195"/>
      <c r="AL765" s="28"/>
      <c r="AM765" s="31"/>
      <c r="AN765" s="196"/>
      <c r="AO765" s="33"/>
    </row>
    <row r="766" spans="1:41" ht="126" x14ac:dyDescent="0.25">
      <c r="A766" s="26">
        <v>646</v>
      </c>
      <c r="B766" s="21" t="s">
        <v>838</v>
      </c>
      <c r="C766" s="22">
        <v>17.579999999999998</v>
      </c>
      <c r="D766" s="25" t="s">
        <v>772</v>
      </c>
      <c r="E766" s="23" t="s">
        <v>1190</v>
      </c>
      <c r="F766" s="35" t="s">
        <v>1191</v>
      </c>
      <c r="G766" s="25" t="s">
        <v>1192</v>
      </c>
      <c r="H766" s="26">
        <v>7050</v>
      </c>
      <c r="I766" s="26">
        <v>1362</v>
      </c>
      <c r="J766" s="184">
        <f>7/20</f>
        <v>0.35</v>
      </c>
      <c r="K766" s="184"/>
      <c r="L766" s="184">
        <v>0.85</v>
      </c>
      <c r="M766" s="184"/>
      <c r="N766" s="184"/>
      <c r="O766" s="184"/>
      <c r="P766" s="184">
        <v>0.42499999999999999</v>
      </c>
      <c r="Q766" s="31"/>
      <c r="R766" s="31"/>
      <c r="S766" s="31"/>
      <c r="T766" s="31"/>
      <c r="U766" s="31"/>
      <c r="V766" s="31"/>
      <c r="W766" s="31"/>
      <c r="X766" s="31"/>
      <c r="Y766" s="31"/>
      <c r="Z766" s="31"/>
      <c r="AA766" s="31"/>
      <c r="AB766" s="31"/>
      <c r="AC766" s="31"/>
      <c r="AD766" s="31"/>
      <c r="AE766" s="31"/>
      <c r="AF766" s="31"/>
      <c r="AG766" s="31"/>
      <c r="AH766" s="31"/>
      <c r="AI766" s="31"/>
      <c r="AJ766" s="31"/>
      <c r="AK766" s="31"/>
      <c r="AL766" s="28" t="str">
        <f>VLOOKUP($G766,'[42]Sheet1 (2)'!$A$1:$B$1048440,2,FALSE)</f>
        <v>Cum</v>
      </c>
      <c r="AM766" s="32" t="s">
        <v>1193</v>
      </c>
      <c r="AN766" s="31"/>
      <c r="AO766" s="33"/>
    </row>
    <row r="767" spans="1:41" ht="98" x14ac:dyDescent="0.25">
      <c r="A767" s="26">
        <v>647</v>
      </c>
      <c r="B767" s="21" t="s">
        <v>838</v>
      </c>
      <c r="C767" s="22">
        <v>17.59</v>
      </c>
      <c r="D767" s="25" t="s">
        <v>772</v>
      </c>
      <c r="E767" s="23" t="s">
        <v>1194</v>
      </c>
      <c r="F767" s="35" t="s">
        <v>1191</v>
      </c>
      <c r="G767" s="25" t="s">
        <v>1192</v>
      </c>
      <c r="H767" s="26">
        <v>7263</v>
      </c>
      <c r="I767" s="121">
        <v>1359</v>
      </c>
      <c r="J767" s="184">
        <f>7.5/20</f>
        <v>0.375</v>
      </c>
      <c r="K767" s="184"/>
      <c r="L767" s="184">
        <v>0.85</v>
      </c>
      <c r="M767" s="184"/>
      <c r="N767" s="184"/>
      <c r="O767" s="184"/>
      <c r="P767" s="184">
        <v>0.42499999999999999</v>
      </c>
      <c r="Q767" s="31"/>
      <c r="R767" s="31"/>
      <c r="S767" s="31"/>
      <c r="T767" s="31"/>
      <c r="U767" s="31"/>
      <c r="V767" s="31"/>
      <c r="W767" s="31"/>
      <c r="X767" s="31"/>
      <c r="Y767" s="31"/>
      <c r="Z767" s="31"/>
      <c r="AA767" s="31"/>
      <c r="AB767" s="31"/>
      <c r="AC767" s="31"/>
      <c r="AD767" s="31"/>
      <c r="AE767" s="31"/>
      <c r="AF767" s="31"/>
      <c r="AG767" s="31"/>
      <c r="AH767" s="31"/>
      <c r="AI767" s="31"/>
      <c r="AJ767" s="31"/>
      <c r="AK767" s="31"/>
      <c r="AL767" s="28" t="str">
        <f>VLOOKUP($G767,'[42]Sheet1 (2)'!$A$1:$B$1048440,2,FALSE)</f>
        <v>Cum</v>
      </c>
      <c r="AM767" s="32" t="s">
        <v>1195</v>
      </c>
      <c r="AN767" s="31"/>
      <c r="AO767" s="33"/>
    </row>
    <row r="768" spans="1:41" ht="140" x14ac:dyDescent="0.25">
      <c r="A768" s="26">
        <v>648</v>
      </c>
      <c r="B768" s="21" t="s">
        <v>838</v>
      </c>
      <c r="C768" s="22">
        <v>17.600000000000001</v>
      </c>
      <c r="D768" s="25" t="s">
        <v>772</v>
      </c>
      <c r="E768" s="23" t="s">
        <v>1196</v>
      </c>
      <c r="F768" s="35" t="s">
        <v>1191</v>
      </c>
      <c r="G768" s="25" t="s">
        <v>1192</v>
      </c>
      <c r="H768" s="26">
        <v>7381</v>
      </c>
      <c r="I768" s="121">
        <v>1362</v>
      </c>
      <c r="J768" s="184">
        <f>8/20</f>
        <v>0.4</v>
      </c>
      <c r="K768" s="184"/>
      <c r="L768" s="184">
        <v>0.85</v>
      </c>
      <c r="M768" s="184"/>
      <c r="N768" s="184"/>
      <c r="O768" s="184"/>
      <c r="P768" s="184">
        <v>0.42499999999999999</v>
      </c>
      <c r="Q768" s="31"/>
      <c r="R768" s="31"/>
      <c r="S768" s="31"/>
      <c r="T768" s="31"/>
      <c r="U768" s="31"/>
      <c r="V768" s="31"/>
      <c r="W768" s="31"/>
      <c r="X768" s="31"/>
      <c r="Y768" s="31"/>
      <c r="Z768" s="31"/>
      <c r="AA768" s="31"/>
      <c r="AB768" s="31"/>
      <c r="AC768" s="31"/>
      <c r="AD768" s="31"/>
      <c r="AE768" s="31"/>
      <c r="AF768" s="31"/>
      <c r="AG768" s="31"/>
      <c r="AH768" s="31"/>
      <c r="AI768" s="31"/>
      <c r="AJ768" s="31"/>
      <c r="AK768" s="31"/>
      <c r="AL768" s="28" t="str">
        <f>VLOOKUP($G768,'[42]Sheet1 (2)'!$A$1:$B$1048440,2,FALSE)</f>
        <v>Cum</v>
      </c>
      <c r="AM768" s="32" t="s">
        <v>1197</v>
      </c>
      <c r="AN768" s="31"/>
      <c r="AO768" s="33"/>
    </row>
    <row r="769" spans="1:41" ht="112" x14ac:dyDescent="0.25">
      <c r="A769" s="26">
        <v>649</v>
      </c>
      <c r="B769" s="21" t="s">
        <v>838</v>
      </c>
      <c r="C769" s="22">
        <v>17.61</v>
      </c>
      <c r="D769" s="25" t="s">
        <v>772</v>
      </c>
      <c r="E769" s="23" t="s">
        <v>1198</v>
      </c>
      <c r="F769" s="35" t="s">
        <v>1191</v>
      </c>
      <c r="G769" s="25" t="s">
        <v>1192</v>
      </c>
      <c r="H769" s="26">
        <v>7853</v>
      </c>
      <c r="I769" s="121">
        <v>1362</v>
      </c>
      <c r="J769" s="184">
        <f>8.25/20</f>
        <v>0.41249999999999998</v>
      </c>
      <c r="K769" s="184"/>
      <c r="L769" s="184">
        <v>0.85</v>
      </c>
      <c r="M769" s="184"/>
      <c r="N769" s="184"/>
      <c r="O769" s="184"/>
      <c r="P769" s="184">
        <v>0.42499999999999999</v>
      </c>
      <c r="Q769" s="31"/>
      <c r="R769" s="31"/>
      <c r="S769" s="31"/>
      <c r="T769" s="31"/>
      <c r="U769" s="31"/>
      <c r="V769" s="31"/>
      <c r="W769" s="31"/>
      <c r="X769" s="31"/>
      <c r="Y769" s="31"/>
      <c r="Z769" s="31"/>
      <c r="AA769" s="31"/>
      <c r="AB769" s="31"/>
      <c r="AC769" s="31"/>
      <c r="AD769" s="31"/>
      <c r="AE769" s="31"/>
      <c r="AF769" s="31"/>
      <c r="AG769" s="31"/>
      <c r="AH769" s="31"/>
      <c r="AI769" s="31"/>
      <c r="AJ769" s="31"/>
      <c r="AK769" s="31"/>
      <c r="AL769" s="28" t="str">
        <f>VLOOKUP($G769,'[42]Sheet1 (2)'!$A$1:$B$1048440,2,FALSE)</f>
        <v>Cum</v>
      </c>
      <c r="AM769" s="32" t="s">
        <v>1199</v>
      </c>
      <c r="AN769" s="31"/>
      <c r="AO769" s="33"/>
    </row>
    <row r="770" spans="1:41" ht="140" x14ac:dyDescent="0.25">
      <c r="A770" s="26">
        <v>650</v>
      </c>
      <c r="B770" s="21" t="s">
        <v>838</v>
      </c>
      <c r="C770" s="22">
        <v>17.62</v>
      </c>
      <c r="D770" s="25" t="s">
        <v>772</v>
      </c>
      <c r="E770" s="23" t="s">
        <v>1200</v>
      </c>
      <c r="F770" s="35" t="s">
        <v>1191</v>
      </c>
      <c r="G770" s="25" t="s">
        <v>1192</v>
      </c>
      <c r="H770" s="26">
        <v>7895</v>
      </c>
      <c r="I770" s="121">
        <v>1362</v>
      </c>
      <c r="J770" s="184">
        <f>8.5/20</f>
        <v>0.42499999999999999</v>
      </c>
      <c r="K770" s="184"/>
      <c r="L770" s="184">
        <v>0.85</v>
      </c>
      <c r="M770" s="184"/>
      <c r="N770" s="184"/>
      <c r="O770" s="184"/>
      <c r="P770" s="184">
        <v>0.42499999999999999</v>
      </c>
      <c r="Q770" s="31"/>
      <c r="R770" s="31"/>
      <c r="S770" s="31"/>
      <c r="T770" s="31"/>
      <c r="U770" s="31"/>
      <c r="V770" s="31"/>
      <c r="W770" s="31"/>
      <c r="X770" s="31"/>
      <c r="Y770" s="31"/>
      <c r="Z770" s="31"/>
      <c r="AA770" s="31"/>
      <c r="AB770" s="31"/>
      <c r="AC770" s="31"/>
      <c r="AD770" s="31"/>
      <c r="AE770" s="31"/>
      <c r="AF770" s="31"/>
      <c r="AG770" s="31"/>
      <c r="AH770" s="31"/>
      <c r="AI770" s="31"/>
      <c r="AJ770" s="31"/>
      <c r="AK770" s="31"/>
      <c r="AL770" s="28" t="str">
        <f>VLOOKUP($G770,'[42]Sheet1 (2)'!$A$1:$B$1048440,2,FALSE)</f>
        <v>Cum</v>
      </c>
      <c r="AM770" s="32" t="s">
        <v>1201</v>
      </c>
      <c r="AN770" s="31"/>
      <c r="AO770" s="33"/>
    </row>
    <row r="771" spans="1:41" ht="112" x14ac:dyDescent="0.25">
      <c r="A771" s="26">
        <v>651</v>
      </c>
      <c r="B771" s="21" t="s">
        <v>838</v>
      </c>
      <c r="C771" s="22">
        <v>17.63</v>
      </c>
      <c r="D771" s="25" t="s">
        <v>772</v>
      </c>
      <c r="E771" s="23" t="s">
        <v>1202</v>
      </c>
      <c r="F771" s="35" t="s">
        <v>1191</v>
      </c>
      <c r="G771" s="25" t="s">
        <v>1192</v>
      </c>
      <c r="H771" s="26">
        <v>8084</v>
      </c>
      <c r="I771" s="121">
        <v>1362</v>
      </c>
      <c r="J771" s="184">
        <f>9/20</f>
        <v>0.45</v>
      </c>
      <c r="K771" s="184"/>
      <c r="L771" s="184">
        <v>0.85</v>
      </c>
      <c r="M771" s="184"/>
      <c r="N771" s="184"/>
      <c r="O771" s="184"/>
      <c r="P771" s="184">
        <v>0.42499999999999999</v>
      </c>
      <c r="Q771" s="31"/>
      <c r="R771" s="31"/>
      <c r="S771" s="31"/>
      <c r="T771" s="31"/>
      <c r="U771" s="31"/>
      <c r="V771" s="31"/>
      <c r="W771" s="31"/>
      <c r="X771" s="31"/>
      <c r="Y771" s="31"/>
      <c r="Z771" s="31"/>
      <c r="AA771" s="31"/>
      <c r="AB771" s="31"/>
      <c r="AC771" s="31"/>
      <c r="AD771" s="31"/>
      <c r="AE771" s="31"/>
      <c r="AF771" s="31"/>
      <c r="AG771" s="31"/>
      <c r="AH771" s="31"/>
      <c r="AI771" s="31"/>
      <c r="AJ771" s="31"/>
      <c r="AK771" s="31"/>
      <c r="AL771" s="28" t="str">
        <f>VLOOKUP($G771,'[42]Sheet1 (2)'!$A$1:$B$1048440,2,FALSE)</f>
        <v>Cum</v>
      </c>
      <c r="AM771" s="32" t="s">
        <v>1203</v>
      </c>
      <c r="AN771" s="31"/>
      <c r="AO771" s="33"/>
    </row>
    <row r="772" spans="1:41" ht="126" x14ac:dyDescent="0.25">
      <c r="A772" s="26">
        <v>652</v>
      </c>
      <c r="B772" s="21" t="s">
        <v>838</v>
      </c>
      <c r="C772" s="22">
        <v>17.64</v>
      </c>
      <c r="D772" s="25" t="s">
        <v>772</v>
      </c>
      <c r="E772" s="23" t="s">
        <v>1204</v>
      </c>
      <c r="F772" s="35" t="s">
        <v>1191</v>
      </c>
      <c r="G772" s="25" t="s">
        <v>1192</v>
      </c>
      <c r="H772" s="26">
        <v>8611</v>
      </c>
      <c r="I772" s="121">
        <v>1362</v>
      </c>
      <c r="J772" s="184">
        <f>9.5/20</f>
        <v>0.47499999999999998</v>
      </c>
      <c r="K772" s="184"/>
      <c r="L772" s="184">
        <v>0.85</v>
      </c>
      <c r="M772" s="184"/>
      <c r="N772" s="184"/>
      <c r="O772" s="184"/>
      <c r="P772" s="184">
        <v>0.42499999999999999</v>
      </c>
      <c r="Q772" s="31"/>
      <c r="R772" s="31"/>
      <c r="S772" s="31"/>
      <c r="T772" s="31"/>
      <c r="U772" s="31"/>
      <c r="V772" s="31"/>
      <c r="W772" s="31"/>
      <c r="X772" s="31"/>
      <c r="Y772" s="31"/>
      <c r="Z772" s="31"/>
      <c r="AA772" s="31"/>
      <c r="AB772" s="31"/>
      <c r="AC772" s="31"/>
      <c r="AD772" s="31"/>
      <c r="AE772" s="31"/>
      <c r="AF772" s="31"/>
      <c r="AG772" s="31"/>
      <c r="AH772" s="31"/>
      <c r="AI772" s="31"/>
      <c r="AJ772" s="31"/>
      <c r="AK772" s="31"/>
      <c r="AL772" s="28" t="str">
        <f>VLOOKUP($G772,'[42]Sheet1 (2)'!$A$1:$B$1048440,2,FALSE)</f>
        <v>Cum</v>
      </c>
      <c r="AM772" s="32" t="s">
        <v>1205</v>
      </c>
      <c r="AN772" s="31"/>
      <c r="AO772" s="33"/>
    </row>
    <row r="773" spans="1:41" ht="84" x14ac:dyDescent="0.25">
      <c r="A773" s="26">
        <v>653</v>
      </c>
      <c r="B773" s="21" t="s">
        <v>838</v>
      </c>
      <c r="C773" s="22">
        <v>17.649999999999999</v>
      </c>
      <c r="D773" s="25" t="s">
        <v>772</v>
      </c>
      <c r="E773" s="24" t="s">
        <v>1206</v>
      </c>
      <c r="F773" s="25" t="s">
        <v>1207</v>
      </c>
      <c r="G773" s="25" t="s">
        <v>1046</v>
      </c>
      <c r="H773" s="26">
        <v>91565</v>
      </c>
      <c r="I773" s="121">
        <v>8367</v>
      </c>
      <c r="J773" s="31"/>
      <c r="K773" s="31">
        <v>1</v>
      </c>
      <c r="L773" s="31"/>
      <c r="M773" s="31"/>
      <c r="N773" s="31"/>
      <c r="O773" s="31"/>
      <c r="P773" s="31"/>
      <c r="Q773" s="31"/>
      <c r="R773" s="31"/>
      <c r="S773" s="31"/>
      <c r="T773" s="31"/>
      <c r="U773" s="31"/>
      <c r="V773" s="31"/>
      <c r="W773" s="31"/>
      <c r="X773" s="31"/>
      <c r="Y773" s="31"/>
      <c r="Z773" s="31"/>
      <c r="AA773" s="31"/>
      <c r="AB773" s="31"/>
      <c r="AC773" s="31"/>
      <c r="AD773" s="31"/>
      <c r="AE773" s="31"/>
      <c r="AF773" s="31"/>
      <c r="AG773" s="31"/>
      <c r="AH773" s="31"/>
      <c r="AI773" s="31"/>
      <c r="AJ773" s="31"/>
      <c r="AK773" s="31"/>
      <c r="AL773" s="28" t="str">
        <f>VLOOKUP($G773,'[42]Sheet1 (2)'!$A$1:$B$1048440,2,FALSE)</f>
        <v>M.T.</v>
      </c>
      <c r="AM773" s="32" t="s">
        <v>1208</v>
      </c>
      <c r="AN773" s="31"/>
      <c r="AO773" s="33"/>
    </row>
    <row r="774" spans="1:41" ht="17.5" x14ac:dyDescent="0.25">
      <c r="A774" s="26"/>
      <c r="B774" s="21"/>
      <c r="C774" s="22"/>
      <c r="D774" s="25"/>
      <c r="E774" s="197" t="s">
        <v>1084</v>
      </c>
      <c r="F774" s="25"/>
      <c r="G774" s="25"/>
      <c r="H774" s="26"/>
      <c r="I774" s="121"/>
      <c r="J774" s="31"/>
      <c r="K774" s="31"/>
      <c r="L774" s="31"/>
      <c r="M774" s="31"/>
      <c r="N774" s="31"/>
      <c r="O774" s="31"/>
      <c r="P774" s="31"/>
      <c r="Q774" s="31"/>
      <c r="R774" s="31"/>
      <c r="S774" s="31"/>
      <c r="T774" s="31"/>
      <c r="U774" s="31"/>
      <c r="V774" s="31"/>
      <c r="W774" s="31"/>
      <c r="X774" s="31"/>
      <c r="Y774" s="31"/>
      <c r="Z774" s="31"/>
      <c r="AA774" s="31"/>
      <c r="AB774" s="31"/>
      <c r="AC774" s="31"/>
      <c r="AD774" s="31"/>
      <c r="AE774" s="31"/>
      <c r="AF774" s="31"/>
      <c r="AG774" s="31"/>
      <c r="AH774" s="31"/>
      <c r="AI774" s="31"/>
      <c r="AJ774" s="31"/>
      <c r="AK774" s="31"/>
      <c r="AL774" s="28"/>
      <c r="AM774" s="32"/>
      <c r="AN774" s="31"/>
      <c r="AO774" s="33"/>
    </row>
    <row r="775" spans="1:41" ht="70" x14ac:dyDescent="0.25">
      <c r="A775" s="26">
        <v>654</v>
      </c>
      <c r="B775" s="21" t="s">
        <v>1084</v>
      </c>
      <c r="C775" s="22">
        <v>17.66</v>
      </c>
      <c r="D775" s="25" t="s">
        <v>772</v>
      </c>
      <c r="E775" s="23" t="s">
        <v>1209</v>
      </c>
      <c r="F775" s="35" t="s">
        <v>1210</v>
      </c>
      <c r="G775" s="25" t="s">
        <v>45</v>
      </c>
      <c r="H775" s="26">
        <v>683</v>
      </c>
      <c r="I775" s="103">
        <v>683</v>
      </c>
      <c r="J775" s="31"/>
      <c r="K775" s="31"/>
      <c r="L775" s="31"/>
      <c r="M775" s="31"/>
      <c r="N775" s="31"/>
      <c r="O775" s="31"/>
      <c r="P775" s="31"/>
      <c r="Q775" s="31"/>
      <c r="R775" s="31"/>
      <c r="S775" s="31"/>
      <c r="T775" s="31"/>
      <c r="U775" s="31"/>
      <c r="V775" s="31"/>
      <c r="W775" s="31"/>
      <c r="X775" s="31"/>
      <c r="Y775" s="31"/>
      <c r="Z775" s="31"/>
      <c r="AA775" s="31"/>
      <c r="AB775" s="31"/>
      <c r="AC775" s="31"/>
      <c r="AD775" s="31"/>
      <c r="AE775" s="31"/>
      <c r="AF775" s="31"/>
      <c r="AG775" s="31"/>
      <c r="AH775" s="31"/>
      <c r="AI775" s="31"/>
      <c r="AJ775" s="31"/>
      <c r="AK775" s="31"/>
      <c r="AL775" s="28" t="str">
        <f>VLOOKUP($G775,'[42]Sheet1 (2)'!$A$1:$B$1048440,2,FALSE)</f>
        <v>No.</v>
      </c>
      <c r="AM775" s="32"/>
      <c r="AN775" s="31"/>
      <c r="AO775" s="33"/>
    </row>
    <row r="776" spans="1:41" ht="140" x14ac:dyDescent="0.25">
      <c r="A776" s="26">
        <v>655</v>
      </c>
      <c r="B776" s="25" t="s">
        <v>1211</v>
      </c>
      <c r="C776" s="22">
        <v>17.670000000000002</v>
      </c>
      <c r="D776" s="23"/>
      <c r="E776" s="24" t="s">
        <v>1212</v>
      </c>
      <c r="F776" s="23"/>
      <c r="G776" s="21" t="s">
        <v>758</v>
      </c>
      <c r="H776" s="26">
        <v>107164</v>
      </c>
      <c r="I776" s="121">
        <v>26993</v>
      </c>
      <c r="J776" s="31"/>
      <c r="K776" s="31">
        <v>1</v>
      </c>
      <c r="L776" s="31"/>
      <c r="M776" s="31"/>
      <c r="N776" s="31"/>
      <c r="O776" s="31"/>
      <c r="P776" s="31"/>
      <c r="Q776" s="31"/>
      <c r="R776" s="31"/>
      <c r="S776" s="31"/>
      <c r="T776" s="31"/>
      <c r="U776" s="31"/>
      <c r="V776" s="31"/>
      <c r="W776" s="31"/>
      <c r="X776" s="31"/>
      <c r="Y776" s="31"/>
      <c r="Z776" s="31"/>
      <c r="AA776" s="31"/>
      <c r="AB776" s="31"/>
      <c r="AC776" s="31"/>
      <c r="AD776" s="31"/>
      <c r="AE776" s="31"/>
      <c r="AF776" s="31"/>
      <c r="AG776" s="31"/>
      <c r="AH776" s="31"/>
      <c r="AI776" s="31"/>
      <c r="AJ776" s="31"/>
      <c r="AK776" s="31"/>
      <c r="AL776" s="28" t="str">
        <f>VLOOKUP($G776,'[42]Sheet1 (2)'!$A$1:$B$1048440,2,FALSE)</f>
        <v>M.T.</v>
      </c>
      <c r="AM776" s="32"/>
      <c r="AN776" s="31"/>
      <c r="AO776" s="33"/>
    </row>
    <row r="777" spans="1:41" ht="70" x14ac:dyDescent="0.25">
      <c r="A777" s="26">
        <v>656</v>
      </c>
      <c r="B777" s="35" t="s">
        <v>1213</v>
      </c>
      <c r="C777" s="22">
        <v>17.68</v>
      </c>
      <c r="D777" s="23"/>
      <c r="E777" s="24" t="s">
        <v>1214</v>
      </c>
      <c r="F777" s="23"/>
      <c r="G777" s="21" t="s">
        <v>758</v>
      </c>
      <c r="H777" s="26">
        <v>21433</v>
      </c>
      <c r="I777" s="26">
        <v>0</v>
      </c>
      <c r="J777" s="198"/>
      <c r="K777" s="198"/>
      <c r="L777" s="198"/>
      <c r="M777" s="198"/>
      <c r="N777" s="198"/>
      <c r="O777" s="198"/>
      <c r="P777" s="198"/>
      <c r="Q777" s="198"/>
      <c r="R777" s="198"/>
      <c r="S777" s="198"/>
      <c r="T777" s="198"/>
      <c r="U777" s="198"/>
      <c r="V777" s="198"/>
      <c r="W777" s="198"/>
      <c r="X777" s="198"/>
      <c r="Y777" s="198"/>
      <c r="Z777" s="198"/>
      <c r="AA777" s="198"/>
      <c r="AB777" s="198"/>
      <c r="AC777" s="198"/>
      <c r="AD777" s="198"/>
      <c r="AE777" s="198"/>
      <c r="AF777" s="198"/>
      <c r="AG777" s="198"/>
      <c r="AH777" s="198"/>
      <c r="AI777" s="198"/>
      <c r="AJ777" s="198"/>
      <c r="AK777" s="198"/>
      <c r="AL777" s="28" t="str">
        <f>VLOOKUP($G777,'[42]Sheet1 (2)'!$A$1:$B$1048440,2,FALSE)</f>
        <v>M.T.</v>
      </c>
      <c r="AM777" s="199"/>
      <c r="AN777" s="198"/>
      <c r="AO777" s="33"/>
    </row>
    <row r="778" spans="1:41" ht="70" x14ac:dyDescent="0.25">
      <c r="A778" s="26">
        <v>657</v>
      </c>
      <c r="B778" s="25" t="s">
        <v>1211</v>
      </c>
      <c r="C778" s="22">
        <v>17.690000000000001</v>
      </c>
      <c r="D778" s="23"/>
      <c r="E778" s="24" t="s">
        <v>1215</v>
      </c>
      <c r="F778" s="23"/>
      <c r="G778" s="21" t="s">
        <v>217</v>
      </c>
      <c r="H778" s="26">
        <v>177</v>
      </c>
      <c r="I778" s="103">
        <v>50</v>
      </c>
      <c r="J778" s="184"/>
      <c r="K778" s="184"/>
      <c r="L778" s="184"/>
      <c r="M778" s="184"/>
      <c r="N778" s="184"/>
      <c r="O778" s="184"/>
      <c r="P778" s="184"/>
      <c r="Q778" s="31"/>
      <c r="R778" s="31"/>
      <c r="S778" s="31"/>
      <c r="T778" s="31"/>
      <c r="U778" s="31"/>
      <c r="V778" s="31"/>
      <c r="W778" s="31"/>
      <c r="X778" s="31"/>
      <c r="Y778" s="31"/>
      <c r="Z778" s="31"/>
      <c r="AA778" s="31"/>
      <c r="AB778" s="31"/>
      <c r="AC778" s="31"/>
      <c r="AD778" s="31"/>
      <c r="AE778" s="31"/>
      <c r="AF778" s="31"/>
      <c r="AG778" s="31"/>
      <c r="AH778" s="31"/>
      <c r="AI778" s="31"/>
      <c r="AJ778" s="31"/>
      <c r="AK778" s="31"/>
      <c r="AL778" s="28" t="str">
        <f>VLOOKUP($G778,'[42]Sheet1 (2)'!$A$1:$B$1048440,2,FALSE)</f>
        <v>Sqm</v>
      </c>
      <c r="AM778" s="32"/>
      <c r="AN778" s="31"/>
      <c r="AO778" s="33"/>
    </row>
    <row r="779" spans="1:41" ht="70" x14ac:dyDescent="0.25">
      <c r="A779" s="26">
        <v>658</v>
      </c>
      <c r="B779" s="25" t="s">
        <v>1211</v>
      </c>
      <c r="C779" s="22">
        <v>17.7</v>
      </c>
      <c r="D779" s="23"/>
      <c r="E779" s="23" t="s">
        <v>1216</v>
      </c>
      <c r="F779" s="23"/>
      <c r="G779" s="21" t="s">
        <v>758</v>
      </c>
      <c r="H779" s="26">
        <v>66368</v>
      </c>
      <c r="I779" s="121">
        <v>3214</v>
      </c>
      <c r="J779" s="184"/>
      <c r="K779" s="184"/>
      <c r="L779" s="184"/>
      <c r="M779" s="184"/>
      <c r="N779" s="184"/>
      <c r="O779" s="184"/>
      <c r="P779" s="184"/>
      <c r="Q779" s="31"/>
      <c r="R779" s="31"/>
      <c r="S779" s="31"/>
      <c r="T779" s="31"/>
      <c r="U779" s="31"/>
      <c r="V779" s="31"/>
      <c r="W779" s="31"/>
      <c r="X779" s="31"/>
      <c r="Y779" s="31"/>
      <c r="Z779" s="31"/>
      <c r="AA779" s="31"/>
      <c r="AB779" s="31"/>
      <c r="AC779" s="31"/>
      <c r="AD779" s="31"/>
      <c r="AE779" s="31"/>
      <c r="AF779" s="31"/>
      <c r="AG779" s="31"/>
      <c r="AH779" s="31"/>
      <c r="AI779" s="31"/>
      <c r="AJ779" s="31"/>
      <c r="AK779" s="31"/>
      <c r="AL779" s="28" t="str">
        <f>VLOOKUP($G779,'[42]Sheet1 (2)'!$A$1:$B$1048440,2,FALSE)</f>
        <v>M.T.</v>
      </c>
      <c r="AM779" s="32"/>
      <c r="AN779" s="31"/>
      <c r="AO779" s="33"/>
    </row>
    <row r="780" spans="1:41" ht="154" x14ac:dyDescent="0.25">
      <c r="A780" s="26">
        <v>659</v>
      </c>
      <c r="B780" s="25" t="s">
        <v>1211</v>
      </c>
      <c r="C780" s="22">
        <v>17.71</v>
      </c>
      <c r="D780" s="23"/>
      <c r="E780" s="24" t="s">
        <v>1217</v>
      </c>
      <c r="F780" s="23"/>
      <c r="G780" s="21" t="s">
        <v>80</v>
      </c>
      <c r="H780" s="26">
        <v>587</v>
      </c>
      <c r="I780" s="103">
        <v>36</v>
      </c>
      <c r="J780" s="184"/>
      <c r="K780" s="184"/>
      <c r="L780" s="184"/>
      <c r="M780" s="184"/>
      <c r="N780" s="184"/>
      <c r="O780" s="184"/>
      <c r="P780" s="184"/>
      <c r="Q780" s="31"/>
      <c r="R780" s="31"/>
      <c r="S780" s="31"/>
      <c r="T780" s="31"/>
      <c r="U780" s="31"/>
      <c r="V780" s="31"/>
      <c r="W780" s="31"/>
      <c r="X780" s="31"/>
      <c r="Y780" s="31"/>
      <c r="Z780" s="31"/>
      <c r="AA780" s="31"/>
      <c r="AB780" s="31"/>
      <c r="AC780" s="31"/>
      <c r="AD780" s="31"/>
      <c r="AE780" s="31"/>
      <c r="AF780" s="31"/>
      <c r="AG780" s="31"/>
      <c r="AH780" s="31"/>
      <c r="AI780" s="31"/>
      <c r="AJ780" s="31"/>
      <c r="AK780" s="31"/>
      <c r="AL780" s="28" t="str">
        <f>VLOOKUP($G780,'[42]Sheet1 (2)'!$A$1:$B$1048440,2,FALSE)</f>
        <v>Rmt.</v>
      </c>
      <c r="AM780" s="32"/>
      <c r="AN780" s="31"/>
      <c r="AO780" s="33"/>
    </row>
    <row r="781" spans="1:41" ht="140" x14ac:dyDescent="0.25">
      <c r="A781" s="26">
        <v>660</v>
      </c>
      <c r="B781" s="25" t="s">
        <v>1211</v>
      </c>
      <c r="C781" s="22">
        <v>17.72</v>
      </c>
      <c r="D781" s="23"/>
      <c r="E781" s="24" t="s">
        <v>1218</v>
      </c>
      <c r="F781" s="23"/>
      <c r="G781" s="25" t="s">
        <v>1219</v>
      </c>
      <c r="H781" s="26">
        <v>139423</v>
      </c>
      <c r="I781" s="26">
        <v>101228</v>
      </c>
      <c r="J781" s="184"/>
      <c r="K781" s="184"/>
      <c r="L781" s="184"/>
      <c r="M781" s="184"/>
      <c r="N781" s="184"/>
      <c r="O781" s="184"/>
      <c r="P781" s="184"/>
      <c r="Q781" s="31"/>
      <c r="R781" s="31"/>
      <c r="S781" s="31"/>
      <c r="T781" s="31"/>
      <c r="U781" s="31"/>
      <c r="V781" s="31"/>
      <c r="W781" s="31"/>
      <c r="X781" s="31"/>
      <c r="Y781" s="31"/>
      <c r="Z781" s="31"/>
      <c r="AA781" s="31"/>
      <c r="AB781" s="31"/>
      <c r="AC781" s="31"/>
      <c r="AD781" s="31"/>
      <c r="AE781" s="31"/>
      <c r="AF781" s="31"/>
      <c r="AG781" s="31"/>
      <c r="AH781" s="31"/>
      <c r="AI781" s="31"/>
      <c r="AJ781" s="31"/>
      <c r="AK781" s="31"/>
      <c r="AL781" s="28" t="e">
        <f>VLOOKUP($G781,'[42]Sheet1 (2)'!$A$1:$B$1048440,2,FALSE)</f>
        <v>#N/A</v>
      </c>
      <c r="AM781" s="32"/>
      <c r="AN781" s="31"/>
      <c r="AO781" s="33"/>
    </row>
    <row r="782" spans="1:41" ht="154" x14ac:dyDescent="0.25">
      <c r="A782" s="26">
        <v>661</v>
      </c>
      <c r="B782" s="25" t="s">
        <v>1211</v>
      </c>
      <c r="C782" s="22">
        <v>17.73</v>
      </c>
      <c r="D782" s="23"/>
      <c r="E782" s="24" t="s">
        <v>1220</v>
      </c>
      <c r="F782" s="23"/>
      <c r="G782" s="25" t="s">
        <v>1219</v>
      </c>
      <c r="H782" s="26">
        <v>138161</v>
      </c>
      <c r="I782" s="26">
        <v>101228</v>
      </c>
      <c r="J782" s="184"/>
      <c r="K782" s="184"/>
      <c r="L782" s="184"/>
      <c r="M782" s="184"/>
      <c r="N782" s="184"/>
      <c r="O782" s="184"/>
      <c r="P782" s="184"/>
      <c r="Q782" s="31"/>
      <c r="R782" s="31"/>
      <c r="S782" s="31"/>
      <c r="T782" s="31"/>
      <c r="U782" s="31"/>
      <c r="V782" s="31"/>
      <c r="W782" s="31"/>
      <c r="X782" s="31"/>
      <c r="Y782" s="31"/>
      <c r="Z782" s="31"/>
      <c r="AA782" s="31"/>
      <c r="AB782" s="31"/>
      <c r="AC782" s="31"/>
      <c r="AD782" s="31"/>
      <c r="AE782" s="31"/>
      <c r="AF782" s="31"/>
      <c r="AG782" s="31"/>
      <c r="AH782" s="31"/>
      <c r="AI782" s="31"/>
      <c r="AJ782" s="31"/>
      <c r="AK782" s="31"/>
      <c r="AL782" s="28" t="e">
        <f>VLOOKUP($G782,'[42]Sheet1 (2)'!$A$1:$B$1048440,2,FALSE)</f>
        <v>#N/A</v>
      </c>
      <c r="AM782" s="32" t="s">
        <v>1113</v>
      </c>
      <c r="AN782" s="31"/>
      <c r="AO782" s="33"/>
    </row>
    <row r="783" spans="1:41" ht="20" x14ac:dyDescent="0.25">
      <c r="A783" s="109"/>
      <c r="B783" s="25"/>
      <c r="C783" s="22"/>
      <c r="D783" s="200"/>
      <c r="E783" s="201" t="s">
        <v>1221</v>
      </c>
      <c r="F783" s="200"/>
      <c r="G783" s="165"/>
      <c r="H783" s="167"/>
      <c r="I783" s="167"/>
      <c r="J783" s="184"/>
      <c r="K783" s="184"/>
      <c r="L783" s="184"/>
      <c r="M783" s="184"/>
      <c r="N783" s="184"/>
      <c r="O783" s="184"/>
      <c r="P783" s="184"/>
      <c r="Q783" s="31"/>
      <c r="R783" s="31"/>
      <c r="S783" s="31"/>
      <c r="T783" s="31"/>
      <c r="U783" s="31"/>
      <c r="V783" s="31"/>
      <c r="W783" s="31"/>
      <c r="X783" s="31"/>
      <c r="Y783" s="31"/>
      <c r="Z783" s="31"/>
      <c r="AA783" s="31"/>
      <c r="AB783" s="31"/>
      <c r="AC783" s="31"/>
      <c r="AD783" s="31"/>
      <c r="AE783" s="31"/>
      <c r="AF783" s="31"/>
      <c r="AG783" s="31"/>
      <c r="AH783" s="31"/>
      <c r="AI783" s="31"/>
      <c r="AJ783" s="31"/>
      <c r="AK783" s="31"/>
      <c r="AL783" s="28" t="e">
        <f>VLOOKUP($G783,'[42]Sheet1 (2)'!$A$1:$B$1048440,2,FALSE)</f>
        <v>#N/A</v>
      </c>
      <c r="AM783" s="32"/>
      <c r="AN783" s="31"/>
      <c r="AO783" s="33"/>
    </row>
    <row r="784" spans="1:41" ht="224" x14ac:dyDescent="0.25">
      <c r="A784" s="40">
        <v>662</v>
      </c>
      <c r="B784" s="130" t="s">
        <v>1221</v>
      </c>
      <c r="C784" s="37">
        <v>18.010000000000002</v>
      </c>
      <c r="D784" s="43"/>
      <c r="E784" s="44" t="s">
        <v>1222</v>
      </c>
      <c r="F784" s="44" t="s">
        <v>1223</v>
      </c>
      <c r="G784" s="45" t="s">
        <v>45</v>
      </c>
      <c r="H784" s="40">
        <v>3722</v>
      </c>
      <c r="I784" s="40">
        <v>249</v>
      </c>
      <c r="J784" s="184"/>
      <c r="K784" s="184"/>
      <c r="L784" s="184"/>
      <c r="M784" s="184"/>
      <c r="N784" s="184"/>
      <c r="O784" s="184"/>
      <c r="P784" s="184"/>
      <c r="Q784" s="31"/>
      <c r="R784" s="31"/>
      <c r="S784" s="31"/>
      <c r="T784" s="31"/>
      <c r="U784" s="31"/>
      <c r="V784" s="31"/>
      <c r="W784" s="31"/>
      <c r="X784" s="31"/>
      <c r="Y784" s="31"/>
      <c r="Z784" s="31"/>
      <c r="AA784" s="31"/>
      <c r="AB784" s="31"/>
      <c r="AC784" s="31"/>
      <c r="AD784" s="31"/>
      <c r="AE784" s="31"/>
      <c r="AF784" s="31"/>
      <c r="AG784" s="31"/>
      <c r="AH784" s="31"/>
      <c r="AI784" s="31"/>
      <c r="AJ784" s="31"/>
      <c r="AK784" s="31"/>
      <c r="AL784" s="28" t="str">
        <f>VLOOKUP($G784,'[42]Sheet1 (2)'!$A$1:$B$1048440,2,FALSE)</f>
        <v>No.</v>
      </c>
      <c r="AM784" s="32" t="s">
        <v>1116</v>
      </c>
      <c r="AN784" s="31"/>
      <c r="AO784" s="33"/>
    </row>
    <row r="785" spans="1:41" ht="224" x14ac:dyDescent="0.25">
      <c r="A785" s="40">
        <v>663</v>
      </c>
      <c r="B785" s="130" t="s">
        <v>1221</v>
      </c>
      <c r="C785" s="37">
        <v>18.02</v>
      </c>
      <c r="D785" s="43"/>
      <c r="E785" s="44" t="s">
        <v>1224</v>
      </c>
      <c r="F785" s="44" t="s">
        <v>1223</v>
      </c>
      <c r="G785" s="45" t="s">
        <v>45</v>
      </c>
      <c r="H785" s="40">
        <v>3823</v>
      </c>
      <c r="I785" s="40">
        <v>249</v>
      </c>
      <c r="J785" s="184"/>
      <c r="K785" s="184"/>
      <c r="L785" s="184"/>
      <c r="M785" s="184"/>
      <c r="N785" s="184"/>
      <c r="O785" s="184"/>
      <c r="P785" s="184"/>
      <c r="Q785" s="31"/>
      <c r="R785" s="31"/>
      <c r="S785" s="31"/>
      <c r="T785" s="31"/>
      <c r="U785" s="31"/>
      <c r="V785" s="31"/>
      <c r="W785" s="31"/>
      <c r="X785" s="31"/>
      <c r="Y785" s="31"/>
      <c r="Z785" s="31"/>
      <c r="AA785" s="31"/>
      <c r="AB785" s="31"/>
      <c r="AC785" s="31"/>
      <c r="AD785" s="31"/>
      <c r="AE785" s="31"/>
      <c r="AF785" s="31"/>
      <c r="AG785" s="31"/>
      <c r="AH785" s="31"/>
      <c r="AI785" s="31"/>
      <c r="AJ785" s="31"/>
      <c r="AK785" s="31"/>
      <c r="AL785" s="28" t="str">
        <f>VLOOKUP($G785,'[42]Sheet1 (2)'!$A$1:$B$1048440,2,FALSE)</f>
        <v>No.</v>
      </c>
      <c r="AM785" s="32"/>
      <c r="AN785" s="31"/>
      <c r="AO785" s="33"/>
    </row>
    <row r="786" spans="1:41" ht="224" x14ac:dyDescent="0.25">
      <c r="A786" s="26">
        <v>664</v>
      </c>
      <c r="B786" s="67" t="s">
        <v>1221</v>
      </c>
      <c r="C786" s="22">
        <v>18.03</v>
      </c>
      <c r="D786" s="23"/>
      <c r="E786" s="24" t="s">
        <v>1225</v>
      </c>
      <c r="F786" s="24" t="s">
        <v>1223</v>
      </c>
      <c r="G786" s="25" t="s">
        <v>45</v>
      </c>
      <c r="H786" s="26">
        <v>3944</v>
      </c>
      <c r="I786" s="26">
        <v>249</v>
      </c>
      <c r="J786" s="184"/>
      <c r="K786" s="184"/>
      <c r="L786" s="184"/>
      <c r="M786" s="184"/>
      <c r="N786" s="184"/>
      <c r="O786" s="184"/>
      <c r="P786" s="184"/>
      <c r="Q786" s="31"/>
      <c r="R786" s="31"/>
      <c r="S786" s="31"/>
      <c r="T786" s="31"/>
      <c r="U786" s="31"/>
      <c r="V786" s="31"/>
      <c r="W786" s="31"/>
      <c r="X786" s="31"/>
      <c r="Y786" s="31"/>
      <c r="Z786" s="31"/>
      <c r="AA786" s="31"/>
      <c r="AB786" s="31"/>
      <c r="AC786" s="31"/>
      <c r="AD786" s="31"/>
      <c r="AE786" s="31"/>
      <c r="AF786" s="31"/>
      <c r="AG786" s="31"/>
      <c r="AH786" s="31"/>
      <c r="AI786" s="31"/>
      <c r="AJ786" s="31"/>
      <c r="AK786" s="31"/>
      <c r="AL786" s="28" t="str">
        <f>VLOOKUP($G786,'[42]Sheet1 (2)'!$A$1:$B$1048440,2,FALSE)</f>
        <v>No.</v>
      </c>
      <c r="AM786" s="32"/>
      <c r="AN786" s="31"/>
      <c r="AO786" s="33"/>
    </row>
    <row r="787" spans="1:41" ht="224" x14ac:dyDescent="0.25">
      <c r="A787" s="26">
        <v>665</v>
      </c>
      <c r="B787" s="67" t="s">
        <v>1221</v>
      </c>
      <c r="C787" s="22">
        <v>18.04</v>
      </c>
      <c r="D787" s="23"/>
      <c r="E787" s="24" t="s">
        <v>1226</v>
      </c>
      <c r="F787" s="24" t="s">
        <v>1223</v>
      </c>
      <c r="G787" s="25" t="s">
        <v>45</v>
      </c>
      <c r="H787" s="26">
        <v>4940</v>
      </c>
      <c r="I787" s="26">
        <v>273</v>
      </c>
      <c r="J787" s="184"/>
      <c r="K787" s="184"/>
      <c r="L787" s="184"/>
      <c r="M787" s="184"/>
      <c r="N787" s="184"/>
      <c r="O787" s="184"/>
      <c r="P787" s="184"/>
      <c r="Q787" s="31"/>
      <c r="R787" s="31"/>
      <c r="S787" s="31"/>
      <c r="T787" s="31"/>
      <c r="U787" s="31"/>
      <c r="V787" s="31"/>
      <c r="W787" s="31"/>
      <c r="X787" s="31"/>
      <c r="Y787" s="31"/>
      <c r="Z787" s="31"/>
      <c r="AA787" s="31"/>
      <c r="AB787" s="31"/>
      <c r="AC787" s="31"/>
      <c r="AD787" s="31"/>
      <c r="AE787" s="31"/>
      <c r="AF787" s="31"/>
      <c r="AG787" s="31"/>
      <c r="AH787" s="31"/>
      <c r="AI787" s="31"/>
      <c r="AJ787" s="31"/>
      <c r="AK787" s="31"/>
      <c r="AL787" s="28" t="str">
        <f>VLOOKUP($G787,'[42]Sheet1 (2)'!$A$1:$B$1048440,2,FALSE)</f>
        <v>No.</v>
      </c>
      <c r="AM787" s="32"/>
      <c r="AN787" s="31"/>
      <c r="AO787" s="33"/>
    </row>
    <row r="788" spans="1:41" ht="224" x14ac:dyDescent="0.25">
      <c r="A788" s="26">
        <v>666</v>
      </c>
      <c r="B788" s="67" t="s">
        <v>1221</v>
      </c>
      <c r="C788" s="22">
        <v>18.05</v>
      </c>
      <c r="D788" s="23"/>
      <c r="E788" s="24" t="s">
        <v>1227</v>
      </c>
      <c r="F788" s="24" t="s">
        <v>1223</v>
      </c>
      <c r="G788" s="25" t="s">
        <v>45</v>
      </c>
      <c r="H788" s="26">
        <v>5047</v>
      </c>
      <c r="I788" s="26">
        <v>273</v>
      </c>
      <c r="J788" s="184"/>
      <c r="K788" s="184"/>
      <c r="L788" s="184"/>
      <c r="M788" s="184"/>
      <c r="N788" s="184"/>
      <c r="O788" s="184"/>
      <c r="P788" s="184"/>
      <c r="Q788" s="31"/>
      <c r="R788" s="31"/>
      <c r="S788" s="31"/>
      <c r="T788" s="31"/>
      <c r="U788" s="31"/>
      <c r="V788" s="31"/>
      <c r="W788" s="31"/>
      <c r="X788" s="31"/>
      <c r="Y788" s="31"/>
      <c r="Z788" s="31"/>
      <c r="AA788" s="31"/>
      <c r="AB788" s="31"/>
      <c r="AC788" s="31"/>
      <c r="AD788" s="31"/>
      <c r="AE788" s="31"/>
      <c r="AF788" s="31"/>
      <c r="AG788" s="31"/>
      <c r="AH788" s="31"/>
      <c r="AI788" s="31"/>
      <c r="AJ788" s="31"/>
      <c r="AK788" s="31"/>
      <c r="AL788" s="28" t="str">
        <f>VLOOKUP($G788,'[42]Sheet1 (2)'!$A$1:$B$1048440,2,FALSE)</f>
        <v>No.</v>
      </c>
      <c r="AM788" s="32"/>
      <c r="AN788" s="31"/>
      <c r="AO788" s="33"/>
    </row>
    <row r="789" spans="1:41" ht="224" x14ac:dyDescent="0.25">
      <c r="A789" s="26">
        <v>667</v>
      </c>
      <c r="B789" s="67" t="s">
        <v>1221</v>
      </c>
      <c r="C789" s="22">
        <v>18.059999999999999</v>
      </c>
      <c r="D789" s="23"/>
      <c r="E789" s="24" t="s">
        <v>1228</v>
      </c>
      <c r="F789" s="24" t="s">
        <v>1223</v>
      </c>
      <c r="G789" s="25" t="s">
        <v>45</v>
      </c>
      <c r="H789" s="26">
        <v>5128</v>
      </c>
      <c r="I789" s="26">
        <v>273</v>
      </c>
      <c r="J789" s="31"/>
      <c r="K789" s="31"/>
      <c r="L789" s="31"/>
      <c r="M789" s="31"/>
      <c r="N789" s="31"/>
      <c r="O789" s="31"/>
      <c r="P789" s="31"/>
      <c r="Q789" s="31"/>
      <c r="R789" s="31"/>
      <c r="S789" s="31"/>
      <c r="T789" s="31"/>
      <c r="U789" s="31"/>
      <c r="V789" s="31"/>
      <c r="W789" s="31"/>
      <c r="X789" s="31"/>
      <c r="Y789" s="31"/>
      <c r="Z789" s="31"/>
      <c r="AA789" s="31"/>
      <c r="AB789" s="31"/>
      <c r="AC789" s="31"/>
      <c r="AD789" s="31"/>
      <c r="AE789" s="31"/>
      <c r="AF789" s="31"/>
      <c r="AG789" s="31"/>
      <c r="AH789" s="31"/>
      <c r="AI789" s="31"/>
      <c r="AJ789" s="31"/>
      <c r="AK789" s="31"/>
      <c r="AL789" s="28" t="str">
        <f>VLOOKUP($G789,'[42]Sheet1 (2)'!$A$1:$B$1048440,2,FALSE)</f>
        <v>No.</v>
      </c>
      <c r="AM789" s="32"/>
      <c r="AN789" s="31"/>
      <c r="AO789" s="33"/>
    </row>
    <row r="790" spans="1:41" ht="210" x14ac:dyDescent="0.25">
      <c r="A790" s="26">
        <v>668</v>
      </c>
      <c r="B790" s="67" t="s">
        <v>1221</v>
      </c>
      <c r="C790" s="22">
        <v>18.07</v>
      </c>
      <c r="D790" s="23"/>
      <c r="E790" s="24" t="s">
        <v>1229</v>
      </c>
      <c r="F790" s="24" t="s">
        <v>1223</v>
      </c>
      <c r="G790" s="21" t="s">
        <v>217</v>
      </c>
      <c r="H790" s="26">
        <v>5131</v>
      </c>
      <c r="I790" s="26">
        <v>351</v>
      </c>
      <c r="J790" s="31"/>
      <c r="K790" s="31"/>
      <c r="L790" s="31"/>
      <c r="M790" s="31"/>
      <c r="N790" s="31"/>
      <c r="O790" s="31"/>
      <c r="P790" s="31"/>
      <c r="Q790" s="31"/>
      <c r="R790" s="31"/>
      <c r="S790" s="31"/>
      <c r="T790" s="31"/>
      <c r="U790" s="31"/>
      <c r="V790" s="31"/>
      <c r="W790" s="31"/>
      <c r="X790" s="31"/>
      <c r="Y790" s="31"/>
      <c r="Z790" s="31"/>
      <c r="AA790" s="31"/>
      <c r="AB790" s="31"/>
      <c r="AC790" s="31"/>
      <c r="AD790" s="31"/>
      <c r="AE790" s="31"/>
      <c r="AF790" s="31"/>
      <c r="AG790" s="31"/>
      <c r="AH790" s="31"/>
      <c r="AI790" s="31"/>
      <c r="AJ790" s="31"/>
      <c r="AK790" s="31"/>
      <c r="AL790" s="28" t="str">
        <f>VLOOKUP($G790,'[42]Sheet1 (2)'!$A$1:$B$1048440,2,FALSE)</f>
        <v>Sqm</v>
      </c>
      <c r="AM790" s="32"/>
      <c r="AN790" s="31"/>
      <c r="AO790" s="33"/>
    </row>
    <row r="791" spans="1:41" ht="182" x14ac:dyDescent="0.25">
      <c r="A791" s="26">
        <v>669</v>
      </c>
      <c r="B791" s="67" t="s">
        <v>1221</v>
      </c>
      <c r="C791" s="22">
        <v>18.079999999999998</v>
      </c>
      <c r="D791" s="23"/>
      <c r="E791" s="24" t="s">
        <v>1230</v>
      </c>
      <c r="F791" s="24" t="s">
        <v>1223</v>
      </c>
      <c r="G791" s="21" t="s">
        <v>758</v>
      </c>
      <c r="H791" s="26">
        <v>3678</v>
      </c>
      <c r="I791" s="26">
        <v>304</v>
      </c>
      <c r="J791" s="31"/>
      <c r="K791" s="31"/>
      <c r="L791" s="31"/>
      <c r="M791" s="31"/>
      <c r="N791" s="31"/>
      <c r="O791" s="31"/>
      <c r="P791" s="31"/>
      <c r="Q791" s="31"/>
      <c r="R791" s="31"/>
      <c r="S791" s="31"/>
      <c r="T791" s="31"/>
      <c r="U791" s="31"/>
      <c r="V791" s="31"/>
      <c r="W791" s="31"/>
      <c r="X791" s="31"/>
      <c r="Y791" s="31"/>
      <c r="Z791" s="31"/>
      <c r="AA791" s="31"/>
      <c r="AB791" s="31"/>
      <c r="AC791" s="31"/>
      <c r="AD791" s="31"/>
      <c r="AE791" s="31"/>
      <c r="AF791" s="31"/>
      <c r="AG791" s="31"/>
      <c r="AH791" s="31"/>
      <c r="AI791" s="31"/>
      <c r="AJ791" s="31"/>
      <c r="AK791" s="31"/>
      <c r="AL791" s="28" t="str">
        <f>VLOOKUP($G791,'[42]Sheet1 (2)'!$A$1:$B$1048440,2,FALSE)</f>
        <v>M.T.</v>
      </c>
      <c r="AM791" s="32"/>
      <c r="AN791" s="31"/>
      <c r="AO791" s="33"/>
    </row>
    <row r="792" spans="1:41" ht="126" x14ac:dyDescent="0.25">
      <c r="A792" s="26">
        <v>670</v>
      </c>
      <c r="B792" s="25" t="s">
        <v>1231</v>
      </c>
      <c r="C792" s="22">
        <v>19.010000000000002</v>
      </c>
      <c r="D792" s="25" t="s">
        <v>772</v>
      </c>
      <c r="E792" s="23" t="s">
        <v>1232</v>
      </c>
      <c r="F792" s="24" t="s">
        <v>1233</v>
      </c>
      <c r="G792" s="21" t="s">
        <v>758</v>
      </c>
      <c r="H792" s="26">
        <v>76863</v>
      </c>
      <c r="I792" s="121">
        <v>13228</v>
      </c>
      <c r="J792" s="184"/>
      <c r="K792" s="184">
        <v>1</v>
      </c>
      <c r="L792" s="184"/>
      <c r="M792" s="184"/>
      <c r="N792" s="184"/>
      <c r="O792" s="184"/>
      <c r="P792" s="184"/>
      <c r="Q792" s="31"/>
      <c r="R792" s="31"/>
      <c r="S792" s="31"/>
      <c r="T792" s="31"/>
      <c r="U792" s="31"/>
      <c r="V792" s="31"/>
      <c r="W792" s="31"/>
      <c r="X792" s="31"/>
      <c r="Y792" s="31"/>
      <c r="Z792" s="31"/>
      <c r="AA792" s="31"/>
      <c r="AB792" s="31"/>
      <c r="AC792" s="31"/>
      <c r="AD792" s="31"/>
      <c r="AE792" s="31"/>
      <c r="AF792" s="31"/>
      <c r="AG792" s="31"/>
      <c r="AH792" s="31"/>
      <c r="AI792" s="31"/>
      <c r="AJ792" s="31"/>
      <c r="AK792" s="31"/>
      <c r="AL792" s="28" t="str">
        <f>VLOOKUP($G792,'[42]Sheet1 (2)'!$A$1:$B$1048440,2,FALSE)</f>
        <v>M.T.</v>
      </c>
      <c r="AM792" s="32" t="s">
        <v>1134</v>
      </c>
      <c r="AN792" s="31"/>
      <c r="AO792" s="33"/>
    </row>
    <row r="793" spans="1:41" ht="126" x14ac:dyDescent="0.25">
      <c r="A793" s="26">
        <v>671</v>
      </c>
      <c r="B793" s="25" t="s">
        <v>1231</v>
      </c>
      <c r="C793" s="22">
        <v>19.02</v>
      </c>
      <c r="D793" s="25" t="s">
        <v>772</v>
      </c>
      <c r="E793" s="23" t="s">
        <v>1234</v>
      </c>
      <c r="F793" s="24" t="s">
        <v>1233</v>
      </c>
      <c r="G793" s="25" t="s">
        <v>1099</v>
      </c>
      <c r="H793" s="26">
        <v>271760</v>
      </c>
      <c r="I793" s="121">
        <v>21700</v>
      </c>
      <c r="J793" s="184"/>
      <c r="K793" s="184"/>
      <c r="L793" s="184"/>
      <c r="M793" s="184"/>
      <c r="N793" s="184"/>
      <c r="O793" s="184"/>
      <c r="P793" s="184"/>
      <c r="Q793" s="31"/>
      <c r="R793" s="31"/>
      <c r="S793" s="31"/>
      <c r="T793" s="31"/>
      <c r="U793" s="31"/>
      <c r="V793" s="31"/>
      <c r="W793" s="31"/>
      <c r="X793" s="31"/>
      <c r="Y793" s="31"/>
      <c r="Z793" s="31"/>
      <c r="AA793" s="31"/>
      <c r="AB793" s="31"/>
      <c r="AC793" s="31"/>
      <c r="AD793" s="31"/>
      <c r="AE793" s="31"/>
      <c r="AF793" s="31"/>
      <c r="AG793" s="31"/>
      <c r="AH793" s="31"/>
      <c r="AI793" s="31"/>
      <c r="AJ793" s="31"/>
      <c r="AK793" s="31"/>
      <c r="AL793" s="28" t="e">
        <f>VLOOKUP($G793,'[42]Sheet1 (2)'!$A$1:$B$1048440,2,FALSE)</f>
        <v>#N/A</v>
      </c>
      <c r="AM793" s="32"/>
      <c r="AN793" s="31"/>
      <c r="AO793" s="33"/>
    </row>
    <row r="794" spans="1:41" ht="182" x14ac:dyDescent="0.25">
      <c r="A794" s="26">
        <v>672</v>
      </c>
      <c r="B794" s="25" t="s">
        <v>1231</v>
      </c>
      <c r="C794" s="22">
        <v>19.03</v>
      </c>
      <c r="D794" s="25" t="s">
        <v>772</v>
      </c>
      <c r="E794" s="24" t="s">
        <v>1235</v>
      </c>
      <c r="F794" s="24" t="s">
        <v>1233</v>
      </c>
      <c r="G794" s="25" t="s">
        <v>1099</v>
      </c>
      <c r="H794" s="26">
        <v>180222</v>
      </c>
      <c r="I794" s="121">
        <v>17695</v>
      </c>
      <c r="J794" s="184"/>
      <c r="K794" s="184"/>
      <c r="L794" s="184"/>
      <c r="M794" s="184"/>
      <c r="N794" s="184"/>
      <c r="O794" s="184"/>
      <c r="P794" s="184"/>
      <c r="Q794" s="31"/>
      <c r="R794" s="31"/>
      <c r="S794" s="31"/>
      <c r="T794" s="31"/>
      <c r="U794" s="31"/>
      <c r="V794" s="31"/>
      <c r="W794" s="31"/>
      <c r="X794" s="31"/>
      <c r="Y794" s="31"/>
      <c r="Z794" s="31"/>
      <c r="AA794" s="31"/>
      <c r="AB794" s="31"/>
      <c r="AC794" s="31"/>
      <c r="AD794" s="31"/>
      <c r="AE794" s="31"/>
      <c r="AF794" s="31"/>
      <c r="AG794" s="31"/>
      <c r="AH794" s="31"/>
      <c r="AI794" s="31"/>
      <c r="AJ794" s="31"/>
      <c r="AK794" s="31"/>
      <c r="AL794" s="28" t="e">
        <f>VLOOKUP($G794,'[42]Sheet1 (2)'!$A$1:$B$1048440,2,FALSE)</f>
        <v>#N/A</v>
      </c>
      <c r="AM794" s="32"/>
      <c r="AN794" s="31"/>
      <c r="AO794" s="33"/>
    </row>
    <row r="795" spans="1:41" ht="42" x14ac:dyDescent="0.25">
      <c r="A795" s="26">
        <v>673</v>
      </c>
      <c r="B795" s="92" t="s">
        <v>1236</v>
      </c>
      <c r="C795" s="22">
        <v>19.04</v>
      </c>
      <c r="D795" s="25" t="s">
        <v>772</v>
      </c>
      <c r="E795" s="24" t="s">
        <v>1237</v>
      </c>
      <c r="F795" s="24" t="s">
        <v>1233</v>
      </c>
      <c r="G795" s="21" t="s">
        <v>217</v>
      </c>
      <c r="H795" s="26">
        <v>695</v>
      </c>
      <c r="I795" s="103">
        <v>305</v>
      </c>
      <c r="J795" s="184"/>
      <c r="K795" s="184"/>
      <c r="L795" s="184"/>
      <c r="M795" s="184"/>
      <c r="N795" s="184"/>
      <c r="O795" s="184"/>
      <c r="P795" s="184"/>
      <c r="Q795" s="31"/>
      <c r="R795" s="31"/>
      <c r="S795" s="31"/>
      <c r="T795" s="31"/>
      <c r="U795" s="31"/>
      <c r="V795" s="31"/>
      <c r="W795" s="31"/>
      <c r="X795" s="31"/>
      <c r="Y795" s="31"/>
      <c r="Z795" s="31"/>
      <c r="AA795" s="31"/>
      <c r="AB795" s="31"/>
      <c r="AC795" s="31"/>
      <c r="AD795" s="31"/>
      <c r="AE795" s="31"/>
      <c r="AF795" s="31"/>
      <c r="AG795" s="31"/>
      <c r="AH795" s="31"/>
      <c r="AI795" s="31"/>
      <c r="AJ795" s="31"/>
      <c r="AK795" s="31"/>
      <c r="AL795" s="28" t="str">
        <f>VLOOKUP($G795,'[42]Sheet1 (2)'!$A$1:$B$1048440,2,FALSE)</f>
        <v>Sqm</v>
      </c>
      <c r="AM795" s="32"/>
      <c r="AN795" s="31"/>
      <c r="AO795" s="33"/>
    </row>
    <row r="796" spans="1:41" ht="56" x14ac:dyDescent="0.25">
      <c r="A796" s="26">
        <v>674</v>
      </c>
      <c r="B796" s="35" t="s">
        <v>1238</v>
      </c>
      <c r="C796" s="22">
        <v>19.05</v>
      </c>
      <c r="D796" s="25" t="s">
        <v>772</v>
      </c>
      <c r="E796" s="23" t="s">
        <v>1239</v>
      </c>
      <c r="F796" s="35" t="s">
        <v>1240</v>
      </c>
      <c r="G796" s="25" t="s">
        <v>45</v>
      </c>
      <c r="H796" s="26">
        <v>694858</v>
      </c>
      <c r="I796" s="121">
        <v>3323</v>
      </c>
      <c r="J796" s="184"/>
      <c r="K796" s="184"/>
      <c r="L796" s="184"/>
      <c r="M796" s="184"/>
      <c r="N796" s="184"/>
      <c r="O796" s="184"/>
      <c r="P796" s="184"/>
      <c r="Q796" s="31"/>
      <c r="R796" s="31"/>
      <c r="S796" s="31"/>
      <c r="T796" s="31"/>
      <c r="U796" s="31"/>
      <c r="V796" s="31"/>
      <c r="W796" s="31"/>
      <c r="X796" s="31"/>
      <c r="Y796" s="31"/>
      <c r="Z796" s="31"/>
      <c r="AA796" s="31"/>
      <c r="AB796" s="31"/>
      <c r="AC796" s="31"/>
      <c r="AD796" s="31"/>
      <c r="AE796" s="31"/>
      <c r="AF796" s="31"/>
      <c r="AG796" s="31"/>
      <c r="AH796" s="31"/>
      <c r="AI796" s="31"/>
      <c r="AJ796" s="31"/>
      <c r="AK796" s="31"/>
      <c r="AL796" s="28" t="str">
        <f>VLOOKUP($G796,'[42]Sheet1 (2)'!$A$1:$B$1048440,2,FALSE)</f>
        <v>No.</v>
      </c>
      <c r="AM796" s="32"/>
      <c r="AN796" s="31"/>
      <c r="AO796" s="33"/>
    </row>
    <row r="797" spans="1:41" ht="56" x14ac:dyDescent="0.25">
      <c r="A797" s="26">
        <v>675</v>
      </c>
      <c r="B797" s="21" t="s">
        <v>1241</v>
      </c>
      <c r="C797" s="22">
        <v>19.059999999999999</v>
      </c>
      <c r="D797" s="25" t="s">
        <v>772</v>
      </c>
      <c r="E797" s="23" t="s">
        <v>1242</v>
      </c>
      <c r="F797" s="24" t="s">
        <v>1233</v>
      </c>
      <c r="G797" s="25" t="s">
        <v>45</v>
      </c>
      <c r="H797" s="26">
        <v>164185</v>
      </c>
      <c r="I797" s="121">
        <v>41190</v>
      </c>
      <c r="J797" s="184"/>
      <c r="K797" s="184"/>
      <c r="L797" s="184"/>
      <c r="M797" s="184"/>
      <c r="N797" s="184"/>
      <c r="O797" s="184"/>
      <c r="P797" s="184"/>
      <c r="Q797" s="31"/>
      <c r="R797" s="31"/>
      <c r="S797" s="31"/>
      <c r="T797" s="31"/>
      <c r="U797" s="31"/>
      <c r="V797" s="31"/>
      <c r="W797" s="31"/>
      <c r="X797" s="31"/>
      <c r="Y797" s="31"/>
      <c r="Z797" s="31"/>
      <c r="AA797" s="31"/>
      <c r="AB797" s="31"/>
      <c r="AC797" s="31"/>
      <c r="AD797" s="31"/>
      <c r="AE797" s="31"/>
      <c r="AF797" s="31"/>
      <c r="AG797" s="31"/>
      <c r="AH797" s="31"/>
      <c r="AI797" s="31"/>
      <c r="AJ797" s="31"/>
      <c r="AK797" s="31"/>
      <c r="AL797" s="28" t="str">
        <f>VLOOKUP($G797,'[42]Sheet1 (2)'!$A$1:$B$1048440,2,FALSE)</f>
        <v>No.</v>
      </c>
      <c r="AM797" s="32"/>
      <c r="AN797" s="31"/>
      <c r="AO797" s="33"/>
    </row>
    <row r="798" spans="1:41" ht="56" x14ac:dyDescent="0.25">
      <c r="A798" s="26">
        <v>676</v>
      </c>
      <c r="B798" s="21" t="s">
        <v>1241</v>
      </c>
      <c r="C798" s="22">
        <v>19.07</v>
      </c>
      <c r="D798" s="25" t="s">
        <v>772</v>
      </c>
      <c r="E798" s="23" t="s">
        <v>1243</v>
      </c>
      <c r="F798" s="24" t="s">
        <v>1233</v>
      </c>
      <c r="G798" s="25" t="s">
        <v>45</v>
      </c>
      <c r="H798" s="26">
        <v>85276</v>
      </c>
      <c r="I798" s="121">
        <v>16476</v>
      </c>
      <c r="J798" s="184"/>
      <c r="K798" s="184"/>
      <c r="L798" s="184"/>
      <c r="M798" s="184"/>
      <c r="N798" s="184"/>
      <c r="O798" s="184"/>
      <c r="P798" s="184"/>
      <c r="Q798" s="31"/>
      <c r="R798" s="31"/>
      <c r="S798" s="31"/>
      <c r="T798" s="31"/>
      <c r="U798" s="31"/>
      <c r="V798" s="31"/>
      <c r="W798" s="31"/>
      <c r="X798" s="31"/>
      <c r="Y798" s="31"/>
      <c r="Z798" s="31"/>
      <c r="AA798" s="31"/>
      <c r="AB798" s="31"/>
      <c r="AC798" s="31"/>
      <c r="AD798" s="31"/>
      <c r="AE798" s="31"/>
      <c r="AF798" s="31"/>
      <c r="AG798" s="31"/>
      <c r="AH798" s="31"/>
      <c r="AI798" s="31"/>
      <c r="AJ798" s="31"/>
      <c r="AK798" s="31"/>
      <c r="AL798" s="28" t="str">
        <f>VLOOKUP($G798,'[42]Sheet1 (2)'!$A$1:$B$1048440,2,FALSE)</f>
        <v>No.</v>
      </c>
      <c r="AM798" s="32"/>
      <c r="AN798" s="31"/>
      <c r="AO798" s="33"/>
    </row>
    <row r="799" spans="1:41" ht="84" x14ac:dyDescent="0.25">
      <c r="A799" s="26">
        <v>677</v>
      </c>
      <c r="B799" s="21" t="s">
        <v>1241</v>
      </c>
      <c r="C799" s="22">
        <v>19.079999999999998</v>
      </c>
      <c r="D799" s="25" t="s">
        <v>772</v>
      </c>
      <c r="E799" s="23" t="s">
        <v>1244</v>
      </c>
      <c r="F799" s="24" t="s">
        <v>1233</v>
      </c>
      <c r="G799" s="21" t="s">
        <v>1081</v>
      </c>
      <c r="H799" s="26">
        <v>856</v>
      </c>
      <c r="I799" s="103">
        <v>687</v>
      </c>
      <c r="J799" s="184"/>
      <c r="K799" s="184"/>
      <c r="L799" s="184"/>
      <c r="M799" s="184"/>
      <c r="N799" s="184"/>
      <c r="O799" s="184"/>
      <c r="P799" s="184"/>
      <c r="Q799" s="31"/>
      <c r="R799" s="31"/>
      <c r="S799" s="31"/>
      <c r="T799" s="31"/>
      <c r="U799" s="31"/>
      <c r="V799" s="31"/>
      <c r="W799" s="31"/>
      <c r="X799" s="31"/>
      <c r="Y799" s="31"/>
      <c r="Z799" s="31"/>
      <c r="AA799" s="31"/>
      <c r="AB799" s="31"/>
      <c r="AC799" s="31"/>
      <c r="AD799" s="31"/>
      <c r="AE799" s="31"/>
      <c r="AF799" s="31"/>
      <c r="AG799" s="31"/>
      <c r="AH799" s="31"/>
      <c r="AI799" s="31"/>
      <c r="AJ799" s="31"/>
      <c r="AK799" s="31"/>
      <c r="AL799" s="28" t="e">
        <f>VLOOKUP($G799,'[42]Sheet1 (2)'!$A$1:$B$1048440,2,FALSE)</f>
        <v>#N/A</v>
      </c>
      <c r="AM799" s="32"/>
      <c r="AN799" s="31"/>
      <c r="AO799" s="33"/>
    </row>
    <row r="800" spans="1:41" ht="140" x14ac:dyDescent="0.25">
      <c r="A800" s="26">
        <v>678</v>
      </c>
      <c r="B800" s="21" t="s">
        <v>1241</v>
      </c>
      <c r="C800" s="22">
        <v>19.09</v>
      </c>
      <c r="D800" s="25" t="s">
        <v>772</v>
      </c>
      <c r="E800" s="24" t="s">
        <v>1245</v>
      </c>
      <c r="F800" s="24" t="s">
        <v>1233</v>
      </c>
      <c r="G800" s="21" t="s">
        <v>1081</v>
      </c>
      <c r="H800" s="26">
        <v>2567</v>
      </c>
      <c r="I800" s="26">
        <v>2060</v>
      </c>
      <c r="J800" s="31"/>
      <c r="K800" s="31"/>
      <c r="L800" s="31"/>
      <c r="M800" s="31"/>
      <c r="N800" s="31"/>
      <c r="O800" s="31"/>
      <c r="P800" s="31"/>
      <c r="Q800" s="31"/>
      <c r="R800" s="31"/>
      <c r="S800" s="31"/>
      <c r="T800" s="31"/>
      <c r="U800" s="31"/>
      <c r="V800" s="31"/>
      <c r="W800" s="31"/>
      <c r="X800" s="31"/>
      <c r="Y800" s="31"/>
      <c r="Z800" s="31"/>
      <c r="AA800" s="31"/>
      <c r="AB800" s="31"/>
      <c r="AC800" s="31"/>
      <c r="AD800" s="31"/>
      <c r="AE800" s="31"/>
      <c r="AF800" s="31"/>
      <c r="AG800" s="31"/>
      <c r="AH800" s="31"/>
      <c r="AI800" s="31"/>
      <c r="AJ800" s="31"/>
      <c r="AK800" s="31"/>
      <c r="AL800" s="28" t="e">
        <f>VLOOKUP($G800,'[42]Sheet1 (2)'!$A$1:$B$1048440,2,FALSE)</f>
        <v>#N/A</v>
      </c>
      <c r="AM800" s="32"/>
      <c r="AN800" s="31"/>
      <c r="AO800" s="33"/>
    </row>
    <row r="801" spans="1:41" ht="140" x14ac:dyDescent="0.25">
      <c r="A801" s="26">
        <v>679</v>
      </c>
      <c r="B801" s="21" t="s">
        <v>1241</v>
      </c>
      <c r="C801" s="22">
        <v>19.100000000000001</v>
      </c>
      <c r="D801" s="25" t="s">
        <v>772</v>
      </c>
      <c r="E801" s="24" t="s">
        <v>1246</v>
      </c>
      <c r="F801" s="24" t="s">
        <v>1233</v>
      </c>
      <c r="G801" s="25" t="s">
        <v>1247</v>
      </c>
      <c r="H801" s="26">
        <v>2292</v>
      </c>
      <c r="I801" s="26">
        <v>1373</v>
      </c>
      <c r="J801" s="31"/>
      <c r="K801" s="31"/>
      <c r="L801" s="31"/>
      <c r="M801" s="31"/>
      <c r="N801" s="31"/>
      <c r="O801" s="31"/>
      <c r="P801" s="31"/>
      <c r="Q801" s="31"/>
      <c r="R801" s="31"/>
      <c r="S801" s="31"/>
      <c r="T801" s="31"/>
      <c r="U801" s="31"/>
      <c r="V801" s="31"/>
      <c r="W801" s="31"/>
      <c r="X801" s="31"/>
      <c r="Y801" s="31"/>
      <c r="Z801" s="31"/>
      <c r="AA801" s="31"/>
      <c r="AB801" s="31"/>
      <c r="AC801" s="31"/>
      <c r="AD801" s="31"/>
      <c r="AE801" s="31"/>
      <c r="AF801" s="31"/>
      <c r="AG801" s="31"/>
      <c r="AH801" s="31"/>
      <c r="AI801" s="31"/>
      <c r="AJ801" s="31"/>
      <c r="AK801" s="31"/>
      <c r="AL801" s="28" t="e">
        <f>VLOOKUP($G801,'[42]Sheet1 (2)'!$A$1:$B$1048440,2,FALSE)</f>
        <v>#N/A</v>
      </c>
      <c r="AM801" s="32"/>
      <c r="AN801" s="31"/>
      <c r="AO801" s="33"/>
    </row>
    <row r="802" spans="1:41" ht="140" x14ac:dyDescent="0.25">
      <c r="A802" s="26">
        <v>680</v>
      </c>
      <c r="B802" s="21" t="s">
        <v>1241</v>
      </c>
      <c r="C802" s="22">
        <v>19.11</v>
      </c>
      <c r="D802" s="25" t="s">
        <v>772</v>
      </c>
      <c r="E802" s="24" t="s">
        <v>1248</v>
      </c>
      <c r="F802" s="24" t="s">
        <v>1233</v>
      </c>
      <c r="G802" s="25" t="s">
        <v>45</v>
      </c>
      <c r="H802" s="26">
        <v>1089</v>
      </c>
      <c r="I802" s="26">
        <v>589</v>
      </c>
      <c r="J802" s="184"/>
      <c r="K802" s="184"/>
      <c r="L802" s="184"/>
      <c r="M802" s="184"/>
      <c r="N802" s="184"/>
      <c r="O802" s="184"/>
      <c r="P802" s="184"/>
      <c r="Q802" s="31"/>
      <c r="R802" s="31"/>
      <c r="S802" s="31"/>
      <c r="T802" s="31"/>
      <c r="U802" s="31"/>
      <c r="V802" s="31"/>
      <c r="W802" s="31"/>
      <c r="X802" s="31"/>
      <c r="Y802" s="31"/>
      <c r="Z802" s="31"/>
      <c r="AA802" s="31"/>
      <c r="AB802" s="31"/>
      <c r="AC802" s="31"/>
      <c r="AD802" s="31"/>
      <c r="AE802" s="31"/>
      <c r="AF802" s="31"/>
      <c r="AG802" s="31"/>
      <c r="AH802" s="31"/>
      <c r="AI802" s="31"/>
      <c r="AJ802" s="31"/>
      <c r="AK802" s="31"/>
      <c r="AL802" s="28" t="str">
        <f>VLOOKUP($G802,'[42]Sheet1 (2)'!$A$1:$B$1048440,2,FALSE)</f>
        <v>No.</v>
      </c>
      <c r="AM802" s="32"/>
      <c r="AN802" s="31"/>
      <c r="AO802" s="33"/>
    </row>
    <row r="803" spans="1:41" ht="182" x14ac:dyDescent="0.25">
      <c r="A803" s="26">
        <v>681</v>
      </c>
      <c r="B803" s="21" t="s">
        <v>1241</v>
      </c>
      <c r="C803" s="22">
        <v>19.12</v>
      </c>
      <c r="D803" s="25" t="s">
        <v>772</v>
      </c>
      <c r="E803" s="24" t="s">
        <v>1249</v>
      </c>
      <c r="F803" s="24" t="s">
        <v>1233</v>
      </c>
      <c r="G803" s="25" t="s">
        <v>1250</v>
      </c>
      <c r="H803" s="26">
        <v>2588</v>
      </c>
      <c r="I803" s="26">
        <v>1373</v>
      </c>
      <c r="J803" s="184"/>
      <c r="K803" s="184"/>
      <c r="L803" s="184"/>
      <c r="M803" s="184"/>
      <c r="N803" s="184"/>
      <c r="O803" s="184"/>
      <c r="P803" s="184"/>
      <c r="Q803" s="31"/>
      <c r="R803" s="31"/>
      <c r="S803" s="31"/>
      <c r="T803" s="31"/>
      <c r="U803" s="31"/>
      <c r="V803" s="31"/>
      <c r="W803" s="31"/>
      <c r="X803" s="31"/>
      <c r="Y803" s="31"/>
      <c r="Z803" s="31"/>
      <c r="AA803" s="31"/>
      <c r="AB803" s="31"/>
      <c r="AC803" s="31"/>
      <c r="AD803" s="31"/>
      <c r="AE803" s="31"/>
      <c r="AF803" s="31"/>
      <c r="AG803" s="31"/>
      <c r="AH803" s="31"/>
      <c r="AI803" s="31"/>
      <c r="AJ803" s="31"/>
      <c r="AK803" s="31"/>
      <c r="AL803" s="28" t="e">
        <f>VLOOKUP($G803,'[42]Sheet1 (2)'!$A$1:$B$1048440,2,FALSE)</f>
        <v>#N/A</v>
      </c>
      <c r="AM803" s="32"/>
      <c r="AN803" s="31"/>
      <c r="AO803" s="33"/>
    </row>
    <row r="804" spans="1:41" ht="84" x14ac:dyDescent="0.25">
      <c r="A804" s="26">
        <v>682</v>
      </c>
      <c r="B804" s="21" t="s">
        <v>1241</v>
      </c>
      <c r="C804" s="22">
        <v>19.13</v>
      </c>
      <c r="D804" s="25" t="s">
        <v>772</v>
      </c>
      <c r="E804" s="23" t="s">
        <v>1251</v>
      </c>
      <c r="F804" s="24" t="s">
        <v>1233</v>
      </c>
      <c r="G804" s="25" t="s">
        <v>45</v>
      </c>
      <c r="H804" s="26">
        <v>4679</v>
      </c>
      <c r="I804" s="26">
        <v>2746</v>
      </c>
      <c r="J804" s="184"/>
      <c r="K804" s="184"/>
      <c r="L804" s="184"/>
      <c r="M804" s="184"/>
      <c r="N804" s="184"/>
      <c r="O804" s="184"/>
      <c r="P804" s="184"/>
      <c r="Q804" s="31"/>
      <c r="R804" s="31"/>
      <c r="S804" s="31"/>
      <c r="T804" s="31"/>
      <c r="U804" s="31"/>
      <c r="V804" s="31"/>
      <c r="W804" s="31"/>
      <c r="X804" s="31"/>
      <c r="Y804" s="31"/>
      <c r="Z804" s="31"/>
      <c r="AA804" s="31"/>
      <c r="AB804" s="31"/>
      <c r="AC804" s="31"/>
      <c r="AD804" s="31"/>
      <c r="AE804" s="31"/>
      <c r="AF804" s="31"/>
      <c r="AG804" s="31"/>
      <c r="AH804" s="31"/>
      <c r="AI804" s="31"/>
      <c r="AJ804" s="31"/>
      <c r="AK804" s="31"/>
      <c r="AL804" s="28" t="str">
        <f>VLOOKUP($G804,'[42]Sheet1 (2)'!$A$1:$B$1048440,2,FALSE)</f>
        <v>No.</v>
      </c>
      <c r="AM804" s="32"/>
      <c r="AN804" s="31"/>
      <c r="AO804" s="33"/>
    </row>
    <row r="805" spans="1:41" ht="84" x14ac:dyDescent="0.25">
      <c r="A805" s="26">
        <v>683</v>
      </c>
      <c r="B805" s="21" t="s">
        <v>1241</v>
      </c>
      <c r="C805" s="22">
        <v>19.14</v>
      </c>
      <c r="D805" s="25" t="s">
        <v>772</v>
      </c>
      <c r="E805" s="23" t="s">
        <v>1252</v>
      </c>
      <c r="F805" s="24" t="s">
        <v>1233</v>
      </c>
      <c r="G805" s="25" t="s">
        <v>45</v>
      </c>
      <c r="H805" s="26">
        <v>888</v>
      </c>
      <c r="I805" s="26">
        <v>650</v>
      </c>
      <c r="J805" s="184"/>
      <c r="K805" s="184"/>
      <c r="L805" s="184"/>
      <c r="M805" s="184"/>
      <c r="N805" s="184"/>
      <c r="O805" s="184"/>
      <c r="P805" s="184"/>
      <c r="Q805" s="31"/>
      <c r="R805" s="31"/>
      <c r="S805" s="31"/>
      <c r="T805" s="31"/>
      <c r="U805" s="31"/>
      <c r="V805" s="31"/>
      <c r="W805" s="31"/>
      <c r="X805" s="31"/>
      <c r="Y805" s="31"/>
      <c r="Z805" s="31"/>
      <c r="AA805" s="31"/>
      <c r="AB805" s="31"/>
      <c r="AC805" s="31"/>
      <c r="AD805" s="31"/>
      <c r="AE805" s="31"/>
      <c r="AF805" s="31"/>
      <c r="AG805" s="31"/>
      <c r="AH805" s="31"/>
      <c r="AI805" s="31"/>
      <c r="AJ805" s="31"/>
      <c r="AK805" s="31"/>
      <c r="AL805" s="28" t="str">
        <f>VLOOKUP($G805,'[42]Sheet1 (2)'!$A$1:$B$1048440,2,FALSE)</f>
        <v>No.</v>
      </c>
      <c r="AM805" s="32"/>
      <c r="AN805" s="31"/>
      <c r="AO805" s="33"/>
    </row>
    <row r="806" spans="1:41" ht="84" x14ac:dyDescent="0.25">
      <c r="A806" s="26">
        <v>684</v>
      </c>
      <c r="B806" s="21" t="s">
        <v>1241</v>
      </c>
      <c r="C806" s="22">
        <v>19.149999999999999</v>
      </c>
      <c r="D806" s="25" t="s">
        <v>772</v>
      </c>
      <c r="E806" s="23" t="s">
        <v>1253</v>
      </c>
      <c r="F806" s="24" t="s">
        <v>1233</v>
      </c>
      <c r="G806" s="25" t="s">
        <v>1099</v>
      </c>
      <c r="H806" s="26">
        <v>96335</v>
      </c>
      <c r="I806" s="26">
        <v>9968</v>
      </c>
      <c r="J806" s="184"/>
      <c r="K806" s="184"/>
      <c r="L806" s="184"/>
      <c r="M806" s="184"/>
      <c r="N806" s="184"/>
      <c r="O806" s="184"/>
      <c r="P806" s="184"/>
      <c r="Q806" s="31"/>
      <c r="R806" s="31"/>
      <c r="S806" s="31"/>
      <c r="T806" s="31"/>
      <c r="U806" s="31"/>
      <c r="V806" s="31"/>
      <c r="W806" s="31"/>
      <c r="X806" s="31"/>
      <c r="Y806" s="31"/>
      <c r="Z806" s="31"/>
      <c r="AA806" s="31"/>
      <c r="AB806" s="31"/>
      <c r="AC806" s="31"/>
      <c r="AD806" s="31"/>
      <c r="AE806" s="31"/>
      <c r="AF806" s="31"/>
      <c r="AG806" s="31"/>
      <c r="AH806" s="31"/>
      <c r="AI806" s="31"/>
      <c r="AJ806" s="31"/>
      <c r="AK806" s="31"/>
      <c r="AL806" s="28" t="e">
        <f>VLOOKUP($G806,'[42]Sheet1 (2)'!$A$1:$B$1048440,2,FALSE)</f>
        <v>#N/A</v>
      </c>
      <c r="AM806" s="32"/>
      <c r="AN806" s="31"/>
      <c r="AO806" s="33"/>
    </row>
    <row r="807" spans="1:41" ht="84" x14ac:dyDescent="0.25">
      <c r="A807" s="26">
        <v>685</v>
      </c>
      <c r="B807" s="21" t="s">
        <v>1241</v>
      </c>
      <c r="C807" s="22">
        <v>19.16</v>
      </c>
      <c r="D807" s="25" t="s">
        <v>772</v>
      </c>
      <c r="E807" s="23" t="s">
        <v>1254</v>
      </c>
      <c r="F807" s="24" t="s">
        <v>1233</v>
      </c>
      <c r="G807" s="21" t="s">
        <v>1081</v>
      </c>
      <c r="H807" s="26">
        <v>766</v>
      </c>
      <c r="I807" s="26">
        <v>615</v>
      </c>
      <c r="J807" s="184"/>
      <c r="K807" s="184"/>
      <c r="L807" s="184"/>
      <c r="M807" s="184"/>
      <c r="N807" s="184"/>
      <c r="O807" s="184"/>
      <c r="P807" s="184"/>
      <c r="Q807" s="31"/>
      <c r="R807" s="31"/>
      <c r="S807" s="31"/>
      <c r="T807" s="31"/>
      <c r="U807" s="31"/>
      <c r="V807" s="31"/>
      <c r="W807" s="31"/>
      <c r="X807" s="31"/>
      <c r="Y807" s="31"/>
      <c r="Z807" s="31"/>
      <c r="AA807" s="31"/>
      <c r="AB807" s="31"/>
      <c r="AC807" s="31"/>
      <c r="AD807" s="31"/>
      <c r="AE807" s="31"/>
      <c r="AF807" s="31"/>
      <c r="AG807" s="31"/>
      <c r="AH807" s="31"/>
      <c r="AI807" s="31"/>
      <c r="AJ807" s="31"/>
      <c r="AK807" s="31"/>
      <c r="AL807" s="28" t="e">
        <f>VLOOKUP($G807,'[42]Sheet1 (2)'!$A$1:$B$1048440,2,FALSE)</f>
        <v>#N/A</v>
      </c>
      <c r="AM807" s="32"/>
      <c r="AN807" s="31"/>
      <c r="AO807" s="33"/>
    </row>
    <row r="808" spans="1:41" ht="126" x14ac:dyDescent="0.25">
      <c r="A808" s="26">
        <v>686</v>
      </c>
      <c r="B808" s="21" t="s">
        <v>1241</v>
      </c>
      <c r="C808" s="22">
        <v>19.170000000000002</v>
      </c>
      <c r="D808" s="25" t="s">
        <v>772</v>
      </c>
      <c r="E808" s="24" t="s">
        <v>1255</v>
      </c>
      <c r="F808" s="24" t="s">
        <v>1233</v>
      </c>
      <c r="G808" s="21" t="s">
        <v>1081</v>
      </c>
      <c r="H808" s="26">
        <v>893</v>
      </c>
      <c r="I808" s="26">
        <v>615</v>
      </c>
      <c r="J808" s="184"/>
      <c r="K808" s="184"/>
      <c r="L808" s="184"/>
      <c r="M808" s="184"/>
      <c r="N808" s="184"/>
      <c r="O808" s="184"/>
      <c r="P808" s="184"/>
      <c r="Q808" s="31"/>
      <c r="R808" s="31"/>
      <c r="S808" s="31"/>
      <c r="T808" s="31"/>
      <c r="U808" s="31"/>
      <c r="V808" s="31"/>
      <c r="W808" s="31"/>
      <c r="X808" s="31"/>
      <c r="Y808" s="31"/>
      <c r="Z808" s="31"/>
      <c r="AA808" s="31"/>
      <c r="AB808" s="31"/>
      <c r="AC808" s="31"/>
      <c r="AD808" s="31"/>
      <c r="AE808" s="31"/>
      <c r="AF808" s="31"/>
      <c r="AG808" s="31"/>
      <c r="AH808" s="31"/>
      <c r="AI808" s="31"/>
      <c r="AJ808" s="31"/>
      <c r="AK808" s="31"/>
      <c r="AL808" s="28" t="e">
        <f>VLOOKUP($G808,'[42]Sheet1 (2)'!$A$1:$B$1048440,2,FALSE)</f>
        <v>#N/A</v>
      </c>
      <c r="AM808" s="32"/>
      <c r="AN808" s="31"/>
      <c r="AO808" s="33"/>
    </row>
    <row r="809" spans="1:41" ht="140" x14ac:dyDescent="0.25">
      <c r="A809" s="26">
        <v>687</v>
      </c>
      <c r="B809" s="21" t="s">
        <v>1241</v>
      </c>
      <c r="C809" s="22">
        <v>19.18</v>
      </c>
      <c r="D809" s="25" t="s">
        <v>772</v>
      </c>
      <c r="E809" s="24" t="s">
        <v>1256</v>
      </c>
      <c r="F809" s="24" t="s">
        <v>1233</v>
      </c>
      <c r="G809" s="25" t="s">
        <v>1070</v>
      </c>
      <c r="H809" s="26">
        <v>1341</v>
      </c>
      <c r="I809" s="26">
        <v>615</v>
      </c>
      <c r="J809" s="184"/>
      <c r="K809" s="184"/>
      <c r="L809" s="184"/>
      <c r="M809" s="184"/>
      <c r="N809" s="184"/>
      <c r="O809" s="184"/>
      <c r="P809" s="184"/>
      <c r="Q809" s="31"/>
      <c r="R809" s="31"/>
      <c r="S809" s="31"/>
      <c r="T809" s="31"/>
      <c r="U809" s="31"/>
      <c r="V809" s="31"/>
      <c r="W809" s="31"/>
      <c r="X809" s="31"/>
      <c r="Y809" s="31"/>
      <c r="Z809" s="31"/>
      <c r="AA809" s="31"/>
      <c r="AB809" s="31"/>
      <c r="AC809" s="31"/>
      <c r="AD809" s="31"/>
      <c r="AE809" s="31"/>
      <c r="AF809" s="31"/>
      <c r="AG809" s="31"/>
      <c r="AH809" s="31"/>
      <c r="AI809" s="31"/>
      <c r="AJ809" s="31"/>
      <c r="AK809" s="31"/>
      <c r="AL809" s="28" t="e">
        <f>VLOOKUP($G809,'[42]Sheet1 (2)'!$A$1:$B$1048440,2,FALSE)</f>
        <v>#N/A</v>
      </c>
      <c r="AM809" s="32"/>
      <c r="AN809" s="31"/>
      <c r="AO809" s="33"/>
    </row>
    <row r="810" spans="1:41" ht="56" x14ac:dyDescent="0.25">
      <c r="A810" s="26">
        <v>688</v>
      </c>
      <c r="B810" s="35" t="s">
        <v>1238</v>
      </c>
      <c r="C810" s="22">
        <v>19.190000000000001</v>
      </c>
      <c r="D810" s="25" t="s">
        <v>772</v>
      </c>
      <c r="E810" s="23" t="s">
        <v>1257</v>
      </c>
      <c r="F810" s="35" t="s">
        <v>1240</v>
      </c>
      <c r="G810" s="25" t="s">
        <v>45</v>
      </c>
      <c r="H810" s="26">
        <v>335</v>
      </c>
      <c r="I810" s="26">
        <v>190</v>
      </c>
      <c r="J810" s="184"/>
      <c r="K810" s="184"/>
      <c r="L810" s="184"/>
      <c r="M810" s="184"/>
      <c r="N810" s="184"/>
      <c r="O810" s="184"/>
      <c r="P810" s="184"/>
      <c r="Q810" s="31"/>
      <c r="R810" s="31"/>
      <c r="S810" s="31"/>
      <c r="T810" s="31"/>
      <c r="U810" s="31"/>
      <c r="V810" s="31"/>
      <c r="W810" s="31"/>
      <c r="X810" s="31"/>
      <c r="Y810" s="31"/>
      <c r="Z810" s="31"/>
      <c r="AA810" s="31"/>
      <c r="AB810" s="31"/>
      <c r="AC810" s="31"/>
      <c r="AD810" s="31"/>
      <c r="AE810" s="31"/>
      <c r="AF810" s="31"/>
      <c r="AG810" s="31"/>
      <c r="AH810" s="31"/>
      <c r="AI810" s="31"/>
      <c r="AJ810" s="31"/>
      <c r="AK810" s="31"/>
      <c r="AL810" s="28" t="str">
        <f>VLOOKUP($G810,'[42]Sheet1 (2)'!$A$1:$B$1048440,2,FALSE)</f>
        <v>No.</v>
      </c>
      <c r="AM810" s="32"/>
      <c r="AN810" s="31"/>
      <c r="AO810" s="33"/>
    </row>
    <row r="811" spans="1:41" ht="56" x14ac:dyDescent="0.25">
      <c r="A811" s="26">
        <v>689</v>
      </c>
      <c r="B811" s="35" t="s">
        <v>1238</v>
      </c>
      <c r="C811" s="22">
        <v>19.2</v>
      </c>
      <c r="D811" s="25" t="s">
        <v>772</v>
      </c>
      <c r="E811" s="23" t="s">
        <v>1258</v>
      </c>
      <c r="F811" s="35" t="s">
        <v>1240</v>
      </c>
      <c r="G811" s="25" t="s">
        <v>1070</v>
      </c>
      <c r="H811" s="26">
        <v>164</v>
      </c>
      <c r="I811" s="26">
        <v>88</v>
      </c>
      <c r="J811" s="184"/>
      <c r="K811" s="184"/>
      <c r="L811" s="184"/>
      <c r="M811" s="184"/>
      <c r="N811" s="184"/>
      <c r="O811" s="184"/>
      <c r="P811" s="184"/>
      <c r="Q811" s="31"/>
      <c r="R811" s="31"/>
      <c r="S811" s="31"/>
      <c r="T811" s="31"/>
      <c r="U811" s="31"/>
      <c r="V811" s="31"/>
      <c r="W811" s="31"/>
      <c r="X811" s="31"/>
      <c r="Y811" s="31"/>
      <c r="Z811" s="31"/>
      <c r="AA811" s="31"/>
      <c r="AB811" s="31"/>
      <c r="AC811" s="31"/>
      <c r="AD811" s="31"/>
      <c r="AE811" s="31"/>
      <c r="AF811" s="31"/>
      <c r="AG811" s="31"/>
      <c r="AH811" s="31"/>
      <c r="AI811" s="31"/>
      <c r="AJ811" s="31"/>
      <c r="AK811" s="31"/>
      <c r="AL811" s="28" t="e">
        <f>VLOOKUP($G811,'[42]Sheet1 (2)'!$A$1:$B$1048440,2,FALSE)</f>
        <v>#N/A</v>
      </c>
      <c r="AM811" s="32"/>
      <c r="AN811" s="31"/>
      <c r="AO811" s="33"/>
    </row>
    <row r="812" spans="1:41" ht="154" x14ac:dyDescent="0.25">
      <c r="A812" s="26">
        <v>690</v>
      </c>
      <c r="B812" s="21" t="s">
        <v>1241</v>
      </c>
      <c r="C812" s="22">
        <v>19.21</v>
      </c>
      <c r="D812" s="25" t="s">
        <v>772</v>
      </c>
      <c r="E812" s="23" t="s">
        <v>1259</v>
      </c>
      <c r="F812" s="24" t="s">
        <v>1233</v>
      </c>
      <c r="G812" s="202" t="s">
        <v>621</v>
      </c>
      <c r="H812" s="26">
        <v>1343</v>
      </c>
      <c r="I812" s="103">
        <v>615</v>
      </c>
      <c r="J812" s="184"/>
      <c r="K812" s="184"/>
      <c r="L812" s="184"/>
      <c r="M812" s="184"/>
      <c r="N812" s="184"/>
      <c r="O812" s="184"/>
      <c r="P812" s="184"/>
      <c r="Q812" s="31"/>
      <c r="R812" s="31"/>
      <c r="S812" s="31"/>
      <c r="T812" s="31"/>
      <c r="U812" s="31"/>
      <c r="V812" s="31"/>
      <c r="W812" s="31"/>
      <c r="X812" s="31"/>
      <c r="Y812" s="31"/>
      <c r="Z812" s="31"/>
      <c r="AA812" s="31"/>
      <c r="AB812" s="31"/>
      <c r="AC812" s="31"/>
      <c r="AD812" s="31"/>
      <c r="AE812" s="31"/>
      <c r="AF812" s="31"/>
      <c r="AG812" s="31"/>
      <c r="AH812" s="31"/>
      <c r="AI812" s="31"/>
      <c r="AJ812" s="31"/>
      <c r="AK812" s="31"/>
      <c r="AL812" s="28" t="str">
        <f>VLOOKUP($G812,'[42]Sheet1 (2)'!$A$1:$B$1048440,2,FALSE)</f>
        <v>Sqm</v>
      </c>
      <c r="AM812" s="32"/>
      <c r="AN812" s="31"/>
      <c r="AO812" s="33"/>
    </row>
    <row r="813" spans="1:41" ht="56" x14ac:dyDescent="0.25">
      <c r="A813" s="26">
        <v>691</v>
      </c>
      <c r="B813" s="21" t="s">
        <v>1241</v>
      </c>
      <c r="C813" s="22">
        <v>19.22</v>
      </c>
      <c r="D813" s="25" t="s">
        <v>772</v>
      </c>
      <c r="E813" s="23" t="s">
        <v>1260</v>
      </c>
      <c r="F813" s="24" t="s">
        <v>1233</v>
      </c>
      <c r="G813" s="25" t="s">
        <v>1099</v>
      </c>
      <c r="H813" s="26">
        <v>4587</v>
      </c>
      <c r="I813" s="121">
        <v>2603</v>
      </c>
      <c r="J813" s="184"/>
      <c r="K813" s="184"/>
      <c r="L813" s="184"/>
      <c r="M813" s="184"/>
      <c r="N813" s="184">
        <v>1</v>
      </c>
      <c r="O813" s="184"/>
      <c r="P813" s="184"/>
      <c r="Q813" s="31"/>
      <c r="R813" s="31"/>
      <c r="S813" s="31"/>
      <c r="T813" s="31"/>
      <c r="U813" s="31"/>
      <c r="V813" s="31"/>
      <c r="W813" s="31"/>
      <c r="X813" s="31"/>
      <c r="Y813" s="31"/>
      <c r="Z813" s="31"/>
      <c r="AA813" s="31"/>
      <c r="AB813" s="31"/>
      <c r="AC813" s="31"/>
      <c r="AD813" s="31"/>
      <c r="AE813" s="31"/>
      <c r="AF813" s="31"/>
      <c r="AG813" s="31"/>
      <c r="AH813" s="31"/>
      <c r="AI813" s="31"/>
      <c r="AJ813" s="31"/>
      <c r="AK813" s="31"/>
      <c r="AL813" s="28" t="e">
        <f>VLOOKUP($G813,'[42]Sheet1 (2)'!$A$1:$B$1048440,2,FALSE)</f>
        <v>#N/A</v>
      </c>
      <c r="AM813" s="32"/>
      <c r="AN813" s="31"/>
      <c r="AO813" s="33"/>
    </row>
    <row r="814" spans="1:41" ht="56" x14ac:dyDescent="0.25">
      <c r="A814" s="26">
        <v>692</v>
      </c>
      <c r="B814" s="21" t="s">
        <v>1241</v>
      </c>
      <c r="C814" s="22">
        <v>19.23</v>
      </c>
      <c r="D814" s="25" t="s">
        <v>772</v>
      </c>
      <c r="E814" s="23" t="s">
        <v>1261</v>
      </c>
      <c r="F814" s="24" t="s">
        <v>1233</v>
      </c>
      <c r="G814" s="25" t="s">
        <v>1099</v>
      </c>
      <c r="H814" s="26">
        <v>115871</v>
      </c>
      <c r="I814" s="121">
        <v>24714</v>
      </c>
      <c r="J814" s="184"/>
      <c r="K814" s="184"/>
      <c r="L814" s="184"/>
      <c r="M814" s="184"/>
      <c r="N814" s="184"/>
      <c r="O814" s="184"/>
      <c r="P814" s="184"/>
      <c r="Q814" s="31"/>
      <c r="R814" s="31"/>
      <c r="S814" s="31"/>
      <c r="T814" s="31"/>
      <c r="U814" s="31"/>
      <c r="V814" s="31"/>
      <c r="W814" s="31"/>
      <c r="X814" s="31"/>
      <c r="Y814" s="31"/>
      <c r="Z814" s="31"/>
      <c r="AA814" s="31"/>
      <c r="AB814" s="31"/>
      <c r="AC814" s="31"/>
      <c r="AD814" s="31"/>
      <c r="AE814" s="31"/>
      <c r="AF814" s="31"/>
      <c r="AG814" s="31"/>
      <c r="AH814" s="31"/>
      <c r="AI814" s="31"/>
      <c r="AJ814" s="31"/>
      <c r="AK814" s="31"/>
      <c r="AL814" s="28" t="e">
        <f>VLOOKUP($G814,'[42]Sheet1 (2)'!$A$1:$B$1048440,2,FALSE)</f>
        <v>#N/A</v>
      </c>
      <c r="AM814" s="32"/>
      <c r="AN814" s="31"/>
      <c r="AO814" s="33"/>
    </row>
    <row r="815" spans="1:41" ht="56" x14ac:dyDescent="0.25">
      <c r="A815" s="26">
        <v>693</v>
      </c>
      <c r="B815" s="35" t="s">
        <v>1238</v>
      </c>
      <c r="C815" s="22">
        <v>19.239999999999998</v>
      </c>
      <c r="D815" s="25" t="s">
        <v>772</v>
      </c>
      <c r="E815" s="23" t="s">
        <v>1262</v>
      </c>
      <c r="F815" s="35" t="s">
        <v>1240</v>
      </c>
      <c r="G815" s="25" t="s">
        <v>1070</v>
      </c>
      <c r="H815" s="26">
        <v>1659</v>
      </c>
      <c r="I815" s="103">
        <v>615</v>
      </c>
      <c r="J815" s="31"/>
      <c r="K815" s="31"/>
      <c r="L815" s="31"/>
      <c r="M815" s="31"/>
      <c r="N815" s="163"/>
      <c r="O815" s="31"/>
      <c r="P815" s="31"/>
      <c r="Q815" s="31"/>
      <c r="R815" s="31"/>
      <c r="S815" s="31"/>
      <c r="T815" s="31"/>
      <c r="U815" s="31"/>
      <c r="V815" s="31"/>
      <c r="W815" s="31"/>
      <c r="X815" s="31"/>
      <c r="Y815" s="31"/>
      <c r="Z815" s="31"/>
      <c r="AA815" s="31"/>
      <c r="AB815" s="31"/>
      <c r="AC815" s="31"/>
      <c r="AD815" s="31"/>
      <c r="AE815" s="31"/>
      <c r="AF815" s="31"/>
      <c r="AG815" s="31"/>
      <c r="AH815" s="31"/>
      <c r="AI815" s="31"/>
      <c r="AJ815" s="31"/>
      <c r="AK815" s="31"/>
      <c r="AL815" s="28" t="e">
        <f>VLOOKUP($G815,'[42]Sheet1 (2)'!$A$1:$B$1048440,2,FALSE)</f>
        <v>#N/A</v>
      </c>
      <c r="AM815" s="32"/>
      <c r="AN815" s="31"/>
      <c r="AO815" s="33"/>
    </row>
    <row r="816" spans="1:41" ht="42" x14ac:dyDescent="0.25">
      <c r="A816" s="26">
        <v>694</v>
      </c>
      <c r="B816" s="21" t="s">
        <v>1241</v>
      </c>
      <c r="C816" s="22">
        <v>19.25</v>
      </c>
      <c r="D816" s="25" t="s">
        <v>772</v>
      </c>
      <c r="E816" s="24" t="s">
        <v>1263</v>
      </c>
      <c r="F816" s="24" t="s">
        <v>1233</v>
      </c>
      <c r="G816" s="25" t="s">
        <v>45</v>
      </c>
      <c r="H816" s="26">
        <v>4831</v>
      </c>
      <c r="I816" s="121">
        <v>2031</v>
      </c>
      <c r="J816" s="184"/>
      <c r="K816" s="184"/>
      <c r="L816" s="184"/>
      <c r="M816" s="184"/>
      <c r="N816" s="184"/>
      <c r="O816" s="184"/>
      <c r="P816" s="184"/>
      <c r="Q816" s="31"/>
      <c r="R816" s="31"/>
      <c r="S816" s="31"/>
      <c r="T816" s="31"/>
      <c r="U816" s="31"/>
      <c r="V816" s="31"/>
      <c r="W816" s="31"/>
      <c r="X816" s="31"/>
      <c r="Y816" s="31"/>
      <c r="Z816" s="31"/>
      <c r="AA816" s="31"/>
      <c r="AB816" s="31"/>
      <c r="AC816" s="31"/>
      <c r="AD816" s="31"/>
      <c r="AE816" s="31"/>
      <c r="AF816" s="31"/>
      <c r="AG816" s="31"/>
      <c r="AH816" s="31"/>
      <c r="AI816" s="31"/>
      <c r="AJ816" s="31"/>
      <c r="AK816" s="31"/>
      <c r="AL816" s="28" t="str">
        <f>VLOOKUP($G816,'[42]Sheet1 (2)'!$A$1:$B$1048440,2,FALSE)</f>
        <v>No.</v>
      </c>
      <c r="AM816" s="32"/>
      <c r="AN816" s="31"/>
      <c r="AO816" s="33"/>
    </row>
    <row r="817" spans="1:41" ht="56" x14ac:dyDescent="0.25">
      <c r="A817" s="26">
        <v>695</v>
      </c>
      <c r="B817" s="35" t="s">
        <v>1238</v>
      </c>
      <c r="C817" s="22">
        <v>19.260000000000002</v>
      </c>
      <c r="D817" s="25" t="s">
        <v>772</v>
      </c>
      <c r="E817" s="23" t="s">
        <v>1264</v>
      </c>
      <c r="F817" s="35" t="s">
        <v>1240</v>
      </c>
      <c r="G817" s="25" t="s">
        <v>1192</v>
      </c>
      <c r="H817" s="26">
        <v>96116</v>
      </c>
      <c r="I817" s="121">
        <v>15375</v>
      </c>
      <c r="J817" s="184"/>
      <c r="K817" s="184"/>
      <c r="L817" s="184"/>
      <c r="M817" s="184"/>
      <c r="N817" s="184"/>
      <c r="O817" s="184"/>
      <c r="P817" s="184"/>
      <c r="Q817" s="31"/>
      <c r="R817" s="31"/>
      <c r="S817" s="31"/>
      <c r="T817" s="31"/>
      <c r="U817" s="31"/>
      <c r="V817" s="31"/>
      <c r="W817" s="31"/>
      <c r="X817" s="31"/>
      <c r="Y817" s="31"/>
      <c r="Z817" s="31"/>
      <c r="AA817" s="31"/>
      <c r="AB817" s="31"/>
      <c r="AC817" s="31"/>
      <c r="AD817" s="31"/>
      <c r="AE817" s="31"/>
      <c r="AF817" s="31"/>
      <c r="AG817" s="31"/>
      <c r="AH817" s="31"/>
      <c r="AI817" s="31"/>
      <c r="AJ817" s="31"/>
      <c r="AK817" s="31"/>
      <c r="AL817" s="28" t="str">
        <f>VLOOKUP($G817,'[42]Sheet1 (2)'!$A$1:$B$1048440,2,FALSE)</f>
        <v>Cum</v>
      </c>
      <c r="AM817" s="32"/>
      <c r="AN817" s="31"/>
      <c r="AO817" s="33"/>
    </row>
    <row r="818" spans="1:41" ht="56" x14ac:dyDescent="0.25">
      <c r="A818" s="26">
        <v>696</v>
      </c>
      <c r="B818" s="35" t="s">
        <v>1238</v>
      </c>
      <c r="C818" s="22">
        <v>19.27</v>
      </c>
      <c r="D818" s="25" t="s">
        <v>772</v>
      </c>
      <c r="E818" s="23" t="s">
        <v>1265</v>
      </c>
      <c r="F818" s="35" t="s">
        <v>1240</v>
      </c>
      <c r="G818" s="25" t="s">
        <v>1079</v>
      </c>
      <c r="H818" s="26">
        <v>6717</v>
      </c>
      <c r="I818" s="121">
        <v>1845</v>
      </c>
      <c r="J818" s="184"/>
      <c r="K818" s="184"/>
      <c r="L818" s="184"/>
      <c r="M818" s="184"/>
      <c r="N818" s="184"/>
      <c r="O818" s="184"/>
      <c r="P818" s="184"/>
      <c r="Q818" s="31"/>
      <c r="R818" s="31"/>
      <c r="S818" s="31"/>
      <c r="T818" s="31"/>
      <c r="U818" s="31"/>
      <c r="V818" s="31"/>
      <c r="W818" s="31"/>
      <c r="X818" s="31"/>
      <c r="Y818" s="31"/>
      <c r="Z818" s="31"/>
      <c r="AA818" s="31"/>
      <c r="AB818" s="31"/>
      <c r="AC818" s="31"/>
      <c r="AD818" s="31"/>
      <c r="AE818" s="31"/>
      <c r="AF818" s="31"/>
      <c r="AG818" s="31"/>
      <c r="AH818" s="31"/>
      <c r="AI818" s="31"/>
      <c r="AJ818" s="31"/>
      <c r="AK818" s="31"/>
      <c r="AL818" s="28" t="str">
        <f>VLOOKUP($G818,'[42]Sheet1 (2)'!$A$1:$B$1048440,2,FALSE)</f>
        <v>Rmt.</v>
      </c>
      <c r="AM818" s="32"/>
      <c r="AN818" s="31"/>
      <c r="AO818" s="33"/>
    </row>
    <row r="819" spans="1:41" ht="42" x14ac:dyDescent="0.25">
      <c r="A819" s="26">
        <v>697</v>
      </c>
      <c r="B819" s="21" t="s">
        <v>1241</v>
      </c>
      <c r="C819" s="22">
        <v>19.28</v>
      </c>
      <c r="D819" s="25" t="s">
        <v>772</v>
      </c>
      <c r="E819" s="24" t="s">
        <v>1266</v>
      </c>
      <c r="F819" s="24" t="s">
        <v>1233</v>
      </c>
      <c r="G819" s="25" t="s">
        <v>1079</v>
      </c>
      <c r="H819" s="26">
        <v>9728</v>
      </c>
      <c r="I819" s="121">
        <v>2592</v>
      </c>
      <c r="J819" s="184"/>
      <c r="K819" s="184"/>
      <c r="L819" s="184"/>
      <c r="M819" s="184"/>
      <c r="N819" s="184"/>
      <c r="O819" s="184"/>
      <c r="P819" s="184"/>
      <c r="Q819" s="31"/>
      <c r="R819" s="31"/>
      <c r="S819" s="31"/>
      <c r="T819" s="31"/>
      <c r="U819" s="31"/>
      <c r="V819" s="31"/>
      <c r="W819" s="31"/>
      <c r="X819" s="31"/>
      <c r="Y819" s="31"/>
      <c r="Z819" s="31"/>
      <c r="AA819" s="31"/>
      <c r="AB819" s="31"/>
      <c r="AC819" s="31"/>
      <c r="AD819" s="31"/>
      <c r="AE819" s="31"/>
      <c r="AF819" s="31"/>
      <c r="AG819" s="31"/>
      <c r="AH819" s="31"/>
      <c r="AI819" s="31"/>
      <c r="AJ819" s="31"/>
      <c r="AK819" s="31"/>
      <c r="AL819" s="28" t="str">
        <f>VLOOKUP($G819,'[42]Sheet1 (2)'!$A$1:$B$1048440,2,FALSE)</f>
        <v>Rmt.</v>
      </c>
      <c r="AM819" s="32"/>
      <c r="AN819" s="31"/>
      <c r="AO819" s="33"/>
    </row>
    <row r="820" spans="1:41" ht="56" x14ac:dyDescent="0.25">
      <c r="A820" s="26">
        <v>698</v>
      </c>
      <c r="B820" s="35" t="s">
        <v>1238</v>
      </c>
      <c r="C820" s="22">
        <v>19.29</v>
      </c>
      <c r="D820" s="25" t="s">
        <v>772</v>
      </c>
      <c r="E820" s="23" t="s">
        <v>1267</v>
      </c>
      <c r="F820" s="35" t="s">
        <v>1240</v>
      </c>
      <c r="G820" s="202" t="s">
        <v>621</v>
      </c>
      <c r="H820" s="26">
        <v>8839</v>
      </c>
      <c r="I820" s="121">
        <v>1866</v>
      </c>
      <c r="J820" s="31"/>
      <c r="K820" s="31"/>
      <c r="L820" s="31"/>
      <c r="M820" s="31"/>
      <c r="N820" s="31"/>
      <c r="O820" s="31"/>
      <c r="P820" s="31"/>
      <c r="Q820" s="31"/>
      <c r="R820" s="31"/>
      <c r="S820" s="31"/>
      <c r="T820" s="31"/>
      <c r="U820" s="31"/>
      <c r="V820" s="31"/>
      <c r="W820" s="31"/>
      <c r="X820" s="31"/>
      <c r="Y820" s="31"/>
      <c r="Z820" s="31"/>
      <c r="AA820" s="31"/>
      <c r="AB820" s="31"/>
      <c r="AC820" s="31"/>
      <c r="AD820" s="31"/>
      <c r="AE820" s="31"/>
      <c r="AF820" s="31"/>
      <c r="AG820" s="31"/>
      <c r="AH820" s="31"/>
      <c r="AI820" s="31"/>
      <c r="AJ820" s="31"/>
      <c r="AK820" s="31"/>
      <c r="AL820" s="28" t="str">
        <f>VLOOKUP($G820,'[42]Sheet1 (2)'!$A$1:$B$1048440,2,FALSE)</f>
        <v>Sqm</v>
      </c>
      <c r="AM820" s="32"/>
      <c r="AN820" s="31"/>
      <c r="AO820" s="33"/>
    </row>
    <row r="821" spans="1:41" ht="56" x14ac:dyDescent="0.25">
      <c r="A821" s="26">
        <v>699</v>
      </c>
      <c r="B821" s="21" t="s">
        <v>1241</v>
      </c>
      <c r="C821" s="22">
        <v>19.3</v>
      </c>
      <c r="D821" s="25" t="s">
        <v>772</v>
      </c>
      <c r="E821" s="23" t="s">
        <v>1268</v>
      </c>
      <c r="F821" s="24" t="s">
        <v>1233</v>
      </c>
      <c r="G821" s="25" t="s">
        <v>45</v>
      </c>
      <c r="H821" s="26">
        <v>536</v>
      </c>
      <c r="I821" s="103">
        <v>308</v>
      </c>
      <c r="J821" s="31"/>
      <c r="K821" s="31"/>
      <c r="L821" s="31"/>
      <c r="M821" s="31"/>
      <c r="N821" s="31"/>
      <c r="O821" s="31"/>
      <c r="P821" s="31"/>
      <c r="Q821" s="31"/>
      <c r="R821" s="31"/>
      <c r="S821" s="31"/>
      <c r="T821" s="31"/>
      <c r="U821" s="31"/>
      <c r="V821" s="31"/>
      <c r="W821" s="31"/>
      <c r="X821" s="31"/>
      <c r="Y821" s="31"/>
      <c r="Z821" s="31"/>
      <c r="AA821" s="31"/>
      <c r="AB821" s="31"/>
      <c r="AC821" s="31"/>
      <c r="AD821" s="31"/>
      <c r="AE821" s="31"/>
      <c r="AF821" s="31"/>
      <c r="AG821" s="31"/>
      <c r="AH821" s="31"/>
      <c r="AI821" s="31"/>
      <c r="AJ821" s="31"/>
      <c r="AK821" s="31"/>
      <c r="AL821" s="28" t="str">
        <f>VLOOKUP($G821,'[42]Sheet1 (2)'!$A$1:$B$1048440,2,FALSE)</f>
        <v>No.</v>
      </c>
      <c r="AM821" s="32"/>
      <c r="AN821" s="31"/>
      <c r="AO821" s="33"/>
    </row>
    <row r="822" spans="1:41" ht="56" x14ac:dyDescent="0.25">
      <c r="A822" s="26">
        <v>700</v>
      </c>
      <c r="B822" s="35" t="s">
        <v>1238</v>
      </c>
      <c r="C822" s="22">
        <v>19.309999999999999</v>
      </c>
      <c r="D822" s="25" t="s">
        <v>772</v>
      </c>
      <c r="E822" s="23" t="s">
        <v>1269</v>
      </c>
      <c r="F822" s="35" t="s">
        <v>1240</v>
      </c>
      <c r="G822" s="202" t="s">
        <v>621</v>
      </c>
      <c r="H822" s="26">
        <v>567</v>
      </c>
      <c r="I822" s="103">
        <v>308</v>
      </c>
      <c r="J822" s="31"/>
      <c r="K822" s="31"/>
      <c r="L822" s="31"/>
      <c r="M822" s="31"/>
      <c r="N822" s="31"/>
      <c r="O822" s="31"/>
      <c r="P822" s="31"/>
      <c r="Q822" s="31"/>
      <c r="R822" s="31"/>
      <c r="S822" s="31"/>
      <c r="T822" s="31"/>
      <c r="U822" s="31"/>
      <c r="V822" s="31"/>
      <c r="W822" s="31"/>
      <c r="X822" s="31"/>
      <c r="Y822" s="31"/>
      <c r="Z822" s="31"/>
      <c r="AA822" s="31"/>
      <c r="AB822" s="31"/>
      <c r="AC822" s="31"/>
      <c r="AD822" s="31"/>
      <c r="AE822" s="31"/>
      <c r="AF822" s="31"/>
      <c r="AG822" s="31"/>
      <c r="AH822" s="31"/>
      <c r="AI822" s="31"/>
      <c r="AJ822" s="31"/>
      <c r="AK822" s="31"/>
      <c r="AL822" s="28" t="str">
        <f>VLOOKUP($G822,'[42]Sheet1 (2)'!$A$1:$B$1048440,2,FALSE)</f>
        <v>Sqm</v>
      </c>
      <c r="AM822" s="32"/>
      <c r="AN822" s="31"/>
      <c r="AO822" s="33"/>
    </row>
    <row r="823" spans="1:41" ht="70" x14ac:dyDescent="0.25">
      <c r="A823" s="26">
        <v>701</v>
      </c>
      <c r="B823" s="21" t="s">
        <v>1241</v>
      </c>
      <c r="C823" s="22">
        <v>19.32</v>
      </c>
      <c r="D823" s="25" t="s">
        <v>772</v>
      </c>
      <c r="E823" s="24" t="s">
        <v>1270</v>
      </c>
      <c r="F823" s="24" t="s">
        <v>1233</v>
      </c>
      <c r="G823" s="202" t="s">
        <v>621</v>
      </c>
      <c r="H823" s="26">
        <v>743</v>
      </c>
      <c r="I823" s="103">
        <v>492</v>
      </c>
      <c r="J823" s="184"/>
      <c r="K823" s="184"/>
      <c r="L823" s="184"/>
      <c r="M823" s="184"/>
      <c r="N823" s="184"/>
      <c r="O823" s="184"/>
      <c r="P823" s="184"/>
      <c r="Q823" s="31"/>
      <c r="R823" s="31"/>
      <c r="S823" s="31"/>
      <c r="T823" s="31"/>
      <c r="U823" s="31"/>
      <c r="V823" s="31"/>
      <c r="W823" s="31"/>
      <c r="X823" s="31"/>
      <c r="Y823" s="31"/>
      <c r="Z823" s="31"/>
      <c r="AA823" s="31"/>
      <c r="AB823" s="31"/>
      <c r="AC823" s="31"/>
      <c r="AD823" s="31"/>
      <c r="AE823" s="31"/>
      <c r="AF823" s="31"/>
      <c r="AG823" s="31"/>
      <c r="AH823" s="31"/>
      <c r="AI823" s="31"/>
      <c r="AJ823" s="31"/>
      <c r="AK823" s="31"/>
      <c r="AL823" s="28" t="str">
        <f>VLOOKUP($G823,'[42]Sheet1 (2)'!$A$1:$B$1048440,2,FALSE)</f>
        <v>Sqm</v>
      </c>
      <c r="AM823" s="32"/>
      <c r="AN823" s="31"/>
      <c r="AO823" s="33"/>
    </row>
    <row r="824" spans="1:41" ht="56" x14ac:dyDescent="0.25">
      <c r="A824" s="26">
        <v>702</v>
      </c>
      <c r="B824" s="21" t="s">
        <v>1241</v>
      </c>
      <c r="C824" s="22">
        <v>19.329999999999998</v>
      </c>
      <c r="D824" s="25" t="s">
        <v>772</v>
      </c>
      <c r="E824" s="23" t="s">
        <v>1271</v>
      </c>
      <c r="F824" s="24" t="s">
        <v>1233</v>
      </c>
      <c r="G824" s="202" t="s">
        <v>621</v>
      </c>
      <c r="H824" s="26">
        <v>738</v>
      </c>
      <c r="I824" s="26">
        <v>290</v>
      </c>
      <c r="J824" s="184"/>
      <c r="K824" s="184"/>
      <c r="L824" s="184"/>
      <c r="M824" s="184"/>
      <c r="N824" s="184"/>
      <c r="O824" s="184"/>
      <c r="P824" s="184"/>
      <c r="Q824" s="31"/>
      <c r="R824" s="31"/>
      <c r="S824" s="31"/>
      <c r="T824" s="31"/>
      <c r="U824" s="31"/>
      <c r="V824" s="31"/>
      <c r="W824" s="31"/>
      <c r="X824" s="31"/>
      <c r="Y824" s="31"/>
      <c r="Z824" s="31"/>
      <c r="AA824" s="31"/>
      <c r="AB824" s="31"/>
      <c r="AC824" s="31"/>
      <c r="AD824" s="31"/>
      <c r="AE824" s="31"/>
      <c r="AF824" s="31"/>
      <c r="AG824" s="31"/>
      <c r="AH824" s="31"/>
      <c r="AI824" s="31"/>
      <c r="AJ824" s="31"/>
      <c r="AK824" s="31"/>
      <c r="AL824" s="28" t="str">
        <f>VLOOKUP($G824,'[42]Sheet1 (2)'!$A$1:$B$1048440,2,FALSE)</f>
        <v>Sqm</v>
      </c>
      <c r="AM824" s="32"/>
      <c r="AN824" s="31"/>
      <c r="AO824" s="33"/>
    </row>
    <row r="825" spans="1:41" ht="56" x14ac:dyDescent="0.25">
      <c r="A825" s="26">
        <v>703</v>
      </c>
      <c r="B825" s="35" t="s">
        <v>1238</v>
      </c>
      <c r="C825" s="22">
        <v>19.34</v>
      </c>
      <c r="D825" s="25" t="s">
        <v>772</v>
      </c>
      <c r="E825" s="23" t="s">
        <v>1272</v>
      </c>
      <c r="F825" s="35" t="s">
        <v>1240</v>
      </c>
      <c r="G825" s="202" t="s">
        <v>621</v>
      </c>
      <c r="H825" s="26">
        <v>789</v>
      </c>
      <c r="I825" s="26">
        <v>492</v>
      </c>
      <c r="J825" s="184"/>
      <c r="K825" s="184"/>
      <c r="L825" s="184"/>
      <c r="M825" s="184"/>
      <c r="N825" s="184"/>
      <c r="O825" s="184"/>
      <c r="P825" s="184"/>
      <c r="Q825" s="31"/>
      <c r="R825" s="31"/>
      <c r="S825" s="31"/>
      <c r="T825" s="31"/>
      <c r="U825" s="31"/>
      <c r="V825" s="31"/>
      <c r="W825" s="31"/>
      <c r="X825" s="31"/>
      <c r="Y825" s="31"/>
      <c r="Z825" s="31"/>
      <c r="AA825" s="31"/>
      <c r="AB825" s="31"/>
      <c r="AC825" s="31"/>
      <c r="AD825" s="31"/>
      <c r="AE825" s="31"/>
      <c r="AF825" s="31"/>
      <c r="AG825" s="31"/>
      <c r="AH825" s="31"/>
      <c r="AI825" s="31"/>
      <c r="AJ825" s="31"/>
      <c r="AK825" s="31"/>
      <c r="AL825" s="28" t="str">
        <f>VLOOKUP($G825,'[42]Sheet1 (2)'!$A$1:$B$1048440,2,FALSE)</f>
        <v>Sqm</v>
      </c>
      <c r="AM825" s="32"/>
      <c r="AN825" s="31"/>
      <c r="AO825" s="33"/>
    </row>
    <row r="826" spans="1:41" ht="56" x14ac:dyDescent="0.25">
      <c r="A826" s="26">
        <v>704</v>
      </c>
      <c r="B826" s="35" t="s">
        <v>1238</v>
      </c>
      <c r="C826" s="22">
        <v>19.350000000000001</v>
      </c>
      <c r="D826" s="25" t="s">
        <v>772</v>
      </c>
      <c r="E826" s="23" t="s">
        <v>1273</v>
      </c>
      <c r="F826" s="35" t="s">
        <v>1240</v>
      </c>
      <c r="G826" s="202" t="s">
        <v>621</v>
      </c>
      <c r="H826" s="26">
        <v>1174</v>
      </c>
      <c r="I826" s="26">
        <v>463</v>
      </c>
      <c r="J826" s="184"/>
      <c r="K826" s="184"/>
      <c r="L826" s="184"/>
      <c r="M826" s="184"/>
      <c r="N826" s="184"/>
      <c r="O826" s="184"/>
      <c r="P826" s="184"/>
      <c r="Q826" s="31"/>
      <c r="R826" s="31"/>
      <c r="S826" s="31"/>
      <c r="T826" s="31"/>
      <c r="U826" s="31"/>
      <c r="V826" s="31"/>
      <c r="W826" s="31"/>
      <c r="X826" s="31"/>
      <c r="Y826" s="31"/>
      <c r="Z826" s="31"/>
      <c r="AA826" s="31"/>
      <c r="AB826" s="31"/>
      <c r="AC826" s="31"/>
      <c r="AD826" s="31"/>
      <c r="AE826" s="31"/>
      <c r="AF826" s="31"/>
      <c r="AG826" s="31"/>
      <c r="AH826" s="31"/>
      <c r="AI826" s="31"/>
      <c r="AJ826" s="31"/>
      <c r="AK826" s="31"/>
      <c r="AL826" s="28" t="str">
        <f>VLOOKUP($G826,'[42]Sheet1 (2)'!$A$1:$B$1048440,2,FALSE)</f>
        <v>Sqm</v>
      </c>
      <c r="AM826" s="32"/>
      <c r="AN826" s="31"/>
      <c r="AO826" s="33"/>
    </row>
    <row r="827" spans="1:41" ht="56" x14ac:dyDescent="0.25">
      <c r="A827" s="26">
        <v>705</v>
      </c>
      <c r="B827" s="21" t="s">
        <v>1241</v>
      </c>
      <c r="C827" s="22">
        <v>19.36</v>
      </c>
      <c r="D827" s="25" t="s">
        <v>772</v>
      </c>
      <c r="E827" s="23" t="s">
        <v>1274</v>
      </c>
      <c r="F827" s="24" t="s">
        <v>1233</v>
      </c>
      <c r="G827" s="21" t="s">
        <v>45</v>
      </c>
      <c r="H827" s="26">
        <v>68</v>
      </c>
      <c r="I827" s="26">
        <v>17</v>
      </c>
      <c r="J827" s="184"/>
      <c r="K827" s="184"/>
      <c r="L827" s="184"/>
      <c r="M827" s="184"/>
      <c r="N827" s="184"/>
      <c r="O827" s="184"/>
      <c r="P827" s="184"/>
      <c r="Q827" s="31"/>
      <c r="R827" s="31"/>
      <c r="S827" s="31"/>
      <c r="T827" s="31"/>
      <c r="U827" s="31"/>
      <c r="V827" s="31"/>
      <c r="W827" s="31"/>
      <c r="X827" s="31"/>
      <c r="Y827" s="31"/>
      <c r="Z827" s="31"/>
      <c r="AA827" s="31"/>
      <c r="AB827" s="31"/>
      <c r="AC827" s="31"/>
      <c r="AD827" s="31"/>
      <c r="AE827" s="31"/>
      <c r="AF827" s="31"/>
      <c r="AG827" s="31"/>
      <c r="AH827" s="31"/>
      <c r="AI827" s="31"/>
      <c r="AJ827" s="31"/>
      <c r="AK827" s="31"/>
      <c r="AL827" s="28" t="str">
        <f>VLOOKUP($G827,'[42]Sheet1 (2)'!$A$1:$B$1048440,2,FALSE)</f>
        <v>No.</v>
      </c>
      <c r="AM827" s="32"/>
      <c r="AN827" s="31"/>
      <c r="AO827" s="33"/>
    </row>
    <row r="828" spans="1:41" ht="84" x14ac:dyDescent="0.25">
      <c r="A828" s="26">
        <v>706</v>
      </c>
      <c r="B828" s="21" t="s">
        <v>1241</v>
      </c>
      <c r="C828" s="22">
        <v>19.37</v>
      </c>
      <c r="D828" s="25" t="s">
        <v>772</v>
      </c>
      <c r="E828" s="24" t="s">
        <v>1275</v>
      </c>
      <c r="F828" s="24" t="s">
        <v>1233</v>
      </c>
      <c r="G828" s="21" t="s">
        <v>45</v>
      </c>
      <c r="H828" s="26">
        <v>19425</v>
      </c>
      <c r="I828" s="26">
        <v>2555</v>
      </c>
      <c r="J828" s="184"/>
      <c r="K828" s="184"/>
      <c r="L828" s="184"/>
      <c r="M828" s="184"/>
      <c r="N828" s="184"/>
      <c r="O828" s="184"/>
      <c r="P828" s="184"/>
      <c r="Q828" s="31"/>
      <c r="R828" s="31"/>
      <c r="S828" s="31"/>
      <c r="T828" s="31"/>
      <c r="U828" s="31"/>
      <c r="V828" s="31"/>
      <c r="W828" s="31"/>
      <c r="X828" s="31"/>
      <c r="Y828" s="31"/>
      <c r="Z828" s="31"/>
      <c r="AA828" s="31"/>
      <c r="AB828" s="31"/>
      <c r="AC828" s="31"/>
      <c r="AD828" s="31"/>
      <c r="AE828" s="31"/>
      <c r="AF828" s="31"/>
      <c r="AG828" s="31"/>
      <c r="AH828" s="31"/>
      <c r="AI828" s="31"/>
      <c r="AJ828" s="31"/>
      <c r="AK828" s="31"/>
      <c r="AL828" s="28" t="str">
        <f>VLOOKUP($G828,'[42]Sheet1 (2)'!$A$1:$B$1048440,2,FALSE)</f>
        <v>No.</v>
      </c>
      <c r="AM828" s="32"/>
      <c r="AN828" s="31"/>
      <c r="AO828" s="33"/>
    </row>
    <row r="829" spans="1:41" ht="56" x14ac:dyDescent="0.25">
      <c r="A829" s="26">
        <v>707</v>
      </c>
      <c r="B829" s="21" t="s">
        <v>1241</v>
      </c>
      <c r="C829" s="22">
        <v>19.38</v>
      </c>
      <c r="D829" s="25" t="s">
        <v>772</v>
      </c>
      <c r="E829" s="23" t="s">
        <v>1276</v>
      </c>
      <c r="F829" s="24" t="s">
        <v>1233</v>
      </c>
      <c r="G829" s="21" t="s">
        <v>45</v>
      </c>
      <c r="H829" s="26">
        <v>5122</v>
      </c>
      <c r="I829" s="26">
        <v>2855</v>
      </c>
      <c r="J829" s="184"/>
      <c r="K829" s="184"/>
      <c r="L829" s="184"/>
      <c r="M829" s="184"/>
      <c r="N829" s="184"/>
      <c r="O829" s="184"/>
      <c r="P829" s="184"/>
      <c r="Q829" s="31"/>
      <c r="R829" s="31"/>
      <c r="S829" s="31"/>
      <c r="T829" s="31"/>
      <c r="U829" s="31"/>
      <c r="V829" s="31"/>
      <c r="W829" s="31"/>
      <c r="X829" s="31"/>
      <c r="Y829" s="31"/>
      <c r="Z829" s="31"/>
      <c r="AA829" s="31"/>
      <c r="AB829" s="31"/>
      <c r="AC829" s="31"/>
      <c r="AD829" s="31"/>
      <c r="AE829" s="31"/>
      <c r="AF829" s="31"/>
      <c r="AG829" s="31"/>
      <c r="AH829" s="31"/>
      <c r="AI829" s="31"/>
      <c r="AJ829" s="31"/>
      <c r="AK829" s="31"/>
      <c r="AL829" s="28" t="str">
        <f>VLOOKUP($G829,'[42]Sheet1 (2)'!$A$1:$B$1048440,2,FALSE)</f>
        <v>No.</v>
      </c>
      <c r="AM829" s="32"/>
      <c r="AN829" s="31"/>
      <c r="AO829" s="33"/>
    </row>
    <row r="830" spans="1:41" ht="56" x14ac:dyDescent="0.25">
      <c r="A830" s="26">
        <v>708</v>
      </c>
      <c r="B830" s="21" t="s">
        <v>1241</v>
      </c>
      <c r="C830" s="22">
        <v>19.39</v>
      </c>
      <c r="D830" s="25" t="s">
        <v>772</v>
      </c>
      <c r="E830" s="23" t="s">
        <v>1277</v>
      </c>
      <c r="F830" s="24" t="s">
        <v>1233</v>
      </c>
      <c r="G830" s="202" t="s">
        <v>621</v>
      </c>
      <c r="H830" s="26">
        <v>764</v>
      </c>
      <c r="I830" s="26">
        <v>518</v>
      </c>
      <c r="J830" s="31"/>
      <c r="K830" s="31"/>
      <c r="L830" s="31"/>
      <c r="M830" s="31"/>
      <c r="N830" s="31"/>
      <c r="O830" s="31"/>
      <c r="P830" s="31"/>
      <c r="Q830" s="31"/>
      <c r="R830" s="31"/>
      <c r="S830" s="31"/>
      <c r="T830" s="31"/>
      <c r="U830" s="31"/>
      <c r="V830" s="31"/>
      <c r="W830" s="31"/>
      <c r="X830" s="31"/>
      <c r="Y830" s="31"/>
      <c r="Z830" s="31"/>
      <c r="AA830" s="31"/>
      <c r="AB830" s="31"/>
      <c r="AC830" s="31"/>
      <c r="AD830" s="31"/>
      <c r="AE830" s="31"/>
      <c r="AF830" s="31"/>
      <c r="AG830" s="31"/>
      <c r="AH830" s="31"/>
      <c r="AI830" s="31"/>
      <c r="AJ830" s="31"/>
      <c r="AK830" s="31"/>
      <c r="AL830" s="28" t="str">
        <f>VLOOKUP($G830,'[42]Sheet1 (2)'!$A$1:$B$1048440,2,FALSE)</f>
        <v>Sqm</v>
      </c>
      <c r="AM830" s="32"/>
      <c r="AN830" s="31"/>
      <c r="AO830" s="33"/>
    </row>
    <row r="831" spans="1:41" ht="56" x14ac:dyDescent="0.25">
      <c r="A831" s="26">
        <v>709</v>
      </c>
      <c r="B831" s="21" t="s">
        <v>1241</v>
      </c>
      <c r="C831" s="22">
        <v>19.399999999999999</v>
      </c>
      <c r="D831" s="25" t="s">
        <v>772</v>
      </c>
      <c r="E831" s="23" t="s">
        <v>1278</v>
      </c>
      <c r="F831" s="24" t="s">
        <v>1233</v>
      </c>
      <c r="G831" s="21" t="s">
        <v>1081</v>
      </c>
      <c r="H831" s="26">
        <v>1342</v>
      </c>
      <c r="I831" s="26">
        <v>337</v>
      </c>
      <c r="J831" s="31"/>
      <c r="K831" s="31"/>
      <c r="L831" s="31"/>
      <c r="M831" s="31"/>
      <c r="N831" s="31"/>
      <c r="O831" s="31"/>
      <c r="P831" s="31"/>
      <c r="Q831" s="31"/>
      <c r="R831" s="31"/>
      <c r="S831" s="31"/>
      <c r="T831" s="31"/>
      <c r="U831" s="31"/>
      <c r="V831" s="31"/>
      <c r="W831" s="31"/>
      <c r="X831" s="31"/>
      <c r="Y831" s="31"/>
      <c r="Z831" s="31"/>
      <c r="AA831" s="31"/>
      <c r="AB831" s="31"/>
      <c r="AC831" s="31"/>
      <c r="AD831" s="31"/>
      <c r="AE831" s="31"/>
      <c r="AF831" s="31"/>
      <c r="AG831" s="31"/>
      <c r="AH831" s="31"/>
      <c r="AI831" s="31"/>
      <c r="AJ831" s="31"/>
      <c r="AK831" s="31"/>
      <c r="AL831" s="28" t="e">
        <f>VLOOKUP($G831,'[42]Sheet1 (2)'!$A$1:$B$1048440,2,FALSE)</f>
        <v>#N/A</v>
      </c>
      <c r="AM831" s="32"/>
      <c r="AN831" s="31"/>
      <c r="AO831" s="33"/>
    </row>
    <row r="832" spans="1:41" ht="56" x14ac:dyDescent="0.25">
      <c r="A832" s="26">
        <v>710</v>
      </c>
      <c r="B832" s="21" t="s">
        <v>1241</v>
      </c>
      <c r="C832" s="22">
        <v>19.41</v>
      </c>
      <c r="D832" s="25" t="s">
        <v>772</v>
      </c>
      <c r="E832" s="23" t="s">
        <v>1279</v>
      </c>
      <c r="F832" s="24" t="s">
        <v>1233</v>
      </c>
      <c r="G832" s="21" t="s">
        <v>45</v>
      </c>
      <c r="H832" s="26">
        <v>3399</v>
      </c>
      <c r="I832" s="26">
        <v>1470</v>
      </c>
      <c r="J832" s="31"/>
      <c r="K832" s="31"/>
      <c r="L832" s="31"/>
      <c r="M832" s="31"/>
      <c r="N832" s="31"/>
      <c r="O832" s="31"/>
      <c r="P832" s="31"/>
      <c r="Q832" s="31"/>
      <c r="R832" s="31"/>
      <c r="S832" s="31"/>
      <c r="T832" s="31"/>
      <c r="U832" s="31"/>
      <c r="V832" s="31"/>
      <c r="W832" s="31"/>
      <c r="X832" s="31"/>
      <c r="Y832" s="31"/>
      <c r="Z832" s="31"/>
      <c r="AA832" s="31"/>
      <c r="AB832" s="31"/>
      <c r="AC832" s="31"/>
      <c r="AD832" s="31"/>
      <c r="AE832" s="31"/>
      <c r="AF832" s="31"/>
      <c r="AG832" s="31"/>
      <c r="AH832" s="31"/>
      <c r="AI832" s="31"/>
      <c r="AJ832" s="31"/>
      <c r="AK832" s="31"/>
      <c r="AL832" s="28" t="str">
        <f>VLOOKUP($G832,'[42]Sheet1 (2)'!$A$1:$B$1048440,2,FALSE)</f>
        <v>No.</v>
      </c>
      <c r="AM832" s="32"/>
      <c r="AN832" s="31"/>
      <c r="AO832" s="33"/>
    </row>
    <row r="833" spans="1:41" ht="56" x14ac:dyDescent="0.25">
      <c r="A833" s="26">
        <v>711</v>
      </c>
      <c r="B833" s="35" t="s">
        <v>1238</v>
      </c>
      <c r="C833" s="22">
        <v>19.420000000000002</v>
      </c>
      <c r="D833" s="25" t="s">
        <v>772</v>
      </c>
      <c r="E833" s="23" t="s">
        <v>1280</v>
      </c>
      <c r="F833" s="35" t="s">
        <v>1240</v>
      </c>
      <c r="G833" s="21" t="s">
        <v>1070</v>
      </c>
      <c r="H833" s="26">
        <v>89</v>
      </c>
      <c r="I833" s="26">
        <v>8</v>
      </c>
      <c r="J833" s="31"/>
      <c r="K833" s="31"/>
      <c r="L833" s="31"/>
      <c r="M833" s="31"/>
      <c r="N833" s="31"/>
      <c r="O833" s="31"/>
      <c r="P833" s="31"/>
      <c r="Q833" s="31"/>
      <c r="R833" s="31"/>
      <c r="S833" s="31"/>
      <c r="T833" s="31"/>
      <c r="U833" s="31"/>
      <c r="V833" s="31"/>
      <c r="W833" s="31"/>
      <c r="X833" s="31"/>
      <c r="Y833" s="31"/>
      <c r="Z833" s="31"/>
      <c r="AA833" s="31"/>
      <c r="AB833" s="31"/>
      <c r="AC833" s="31"/>
      <c r="AD833" s="31"/>
      <c r="AE833" s="31"/>
      <c r="AF833" s="31"/>
      <c r="AG833" s="31"/>
      <c r="AH833" s="31"/>
      <c r="AI833" s="31"/>
      <c r="AJ833" s="31"/>
      <c r="AK833" s="31"/>
      <c r="AL833" s="28" t="e">
        <f>VLOOKUP($G833,'[42]Sheet1 (2)'!$A$1:$B$1048440,2,FALSE)</f>
        <v>#N/A</v>
      </c>
      <c r="AM833" s="32"/>
      <c r="AN833" s="31"/>
      <c r="AO833" s="33"/>
    </row>
    <row r="834" spans="1:41" ht="140" x14ac:dyDescent="0.25">
      <c r="A834" s="26">
        <v>712</v>
      </c>
      <c r="B834" s="21" t="s">
        <v>1241</v>
      </c>
      <c r="C834" s="22">
        <v>19.43</v>
      </c>
      <c r="D834" s="25" t="s">
        <v>772</v>
      </c>
      <c r="E834" s="24" t="s">
        <v>1281</v>
      </c>
      <c r="F834" s="24" t="s">
        <v>1233</v>
      </c>
      <c r="G834" s="202" t="s">
        <v>621</v>
      </c>
      <c r="H834" s="26">
        <v>715</v>
      </c>
      <c r="I834" s="26">
        <v>155</v>
      </c>
      <c r="J834" s="31"/>
      <c r="K834" s="31"/>
      <c r="L834" s="31"/>
      <c r="M834" s="31"/>
      <c r="N834" s="31"/>
      <c r="O834" s="31"/>
      <c r="P834" s="31"/>
      <c r="Q834" s="31"/>
      <c r="R834" s="31"/>
      <c r="S834" s="31"/>
      <c r="T834" s="31"/>
      <c r="U834" s="31"/>
      <c r="V834" s="31"/>
      <c r="W834" s="31"/>
      <c r="X834" s="31"/>
      <c r="Y834" s="31"/>
      <c r="Z834" s="31"/>
      <c r="AA834" s="31"/>
      <c r="AB834" s="31"/>
      <c r="AC834" s="31"/>
      <c r="AD834" s="31"/>
      <c r="AE834" s="31"/>
      <c r="AF834" s="31"/>
      <c r="AG834" s="31"/>
      <c r="AH834" s="31"/>
      <c r="AI834" s="31"/>
      <c r="AJ834" s="31"/>
      <c r="AK834" s="31"/>
      <c r="AL834" s="28" t="str">
        <f>VLOOKUP($G834,'[42]Sheet1 (2)'!$A$1:$B$1048440,2,FALSE)</f>
        <v>Sqm</v>
      </c>
      <c r="AM834" s="32"/>
      <c r="AN834" s="31"/>
      <c r="AO834" s="33"/>
    </row>
    <row r="835" spans="1:41" ht="84" x14ac:dyDescent="0.25">
      <c r="A835" s="26">
        <v>713</v>
      </c>
      <c r="B835" s="21" t="s">
        <v>1241</v>
      </c>
      <c r="C835" s="22">
        <v>19.440000000000001</v>
      </c>
      <c r="D835" s="25" t="s">
        <v>772</v>
      </c>
      <c r="E835" s="24" t="s">
        <v>1282</v>
      </c>
      <c r="F835" s="24" t="s">
        <v>1233</v>
      </c>
      <c r="G835" s="202" t="s">
        <v>621</v>
      </c>
      <c r="H835" s="26">
        <v>4119</v>
      </c>
      <c r="I835" s="26">
        <v>728</v>
      </c>
      <c r="J835" s="31"/>
      <c r="K835" s="31"/>
      <c r="L835" s="31"/>
      <c r="M835" s="31"/>
      <c r="N835" s="31"/>
      <c r="O835" s="31"/>
      <c r="P835" s="31"/>
      <c r="Q835" s="31"/>
      <c r="R835" s="31"/>
      <c r="S835" s="31"/>
      <c r="T835" s="31"/>
      <c r="U835" s="31"/>
      <c r="V835" s="31"/>
      <c r="W835" s="31"/>
      <c r="X835" s="31"/>
      <c r="Y835" s="31"/>
      <c r="Z835" s="31"/>
      <c r="AA835" s="31"/>
      <c r="AB835" s="31"/>
      <c r="AC835" s="31"/>
      <c r="AD835" s="31"/>
      <c r="AE835" s="31"/>
      <c r="AF835" s="31"/>
      <c r="AG835" s="31"/>
      <c r="AH835" s="31"/>
      <c r="AI835" s="31"/>
      <c r="AJ835" s="31"/>
      <c r="AK835" s="31"/>
      <c r="AL835" s="28" t="str">
        <f>VLOOKUP($G835,'[42]Sheet1 (2)'!$A$1:$B$1048440,2,FALSE)</f>
        <v>Sqm</v>
      </c>
      <c r="AM835" s="32"/>
      <c r="AN835" s="31"/>
      <c r="AO835" s="33"/>
    </row>
    <row r="836" spans="1:41" ht="70" x14ac:dyDescent="0.25">
      <c r="A836" s="26">
        <v>714</v>
      </c>
      <c r="B836" s="21" t="s">
        <v>1241</v>
      </c>
      <c r="C836" s="22">
        <v>19.45</v>
      </c>
      <c r="D836" s="25" t="s">
        <v>772</v>
      </c>
      <c r="E836" s="24" t="s">
        <v>1283</v>
      </c>
      <c r="F836" s="24" t="s">
        <v>1233</v>
      </c>
      <c r="G836" s="25" t="s">
        <v>45</v>
      </c>
      <c r="H836" s="26">
        <v>4274</v>
      </c>
      <c r="I836" s="26">
        <v>1035</v>
      </c>
      <c r="J836" s="31"/>
      <c r="K836" s="31"/>
      <c r="L836" s="31"/>
      <c r="M836" s="31"/>
      <c r="N836" s="31"/>
      <c r="O836" s="31"/>
      <c r="P836" s="31"/>
      <c r="Q836" s="31"/>
      <c r="R836" s="31"/>
      <c r="S836" s="31"/>
      <c r="T836" s="31"/>
      <c r="U836" s="31"/>
      <c r="V836" s="31"/>
      <c r="W836" s="31"/>
      <c r="X836" s="31"/>
      <c r="Y836" s="31"/>
      <c r="Z836" s="31"/>
      <c r="AA836" s="31"/>
      <c r="AB836" s="31"/>
      <c r="AC836" s="31"/>
      <c r="AD836" s="31"/>
      <c r="AE836" s="31"/>
      <c r="AF836" s="31"/>
      <c r="AG836" s="31"/>
      <c r="AH836" s="31"/>
      <c r="AI836" s="31"/>
      <c r="AJ836" s="31"/>
      <c r="AK836" s="31"/>
      <c r="AL836" s="28" t="str">
        <f>VLOOKUP($G836,'[42]Sheet1 (2)'!$A$1:$B$1048440,2,FALSE)</f>
        <v>No.</v>
      </c>
      <c r="AM836" s="32"/>
      <c r="AN836" s="31"/>
      <c r="AO836" s="33"/>
    </row>
    <row r="837" spans="1:41" ht="126" x14ac:dyDescent="0.25">
      <c r="A837" s="26">
        <v>715</v>
      </c>
      <c r="B837" s="21" t="s">
        <v>1241</v>
      </c>
      <c r="C837" s="22">
        <v>19.46</v>
      </c>
      <c r="D837" s="25" t="s">
        <v>772</v>
      </c>
      <c r="E837" s="24" t="s">
        <v>1284</v>
      </c>
      <c r="F837" s="24" t="s">
        <v>1233</v>
      </c>
      <c r="G837" s="25" t="s">
        <v>45</v>
      </c>
      <c r="H837" s="26">
        <v>34487</v>
      </c>
      <c r="I837" s="26">
        <v>4615</v>
      </c>
      <c r="J837" s="31"/>
      <c r="K837" s="31"/>
      <c r="L837" s="31"/>
      <c r="M837" s="31"/>
      <c r="N837" s="31"/>
      <c r="O837" s="31"/>
      <c r="P837" s="31"/>
      <c r="Q837" s="31"/>
      <c r="R837" s="31"/>
      <c r="S837" s="31"/>
      <c r="T837" s="31"/>
      <c r="U837" s="31"/>
      <c r="V837" s="31"/>
      <c r="W837" s="31"/>
      <c r="X837" s="31"/>
      <c r="Y837" s="31"/>
      <c r="Z837" s="31"/>
      <c r="AA837" s="31"/>
      <c r="AB837" s="31"/>
      <c r="AC837" s="31"/>
      <c r="AD837" s="31"/>
      <c r="AE837" s="31"/>
      <c r="AF837" s="31"/>
      <c r="AG837" s="31"/>
      <c r="AH837" s="31"/>
      <c r="AI837" s="31"/>
      <c r="AJ837" s="31"/>
      <c r="AK837" s="31"/>
      <c r="AL837" s="28" t="str">
        <f>VLOOKUP($G837,'[42]Sheet1 (2)'!$A$1:$B$1048440,2,FALSE)</f>
        <v>No.</v>
      </c>
      <c r="AM837" s="32"/>
      <c r="AN837" s="31"/>
      <c r="AO837" s="33"/>
    </row>
    <row r="838" spans="1:41" ht="210" x14ac:dyDescent="0.25">
      <c r="A838" s="26">
        <v>716</v>
      </c>
      <c r="B838" s="21" t="s">
        <v>1241</v>
      </c>
      <c r="C838" s="22">
        <v>19.47</v>
      </c>
      <c r="D838" s="25" t="s">
        <v>903</v>
      </c>
      <c r="E838" s="24" t="s">
        <v>1285</v>
      </c>
      <c r="F838" s="25" t="s">
        <v>1286</v>
      </c>
      <c r="G838" s="202" t="s">
        <v>621</v>
      </c>
      <c r="H838" s="26">
        <v>2132</v>
      </c>
      <c r="I838" s="26">
        <v>314</v>
      </c>
      <c r="J838" s="31"/>
      <c r="K838" s="31"/>
      <c r="L838" s="31"/>
      <c r="M838" s="31"/>
      <c r="N838" s="31"/>
      <c r="O838" s="31"/>
      <c r="P838" s="31"/>
      <c r="Q838" s="31"/>
      <c r="R838" s="31"/>
      <c r="S838" s="31"/>
      <c r="T838" s="31"/>
      <c r="U838" s="31"/>
      <c r="V838" s="31"/>
      <c r="W838" s="31"/>
      <c r="X838" s="31"/>
      <c r="Y838" s="31"/>
      <c r="Z838" s="31"/>
      <c r="AA838" s="31"/>
      <c r="AB838" s="31"/>
      <c r="AC838" s="31"/>
      <c r="AD838" s="31"/>
      <c r="AE838" s="31"/>
      <c r="AF838" s="31"/>
      <c r="AG838" s="31"/>
      <c r="AH838" s="31"/>
      <c r="AI838" s="31"/>
      <c r="AJ838" s="31"/>
      <c r="AK838" s="31"/>
      <c r="AL838" s="28" t="str">
        <f>VLOOKUP($G838,'[42]Sheet1 (2)'!$A$1:$B$1048440,2,FALSE)</f>
        <v>Sqm</v>
      </c>
      <c r="AM838" s="32"/>
      <c r="AN838" s="31"/>
      <c r="AO838" s="33"/>
    </row>
    <row r="839" spans="1:41" ht="98" x14ac:dyDescent="0.25">
      <c r="A839" s="26">
        <v>717</v>
      </c>
      <c r="B839" s="21" t="s">
        <v>1241</v>
      </c>
      <c r="C839" s="22">
        <v>19.48</v>
      </c>
      <c r="D839" s="25" t="s">
        <v>772</v>
      </c>
      <c r="E839" s="24" t="s">
        <v>1287</v>
      </c>
      <c r="F839" s="24" t="s">
        <v>44</v>
      </c>
      <c r="G839" s="21" t="s">
        <v>80</v>
      </c>
      <c r="H839" s="26">
        <v>270</v>
      </c>
      <c r="I839" s="26">
        <v>160</v>
      </c>
      <c r="J839" s="31"/>
      <c r="K839" s="31"/>
      <c r="L839" s="31"/>
      <c r="M839" s="31"/>
      <c r="N839" s="31"/>
      <c r="O839" s="31"/>
      <c r="P839" s="31"/>
      <c r="Q839" s="31"/>
      <c r="R839" s="31"/>
      <c r="S839" s="31"/>
      <c r="T839" s="31"/>
      <c r="U839" s="31"/>
      <c r="V839" s="31"/>
      <c r="W839" s="31"/>
      <c r="X839" s="31"/>
      <c r="Y839" s="31"/>
      <c r="Z839" s="31"/>
      <c r="AA839" s="31"/>
      <c r="AB839" s="31"/>
      <c r="AC839" s="31"/>
      <c r="AD839" s="31"/>
      <c r="AE839" s="31"/>
      <c r="AF839" s="31"/>
      <c r="AG839" s="31"/>
      <c r="AH839" s="31"/>
      <c r="AI839" s="31"/>
      <c r="AJ839" s="31"/>
      <c r="AK839" s="31"/>
      <c r="AL839" s="28" t="str">
        <f>VLOOKUP($G839,'[42]Sheet1 (2)'!$A$1:$B$1048440,2,FALSE)</f>
        <v>Rmt.</v>
      </c>
      <c r="AM839" s="32"/>
      <c r="AN839" s="31"/>
      <c r="AO839" s="33"/>
    </row>
    <row r="840" spans="1:41" ht="98" x14ac:dyDescent="0.25">
      <c r="A840" s="26">
        <v>718</v>
      </c>
      <c r="B840" s="21" t="s">
        <v>1241</v>
      </c>
      <c r="C840" s="22">
        <v>19.489999999999998</v>
      </c>
      <c r="D840" s="25" t="s">
        <v>910</v>
      </c>
      <c r="E840" s="24" t="s">
        <v>1288</v>
      </c>
      <c r="F840" s="25" t="s">
        <v>1289</v>
      </c>
      <c r="G840" s="21" t="s">
        <v>514</v>
      </c>
      <c r="H840" s="26">
        <v>7844</v>
      </c>
      <c r="I840" s="26">
        <v>2426</v>
      </c>
      <c r="J840" s="31"/>
      <c r="K840" s="31"/>
      <c r="L840" s="31"/>
      <c r="M840" s="31"/>
      <c r="N840" s="31"/>
      <c r="O840" s="31"/>
      <c r="P840" s="31"/>
      <c r="Q840" s="31"/>
      <c r="R840" s="31"/>
      <c r="S840" s="31"/>
      <c r="T840" s="31"/>
      <c r="U840" s="31"/>
      <c r="V840" s="31"/>
      <c r="W840" s="31"/>
      <c r="X840" s="31"/>
      <c r="Y840" s="31"/>
      <c r="Z840" s="31"/>
      <c r="AA840" s="31"/>
      <c r="AB840" s="31"/>
      <c r="AC840" s="31"/>
      <c r="AD840" s="31"/>
      <c r="AE840" s="31"/>
      <c r="AF840" s="31"/>
      <c r="AG840" s="31"/>
      <c r="AH840" s="31"/>
      <c r="AI840" s="31"/>
      <c r="AJ840" s="31"/>
      <c r="AK840" s="31"/>
      <c r="AL840" s="28" t="str">
        <f>VLOOKUP($G840,'[42]Sheet1 (2)'!$A$1:$B$1048440,2,FALSE)</f>
        <v>Sqm</v>
      </c>
      <c r="AM840" s="32"/>
      <c r="AN840" s="31"/>
      <c r="AO840" s="33"/>
    </row>
    <row r="841" spans="1:41" ht="308" x14ac:dyDescent="0.25">
      <c r="A841" s="20">
        <v>719</v>
      </c>
      <c r="B841" s="21" t="s">
        <v>1241</v>
      </c>
      <c r="C841" s="203">
        <v>19.5</v>
      </c>
      <c r="D841" s="25" t="s">
        <v>772</v>
      </c>
      <c r="E841" s="23" t="s">
        <v>1290</v>
      </c>
      <c r="F841" s="24" t="s">
        <v>44</v>
      </c>
      <c r="G841" s="21" t="s">
        <v>217</v>
      </c>
      <c r="H841" s="26">
        <v>660</v>
      </c>
      <c r="I841" s="26">
        <v>278</v>
      </c>
      <c r="J841" s="31"/>
      <c r="K841" s="31"/>
      <c r="L841" s="31"/>
      <c r="M841" s="31"/>
      <c r="N841" s="31"/>
      <c r="O841" s="31"/>
      <c r="P841" s="31"/>
      <c r="Q841" s="31"/>
      <c r="R841" s="31"/>
      <c r="S841" s="31"/>
      <c r="T841" s="31"/>
      <c r="U841" s="31"/>
      <c r="V841" s="31"/>
      <c r="W841" s="31"/>
      <c r="X841" s="31"/>
      <c r="Y841" s="31"/>
      <c r="Z841" s="31"/>
      <c r="AA841" s="31"/>
      <c r="AB841" s="31"/>
      <c r="AC841" s="31"/>
      <c r="AD841" s="31"/>
      <c r="AE841" s="31"/>
      <c r="AF841" s="31"/>
      <c r="AG841" s="31"/>
      <c r="AH841" s="31"/>
      <c r="AI841" s="31"/>
      <c r="AJ841" s="31"/>
      <c r="AK841" s="31"/>
      <c r="AL841" s="28" t="str">
        <f>VLOOKUP($G841,'[42]Sheet1 (2)'!$A$1:$B$1048440,2,FALSE)</f>
        <v>Sqm</v>
      </c>
      <c r="AM841" s="32"/>
      <c r="AN841" s="31"/>
      <c r="AO841" s="33"/>
    </row>
    <row r="842" spans="1:41" ht="17.5" x14ac:dyDescent="0.35">
      <c r="A842" s="204"/>
      <c r="B842" s="21"/>
      <c r="C842" s="203"/>
      <c r="D842" s="165"/>
      <c r="E842" s="205" t="s">
        <v>1291</v>
      </c>
      <c r="F842" s="166"/>
      <c r="G842" s="206"/>
      <c r="H842" s="167"/>
      <c r="I842" s="167"/>
      <c r="J842" s="31"/>
      <c r="K842" s="31"/>
      <c r="L842" s="31"/>
      <c r="M842" s="31"/>
      <c r="N842" s="31"/>
      <c r="O842" s="31"/>
      <c r="P842" s="31"/>
      <c r="Q842" s="31"/>
      <c r="R842" s="31"/>
      <c r="S842" s="31"/>
      <c r="T842" s="31"/>
      <c r="U842" s="31"/>
      <c r="V842" s="31"/>
      <c r="W842" s="31"/>
      <c r="X842" s="31"/>
      <c r="Y842" s="31"/>
      <c r="Z842" s="31"/>
      <c r="AA842" s="31"/>
      <c r="AB842" s="31"/>
      <c r="AC842" s="31"/>
      <c r="AD842" s="31"/>
      <c r="AE842" s="31"/>
      <c r="AF842" s="31"/>
      <c r="AG842" s="31"/>
      <c r="AH842" s="31"/>
      <c r="AI842" s="31"/>
      <c r="AJ842" s="31"/>
      <c r="AK842" s="31"/>
      <c r="AL842" s="28" t="e">
        <f>VLOOKUP($G842,'[42]Sheet1 (2)'!$A$1:$B$1048440,2,FALSE)</f>
        <v>#N/A</v>
      </c>
      <c r="AM842" s="32"/>
      <c r="AN842" s="31"/>
      <c r="AO842" s="33"/>
    </row>
    <row r="843" spans="1:41" ht="98" x14ac:dyDescent="0.25">
      <c r="A843" s="26">
        <v>720</v>
      </c>
      <c r="B843" s="25" t="s">
        <v>1292</v>
      </c>
      <c r="C843" s="22">
        <v>21.01</v>
      </c>
      <c r="D843" s="25" t="s">
        <v>1293</v>
      </c>
      <c r="E843" s="24" t="s">
        <v>1294</v>
      </c>
      <c r="F843" s="21" t="s">
        <v>1295</v>
      </c>
      <c r="G843" s="25" t="s">
        <v>47</v>
      </c>
      <c r="H843" s="103">
        <v>239</v>
      </c>
      <c r="I843" s="26">
        <v>239</v>
      </c>
      <c r="J843" s="31"/>
      <c r="K843" s="31"/>
      <c r="L843" s="31"/>
      <c r="M843" s="31"/>
      <c r="N843" s="31"/>
      <c r="O843" s="31"/>
      <c r="P843" s="31"/>
      <c r="Q843" s="31"/>
      <c r="R843" s="31"/>
      <c r="S843" s="31"/>
      <c r="T843" s="31"/>
      <c r="U843" s="31"/>
      <c r="V843" s="31"/>
      <c r="W843" s="31"/>
      <c r="X843" s="31"/>
      <c r="Y843" s="31"/>
      <c r="Z843" s="31"/>
      <c r="AA843" s="31"/>
      <c r="AB843" s="31"/>
      <c r="AC843" s="31"/>
      <c r="AD843" s="31"/>
      <c r="AE843" s="31"/>
      <c r="AF843" s="31"/>
      <c r="AG843" s="31"/>
      <c r="AH843" s="31"/>
      <c r="AI843" s="31"/>
      <c r="AJ843" s="31"/>
      <c r="AK843" s="31"/>
      <c r="AL843" s="28" t="str">
        <f>VLOOKUP($G843,'[42]Sheet1 (2)'!$A$1:$B$1048440,2,FALSE)</f>
        <v>Cum</v>
      </c>
      <c r="AM843" s="32"/>
      <c r="AN843" s="31"/>
      <c r="AO843" s="33"/>
    </row>
    <row r="844" spans="1:41" ht="98" x14ac:dyDescent="0.25">
      <c r="A844" s="26">
        <v>721</v>
      </c>
      <c r="B844" s="25" t="s">
        <v>1292</v>
      </c>
      <c r="C844" s="22">
        <v>21.02</v>
      </c>
      <c r="D844" s="25" t="s">
        <v>1293</v>
      </c>
      <c r="E844" s="24" t="s">
        <v>1296</v>
      </c>
      <c r="F844" s="21" t="s">
        <v>1295</v>
      </c>
      <c r="G844" s="25" t="s">
        <v>47</v>
      </c>
      <c r="H844" s="103">
        <v>207</v>
      </c>
      <c r="I844" s="26">
        <v>116</v>
      </c>
      <c r="J844" s="31"/>
      <c r="K844" s="31"/>
      <c r="L844" s="31"/>
      <c r="M844" s="31"/>
      <c r="N844" s="31"/>
      <c r="O844" s="31"/>
      <c r="P844" s="31"/>
      <c r="Q844" s="31"/>
      <c r="R844" s="31"/>
      <c r="S844" s="31"/>
      <c r="T844" s="31"/>
      <c r="U844" s="31"/>
      <c r="V844" s="31"/>
      <c r="W844" s="31"/>
      <c r="X844" s="31"/>
      <c r="Y844" s="31"/>
      <c r="Z844" s="31"/>
      <c r="AA844" s="31"/>
      <c r="AB844" s="31"/>
      <c r="AC844" s="31"/>
      <c r="AD844" s="31"/>
      <c r="AE844" s="31"/>
      <c r="AF844" s="31"/>
      <c r="AG844" s="31"/>
      <c r="AH844" s="31"/>
      <c r="AI844" s="31"/>
      <c r="AJ844" s="31"/>
      <c r="AK844" s="31"/>
      <c r="AL844" s="28" t="str">
        <f>VLOOKUP($G844,'[42]Sheet1 (2)'!$A$1:$B$1048440,2,FALSE)</f>
        <v>Cum</v>
      </c>
      <c r="AM844" s="32"/>
      <c r="AN844" s="31"/>
      <c r="AO844" s="33"/>
    </row>
    <row r="845" spans="1:41" ht="112" x14ac:dyDescent="0.25">
      <c r="A845" s="26">
        <v>722</v>
      </c>
      <c r="B845" s="25" t="s">
        <v>1292</v>
      </c>
      <c r="C845" s="22">
        <v>21.03</v>
      </c>
      <c r="D845" s="25" t="s">
        <v>1293</v>
      </c>
      <c r="E845" s="24" t="s">
        <v>1297</v>
      </c>
      <c r="F845" s="21" t="s">
        <v>1295</v>
      </c>
      <c r="G845" s="25" t="s">
        <v>47</v>
      </c>
      <c r="H845" s="103">
        <v>314</v>
      </c>
      <c r="I845" s="26">
        <v>314</v>
      </c>
      <c r="J845" s="31"/>
      <c r="K845" s="31"/>
      <c r="L845" s="31"/>
      <c r="M845" s="31"/>
      <c r="N845" s="31"/>
      <c r="O845" s="31"/>
      <c r="P845" s="31"/>
      <c r="Q845" s="31"/>
      <c r="R845" s="31"/>
      <c r="S845" s="31"/>
      <c r="T845" s="31"/>
      <c r="U845" s="31"/>
      <c r="V845" s="31"/>
      <c r="W845" s="31"/>
      <c r="X845" s="31"/>
      <c r="Y845" s="31"/>
      <c r="Z845" s="31"/>
      <c r="AA845" s="31"/>
      <c r="AB845" s="31"/>
      <c r="AC845" s="31"/>
      <c r="AD845" s="31"/>
      <c r="AE845" s="31"/>
      <c r="AF845" s="31"/>
      <c r="AG845" s="31"/>
      <c r="AH845" s="31"/>
      <c r="AI845" s="31"/>
      <c r="AJ845" s="31"/>
      <c r="AK845" s="31"/>
      <c r="AL845" s="28" t="str">
        <f>VLOOKUP($G845,'[42]Sheet1 (2)'!$A$1:$B$1048440,2,FALSE)</f>
        <v>Cum</v>
      </c>
      <c r="AM845" s="32"/>
      <c r="AN845" s="31"/>
      <c r="AO845" s="33"/>
    </row>
    <row r="846" spans="1:41" ht="112" x14ac:dyDescent="0.25">
      <c r="A846" s="26">
        <v>723</v>
      </c>
      <c r="B846" s="25" t="s">
        <v>1292</v>
      </c>
      <c r="C846" s="22">
        <v>21.04</v>
      </c>
      <c r="D846" s="25" t="s">
        <v>1293</v>
      </c>
      <c r="E846" s="24" t="s">
        <v>1298</v>
      </c>
      <c r="F846" s="21" t="s">
        <v>1295</v>
      </c>
      <c r="G846" s="25" t="s">
        <v>47</v>
      </c>
      <c r="H846" s="103">
        <v>258</v>
      </c>
      <c r="I846" s="26">
        <v>144</v>
      </c>
      <c r="J846" s="31"/>
      <c r="K846" s="31"/>
      <c r="L846" s="31"/>
      <c r="M846" s="31"/>
      <c r="N846" s="31"/>
      <c r="O846" s="31"/>
      <c r="P846" s="31"/>
      <c r="Q846" s="31"/>
      <c r="R846" s="31"/>
      <c r="S846" s="31"/>
      <c r="T846" s="31"/>
      <c r="U846" s="31"/>
      <c r="V846" s="31"/>
      <c r="W846" s="31"/>
      <c r="X846" s="31"/>
      <c r="Y846" s="31"/>
      <c r="Z846" s="31"/>
      <c r="AA846" s="31"/>
      <c r="AB846" s="31"/>
      <c r="AC846" s="31"/>
      <c r="AD846" s="31"/>
      <c r="AE846" s="31"/>
      <c r="AF846" s="31"/>
      <c r="AG846" s="31"/>
      <c r="AH846" s="31"/>
      <c r="AI846" s="31"/>
      <c r="AJ846" s="31"/>
      <c r="AK846" s="31"/>
      <c r="AL846" s="28" t="str">
        <f>VLOOKUP($G846,'[42]Sheet1 (2)'!$A$1:$B$1048440,2,FALSE)</f>
        <v>Cum</v>
      </c>
      <c r="AM846" s="32"/>
      <c r="AN846" s="31"/>
      <c r="AO846" s="33"/>
    </row>
    <row r="847" spans="1:41" ht="98" x14ac:dyDescent="0.25">
      <c r="A847" s="26">
        <v>724</v>
      </c>
      <c r="B847" s="25" t="s">
        <v>1292</v>
      </c>
      <c r="C847" s="22">
        <v>21.05</v>
      </c>
      <c r="D847" s="25" t="s">
        <v>1299</v>
      </c>
      <c r="E847" s="23" t="s">
        <v>1300</v>
      </c>
      <c r="F847" s="24" t="s">
        <v>1301</v>
      </c>
      <c r="G847" s="25" t="s">
        <v>47</v>
      </c>
      <c r="H847" s="103">
        <v>365</v>
      </c>
      <c r="I847" s="26">
        <v>365</v>
      </c>
      <c r="J847" s="31"/>
      <c r="K847" s="31"/>
      <c r="L847" s="31"/>
      <c r="M847" s="31"/>
      <c r="N847" s="31"/>
      <c r="O847" s="31"/>
      <c r="P847" s="31"/>
      <c r="Q847" s="31"/>
      <c r="R847" s="31"/>
      <c r="S847" s="31"/>
      <c r="T847" s="31"/>
      <c r="U847" s="31"/>
      <c r="V847" s="31"/>
      <c r="W847" s="31"/>
      <c r="X847" s="31"/>
      <c r="Y847" s="31"/>
      <c r="Z847" s="31"/>
      <c r="AA847" s="31"/>
      <c r="AB847" s="31"/>
      <c r="AC847" s="31"/>
      <c r="AD847" s="31"/>
      <c r="AE847" s="31"/>
      <c r="AF847" s="31"/>
      <c r="AG847" s="31"/>
      <c r="AH847" s="31"/>
      <c r="AI847" s="31"/>
      <c r="AJ847" s="31"/>
      <c r="AK847" s="31"/>
      <c r="AL847" s="28" t="str">
        <f>VLOOKUP($G847,'[42]Sheet1 (2)'!$A$1:$B$1048440,2,FALSE)</f>
        <v>Cum</v>
      </c>
      <c r="AM847" s="32"/>
      <c r="AN847" s="31"/>
      <c r="AO847" s="33"/>
    </row>
    <row r="848" spans="1:41" ht="98" x14ac:dyDescent="0.25">
      <c r="A848" s="26">
        <v>725</v>
      </c>
      <c r="B848" s="25" t="s">
        <v>1292</v>
      </c>
      <c r="C848" s="22">
        <v>21.06</v>
      </c>
      <c r="D848" s="25" t="s">
        <v>1299</v>
      </c>
      <c r="E848" s="24" t="s">
        <v>3792</v>
      </c>
      <c r="F848" s="21" t="s">
        <v>1302</v>
      </c>
      <c r="G848" s="25" t="s">
        <v>47</v>
      </c>
      <c r="H848" s="103">
        <v>227</v>
      </c>
      <c r="I848" s="26">
        <v>127</v>
      </c>
      <c r="J848" s="31"/>
      <c r="K848" s="31"/>
      <c r="L848" s="31"/>
      <c r="M848" s="31"/>
      <c r="N848" s="31"/>
      <c r="O848" s="31"/>
      <c r="P848" s="31"/>
      <c r="Q848" s="31"/>
      <c r="R848" s="31"/>
      <c r="S848" s="31"/>
      <c r="T848" s="31"/>
      <c r="U848" s="31"/>
      <c r="V848" s="31"/>
      <c r="W848" s="31"/>
      <c r="X848" s="31"/>
      <c r="Y848" s="31"/>
      <c r="Z848" s="31"/>
      <c r="AA848" s="31"/>
      <c r="AB848" s="31"/>
      <c r="AC848" s="31"/>
      <c r="AD848" s="31"/>
      <c r="AE848" s="31"/>
      <c r="AF848" s="31"/>
      <c r="AG848" s="31"/>
      <c r="AH848" s="31"/>
      <c r="AI848" s="31"/>
      <c r="AJ848" s="31"/>
      <c r="AK848" s="31"/>
      <c r="AL848" s="28" t="str">
        <f>VLOOKUP($G848,'[42]Sheet1 (2)'!$A$1:$B$1048440,2,FALSE)</f>
        <v>Cum</v>
      </c>
      <c r="AM848" s="32"/>
      <c r="AN848" s="31"/>
      <c r="AO848" s="33"/>
    </row>
    <row r="849" spans="1:41" ht="98" x14ac:dyDescent="0.25">
      <c r="A849" s="26">
        <v>726</v>
      </c>
      <c r="B849" s="25" t="s">
        <v>1292</v>
      </c>
      <c r="C849" s="22">
        <v>21.07</v>
      </c>
      <c r="D849" s="25" t="s">
        <v>1299</v>
      </c>
      <c r="E849" s="23" t="s">
        <v>1303</v>
      </c>
      <c r="F849" s="24" t="s">
        <v>1301</v>
      </c>
      <c r="G849" s="25" t="s">
        <v>47</v>
      </c>
      <c r="H849" s="103">
        <v>414</v>
      </c>
      <c r="I849" s="26">
        <v>414</v>
      </c>
      <c r="J849" s="31"/>
      <c r="K849" s="31"/>
      <c r="L849" s="31"/>
      <c r="M849" s="31"/>
      <c r="N849" s="31"/>
      <c r="O849" s="31"/>
      <c r="P849" s="31"/>
      <c r="Q849" s="31"/>
      <c r="R849" s="31"/>
      <c r="S849" s="31"/>
      <c r="T849" s="31"/>
      <c r="U849" s="31"/>
      <c r="V849" s="31"/>
      <c r="W849" s="31"/>
      <c r="X849" s="31"/>
      <c r="Y849" s="31"/>
      <c r="Z849" s="31"/>
      <c r="AA849" s="31"/>
      <c r="AB849" s="31"/>
      <c r="AC849" s="31"/>
      <c r="AD849" s="31"/>
      <c r="AE849" s="31"/>
      <c r="AF849" s="31"/>
      <c r="AG849" s="31"/>
      <c r="AH849" s="31"/>
      <c r="AI849" s="31"/>
      <c r="AJ849" s="31"/>
      <c r="AK849" s="31"/>
      <c r="AL849" s="28" t="str">
        <f>VLOOKUP($G849,'[42]Sheet1 (2)'!$A$1:$B$1048440,2,FALSE)</f>
        <v>Cum</v>
      </c>
      <c r="AM849" s="32"/>
      <c r="AN849" s="31"/>
      <c r="AO849" s="33"/>
    </row>
    <row r="850" spans="1:41" ht="98" x14ac:dyDescent="0.25">
      <c r="A850" s="26">
        <v>727</v>
      </c>
      <c r="B850" s="25" t="s">
        <v>1292</v>
      </c>
      <c r="C850" s="22">
        <v>21.08</v>
      </c>
      <c r="D850" s="25" t="s">
        <v>1299</v>
      </c>
      <c r="E850" s="24" t="s">
        <v>1304</v>
      </c>
      <c r="F850" s="21" t="s">
        <v>1302</v>
      </c>
      <c r="G850" s="25" t="s">
        <v>47</v>
      </c>
      <c r="H850" s="103">
        <v>284</v>
      </c>
      <c r="I850" s="26">
        <v>159</v>
      </c>
      <c r="J850" s="31"/>
      <c r="K850" s="31"/>
      <c r="L850" s="31"/>
      <c r="M850" s="31"/>
      <c r="N850" s="31"/>
      <c r="O850" s="31"/>
      <c r="P850" s="31"/>
      <c r="Q850" s="31"/>
      <c r="R850" s="31"/>
      <c r="S850" s="31"/>
      <c r="T850" s="31"/>
      <c r="U850" s="31"/>
      <c r="V850" s="31"/>
      <c r="W850" s="31"/>
      <c r="X850" s="31"/>
      <c r="Y850" s="31"/>
      <c r="Z850" s="31"/>
      <c r="AA850" s="31"/>
      <c r="AB850" s="31"/>
      <c r="AC850" s="31"/>
      <c r="AD850" s="31"/>
      <c r="AE850" s="31"/>
      <c r="AF850" s="31"/>
      <c r="AG850" s="31"/>
      <c r="AH850" s="31"/>
      <c r="AI850" s="31"/>
      <c r="AJ850" s="31"/>
      <c r="AK850" s="31"/>
      <c r="AL850" s="28" t="str">
        <f>VLOOKUP($G850,'[42]Sheet1 (2)'!$A$1:$B$1048440,2,FALSE)</f>
        <v>Cum</v>
      </c>
      <c r="AM850" s="32"/>
      <c r="AN850" s="31"/>
      <c r="AO850" s="33"/>
    </row>
    <row r="851" spans="1:41" ht="98" x14ac:dyDescent="0.25">
      <c r="A851" s="26">
        <v>728</v>
      </c>
      <c r="B851" s="25" t="s">
        <v>1292</v>
      </c>
      <c r="C851" s="22">
        <v>21.1</v>
      </c>
      <c r="D851" s="25" t="s">
        <v>1305</v>
      </c>
      <c r="E851" s="24" t="s">
        <v>1306</v>
      </c>
      <c r="F851" s="21" t="s">
        <v>1307</v>
      </c>
      <c r="G851" s="25" t="s">
        <v>47</v>
      </c>
      <c r="H851" s="103">
        <v>252</v>
      </c>
      <c r="I851" s="26">
        <v>140</v>
      </c>
      <c r="J851" s="31"/>
      <c r="K851" s="31"/>
      <c r="L851" s="31"/>
      <c r="M851" s="31"/>
      <c r="N851" s="31"/>
      <c r="O851" s="31"/>
      <c r="P851" s="31"/>
      <c r="Q851" s="31"/>
      <c r="R851" s="31"/>
      <c r="S851" s="31"/>
      <c r="T851" s="31"/>
      <c r="U851" s="31"/>
      <c r="V851" s="31"/>
      <c r="W851" s="31"/>
      <c r="X851" s="31"/>
      <c r="Y851" s="31"/>
      <c r="Z851" s="31"/>
      <c r="AA851" s="31"/>
      <c r="AB851" s="31"/>
      <c r="AC851" s="31"/>
      <c r="AD851" s="31"/>
      <c r="AE851" s="31"/>
      <c r="AF851" s="31"/>
      <c r="AG851" s="31"/>
      <c r="AH851" s="31"/>
      <c r="AI851" s="31"/>
      <c r="AJ851" s="31"/>
      <c r="AK851" s="31"/>
      <c r="AL851" s="28" t="str">
        <f>VLOOKUP($G851,'[42]Sheet1 (2)'!$A$1:$B$1048440,2,FALSE)</f>
        <v>Cum</v>
      </c>
      <c r="AM851" s="32"/>
      <c r="AN851" s="31"/>
      <c r="AO851" s="33"/>
    </row>
    <row r="852" spans="1:41" ht="98" x14ac:dyDescent="0.25">
      <c r="A852" s="26">
        <v>729</v>
      </c>
      <c r="B852" s="25" t="s">
        <v>1292</v>
      </c>
      <c r="C852" s="22">
        <v>21.12</v>
      </c>
      <c r="D852" s="25" t="s">
        <v>1305</v>
      </c>
      <c r="E852" s="24" t="s">
        <v>1308</v>
      </c>
      <c r="F852" s="21" t="s">
        <v>1307</v>
      </c>
      <c r="G852" s="25" t="s">
        <v>47</v>
      </c>
      <c r="H852" s="103">
        <v>312</v>
      </c>
      <c r="I852" s="26">
        <v>173</v>
      </c>
      <c r="J852" s="31"/>
      <c r="K852" s="31"/>
      <c r="L852" s="31"/>
      <c r="M852" s="31"/>
      <c r="N852" s="31"/>
      <c r="O852" s="31"/>
      <c r="P852" s="31"/>
      <c r="Q852" s="31"/>
      <c r="R852" s="31"/>
      <c r="S852" s="31"/>
      <c r="T852" s="31"/>
      <c r="U852" s="31"/>
      <c r="V852" s="31"/>
      <c r="W852" s="31"/>
      <c r="X852" s="31"/>
      <c r="Y852" s="31"/>
      <c r="Z852" s="31"/>
      <c r="AA852" s="31"/>
      <c r="AB852" s="31"/>
      <c r="AC852" s="31"/>
      <c r="AD852" s="31"/>
      <c r="AE852" s="31"/>
      <c r="AF852" s="31"/>
      <c r="AG852" s="31"/>
      <c r="AH852" s="31"/>
      <c r="AI852" s="31"/>
      <c r="AJ852" s="31"/>
      <c r="AK852" s="31"/>
      <c r="AL852" s="28" t="str">
        <f>VLOOKUP($G852,'[42]Sheet1 (2)'!$A$1:$B$1048440,2,FALSE)</f>
        <v>Cum</v>
      </c>
      <c r="AM852" s="32"/>
      <c r="AN852" s="31"/>
      <c r="AO852" s="33"/>
    </row>
    <row r="853" spans="1:41" ht="112" x14ac:dyDescent="0.25">
      <c r="A853" s="26">
        <v>730</v>
      </c>
      <c r="B853" s="25" t="s">
        <v>1292</v>
      </c>
      <c r="C853" s="22">
        <v>21.14</v>
      </c>
      <c r="D853" s="25" t="s">
        <v>1309</v>
      </c>
      <c r="E853" s="24" t="s">
        <v>1310</v>
      </c>
      <c r="F853" s="21" t="s">
        <v>1311</v>
      </c>
      <c r="G853" s="25" t="s">
        <v>47</v>
      </c>
      <c r="H853" s="103">
        <v>429</v>
      </c>
      <c r="I853" s="26">
        <v>288</v>
      </c>
      <c r="J853" s="31"/>
      <c r="K853" s="31"/>
      <c r="L853" s="31"/>
      <c r="M853" s="31"/>
      <c r="N853" s="31"/>
      <c r="O853" s="31"/>
      <c r="P853" s="31"/>
      <c r="Q853" s="31"/>
      <c r="R853" s="31"/>
      <c r="S853" s="31"/>
      <c r="T853" s="31"/>
      <c r="U853" s="31"/>
      <c r="V853" s="31"/>
      <c r="W853" s="31"/>
      <c r="X853" s="31"/>
      <c r="Y853" s="31"/>
      <c r="Z853" s="31"/>
      <c r="AA853" s="31"/>
      <c r="AB853" s="31"/>
      <c r="AC853" s="31"/>
      <c r="AD853" s="31"/>
      <c r="AE853" s="31"/>
      <c r="AF853" s="31"/>
      <c r="AG853" s="31"/>
      <c r="AH853" s="31"/>
      <c r="AI853" s="31"/>
      <c r="AJ853" s="31"/>
      <c r="AK853" s="31"/>
      <c r="AL853" s="28" t="str">
        <f>VLOOKUP($G853,'[42]Sheet1 (2)'!$A$1:$B$1048440,2,FALSE)</f>
        <v>Cum</v>
      </c>
      <c r="AM853" s="32"/>
      <c r="AN853" s="31"/>
      <c r="AO853" s="33"/>
    </row>
    <row r="854" spans="1:41" ht="126" x14ac:dyDescent="0.25">
      <c r="A854" s="26">
        <v>731</v>
      </c>
      <c r="B854" s="25" t="s">
        <v>1292</v>
      </c>
      <c r="C854" s="22">
        <v>21.16</v>
      </c>
      <c r="D854" s="25" t="s">
        <v>1309</v>
      </c>
      <c r="E854" s="23" t="s">
        <v>1312</v>
      </c>
      <c r="F854" s="21" t="s">
        <v>1311</v>
      </c>
      <c r="G854" s="25" t="s">
        <v>47</v>
      </c>
      <c r="H854" s="103">
        <v>524</v>
      </c>
      <c r="I854" s="26">
        <v>356</v>
      </c>
      <c r="J854" s="31"/>
      <c r="K854" s="31"/>
      <c r="L854" s="31"/>
      <c r="M854" s="31"/>
      <c r="N854" s="31"/>
      <c r="O854" s="31"/>
      <c r="P854" s="31"/>
      <c r="Q854" s="31"/>
      <c r="R854" s="31"/>
      <c r="S854" s="31"/>
      <c r="T854" s="31"/>
      <c r="U854" s="31"/>
      <c r="V854" s="31"/>
      <c r="W854" s="31"/>
      <c r="X854" s="31"/>
      <c r="Y854" s="31"/>
      <c r="Z854" s="31"/>
      <c r="AA854" s="31"/>
      <c r="AB854" s="31"/>
      <c r="AC854" s="31"/>
      <c r="AD854" s="31"/>
      <c r="AE854" s="31"/>
      <c r="AF854" s="31"/>
      <c r="AG854" s="31"/>
      <c r="AH854" s="31"/>
      <c r="AI854" s="31"/>
      <c r="AJ854" s="31"/>
      <c r="AK854" s="31"/>
      <c r="AL854" s="28" t="str">
        <f>VLOOKUP($G854,'[42]Sheet1 (2)'!$A$1:$B$1048440,2,FALSE)</f>
        <v>Cum</v>
      </c>
      <c r="AM854" s="32"/>
      <c r="AN854" s="31"/>
      <c r="AO854" s="33"/>
    </row>
    <row r="855" spans="1:41" ht="98" x14ac:dyDescent="0.25">
      <c r="A855" s="26">
        <v>732</v>
      </c>
      <c r="B855" s="25" t="s">
        <v>1292</v>
      </c>
      <c r="C855" s="22">
        <v>21.17</v>
      </c>
      <c r="D855" s="25" t="s">
        <v>1313</v>
      </c>
      <c r="E855" s="24" t="s">
        <v>1314</v>
      </c>
      <c r="F855" s="21" t="s">
        <v>1315</v>
      </c>
      <c r="G855" s="25" t="s">
        <v>47</v>
      </c>
      <c r="H855" s="26">
        <v>869</v>
      </c>
      <c r="I855" s="26">
        <v>451</v>
      </c>
      <c r="J855" s="31"/>
      <c r="K855" s="31"/>
      <c r="L855" s="31"/>
      <c r="M855" s="31"/>
      <c r="N855" s="31"/>
      <c r="O855" s="31"/>
      <c r="P855" s="31"/>
      <c r="Q855" s="31"/>
      <c r="R855" s="31"/>
      <c r="S855" s="31"/>
      <c r="T855" s="31"/>
      <c r="U855" s="31"/>
      <c r="V855" s="31"/>
      <c r="W855" s="31"/>
      <c r="X855" s="31"/>
      <c r="Y855" s="31"/>
      <c r="Z855" s="31"/>
      <c r="AA855" s="31"/>
      <c r="AB855" s="31"/>
      <c r="AC855" s="31"/>
      <c r="AD855" s="31"/>
      <c r="AE855" s="31"/>
      <c r="AF855" s="31"/>
      <c r="AG855" s="31"/>
      <c r="AH855" s="31"/>
      <c r="AI855" s="31"/>
      <c r="AJ855" s="31"/>
      <c r="AK855" s="31"/>
      <c r="AL855" s="28" t="str">
        <f>VLOOKUP($G855,'[42]Sheet1 (2)'!$A$1:$B$1048440,2,FALSE)</f>
        <v>Cum</v>
      </c>
      <c r="AM855" s="32"/>
      <c r="AN855" s="31"/>
      <c r="AO855" s="33"/>
    </row>
    <row r="856" spans="1:41" ht="98" x14ac:dyDescent="0.25">
      <c r="A856" s="26">
        <v>733</v>
      </c>
      <c r="B856" s="25" t="s">
        <v>1292</v>
      </c>
      <c r="C856" s="22">
        <v>21.18</v>
      </c>
      <c r="D856" s="25" t="s">
        <v>1313</v>
      </c>
      <c r="E856" s="24" t="s">
        <v>1316</v>
      </c>
      <c r="F856" s="21" t="s">
        <v>1315</v>
      </c>
      <c r="G856" s="25" t="s">
        <v>47</v>
      </c>
      <c r="H856" s="26">
        <v>1033</v>
      </c>
      <c r="I856" s="26">
        <v>559</v>
      </c>
      <c r="J856" s="31"/>
      <c r="K856" s="31"/>
      <c r="L856" s="31"/>
      <c r="M856" s="31"/>
      <c r="N856" s="31"/>
      <c r="O856" s="31"/>
      <c r="P856" s="31"/>
      <c r="Q856" s="31"/>
      <c r="R856" s="31"/>
      <c r="S856" s="31"/>
      <c r="T856" s="31"/>
      <c r="U856" s="31"/>
      <c r="V856" s="31"/>
      <c r="W856" s="31"/>
      <c r="X856" s="31"/>
      <c r="Y856" s="31"/>
      <c r="Z856" s="31"/>
      <c r="AA856" s="31"/>
      <c r="AB856" s="31"/>
      <c r="AC856" s="31"/>
      <c r="AD856" s="31"/>
      <c r="AE856" s="31"/>
      <c r="AF856" s="31"/>
      <c r="AG856" s="31"/>
      <c r="AH856" s="31"/>
      <c r="AI856" s="31"/>
      <c r="AJ856" s="31"/>
      <c r="AK856" s="31"/>
      <c r="AL856" s="28" t="str">
        <f>VLOOKUP($G856,'[42]Sheet1 (2)'!$A$1:$B$1048440,2,FALSE)</f>
        <v>Cum</v>
      </c>
      <c r="AM856" s="32"/>
      <c r="AN856" s="31"/>
      <c r="AO856" s="33"/>
    </row>
    <row r="857" spans="1:41" ht="112" x14ac:dyDescent="0.25">
      <c r="A857" s="26">
        <v>734</v>
      </c>
      <c r="B857" s="25" t="s">
        <v>1292</v>
      </c>
      <c r="C857" s="22">
        <v>21.19</v>
      </c>
      <c r="D857" s="25" t="s">
        <v>1317</v>
      </c>
      <c r="E857" s="24" t="s">
        <v>1318</v>
      </c>
      <c r="F857" s="21" t="s">
        <v>1315</v>
      </c>
      <c r="G857" s="25" t="s">
        <v>47</v>
      </c>
      <c r="H857" s="26">
        <v>1322</v>
      </c>
      <c r="I857" s="26">
        <v>465</v>
      </c>
      <c r="J857" s="31"/>
      <c r="K857" s="31"/>
      <c r="L857" s="31"/>
      <c r="M857" s="31"/>
      <c r="N857" s="31"/>
      <c r="O857" s="31"/>
      <c r="P857" s="31"/>
      <c r="Q857" s="31"/>
      <c r="R857" s="31"/>
      <c r="S857" s="31"/>
      <c r="T857" s="31"/>
      <c r="U857" s="31"/>
      <c r="V857" s="31"/>
      <c r="W857" s="31"/>
      <c r="X857" s="31"/>
      <c r="Y857" s="31"/>
      <c r="Z857" s="31"/>
      <c r="AA857" s="31"/>
      <c r="AB857" s="31"/>
      <c r="AC857" s="31"/>
      <c r="AD857" s="31"/>
      <c r="AE857" s="31"/>
      <c r="AF857" s="31"/>
      <c r="AG857" s="31"/>
      <c r="AH857" s="31"/>
      <c r="AI857" s="31"/>
      <c r="AJ857" s="31"/>
      <c r="AK857" s="31"/>
      <c r="AL857" s="28" t="str">
        <f>VLOOKUP($G857,'[42]Sheet1 (2)'!$A$1:$B$1048440,2,FALSE)</f>
        <v>Cum</v>
      </c>
      <c r="AM857" s="32"/>
      <c r="AN857" s="31"/>
      <c r="AO857" s="33"/>
    </row>
    <row r="858" spans="1:41" ht="98" x14ac:dyDescent="0.25">
      <c r="A858" s="26">
        <v>735</v>
      </c>
      <c r="B858" s="25" t="s">
        <v>1292</v>
      </c>
      <c r="C858" s="22">
        <v>21.2</v>
      </c>
      <c r="D858" s="25" t="s">
        <v>1319</v>
      </c>
      <c r="E858" s="23" t="s">
        <v>1320</v>
      </c>
      <c r="F858" s="21" t="s">
        <v>1321</v>
      </c>
      <c r="G858" s="25" t="s">
        <v>47</v>
      </c>
      <c r="H858" s="26">
        <v>1307</v>
      </c>
      <c r="I858" s="26">
        <v>889</v>
      </c>
      <c r="J858" s="31"/>
      <c r="K858" s="31"/>
      <c r="L858" s="31"/>
      <c r="M858" s="31"/>
      <c r="N858" s="31"/>
      <c r="O858" s="31"/>
      <c r="P858" s="31"/>
      <c r="Q858" s="31"/>
      <c r="R858" s="31"/>
      <c r="S858" s="31"/>
      <c r="T858" s="31"/>
      <c r="U858" s="31"/>
      <c r="V858" s="31"/>
      <c r="W858" s="31"/>
      <c r="X858" s="31"/>
      <c r="Y858" s="31"/>
      <c r="Z858" s="31"/>
      <c r="AA858" s="31"/>
      <c r="AB858" s="31"/>
      <c r="AC858" s="31"/>
      <c r="AD858" s="31"/>
      <c r="AE858" s="31"/>
      <c r="AF858" s="31"/>
      <c r="AG858" s="31"/>
      <c r="AH858" s="31"/>
      <c r="AI858" s="31"/>
      <c r="AJ858" s="31"/>
      <c r="AK858" s="31"/>
      <c r="AL858" s="28" t="str">
        <f>VLOOKUP($G858,'[42]Sheet1 (2)'!$A$1:$B$1048440,2,FALSE)</f>
        <v>Cum</v>
      </c>
      <c r="AM858" s="32"/>
      <c r="AN858" s="31"/>
      <c r="AO858" s="33"/>
    </row>
    <row r="859" spans="1:41" ht="98" x14ac:dyDescent="0.25">
      <c r="A859" s="26">
        <v>736</v>
      </c>
      <c r="B859" s="25" t="s">
        <v>1292</v>
      </c>
      <c r="C859" s="22">
        <v>21.21</v>
      </c>
      <c r="D859" s="25" t="s">
        <v>1322</v>
      </c>
      <c r="E859" s="23" t="s">
        <v>1323</v>
      </c>
      <c r="F859" s="24" t="s">
        <v>1324</v>
      </c>
      <c r="G859" s="25" t="s">
        <v>47</v>
      </c>
      <c r="H859" s="26">
        <v>1465</v>
      </c>
      <c r="I859" s="26">
        <v>889</v>
      </c>
      <c r="J859" s="31"/>
      <c r="K859" s="31"/>
      <c r="L859" s="31"/>
      <c r="M859" s="31"/>
      <c r="N859" s="31"/>
      <c r="O859" s="31"/>
      <c r="P859" s="31"/>
      <c r="Q859" s="31"/>
      <c r="R859" s="31"/>
      <c r="S859" s="31"/>
      <c r="T859" s="31"/>
      <c r="U859" s="31"/>
      <c r="V859" s="31"/>
      <c r="W859" s="31"/>
      <c r="X859" s="31"/>
      <c r="Y859" s="31"/>
      <c r="Z859" s="31"/>
      <c r="AA859" s="31"/>
      <c r="AB859" s="31"/>
      <c r="AC859" s="31"/>
      <c r="AD859" s="31"/>
      <c r="AE859" s="31"/>
      <c r="AF859" s="31"/>
      <c r="AG859" s="31"/>
      <c r="AH859" s="31"/>
      <c r="AI859" s="31"/>
      <c r="AJ859" s="31"/>
      <c r="AK859" s="31"/>
      <c r="AL859" s="28" t="str">
        <f>VLOOKUP($G859,'[42]Sheet1 (2)'!$A$1:$B$1048440,2,FALSE)</f>
        <v>Cum</v>
      </c>
      <c r="AM859" s="32"/>
      <c r="AN859" s="31"/>
      <c r="AO859" s="33"/>
    </row>
    <row r="860" spans="1:41" ht="84" x14ac:dyDescent="0.25">
      <c r="A860" s="26">
        <v>737</v>
      </c>
      <c r="B860" s="25" t="s">
        <v>1292</v>
      </c>
      <c r="C860" s="22">
        <v>21.22</v>
      </c>
      <c r="D860" s="25" t="s">
        <v>1325</v>
      </c>
      <c r="E860" s="23" t="s">
        <v>1326</v>
      </c>
      <c r="F860" s="24" t="s">
        <v>742</v>
      </c>
      <c r="G860" s="202" t="s">
        <v>621</v>
      </c>
      <c r="H860" s="26">
        <v>107</v>
      </c>
      <c r="I860" s="26">
        <v>6</v>
      </c>
      <c r="J860" s="31"/>
      <c r="K860" s="31"/>
      <c r="L860" s="31"/>
      <c r="M860" s="31"/>
      <c r="N860" s="31"/>
      <c r="O860" s="31"/>
      <c r="P860" s="31"/>
      <c r="Q860" s="31"/>
      <c r="R860" s="31"/>
      <c r="S860" s="31"/>
      <c r="T860" s="31"/>
      <c r="U860" s="31"/>
      <c r="V860" s="31"/>
      <c r="W860" s="31"/>
      <c r="X860" s="31"/>
      <c r="Y860" s="31"/>
      <c r="Z860" s="31"/>
      <c r="AA860" s="31"/>
      <c r="AB860" s="31"/>
      <c r="AC860" s="31"/>
      <c r="AD860" s="31"/>
      <c r="AE860" s="31"/>
      <c r="AF860" s="31"/>
      <c r="AG860" s="31"/>
      <c r="AH860" s="31"/>
      <c r="AI860" s="31"/>
      <c r="AJ860" s="31"/>
      <c r="AK860" s="31"/>
      <c r="AL860" s="28" t="str">
        <f>VLOOKUP($G860,'[42]Sheet1 (2)'!$A$1:$B$1048440,2,FALSE)</f>
        <v>Sqm</v>
      </c>
      <c r="AM860" s="32"/>
      <c r="AN860" s="31"/>
      <c r="AO860" s="33"/>
    </row>
    <row r="861" spans="1:41" ht="84" x14ac:dyDescent="0.25">
      <c r="A861" s="26">
        <v>738</v>
      </c>
      <c r="B861" s="25" t="s">
        <v>1292</v>
      </c>
      <c r="C861" s="22">
        <v>21.23</v>
      </c>
      <c r="D861" s="25" t="s">
        <v>1325</v>
      </c>
      <c r="E861" s="24" t="s">
        <v>1327</v>
      </c>
      <c r="F861" s="24" t="s">
        <v>742</v>
      </c>
      <c r="G861" s="202" t="s">
        <v>621</v>
      </c>
      <c r="H861" s="26">
        <v>112</v>
      </c>
      <c r="I861" s="26">
        <v>6</v>
      </c>
      <c r="J861" s="31"/>
      <c r="K861" s="31"/>
      <c r="L861" s="31"/>
      <c r="M861" s="31"/>
      <c r="N861" s="31"/>
      <c r="O861" s="31"/>
      <c r="P861" s="31"/>
      <c r="Q861" s="31"/>
      <c r="R861" s="31"/>
      <c r="S861" s="31"/>
      <c r="T861" s="31"/>
      <c r="U861" s="31"/>
      <c r="V861" s="31"/>
      <c r="W861" s="31"/>
      <c r="X861" s="31"/>
      <c r="Y861" s="31"/>
      <c r="Z861" s="31"/>
      <c r="AA861" s="31"/>
      <c r="AB861" s="31"/>
      <c r="AC861" s="31"/>
      <c r="AD861" s="31"/>
      <c r="AE861" s="31"/>
      <c r="AF861" s="31"/>
      <c r="AG861" s="31"/>
      <c r="AH861" s="31"/>
      <c r="AI861" s="31"/>
      <c r="AJ861" s="31"/>
      <c r="AK861" s="31"/>
      <c r="AL861" s="28" t="str">
        <f>VLOOKUP($G861,'[42]Sheet1 (2)'!$A$1:$B$1048440,2,FALSE)</f>
        <v>Sqm</v>
      </c>
      <c r="AM861" s="32"/>
      <c r="AN861" s="31"/>
      <c r="AO861" s="33"/>
    </row>
    <row r="862" spans="1:41" ht="84" x14ac:dyDescent="0.25">
      <c r="A862" s="26">
        <v>739</v>
      </c>
      <c r="B862" s="25" t="s">
        <v>1292</v>
      </c>
      <c r="C862" s="22">
        <v>21.24</v>
      </c>
      <c r="D862" s="25" t="s">
        <v>1325</v>
      </c>
      <c r="E862" s="23" t="s">
        <v>1328</v>
      </c>
      <c r="F862" s="24" t="s">
        <v>742</v>
      </c>
      <c r="G862" s="202" t="s">
        <v>621</v>
      </c>
      <c r="H862" s="26">
        <v>108</v>
      </c>
      <c r="I862" s="26">
        <v>8</v>
      </c>
      <c r="J862" s="31"/>
      <c r="K862" s="31"/>
      <c r="L862" s="31"/>
      <c r="M862" s="31"/>
      <c r="N862" s="31"/>
      <c r="O862" s="31"/>
      <c r="P862" s="31"/>
      <c r="Q862" s="31"/>
      <c r="R862" s="31"/>
      <c r="S862" s="31"/>
      <c r="T862" s="31"/>
      <c r="U862" s="31"/>
      <c r="V862" s="31"/>
      <c r="W862" s="31"/>
      <c r="X862" s="31"/>
      <c r="Y862" s="31"/>
      <c r="Z862" s="31"/>
      <c r="AA862" s="31"/>
      <c r="AB862" s="31"/>
      <c r="AC862" s="31"/>
      <c r="AD862" s="31"/>
      <c r="AE862" s="31"/>
      <c r="AF862" s="31"/>
      <c r="AG862" s="31"/>
      <c r="AH862" s="31"/>
      <c r="AI862" s="31"/>
      <c r="AJ862" s="31"/>
      <c r="AK862" s="31"/>
      <c r="AL862" s="28" t="str">
        <f>VLOOKUP($G862,'[42]Sheet1 (2)'!$A$1:$B$1048440,2,FALSE)</f>
        <v>Sqm</v>
      </c>
      <c r="AM862" s="32"/>
      <c r="AN862" s="31"/>
      <c r="AO862" s="33"/>
    </row>
    <row r="863" spans="1:41" ht="98" x14ac:dyDescent="0.25">
      <c r="A863" s="26">
        <v>740</v>
      </c>
      <c r="B863" s="25" t="s">
        <v>1292</v>
      </c>
      <c r="C863" s="22">
        <v>21.25</v>
      </c>
      <c r="D863" s="25" t="s">
        <v>1325</v>
      </c>
      <c r="E863" s="24" t="s">
        <v>1329</v>
      </c>
      <c r="F863" s="24" t="s">
        <v>742</v>
      </c>
      <c r="G863" s="202" t="s">
        <v>621</v>
      </c>
      <c r="H863" s="26">
        <v>176</v>
      </c>
      <c r="I863" s="26">
        <v>25</v>
      </c>
      <c r="J863" s="31"/>
      <c r="K863" s="31"/>
      <c r="L863" s="31"/>
      <c r="M863" s="31"/>
      <c r="N863" s="31"/>
      <c r="O863" s="31"/>
      <c r="P863" s="31"/>
      <c r="Q863" s="31"/>
      <c r="R863" s="31"/>
      <c r="S863" s="31"/>
      <c r="T863" s="31"/>
      <c r="U863" s="31"/>
      <c r="V863" s="31"/>
      <c r="W863" s="31"/>
      <c r="X863" s="31"/>
      <c r="Y863" s="31"/>
      <c r="Z863" s="31"/>
      <c r="AA863" s="31"/>
      <c r="AB863" s="31"/>
      <c r="AC863" s="31"/>
      <c r="AD863" s="31"/>
      <c r="AE863" s="31"/>
      <c r="AF863" s="31"/>
      <c r="AG863" s="31"/>
      <c r="AH863" s="31"/>
      <c r="AI863" s="31"/>
      <c r="AJ863" s="31"/>
      <c r="AK863" s="31"/>
      <c r="AL863" s="28" t="str">
        <f>VLOOKUP($G863,'[42]Sheet1 (2)'!$A$1:$B$1048440,2,FALSE)</f>
        <v>Sqm</v>
      </c>
      <c r="AM863" s="32"/>
      <c r="AN863" s="31"/>
      <c r="AO863" s="33"/>
    </row>
    <row r="864" spans="1:41" ht="98" x14ac:dyDescent="0.25">
      <c r="A864" s="26">
        <v>741</v>
      </c>
      <c r="B864" s="25" t="s">
        <v>1292</v>
      </c>
      <c r="C864" s="22">
        <v>21.26</v>
      </c>
      <c r="D864" s="25" t="s">
        <v>1325</v>
      </c>
      <c r="E864" s="24" t="s">
        <v>1330</v>
      </c>
      <c r="F864" s="24" t="s">
        <v>742</v>
      </c>
      <c r="G864" s="25" t="s">
        <v>45</v>
      </c>
      <c r="H864" s="26">
        <v>74</v>
      </c>
      <c r="I864" s="26">
        <v>10</v>
      </c>
      <c r="J864" s="31"/>
      <c r="K864" s="31"/>
      <c r="L864" s="31"/>
      <c r="M864" s="31"/>
      <c r="N864" s="31"/>
      <c r="O864" s="31"/>
      <c r="P864" s="31"/>
      <c r="Q864" s="31"/>
      <c r="R864" s="31"/>
      <c r="S864" s="31"/>
      <c r="T864" s="31"/>
      <c r="U864" s="31"/>
      <c r="V864" s="31"/>
      <c r="W864" s="31"/>
      <c r="X864" s="31"/>
      <c r="Y864" s="31"/>
      <c r="Z864" s="31"/>
      <c r="AA864" s="31"/>
      <c r="AB864" s="31"/>
      <c r="AC864" s="31"/>
      <c r="AD864" s="31"/>
      <c r="AE864" s="31"/>
      <c r="AF864" s="31"/>
      <c r="AG864" s="31"/>
      <c r="AH864" s="31"/>
      <c r="AI864" s="31"/>
      <c r="AJ864" s="31"/>
      <c r="AK864" s="31"/>
      <c r="AL864" s="28" t="str">
        <f>VLOOKUP($G864,'[42]Sheet1 (2)'!$A$1:$B$1048440,2,FALSE)</f>
        <v>No.</v>
      </c>
      <c r="AM864" s="32"/>
      <c r="AN864" s="31"/>
      <c r="AO864" s="33"/>
    </row>
    <row r="865" spans="1:41" ht="112" x14ac:dyDescent="0.25">
      <c r="A865" s="26">
        <v>742</v>
      </c>
      <c r="B865" s="25" t="s">
        <v>1292</v>
      </c>
      <c r="C865" s="22">
        <v>21.27</v>
      </c>
      <c r="D865" s="25" t="s">
        <v>1325</v>
      </c>
      <c r="E865" s="23" t="s">
        <v>1331</v>
      </c>
      <c r="F865" s="24" t="s">
        <v>742</v>
      </c>
      <c r="G865" s="25" t="s">
        <v>45</v>
      </c>
      <c r="H865" s="26">
        <v>57</v>
      </c>
      <c r="I865" s="26">
        <v>17</v>
      </c>
      <c r="J865" s="31"/>
      <c r="K865" s="31"/>
      <c r="L865" s="31"/>
      <c r="M865" s="31"/>
      <c r="N865" s="31"/>
      <c r="O865" s="31"/>
      <c r="P865" s="31"/>
      <c r="Q865" s="31"/>
      <c r="R865" s="31"/>
      <c r="S865" s="31"/>
      <c r="T865" s="31"/>
      <c r="U865" s="31"/>
      <c r="V865" s="31"/>
      <c r="W865" s="31"/>
      <c r="X865" s="31"/>
      <c r="Y865" s="31"/>
      <c r="Z865" s="31"/>
      <c r="AA865" s="31"/>
      <c r="AB865" s="31"/>
      <c r="AC865" s="31"/>
      <c r="AD865" s="31"/>
      <c r="AE865" s="31"/>
      <c r="AF865" s="31"/>
      <c r="AG865" s="31"/>
      <c r="AH865" s="31"/>
      <c r="AI865" s="31"/>
      <c r="AJ865" s="31"/>
      <c r="AK865" s="31"/>
      <c r="AL865" s="28" t="str">
        <f>VLOOKUP($G865,'[42]Sheet1 (2)'!$A$1:$B$1048440,2,FALSE)</f>
        <v>No.</v>
      </c>
      <c r="AM865" s="32"/>
      <c r="AN865" s="31"/>
      <c r="AO865" s="33"/>
    </row>
    <row r="866" spans="1:41" ht="98" x14ac:dyDescent="0.25">
      <c r="A866" s="26">
        <v>743</v>
      </c>
      <c r="B866" s="25" t="s">
        <v>1292</v>
      </c>
      <c r="C866" s="22">
        <v>21.28</v>
      </c>
      <c r="D866" s="25" t="s">
        <v>1325</v>
      </c>
      <c r="E866" s="23" t="s">
        <v>1332</v>
      </c>
      <c r="F866" s="24" t="s">
        <v>742</v>
      </c>
      <c r="G866" s="25" t="s">
        <v>45</v>
      </c>
      <c r="H866" s="26">
        <v>26</v>
      </c>
      <c r="I866" s="26">
        <v>10</v>
      </c>
      <c r="J866" s="31"/>
      <c r="K866" s="31"/>
      <c r="L866" s="31"/>
      <c r="M866" s="31"/>
      <c r="N866" s="31"/>
      <c r="O866" s="31"/>
      <c r="P866" s="31"/>
      <c r="Q866" s="31"/>
      <c r="R866" s="31"/>
      <c r="S866" s="31"/>
      <c r="T866" s="31"/>
      <c r="U866" s="31"/>
      <c r="V866" s="31"/>
      <c r="W866" s="31"/>
      <c r="X866" s="31"/>
      <c r="Y866" s="31"/>
      <c r="Z866" s="31"/>
      <c r="AA866" s="31"/>
      <c r="AB866" s="31"/>
      <c r="AC866" s="31"/>
      <c r="AD866" s="31"/>
      <c r="AE866" s="31"/>
      <c r="AF866" s="31"/>
      <c r="AG866" s="31"/>
      <c r="AH866" s="31"/>
      <c r="AI866" s="31"/>
      <c r="AJ866" s="31"/>
      <c r="AK866" s="31"/>
      <c r="AL866" s="28" t="str">
        <f>VLOOKUP($G866,'[42]Sheet1 (2)'!$A$1:$B$1048440,2,FALSE)</f>
        <v>No.</v>
      </c>
      <c r="AM866" s="32"/>
      <c r="AN866" s="31"/>
      <c r="AO866" s="33"/>
    </row>
    <row r="867" spans="1:41" ht="98" x14ac:dyDescent="0.25">
      <c r="A867" s="26">
        <v>744</v>
      </c>
      <c r="B867" s="25" t="s">
        <v>1292</v>
      </c>
      <c r="C867" s="22">
        <v>21.29</v>
      </c>
      <c r="D867" s="25" t="s">
        <v>1325</v>
      </c>
      <c r="E867" s="24" t="s">
        <v>1333</v>
      </c>
      <c r="F867" s="24" t="s">
        <v>742</v>
      </c>
      <c r="G867" s="21" t="s">
        <v>80</v>
      </c>
      <c r="H867" s="26">
        <v>67</v>
      </c>
      <c r="I867" s="26">
        <v>36</v>
      </c>
      <c r="J867" s="184"/>
      <c r="K867" s="184"/>
      <c r="L867" s="184"/>
      <c r="M867" s="184"/>
      <c r="N867" s="184"/>
      <c r="O867" s="184"/>
      <c r="P867" s="184"/>
      <c r="Q867" s="31"/>
      <c r="R867" s="31"/>
      <c r="S867" s="31"/>
      <c r="T867" s="31"/>
      <c r="U867" s="31"/>
      <c r="V867" s="31"/>
      <c r="W867" s="31"/>
      <c r="X867" s="31"/>
      <c r="Y867" s="31"/>
      <c r="Z867" s="31"/>
      <c r="AA867" s="31"/>
      <c r="AB867" s="31"/>
      <c r="AC867" s="31"/>
      <c r="AD867" s="31"/>
      <c r="AE867" s="31"/>
      <c r="AF867" s="31"/>
      <c r="AG867" s="31"/>
      <c r="AH867" s="31"/>
      <c r="AI867" s="31"/>
      <c r="AJ867" s="31"/>
      <c r="AK867" s="31"/>
      <c r="AL867" s="28" t="str">
        <f>VLOOKUP($G867,'[42]Sheet1 (2)'!$A$1:$B$1048440,2,FALSE)</f>
        <v>Rmt.</v>
      </c>
      <c r="AM867" s="32"/>
      <c r="AN867" s="31"/>
      <c r="AO867" s="33"/>
    </row>
    <row r="868" spans="1:41" ht="56" x14ac:dyDescent="0.25">
      <c r="A868" s="26">
        <v>745</v>
      </c>
      <c r="B868" s="25" t="s">
        <v>1292</v>
      </c>
      <c r="C868" s="22">
        <v>21.3</v>
      </c>
      <c r="D868" s="25" t="s">
        <v>1325</v>
      </c>
      <c r="E868" s="23" t="s">
        <v>1334</v>
      </c>
      <c r="F868" s="24" t="s">
        <v>742</v>
      </c>
      <c r="G868" s="202" t="s">
        <v>621</v>
      </c>
      <c r="H868" s="26">
        <v>24</v>
      </c>
      <c r="I868" s="26">
        <v>10</v>
      </c>
      <c r="J868" s="184"/>
      <c r="K868" s="184"/>
      <c r="L868" s="184"/>
      <c r="M868" s="184"/>
      <c r="N868" s="184"/>
      <c r="O868" s="184"/>
      <c r="P868" s="184"/>
      <c r="Q868" s="31"/>
      <c r="R868" s="31"/>
      <c r="S868" s="31"/>
      <c r="T868" s="31"/>
      <c r="U868" s="31"/>
      <c r="V868" s="31"/>
      <c r="W868" s="31"/>
      <c r="X868" s="31"/>
      <c r="Y868" s="31"/>
      <c r="Z868" s="31"/>
      <c r="AA868" s="31"/>
      <c r="AB868" s="31"/>
      <c r="AC868" s="31"/>
      <c r="AD868" s="31"/>
      <c r="AE868" s="31"/>
      <c r="AF868" s="31"/>
      <c r="AG868" s="31"/>
      <c r="AH868" s="31"/>
      <c r="AI868" s="31"/>
      <c r="AJ868" s="31"/>
      <c r="AK868" s="31"/>
      <c r="AL868" s="28" t="str">
        <f>VLOOKUP($G868,'[42]Sheet1 (2)'!$A$1:$B$1048440,2,FALSE)</f>
        <v>Sqm</v>
      </c>
      <c r="AM868" s="32"/>
      <c r="AN868" s="31"/>
      <c r="AO868" s="33"/>
    </row>
    <row r="869" spans="1:41" ht="42" x14ac:dyDescent="0.25">
      <c r="A869" s="26">
        <v>746</v>
      </c>
      <c r="B869" s="25" t="s">
        <v>1292</v>
      </c>
      <c r="C869" s="22">
        <v>21.31</v>
      </c>
      <c r="D869" s="25" t="s">
        <v>1325</v>
      </c>
      <c r="E869" s="24" t="s">
        <v>1335</v>
      </c>
      <c r="F869" s="24" t="s">
        <v>742</v>
      </c>
      <c r="G869" s="25" t="s">
        <v>45</v>
      </c>
      <c r="H869" s="26">
        <v>184</v>
      </c>
      <c r="I869" s="26">
        <v>119</v>
      </c>
      <c r="J869" s="184"/>
      <c r="K869" s="184"/>
      <c r="L869" s="184"/>
      <c r="M869" s="184"/>
      <c r="N869" s="184"/>
      <c r="O869" s="184"/>
      <c r="P869" s="184"/>
      <c r="Q869" s="31"/>
      <c r="R869" s="31"/>
      <c r="S869" s="31"/>
      <c r="T869" s="31"/>
      <c r="U869" s="31"/>
      <c r="V869" s="31"/>
      <c r="W869" s="31"/>
      <c r="X869" s="31"/>
      <c r="Y869" s="31"/>
      <c r="Z869" s="31"/>
      <c r="AA869" s="31"/>
      <c r="AB869" s="31"/>
      <c r="AC869" s="31"/>
      <c r="AD869" s="31"/>
      <c r="AE869" s="31"/>
      <c r="AF869" s="31"/>
      <c r="AG869" s="31"/>
      <c r="AH869" s="31"/>
      <c r="AI869" s="31"/>
      <c r="AJ869" s="31"/>
      <c r="AK869" s="31"/>
      <c r="AL869" s="28" t="str">
        <f>VLOOKUP($G869,'[42]Sheet1 (2)'!$A$1:$B$1048440,2,FALSE)</f>
        <v>No.</v>
      </c>
      <c r="AM869" s="32"/>
      <c r="AN869" s="31"/>
      <c r="AO869" s="33"/>
    </row>
    <row r="870" spans="1:41" ht="56" x14ac:dyDescent="0.25">
      <c r="A870" s="40">
        <v>747</v>
      </c>
      <c r="B870" s="45" t="s">
        <v>1292</v>
      </c>
      <c r="C870" s="37">
        <v>21.32</v>
      </c>
      <c r="D870" s="45" t="s">
        <v>1325</v>
      </c>
      <c r="E870" s="43" t="s">
        <v>1336</v>
      </c>
      <c r="F870" s="47" t="s">
        <v>848</v>
      </c>
      <c r="G870" s="45" t="s">
        <v>45</v>
      </c>
      <c r="H870" s="40">
        <v>365</v>
      </c>
      <c r="I870" s="40">
        <v>156</v>
      </c>
      <c r="J870" s="184"/>
      <c r="K870" s="184"/>
      <c r="L870" s="184"/>
      <c r="M870" s="184"/>
      <c r="N870" s="184"/>
      <c r="O870" s="184"/>
      <c r="P870" s="184"/>
      <c r="Q870" s="31"/>
      <c r="R870" s="31"/>
      <c r="S870" s="31"/>
      <c r="T870" s="31"/>
      <c r="U870" s="31"/>
      <c r="V870" s="31"/>
      <c r="W870" s="31"/>
      <c r="X870" s="31"/>
      <c r="Y870" s="31"/>
      <c r="Z870" s="31"/>
      <c r="AA870" s="31"/>
      <c r="AB870" s="31"/>
      <c r="AC870" s="31"/>
      <c r="AD870" s="31"/>
      <c r="AE870" s="31"/>
      <c r="AF870" s="31"/>
      <c r="AG870" s="31"/>
      <c r="AH870" s="31"/>
      <c r="AI870" s="31"/>
      <c r="AJ870" s="31"/>
      <c r="AK870" s="31"/>
      <c r="AL870" s="28" t="str">
        <f>VLOOKUP($G870,'[42]Sheet1 (2)'!$A$1:$B$1048440,2,FALSE)</f>
        <v>No.</v>
      </c>
      <c r="AM870" s="32"/>
      <c r="AN870" s="31"/>
      <c r="AO870" s="33"/>
    </row>
    <row r="871" spans="1:41" ht="56" x14ac:dyDescent="0.25">
      <c r="A871" s="40">
        <v>748</v>
      </c>
      <c r="B871" s="45" t="s">
        <v>1292</v>
      </c>
      <c r="C871" s="37">
        <v>21.33</v>
      </c>
      <c r="D871" s="45" t="s">
        <v>1325</v>
      </c>
      <c r="E871" s="44" t="s">
        <v>1337</v>
      </c>
      <c r="F871" s="44" t="s">
        <v>742</v>
      </c>
      <c r="G871" s="202" t="s">
        <v>621</v>
      </c>
      <c r="H871" s="40">
        <v>7</v>
      </c>
      <c r="I871" s="40">
        <v>7</v>
      </c>
      <c r="J871" s="31"/>
      <c r="K871" s="31"/>
      <c r="L871" s="31"/>
      <c r="M871" s="31"/>
      <c r="N871" s="31"/>
      <c r="O871" s="31"/>
      <c r="P871" s="31"/>
      <c r="Q871" s="31"/>
      <c r="R871" s="31"/>
      <c r="S871" s="31"/>
      <c r="T871" s="31"/>
      <c r="U871" s="31"/>
      <c r="V871" s="31"/>
      <c r="W871" s="31"/>
      <c r="X871" s="31"/>
      <c r="Y871" s="31"/>
      <c r="Z871" s="31"/>
      <c r="AA871" s="31"/>
      <c r="AB871" s="31"/>
      <c r="AC871" s="31"/>
      <c r="AD871" s="31"/>
      <c r="AE871" s="31"/>
      <c r="AF871" s="31"/>
      <c r="AG871" s="31"/>
      <c r="AH871" s="31"/>
      <c r="AI871" s="31"/>
      <c r="AJ871" s="31"/>
      <c r="AK871" s="31"/>
      <c r="AL871" s="28" t="str">
        <f>VLOOKUP($G871,'[42]Sheet1 (2)'!$A$1:$B$1048440,2,FALSE)</f>
        <v>Sqm</v>
      </c>
      <c r="AM871" s="32"/>
      <c r="AN871" s="31"/>
      <c r="AO871" s="33"/>
    </row>
    <row r="872" spans="1:41" ht="56" x14ac:dyDescent="0.25">
      <c r="A872" s="40">
        <v>749</v>
      </c>
      <c r="B872" s="45" t="s">
        <v>1292</v>
      </c>
      <c r="C872" s="37">
        <v>21.34</v>
      </c>
      <c r="D872" s="45" t="s">
        <v>1325</v>
      </c>
      <c r="E872" s="44" t="s">
        <v>1338</v>
      </c>
      <c r="F872" s="47" t="s">
        <v>848</v>
      </c>
      <c r="G872" s="202" t="s">
        <v>621</v>
      </c>
      <c r="H872" s="40">
        <v>6</v>
      </c>
      <c r="I872" s="40">
        <v>6</v>
      </c>
      <c r="J872" s="31"/>
      <c r="K872" s="31"/>
      <c r="L872" s="31"/>
      <c r="M872" s="31"/>
      <c r="N872" s="31"/>
      <c r="O872" s="31"/>
      <c r="P872" s="31"/>
      <c r="Q872" s="31"/>
      <c r="R872" s="31"/>
      <c r="S872" s="31"/>
      <c r="T872" s="31"/>
      <c r="U872" s="31"/>
      <c r="V872" s="31"/>
      <c r="W872" s="31"/>
      <c r="X872" s="31"/>
      <c r="Y872" s="31"/>
      <c r="Z872" s="31"/>
      <c r="AA872" s="31"/>
      <c r="AB872" s="31"/>
      <c r="AC872" s="31"/>
      <c r="AD872" s="31"/>
      <c r="AE872" s="31"/>
      <c r="AF872" s="31"/>
      <c r="AG872" s="31"/>
      <c r="AH872" s="31"/>
      <c r="AI872" s="31"/>
      <c r="AJ872" s="31"/>
      <c r="AK872" s="31"/>
      <c r="AL872" s="28" t="str">
        <f>VLOOKUP($G872,'[42]Sheet1 (2)'!$A$1:$B$1048440,2,FALSE)</f>
        <v>Sqm</v>
      </c>
      <c r="AM872" s="32"/>
      <c r="AN872" s="31"/>
      <c r="AO872" s="33"/>
    </row>
    <row r="873" spans="1:41" ht="56" x14ac:dyDescent="0.25">
      <c r="A873" s="40">
        <v>750</v>
      </c>
      <c r="B873" s="45" t="s">
        <v>1292</v>
      </c>
      <c r="C873" s="37">
        <v>21.36</v>
      </c>
      <c r="D873" s="45" t="s">
        <v>1339</v>
      </c>
      <c r="E873" s="207" t="s">
        <v>1340</v>
      </c>
      <c r="F873" s="208" t="s">
        <v>1341</v>
      </c>
      <c r="G873" s="209" t="s">
        <v>47</v>
      </c>
      <c r="H873" s="210">
        <v>120</v>
      </c>
      <c r="I873" s="210">
        <v>120</v>
      </c>
      <c r="J873" s="31"/>
      <c r="K873" s="31"/>
      <c r="L873" s="31"/>
      <c r="M873" s="31"/>
      <c r="N873" s="31"/>
      <c r="O873" s="31"/>
      <c r="P873" s="31"/>
      <c r="Q873" s="31"/>
      <c r="R873" s="31"/>
      <c r="S873" s="31"/>
      <c r="T873" s="31"/>
      <c r="U873" s="31"/>
      <c r="V873" s="31"/>
      <c r="W873" s="31"/>
      <c r="X873" s="31"/>
      <c r="Y873" s="31"/>
      <c r="Z873" s="31"/>
      <c r="AA873" s="31"/>
      <c r="AB873" s="31"/>
      <c r="AC873" s="31"/>
      <c r="AD873" s="31"/>
      <c r="AE873" s="31"/>
      <c r="AF873" s="31"/>
      <c r="AG873" s="31"/>
      <c r="AH873" s="31"/>
      <c r="AI873" s="31"/>
      <c r="AJ873" s="31"/>
      <c r="AK873" s="31"/>
      <c r="AL873" s="28" t="str">
        <f>VLOOKUP($G873,'[42]Sheet1 (2)'!$A$1:$B$1048440,2,FALSE)</f>
        <v>Cum</v>
      </c>
      <c r="AM873" s="32"/>
      <c r="AN873" s="31"/>
      <c r="AO873" s="33"/>
    </row>
    <row r="874" spans="1:41" ht="56" x14ac:dyDescent="0.25">
      <c r="A874" s="40">
        <v>751</v>
      </c>
      <c r="B874" s="45" t="s">
        <v>1292</v>
      </c>
      <c r="C874" s="37">
        <v>21.37</v>
      </c>
      <c r="D874" s="45" t="s">
        <v>1342</v>
      </c>
      <c r="E874" s="207" t="s">
        <v>1343</v>
      </c>
      <c r="F874" s="211" t="s">
        <v>1344</v>
      </c>
      <c r="G874" s="212" t="s">
        <v>47</v>
      </c>
      <c r="H874" s="210">
        <v>599</v>
      </c>
      <c r="I874" s="210">
        <v>135</v>
      </c>
      <c r="J874" s="31"/>
      <c r="K874" s="31"/>
      <c r="L874" s="31"/>
      <c r="M874" s="31"/>
      <c r="N874" s="31"/>
      <c r="O874" s="31"/>
      <c r="P874" s="31"/>
      <c r="Q874" s="31"/>
      <c r="R874" s="31">
        <v>1</v>
      </c>
      <c r="S874" s="31"/>
      <c r="T874" s="31"/>
      <c r="U874" s="31"/>
      <c r="V874" s="31"/>
      <c r="W874" s="31"/>
      <c r="X874" s="31"/>
      <c r="Y874" s="31"/>
      <c r="Z874" s="31"/>
      <c r="AA874" s="31"/>
      <c r="AB874" s="31"/>
      <c r="AC874" s="31"/>
      <c r="AD874" s="31"/>
      <c r="AE874" s="31"/>
      <c r="AF874" s="31"/>
      <c r="AG874" s="31"/>
      <c r="AH874" s="31"/>
      <c r="AI874" s="31"/>
      <c r="AJ874" s="31"/>
      <c r="AK874" s="31"/>
      <c r="AL874" s="28" t="str">
        <f>VLOOKUP($G874,'[42]Sheet1 (2)'!$A$1:$B$1048440,2,FALSE)</f>
        <v>Cum</v>
      </c>
      <c r="AM874" s="32" t="s">
        <v>1345</v>
      </c>
      <c r="AN874" s="31"/>
      <c r="AO874" s="33"/>
    </row>
    <row r="875" spans="1:41" ht="42.75" customHeight="1" x14ac:dyDescent="0.25">
      <c r="A875" s="40">
        <v>752</v>
      </c>
      <c r="B875" s="45" t="s">
        <v>1292</v>
      </c>
      <c r="C875" s="37">
        <v>21.38</v>
      </c>
      <c r="D875" s="45" t="s">
        <v>1346</v>
      </c>
      <c r="E875" s="207" t="s">
        <v>1347</v>
      </c>
      <c r="F875" s="213" t="s">
        <v>1348</v>
      </c>
      <c r="G875" s="208" t="s">
        <v>1349</v>
      </c>
      <c r="H875" s="210">
        <v>1382</v>
      </c>
      <c r="I875" s="210">
        <v>432</v>
      </c>
      <c r="J875" s="31"/>
      <c r="K875" s="31"/>
      <c r="L875" s="31"/>
      <c r="M875" s="31"/>
      <c r="N875" s="31">
        <v>1</v>
      </c>
      <c r="O875" s="31"/>
      <c r="P875" s="31"/>
      <c r="Q875" s="31"/>
      <c r="R875" s="31"/>
      <c r="S875" s="31"/>
      <c r="T875" s="31"/>
      <c r="U875" s="31"/>
      <c r="V875" s="31"/>
      <c r="W875" s="31"/>
      <c r="X875" s="31"/>
      <c r="Y875" s="31"/>
      <c r="Z875" s="31"/>
      <c r="AA875" s="31"/>
      <c r="AB875" s="31"/>
      <c r="AC875" s="31"/>
      <c r="AD875" s="31"/>
      <c r="AE875" s="31"/>
      <c r="AF875" s="31"/>
      <c r="AG875" s="31"/>
      <c r="AH875" s="31"/>
      <c r="AI875" s="31"/>
      <c r="AJ875" s="31"/>
      <c r="AK875" s="31"/>
      <c r="AL875" s="28" t="e">
        <f>VLOOKUP($G875,'[42]Sheet1 (2)'!$A$1:$B$1048440,2,FALSE)</f>
        <v>#N/A</v>
      </c>
      <c r="AM875" s="32" t="s">
        <v>1350</v>
      </c>
      <c r="AN875" s="31"/>
      <c r="AO875" s="33"/>
    </row>
    <row r="876" spans="1:41" ht="56" x14ac:dyDescent="0.25">
      <c r="A876" s="40">
        <v>753</v>
      </c>
      <c r="B876" s="45" t="s">
        <v>1292</v>
      </c>
      <c r="C876" s="37">
        <v>21.39</v>
      </c>
      <c r="D876" s="45" t="s">
        <v>1351</v>
      </c>
      <c r="E876" s="207" t="s">
        <v>1352</v>
      </c>
      <c r="F876" s="211" t="s">
        <v>1353</v>
      </c>
      <c r="G876" s="212" t="s">
        <v>47</v>
      </c>
      <c r="H876" s="210">
        <v>2160</v>
      </c>
      <c r="I876" s="210">
        <v>120</v>
      </c>
      <c r="J876" s="31"/>
      <c r="K876" s="31"/>
      <c r="L876" s="31"/>
      <c r="M876" s="31"/>
      <c r="N876" s="31"/>
      <c r="O876" s="31"/>
      <c r="P876" s="31"/>
      <c r="Q876" s="31">
        <v>1</v>
      </c>
      <c r="R876" s="31"/>
      <c r="S876" s="31"/>
      <c r="T876" s="31"/>
      <c r="U876" s="31"/>
      <c r="V876" s="31"/>
      <c r="W876" s="31"/>
      <c r="X876" s="31"/>
      <c r="Y876" s="31"/>
      <c r="Z876" s="31"/>
      <c r="AA876" s="31"/>
      <c r="AB876" s="31"/>
      <c r="AC876" s="31"/>
      <c r="AD876" s="31"/>
      <c r="AE876" s="31"/>
      <c r="AF876" s="31"/>
      <c r="AG876" s="31"/>
      <c r="AH876" s="31"/>
      <c r="AI876" s="31"/>
      <c r="AJ876" s="31"/>
      <c r="AK876" s="31"/>
      <c r="AL876" s="28" t="str">
        <f>VLOOKUP($G876,'[42]Sheet1 (2)'!$A$1:$B$1048440,2,FALSE)</f>
        <v>Cum</v>
      </c>
      <c r="AM876" s="32" t="s">
        <v>1354</v>
      </c>
      <c r="AN876" s="31"/>
      <c r="AO876" s="33"/>
    </row>
    <row r="877" spans="1:41" ht="56" x14ac:dyDescent="0.25">
      <c r="A877" s="40">
        <v>754</v>
      </c>
      <c r="B877" s="45" t="s">
        <v>1292</v>
      </c>
      <c r="C877" s="37">
        <v>21.4</v>
      </c>
      <c r="D877" s="45" t="s">
        <v>1355</v>
      </c>
      <c r="E877" s="211" t="s">
        <v>1356</v>
      </c>
      <c r="F877" s="208" t="s">
        <v>1357</v>
      </c>
      <c r="G877" s="212" t="s">
        <v>47</v>
      </c>
      <c r="H877" s="210">
        <v>1454</v>
      </c>
      <c r="I877" s="210">
        <v>436</v>
      </c>
      <c r="J877" s="31"/>
      <c r="K877" s="31"/>
      <c r="L877" s="31"/>
      <c r="M877" s="31">
        <v>1</v>
      </c>
      <c r="N877" s="31"/>
      <c r="O877" s="31"/>
      <c r="P877" s="31"/>
      <c r="Q877" s="31"/>
      <c r="R877" s="31"/>
      <c r="S877" s="214">
        <v>0.15</v>
      </c>
      <c r="T877" s="31"/>
      <c r="U877" s="31"/>
      <c r="V877" s="31"/>
      <c r="W877" s="31"/>
      <c r="X877" s="31"/>
      <c r="Y877" s="31"/>
      <c r="Z877" s="31"/>
      <c r="AA877" s="31"/>
      <c r="AB877" s="31"/>
      <c r="AC877" s="31"/>
      <c r="AD877" s="31"/>
      <c r="AE877" s="31"/>
      <c r="AF877" s="31"/>
      <c r="AG877" s="31"/>
      <c r="AH877" s="31"/>
      <c r="AI877" s="31"/>
      <c r="AJ877" s="31"/>
      <c r="AK877" s="31"/>
      <c r="AL877" s="28" t="str">
        <f>VLOOKUP($G877,'[42]Sheet1 (2)'!$A$1:$B$1048440,2,FALSE)</f>
        <v>Cum</v>
      </c>
      <c r="AM877" s="32" t="s">
        <v>1358</v>
      </c>
      <c r="AN877" s="31"/>
      <c r="AO877" s="33"/>
    </row>
    <row r="878" spans="1:41" ht="16" x14ac:dyDescent="0.25">
      <c r="A878" s="189"/>
      <c r="B878" s="45"/>
      <c r="C878" s="37"/>
      <c r="D878" s="190"/>
      <c r="E878" s="215" t="s">
        <v>1359</v>
      </c>
      <c r="F878" s="216"/>
      <c r="G878" s="217"/>
      <c r="H878" s="218"/>
      <c r="I878" s="218"/>
      <c r="J878" s="31"/>
      <c r="K878" s="31"/>
      <c r="L878" s="31"/>
      <c r="M878" s="31"/>
      <c r="N878" s="31"/>
      <c r="O878" s="31"/>
      <c r="P878" s="31"/>
      <c r="Q878" s="31"/>
      <c r="R878" s="31"/>
      <c r="S878" s="214"/>
      <c r="T878" s="31"/>
      <c r="U878" s="31"/>
      <c r="V878" s="31"/>
      <c r="W878" s="31"/>
      <c r="X878" s="31"/>
      <c r="Y878" s="31"/>
      <c r="Z878" s="31"/>
      <c r="AA878" s="31"/>
      <c r="AB878" s="31"/>
      <c r="AC878" s="31"/>
      <c r="AD878" s="31"/>
      <c r="AE878" s="31"/>
      <c r="AF878" s="31"/>
      <c r="AG878" s="31"/>
      <c r="AH878" s="31"/>
      <c r="AI878" s="31"/>
      <c r="AJ878" s="31"/>
      <c r="AK878" s="31"/>
      <c r="AL878" s="28" t="e">
        <f>VLOOKUP($G878,'[42]Sheet1 (2)'!$A$1:$B$1048440,2,FALSE)</f>
        <v>#N/A</v>
      </c>
      <c r="AM878" s="32"/>
      <c r="AN878" s="31"/>
      <c r="AO878" s="33"/>
    </row>
    <row r="879" spans="1:41" ht="168" x14ac:dyDescent="0.25">
      <c r="A879" s="26">
        <v>755</v>
      </c>
      <c r="B879" s="24" t="s">
        <v>1359</v>
      </c>
      <c r="C879" s="22">
        <v>22.01</v>
      </c>
      <c r="D879" s="25" t="s">
        <v>1360</v>
      </c>
      <c r="E879" s="24" t="s">
        <v>1361</v>
      </c>
      <c r="F879" s="24" t="s">
        <v>44</v>
      </c>
      <c r="G879" s="21" t="s">
        <v>80</v>
      </c>
      <c r="H879" s="26">
        <v>810</v>
      </c>
      <c r="I879" s="26">
        <v>180</v>
      </c>
      <c r="J879" s="31"/>
      <c r="K879" s="31"/>
      <c r="L879" s="31"/>
      <c r="M879" s="31"/>
      <c r="N879" s="31"/>
      <c r="O879" s="31"/>
      <c r="P879" s="31"/>
      <c r="Q879" s="31"/>
      <c r="R879" s="31"/>
      <c r="S879" s="31"/>
      <c r="T879" s="31"/>
      <c r="U879" s="31"/>
      <c r="V879" s="31"/>
      <c r="W879" s="31"/>
      <c r="X879" s="31"/>
      <c r="Y879" s="31"/>
      <c r="Z879" s="31"/>
      <c r="AA879" s="31"/>
      <c r="AB879" s="31"/>
      <c r="AC879" s="31"/>
      <c r="AD879" s="31"/>
      <c r="AE879" s="31"/>
      <c r="AF879" s="31"/>
      <c r="AG879" s="31"/>
      <c r="AH879" s="31"/>
      <c r="AI879" s="31"/>
      <c r="AJ879" s="31"/>
      <c r="AK879" s="31"/>
      <c r="AL879" s="28" t="str">
        <f>VLOOKUP($G879,'[42]Sheet1 (2)'!$A$1:$B$1048440,2,FALSE)</f>
        <v>Rmt.</v>
      </c>
      <c r="AM879" s="32"/>
      <c r="AN879" s="31"/>
      <c r="AO879" s="33"/>
    </row>
    <row r="880" spans="1:41" ht="154" x14ac:dyDescent="0.25">
      <c r="A880" s="26">
        <v>756</v>
      </c>
      <c r="B880" s="24" t="s">
        <v>1359</v>
      </c>
      <c r="C880" s="22">
        <v>22.02</v>
      </c>
      <c r="D880" s="25" t="s">
        <v>1360</v>
      </c>
      <c r="E880" s="24" t="s">
        <v>1362</v>
      </c>
      <c r="F880" s="24" t="s">
        <v>44</v>
      </c>
      <c r="G880" s="21" t="s">
        <v>80</v>
      </c>
      <c r="H880" s="26">
        <v>1041</v>
      </c>
      <c r="I880" s="26">
        <v>273</v>
      </c>
      <c r="J880" s="31"/>
      <c r="K880" s="31"/>
      <c r="L880" s="31"/>
      <c r="M880" s="31"/>
      <c r="N880" s="31"/>
      <c r="O880" s="31"/>
      <c r="P880" s="31"/>
      <c r="Q880" s="31"/>
      <c r="R880" s="31"/>
      <c r="S880" s="31"/>
      <c r="T880" s="31"/>
      <c r="U880" s="31"/>
      <c r="V880" s="31"/>
      <c r="W880" s="31"/>
      <c r="X880" s="31"/>
      <c r="Y880" s="31"/>
      <c r="Z880" s="31"/>
      <c r="AA880" s="31"/>
      <c r="AB880" s="31"/>
      <c r="AC880" s="31"/>
      <c r="AD880" s="31"/>
      <c r="AE880" s="31"/>
      <c r="AF880" s="31"/>
      <c r="AG880" s="31"/>
      <c r="AH880" s="31"/>
      <c r="AI880" s="31"/>
      <c r="AJ880" s="31"/>
      <c r="AK880" s="31"/>
      <c r="AL880" s="28" t="str">
        <f>VLOOKUP($G880,'[42]Sheet1 (2)'!$A$1:$B$1048440,2,FALSE)</f>
        <v>Rmt.</v>
      </c>
      <c r="AM880" s="32"/>
      <c r="AN880" s="31"/>
      <c r="AO880" s="33"/>
    </row>
    <row r="881" spans="1:41" ht="154" x14ac:dyDescent="0.25">
      <c r="A881" s="26">
        <v>757</v>
      </c>
      <c r="B881" s="24" t="s">
        <v>1359</v>
      </c>
      <c r="C881" s="22">
        <v>22.03</v>
      </c>
      <c r="D881" s="25" t="s">
        <v>1360</v>
      </c>
      <c r="E881" s="24" t="s">
        <v>1363</v>
      </c>
      <c r="F881" s="24" t="s">
        <v>44</v>
      </c>
      <c r="G881" s="21" t="s">
        <v>80</v>
      </c>
      <c r="H881" s="26">
        <v>1355</v>
      </c>
      <c r="I881" s="26">
        <v>394</v>
      </c>
      <c r="J881" s="31"/>
      <c r="K881" s="31"/>
      <c r="L881" s="31"/>
      <c r="M881" s="31"/>
      <c r="N881" s="31"/>
      <c r="O881" s="31"/>
      <c r="P881" s="31"/>
      <c r="Q881" s="31"/>
      <c r="R881" s="31"/>
      <c r="S881" s="31"/>
      <c r="T881" s="31"/>
      <c r="U881" s="31"/>
      <c r="V881" s="31"/>
      <c r="W881" s="31"/>
      <c r="X881" s="31"/>
      <c r="Y881" s="31"/>
      <c r="Z881" s="31"/>
      <c r="AA881" s="31"/>
      <c r="AB881" s="31"/>
      <c r="AC881" s="31"/>
      <c r="AD881" s="31"/>
      <c r="AE881" s="31"/>
      <c r="AF881" s="31"/>
      <c r="AG881" s="31"/>
      <c r="AH881" s="31"/>
      <c r="AI881" s="31"/>
      <c r="AJ881" s="31"/>
      <c r="AK881" s="31"/>
      <c r="AL881" s="28" t="str">
        <f>VLOOKUP($G881,'[42]Sheet1 (2)'!$A$1:$B$1048440,2,FALSE)</f>
        <v>Rmt.</v>
      </c>
      <c r="AM881" s="32"/>
      <c r="AN881" s="31"/>
      <c r="AO881" s="33"/>
    </row>
    <row r="882" spans="1:41" ht="154" x14ac:dyDescent="0.25">
      <c r="A882" s="26">
        <v>758</v>
      </c>
      <c r="B882" s="24" t="s">
        <v>1359</v>
      </c>
      <c r="C882" s="22">
        <v>22.04</v>
      </c>
      <c r="D882" s="25" t="s">
        <v>1360</v>
      </c>
      <c r="E882" s="24" t="s">
        <v>1364</v>
      </c>
      <c r="F882" s="24" t="s">
        <v>44</v>
      </c>
      <c r="G882" s="21" t="s">
        <v>80</v>
      </c>
      <c r="H882" s="26">
        <v>1713</v>
      </c>
      <c r="I882" s="26">
        <v>549</v>
      </c>
      <c r="J882" s="31"/>
      <c r="K882" s="31"/>
      <c r="L882" s="31"/>
      <c r="M882" s="31"/>
      <c r="N882" s="31"/>
      <c r="O882" s="31"/>
      <c r="P882" s="31"/>
      <c r="Q882" s="31"/>
      <c r="R882" s="31"/>
      <c r="S882" s="31"/>
      <c r="T882" s="31"/>
      <c r="U882" s="31"/>
      <c r="V882" s="31"/>
      <c r="W882" s="31"/>
      <c r="X882" s="31"/>
      <c r="Y882" s="31"/>
      <c r="Z882" s="31"/>
      <c r="AA882" s="31"/>
      <c r="AB882" s="31"/>
      <c r="AC882" s="31"/>
      <c r="AD882" s="31"/>
      <c r="AE882" s="31"/>
      <c r="AF882" s="31"/>
      <c r="AG882" s="31"/>
      <c r="AH882" s="31"/>
      <c r="AI882" s="31"/>
      <c r="AJ882" s="31"/>
      <c r="AK882" s="31"/>
      <c r="AL882" s="28" t="str">
        <f>VLOOKUP($G882,'[42]Sheet1 (2)'!$A$1:$B$1048440,2,FALSE)</f>
        <v>Rmt.</v>
      </c>
      <c r="AM882" s="32"/>
      <c r="AN882" s="31"/>
      <c r="AO882" s="33"/>
    </row>
    <row r="883" spans="1:41" ht="154" x14ac:dyDescent="0.25">
      <c r="A883" s="26">
        <v>759</v>
      </c>
      <c r="B883" s="24" t="s">
        <v>1359</v>
      </c>
      <c r="C883" s="22">
        <v>22.05</v>
      </c>
      <c r="D883" s="25" t="s">
        <v>1360</v>
      </c>
      <c r="E883" s="24" t="s">
        <v>1365</v>
      </c>
      <c r="F883" s="24" t="s">
        <v>44</v>
      </c>
      <c r="G883" s="21" t="s">
        <v>80</v>
      </c>
      <c r="H883" s="26">
        <v>2175</v>
      </c>
      <c r="I883" s="26">
        <v>711</v>
      </c>
      <c r="J883" s="31"/>
      <c r="K883" s="31"/>
      <c r="L883" s="31"/>
      <c r="M883" s="31"/>
      <c r="N883" s="31"/>
      <c r="O883" s="31"/>
      <c r="P883" s="31"/>
      <c r="Q883" s="31"/>
      <c r="R883" s="31"/>
      <c r="S883" s="31"/>
      <c r="T883" s="31"/>
      <c r="U883" s="31"/>
      <c r="V883" s="31"/>
      <c r="W883" s="31"/>
      <c r="X883" s="31"/>
      <c r="Y883" s="31"/>
      <c r="Z883" s="31"/>
      <c r="AA883" s="31"/>
      <c r="AB883" s="31"/>
      <c r="AC883" s="31"/>
      <c r="AD883" s="31"/>
      <c r="AE883" s="31"/>
      <c r="AF883" s="31"/>
      <c r="AG883" s="31"/>
      <c r="AH883" s="31"/>
      <c r="AI883" s="31"/>
      <c r="AJ883" s="31"/>
      <c r="AK883" s="31"/>
      <c r="AL883" s="28" t="str">
        <f>VLOOKUP($G883,'[42]Sheet1 (2)'!$A$1:$B$1048440,2,FALSE)</f>
        <v>Rmt.</v>
      </c>
      <c r="AM883" s="32"/>
      <c r="AN883" s="31"/>
      <c r="AO883" s="33"/>
    </row>
    <row r="884" spans="1:41" ht="154" x14ac:dyDescent="0.25">
      <c r="A884" s="26">
        <v>760</v>
      </c>
      <c r="B884" s="24" t="s">
        <v>1359</v>
      </c>
      <c r="C884" s="22">
        <v>22.06</v>
      </c>
      <c r="D884" s="25" t="s">
        <v>1360</v>
      </c>
      <c r="E884" s="24" t="s">
        <v>1366</v>
      </c>
      <c r="F884" s="24" t="s">
        <v>44</v>
      </c>
      <c r="G884" s="21" t="s">
        <v>80</v>
      </c>
      <c r="H884" s="26">
        <v>2598</v>
      </c>
      <c r="I884" s="26">
        <v>873</v>
      </c>
      <c r="J884" s="31"/>
      <c r="K884" s="31"/>
      <c r="L884" s="31"/>
      <c r="M884" s="31"/>
      <c r="N884" s="31"/>
      <c r="O884" s="31"/>
      <c r="P884" s="31"/>
      <c r="Q884" s="31"/>
      <c r="R884" s="31"/>
      <c r="S884" s="31"/>
      <c r="T884" s="31"/>
      <c r="U884" s="31"/>
      <c r="V884" s="31"/>
      <c r="W884" s="31"/>
      <c r="X884" s="31"/>
      <c r="Y884" s="31"/>
      <c r="Z884" s="31"/>
      <c r="AA884" s="31"/>
      <c r="AB884" s="31"/>
      <c r="AC884" s="31"/>
      <c r="AD884" s="31"/>
      <c r="AE884" s="31"/>
      <c r="AF884" s="31"/>
      <c r="AG884" s="31"/>
      <c r="AH884" s="31"/>
      <c r="AI884" s="31"/>
      <c r="AJ884" s="31"/>
      <c r="AK884" s="31"/>
      <c r="AL884" s="28" t="str">
        <f>VLOOKUP($G884,'[42]Sheet1 (2)'!$A$1:$B$1048440,2,FALSE)</f>
        <v>Rmt.</v>
      </c>
      <c r="AM884" s="32"/>
      <c r="AN884" s="31"/>
      <c r="AO884" s="33"/>
    </row>
    <row r="885" spans="1:41" ht="154" x14ac:dyDescent="0.25">
      <c r="A885" s="26">
        <v>761</v>
      </c>
      <c r="B885" s="24" t="s">
        <v>1359</v>
      </c>
      <c r="C885" s="22">
        <v>22.07</v>
      </c>
      <c r="D885" s="25" t="s">
        <v>1360</v>
      </c>
      <c r="E885" s="24" t="s">
        <v>1367</v>
      </c>
      <c r="F885" s="24" t="s">
        <v>44</v>
      </c>
      <c r="G885" s="21" t="s">
        <v>80</v>
      </c>
      <c r="H885" s="26">
        <v>817</v>
      </c>
      <c r="I885" s="26">
        <v>180</v>
      </c>
      <c r="J885" s="31"/>
      <c r="K885" s="31"/>
      <c r="L885" s="31"/>
      <c r="M885" s="31"/>
      <c r="N885" s="31"/>
      <c r="O885" s="31"/>
      <c r="P885" s="31"/>
      <c r="Q885" s="31"/>
      <c r="R885" s="31"/>
      <c r="S885" s="31"/>
      <c r="T885" s="31"/>
      <c r="U885" s="31"/>
      <c r="V885" s="31"/>
      <c r="W885" s="31"/>
      <c r="X885" s="31"/>
      <c r="Y885" s="31"/>
      <c r="Z885" s="31"/>
      <c r="AA885" s="31"/>
      <c r="AB885" s="31"/>
      <c r="AC885" s="31"/>
      <c r="AD885" s="31"/>
      <c r="AE885" s="31"/>
      <c r="AF885" s="31"/>
      <c r="AG885" s="31"/>
      <c r="AH885" s="31"/>
      <c r="AI885" s="31"/>
      <c r="AJ885" s="31"/>
      <c r="AK885" s="31"/>
      <c r="AL885" s="28" t="str">
        <f>VLOOKUP($G885,'[42]Sheet1 (2)'!$A$1:$B$1048440,2,FALSE)</f>
        <v>Rmt.</v>
      </c>
      <c r="AM885" s="32"/>
      <c r="AN885" s="31"/>
      <c r="AO885" s="33"/>
    </row>
    <row r="886" spans="1:41" ht="168" x14ac:dyDescent="0.25">
      <c r="A886" s="26">
        <v>762</v>
      </c>
      <c r="B886" s="24" t="s">
        <v>1359</v>
      </c>
      <c r="C886" s="22">
        <v>22.08</v>
      </c>
      <c r="D886" s="25" t="s">
        <v>1360</v>
      </c>
      <c r="E886" s="24" t="s">
        <v>1368</v>
      </c>
      <c r="F886" s="24" t="s">
        <v>44</v>
      </c>
      <c r="G886" s="21" t="s">
        <v>80</v>
      </c>
      <c r="H886" s="26">
        <v>1069</v>
      </c>
      <c r="I886" s="26">
        <v>273</v>
      </c>
      <c r="J886" s="31"/>
      <c r="K886" s="31"/>
      <c r="L886" s="31"/>
      <c r="M886" s="31"/>
      <c r="N886" s="31"/>
      <c r="O886" s="31"/>
      <c r="P886" s="31"/>
      <c r="Q886" s="31"/>
      <c r="R886" s="31"/>
      <c r="S886" s="31"/>
      <c r="T886" s="31"/>
      <c r="U886" s="31"/>
      <c r="V886" s="31"/>
      <c r="W886" s="31"/>
      <c r="X886" s="31"/>
      <c r="Y886" s="31"/>
      <c r="Z886" s="31"/>
      <c r="AA886" s="31"/>
      <c r="AB886" s="31"/>
      <c r="AC886" s="31"/>
      <c r="AD886" s="31"/>
      <c r="AE886" s="31"/>
      <c r="AF886" s="31"/>
      <c r="AG886" s="31"/>
      <c r="AH886" s="31"/>
      <c r="AI886" s="31"/>
      <c r="AJ886" s="31"/>
      <c r="AK886" s="31"/>
      <c r="AL886" s="28" t="str">
        <f>VLOOKUP($G886,'[42]Sheet1 (2)'!$A$1:$B$1048440,2,FALSE)</f>
        <v>Rmt.</v>
      </c>
      <c r="AM886" s="32"/>
      <c r="AN886" s="31"/>
      <c r="AO886" s="33"/>
    </row>
    <row r="887" spans="1:41" ht="168" x14ac:dyDescent="0.25">
      <c r="A887" s="26">
        <v>763</v>
      </c>
      <c r="B887" s="24" t="s">
        <v>1359</v>
      </c>
      <c r="C887" s="22">
        <v>22.09</v>
      </c>
      <c r="D887" s="25" t="s">
        <v>1360</v>
      </c>
      <c r="E887" s="24" t="s">
        <v>1369</v>
      </c>
      <c r="F887" s="24" t="s">
        <v>44</v>
      </c>
      <c r="G887" s="21" t="s">
        <v>80</v>
      </c>
      <c r="H887" s="26">
        <v>1376</v>
      </c>
      <c r="I887" s="26">
        <v>394</v>
      </c>
      <c r="J887" s="31"/>
      <c r="K887" s="31"/>
      <c r="L887" s="31"/>
      <c r="M887" s="31"/>
      <c r="N887" s="31"/>
      <c r="O887" s="31"/>
      <c r="P887" s="31"/>
      <c r="Q887" s="31"/>
      <c r="R887" s="31"/>
      <c r="S887" s="31"/>
      <c r="T887" s="31"/>
      <c r="U887" s="31"/>
      <c r="V887" s="31"/>
      <c r="W887" s="31"/>
      <c r="X887" s="31"/>
      <c r="Y887" s="31"/>
      <c r="Z887" s="31"/>
      <c r="AA887" s="31"/>
      <c r="AB887" s="31"/>
      <c r="AC887" s="31"/>
      <c r="AD887" s="31"/>
      <c r="AE887" s="31"/>
      <c r="AF887" s="31"/>
      <c r="AG887" s="31"/>
      <c r="AH887" s="31"/>
      <c r="AI887" s="31"/>
      <c r="AJ887" s="31"/>
      <c r="AK887" s="31"/>
      <c r="AL887" s="28" t="str">
        <f>VLOOKUP($G887,'[42]Sheet1 (2)'!$A$1:$B$1048440,2,FALSE)</f>
        <v>Rmt.</v>
      </c>
      <c r="AM887" s="32"/>
      <c r="AN887" s="31"/>
      <c r="AO887" s="33"/>
    </row>
    <row r="888" spans="1:41" ht="168" x14ac:dyDescent="0.25">
      <c r="A888" s="26">
        <v>764</v>
      </c>
      <c r="B888" s="24" t="s">
        <v>1359</v>
      </c>
      <c r="C888" s="22">
        <v>22.1</v>
      </c>
      <c r="D888" s="25" t="s">
        <v>1360</v>
      </c>
      <c r="E888" s="24" t="s">
        <v>1370</v>
      </c>
      <c r="F888" s="24" t="s">
        <v>44</v>
      </c>
      <c r="G888" s="21" t="s">
        <v>80</v>
      </c>
      <c r="H888" s="26">
        <v>1841</v>
      </c>
      <c r="I888" s="26">
        <v>549</v>
      </c>
      <c r="J888" s="31"/>
      <c r="K888" s="31"/>
      <c r="L888" s="31"/>
      <c r="M888" s="31"/>
      <c r="N888" s="31"/>
      <c r="O888" s="31"/>
      <c r="P888" s="31"/>
      <c r="Q888" s="31"/>
      <c r="R888" s="31"/>
      <c r="S888" s="31"/>
      <c r="T888" s="31"/>
      <c r="U888" s="31"/>
      <c r="V888" s="31"/>
      <c r="W888" s="31"/>
      <c r="X888" s="31"/>
      <c r="Y888" s="31"/>
      <c r="Z888" s="31"/>
      <c r="AA888" s="31"/>
      <c r="AB888" s="31"/>
      <c r="AC888" s="31"/>
      <c r="AD888" s="31"/>
      <c r="AE888" s="31"/>
      <c r="AF888" s="31"/>
      <c r="AG888" s="31"/>
      <c r="AH888" s="31"/>
      <c r="AI888" s="31"/>
      <c r="AJ888" s="31"/>
      <c r="AK888" s="31"/>
      <c r="AL888" s="28" t="str">
        <f>VLOOKUP($G888,'[42]Sheet1 (2)'!$A$1:$B$1048440,2,FALSE)</f>
        <v>Rmt.</v>
      </c>
      <c r="AM888" s="32"/>
      <c r="AN888" s="31"/>
      <c r="AO888" s="33"/>
    </row>
    <row r="889" spans="1:41" ht="168" x14ac:dyDescent="0.25">
      <c r="A889" s="26">
        <v>765</v>
      </c>
      <c r="B889" s="24" t="s">
        <v>1359</v>
      </c>
      <c r="C889" s="22">
        <v>22.11</v>
      </c>
      <c r="D889" s="25" t="s">
        <v>1360</v>
      </c>
      <c r="E889" s="24" t="s">
        <v>1371</v>
      </c>
      <c r="F889" s="24" t="s">
        <v>44</v>
      </c>
      <c r="G889" s="21" t="s">
        <v>80</v>
      </c>
      <c r="H889" s="26">
        <v>923</v>
      </c>
      <c r="I889" s="26">
        <v>180</v>
      </c>
      <c r="J889" s="31"/>
      <c r="K889" s="31"/>
      <c r="L889" s="31"/>
      <c r="M889" s="31"/>
      <c r="N889" s="31"/>
      <c r="O889" s="31"/>
      <c r="P889" s="31"/>
      <c r="Q889" s="31"/>
      <c r="R889" s="31"/>
      <c r="S889" s="31"/>
      <c r="T889" s="31"/>
      <c r="U889" s="31"/>
      <c r="V889" s="31"/>
      <c r="W889" s="31"/>
      <c r="X889" s="31"/>
      <c r="Y889" s="31"/>
      <c r="Z889" s="31"/>
      <c r="AA889" s="31"/>
      <c r="AB889" s="31"/>
      <c r="AC889" s="31"/>
      <c r="AD889" s="31"/>
      <c r="AE889" s="31"/>
      <c r="AF889" s="31"/>
      <c r="AG889" s="31"/>
      <c r="AH889" s="31"/>
      <c r="AI889" s="31"/>
      <c r="AJ889" s="31"/>
      <c r="AK889" s="31"/>
      <c r="AL889" s="28" t="str">
        <f>VLOOKUP($G889,'[42]Sheet1 (2)'!$A$1:$B$1048440,2,FALSE)</f>
        <v>Rmt.</v>
      </c>
      <c r="AM889" s="32"/>
      <c r="AN889" s="31"/>
      <c r="AO889" s="33"/>
    </row>
    <row r="890" spans="1:41" ht="168" x14ac:dyDescent="0.25">
      <c r="A890" s="26">
        <v>766</v>
      </c>
      <c r="B890" s="24" t="s">
        <v>1359</v>
      </c>
      <c r="C890" s="22">
        <v>22.12</v>
      </c>
      <c r="D890" s="25" t="s">
        <v>1360</v>
      </c>
      <c r="E890" s="24" t="s">
        <v>1372</v>
      </c>
      <c r="F890" s="24" t="s">
        <v>44</v>
      </c>
      <c r="G890" s="21" t="s">
        <v>80</v>
      </c>
      <c r="H890" s="26">
        <v>1335</v>
      </c>
      <c r="I890" s="26">
        <v>273</v>
      </c>
      <c r="J890" s="31"/>
      <c r="K890" s="31"/>
      <c r="L890" s="31"/>
      <c r="M890" s="31"/>
      <c r="N890" s="31"/>
      <c r="O890" s="31"/>
      <c r="P890" s="31"/>
      <c r="Q890" s="31"/>
      <c r="R890" s="31"/>
      <c r="S890" s="31"/>
      <c r="T890" s="31"/>
      <c r="U890" s="31"/>
      <c r="V890" s="31"/>
      <c r="W890" s="31"/>
      <c r="X890" s="31"/>
      <c r="Y890" s="31"/>
      <c r="Z890" s="31"/>
      <c r="AA890" s="31"/>
      <c r="AB890" s="31"/>
      <c r="AC890" s="31"/>
      <c r="AD890" s="31"/>
      <c r="AE890" s="31"/>
      <c r="AF890" s="31"/>
      <c r="AG890" s="31"/>
      <c r="AH890" s="31"/>
      <c r="AI890" s="31"/>
      <c r="AJ890" s="31"/>
      <c r="AK890" s="31"/>
      <c r="AL890" s="28" t="str">
        <f>VLOOKUP($G890,'[42]Sheet1 (2)'!$A$1:$B$1048440,2,FALSE)</f>
        <v>Rmt.</v>
      </c>
      <c r="AM890" s="32"/>
      <c r="AN890" s="31"/>
      <c r="AO890" s="33"/>
    </row>
    <row r="891" spans="1:41" ht="168" x14ac:dyDescent="0.25">
      <c r="A891" s="26">
        <v>767</v>
      </c>
      <c r="B891" s="24" t="s">
        <v>1359</v>
      </c>
      <c r="C891" s="22">
        <v>22.13</v>
      </c>
      <c r="D891" s="25" t="s">
        <v>1360</v>
      </c>
      <c r="E891" s="24" t="s">
        <v>1373</v>
      </c>
      <c r="F891" s="24" t="s">
        <v>44</v>
      </c>
      <c r="G891" s="21" t="s">
        <v>80</v>
      </c>
      <c r="H891" s="26">
        <v>1961</v>
      </c>
      <c r="I891" s="26">
        <v>394</v>
      </c>
      <c r="J891" s="31"/>
      <c r="K891" s="31"/>
      <c r="L891" s="31"/>
      <c r="M891" s="31"/>
      <c r="N891" s="31"/>
      <c r="O891" s="31"/>
      <c r="P891" s="31"/>
      <c r="Q891" s="31"/>
      <c r="R891" s="31"/>
      <c r="S891" s="31"/>
      <c r="T891" s="31"/>
      <c r="U891" s="31"/>
      <c r="V891" s="31"/>
      <c r="W891" s="31"/>
      <c r="X891" s="31"/>
      <c r="Y891" s="31"/>
      <c r="Z891" s="31"/>
      <c r="AA891" s="31"/>
      <c r="AB891" s="31"/>
      <c r="AC891" s="31"/>
      <c r="AD891" s="31"/>
      <c r="AE891" s="31"/>
      <c r="AF891" s="31"/>
      <c r="AG891" s="31"/>
      <c r="AH891" s="31"/>
      <c r="AI891" s="31"/>
      <c r="AJ891" s="31"/>
      <c r="AK891" s="31"/>
      <c r="AL891" s="28" t="str">
        <f>VLOOKUP($G891,'[42]Sheet1 (2)'!$A$1:$B$1048440,2,FALSE)</f>
        <v>Rmt.</v>
      </c>
      <c r="AM891" s="32"/>
      <c r="AN891" s="31"/>
      <c r="AO891" s="33"/>
    </row>
    <row r="892" spans="1:41" ht="168" x14ac:dyDescent="0.25">
      <c r="A892" s="26">
        <v>768</v>
      </c>
      <c r="B892" s="24" t="s">
        <v>1359</v>
      </c>
      <c r="C892" s="22">
        <v>22.14</v>
      </c>
      <c r="D892" s="25" t="s">
        <v>1360</v>
      </c>
      <c r="E892" s="24" t="s">
        <v>1374</v>
      </c>
      <c r="F892" s="24" t="s">
        <v>44</v>
      </c>
      <c r="G892" s="21" t="s">
        <v>80</v>
      </c>
      <c r="H892" s="26">
        <v>2728</v>
      </c>
      <c r="I892" s="26">
        <v>549</v>
      </c>
      <c r="J892" s="31"/>
      <c r="K892" s="31"/>
      <c r="L892" s="31"/>
      <c r="M892" s="31"/>
      <c r="N892" s="31"/>
      <c r="O892" s="31"/>
      <c r="P892" s="31"/>
      <c r="Q892" s="31"/>
      <c r="R892" s="31"/>
      <c r="S892" s="31"/>
      <c r="T892" s="31"/>
      <c r="U892" s="31"/>
      <c r="V892" s="31"/>
      <c r="W892" s="31"/>
      <c r="X892" s="31"/>
      <c r="Y892" s="31"/>
      <c r="Z892" s="31"/>
      <c r="AA892" s="31"/>
      <c r="AB892" s="31"/>
      <c r="AC892" s="31"/>
      <c r="AD892" s="31"/>
      <c r="AE892" s="31"/>
      <c r="AF892" s="31"/>
      <c r="AG892" s="31"/>
      <c r="AH892" s="31"/>
      <c r="AI892" s="31"/>
      <c r="AJ892" s="31"/>
      <c r="AK892" s="31"/>
      <c r="AL892" s="28" t="str">
        <f>VLOOKUP($G892,'[42]Sheet1 (2)'!$A$1:$B$1048440,2,FALSE)</f>
        <v>Rmt.</v>
      </c>
      <c r="AM892" s="32"/>
      <c r="AN892" s="31"/>
      <c r="AO892" s="33"/>
    </row>
    <row r="893" spans="1:41" ht="182" x14ac:dyDescent="0.25">
      <c r="A893" s="26">
        <v>769</v>
      </c>
      <c r="B893" s="24" t="s">
        <v>1359</v>
      </c>
      <c r="C893" s="22">
        <v>22.15</v>
      </c>
      <c r="D893" s="25" t="s">
        <v>1360</v>
      </c>
      <c r="E893" s="24" t="s">
        <v>1375</v>
      </c>
      <c r="F893" s="24" t="s">
        <v>44</v>
      </c>
      <c r="G893" s="21" t="s">
        <v>80</v>
      </c>
      <c r="H893" s="26">
        <v>962</v>
      </c>
      <c r="I893" s="26">
        <v>180</v>
      </c>
      <c r="J893" s="31"/>
      <c r="K893" s="31"/>
      <c r="L893" s="31"/>
      <c r="M893" s="31"/>
      <c r="N893" s="31"/>
      <c r="O893" s="31"/>
      <c r="P893" s="31"/>
      <c r="Q893" s="31"/>
      <c r="R893" s="31"/>
      <c r="S893" s="31"/>
      <c r="T893" s="31"/>
      <c r="U893" s="31"/>
      <c r="V893" s="31"/>
      <c r="W893" s="31"/>
      <c r="X893" s="31"/>
      <c r="Y893" s="31"/>
      <c r="Z893" s="31"/>
      <c r="AA893" s="31"/>
      <c r="AB893" s="31"/>
      <c r="AC893" s="31"/>
      <c r="AD893" s="31"/>
      <c r="AE893" s="31"/>
      <c r="AF893" s="31"/>
      <c r="AG893" s="31"/>
      <c r="AH893" s="31"/>
      <c r="AI893" s="31"/>
      <c r="AJ893" s="31"/>
      <c r="AK893" s="31"/>
      <c r="AL893" s="28" t="str">
        <f>VLOOKUP($G893,'[42]Sheet1 (2)'!$A$1:$B$1048440,2,FALSE)</f>
        <v>Rmt.</v>
      </c>
      <c r="AM893" s="32"/>
      <c r="AN893" s="31"/>
      <c r="AO893" s="33"/>
    </row>
    <row r="894" spans="1:41" ht="182" x14ac:dyDescent="0.25">
      <c r="A894" s="26">
        <v>770</v>
      </c>
      <c r="B894" s="24" t="s">
        <v>1359</v>
      </c>
      <c r="C894" s="22">
        <v>22.16</v>
      </c>
      <c r="D894" s="25" t="s">
        <v>1360</v>
      </c>
      <c r="E894" s="24" t="s">
        <v>1376</v>
      </c>
      <c r="F894" s="24" t="s">
        <v>44</v>
      </c>
      <c r="G894" s="21" t="s">
        <v>80</v>
      </c>
      <c r="H894" s="26">
        <v>1416</v>
      </c>
      <c r="I894" s="26">
        <v>273</v>
      </c>
      <c r="J894" s="31"/>
      <c r="K894" s="31"/>
      <c r="L894" s="31"/>
      <c r="M894" s="31"/>
      <c r="N894" s="31"/>
      <c r="O894" s="31"/>
      <c r="P894" s="31"/>
      <c r="Q894" s="31"/>
      <c r="R894" s="31"/>
      <c r="S894" s="31"/>
      <c r="T894" s="31"/>
      <c r="U894" s="31"/>
      <c r="V894" s="31"/>
      <c r="W894" s="31"/>
      <c r="X894" s="31"/>
      <c r="Y894" s="31"/>
      <c r="Z894" s="31"/>
      <c r="AA894" s="31"/>
      <c r="AB894" s="31"/>
      <c r="AC894" s="31"/>
      <c r="AD894" s="31"/>
      <c r="AE894" s="31"/>
      <c r="AF894" s="31"/>
      <c r="AG894" s="31"/>
      <c r="AH894" s="31"/>
      <c r="AI894" s="31"/>
      <c r="AJ894" s="31"/>
      <c r="AK894" s="31"/>
      <c r="AL894" s="28" t="str">
        <f>VLOOKUP($G894,'[42]Sheet1 (2)'!$A$1:$B$1048440,2,FALSE)</f>
        <v>Rmt.</v>
      </c>
      <c r="AM894" s="32"/>
      <c r="AN894" s="31"/>
      <c r="AO894" s="33"/>
    </row>
    <row r="895" spans="1:41" ht="182" x14ac:dyDescent="0.25">
      <c r="A895" s="26">
        <v>771</v>
      </c>
      <c r="B895" s="24" t="s">
        <v>1359</v>
      </c>
      <c r="C895" s="22">
        <v>22.17</v>
      </c>
      <c r="D895" s="25" t="s">
        <v>1360</v>
      </c>
      <c r="E895" s="24" t="s">
        <v>1377</v>
      </c>
      <c r="F895" s="24" t="s">
        <v>44</v>
      </c>
      <c r="G895" s="21" t="s">
        <v>80</v>
      </c>
      <c r="H895" s="26">
        <v>2109</v>
      </c>
      <c r="I895" s="26">
        <v>394</v>
      </c>
      <c r="J895" s="31"/>
      <c r="K895" s="31"/>
      <c r="L895" s="31"/>
      <c r="M895" s="31"/>
      <c r="N895" s="31"/>
      <c r="O895" s="31"/>
      <c r="P895" s="31"/>
      <c r="Q895" s="31"/>
      <c r="R895" s="31"/>
      <c r="S895" s="31"/>
      <c r="T895" s="31"/>
      <c r="U895" s="31"/>
      <c r="V895" s="31"/>
      <c r="W895" s="31"/>
      <c r="X895" s="31"/>
      <c r="Y895" s="31"/>
      <c r="Z895" s="31"/>
      <c r="AA895" s="31"/>
      <c r="AB895" s="31"/>
      <c r="AC895" s="31"/>
      <c r="AD895" s="31"/>
      <c r="AE895" s="31"/>
      <c r="AF895" s="31"/>
      <c r="AG895" s="31"/>
      <c r="AH895" s="31"/>
      <c r="AI895" s="31"/>
      <c r="AJ895" s="31"/>
      <c r="AK895" s="31"/>
      <c r="AL895" s="28" t="str">
        <f>VLOOKUP($G895,'[42]Sheet1 (2)'!$A$1:$B$1048440,2,FALSE)</f>
        <v>Rmt.</v>
      </c>
      <c r="AM895" s="32"/>
      <c r="AN895" s="31"/>
      <c r="AO895" s="33"/>
    </row>
    <row r="896" spans="1:41" ht="210" x14ac:dyDescent="0.25">
      <c r="A896" s="26">
        <v>772</v>
      </c>
      <c r="B896" s="24" t="s">
        <v>1359</v>
      </c>
      <c r="C896" s="22">
        <v>22.18</v>
      </c>
      <c r="D896" s="25" t="s">
        <v>1360</v>
      </c>
      <c r="E896" s="24" t="s">
        <v>1378</v>
      </c>
      <c r="F896" s="24" t="s">
        <v>44</v>
      </c>
      <c r="G896" s="21" t="s">
        <v>80</v>
      </c>
      <c r="H896" s="26">
        <v>2955</v>
      </c>
      <c r="I896" s="26">
        <v>549</v>
      </c>
      <c r="J896" s="31"/>
      <c r="K896" s="31"/>
      <c r="L896" s="31"/>
      <c r="M896" s="31"/>
      <c r="N896" s="31"/>
      <c r="O896" s="31"/>
      <c r="P896" s="31"/>
      <c r="Q896" s="31"/>
      <c r="R896" s="31"/>
      <c r="S896" s="31"/>
      <c r="T896" s="31"/>
      <c r="U896" s="31"/>
      <c r="V896" s="31"/>
      <c r="W896" s="31"/>
      <c r="X896" s="31"/>
      <c r="Y896" s="31"/>
      <c r="Z896" s="31"/>
      <c r="AA896" s="31"/>
      <c r="AB896" s="31"/>
      <c r="AC896" s="31"/>
      <c r="AD896" s="31"/>
      <c r="AE896" s="31"/>
      <c r="AF896" s="31"/>
      <c r="AG896" s="31"/>
      <c r="AH896" s="31"/>
      <c r="AI896" s="31"/>
      <c r="AJ896" s="31"/>
      <c r="AK896" s="31"/>
      <c r="AL896" s="28" t="str">
        <f>VLOOKUP($G896,'[42]Sheet1 (2)'!$A$1:$B$1048440,2,FALSE)</f>
        <v>Rmt.</v>
      </c>
      <c r="AM896" s="32"/>
      <c r="AN896" s="31"/>
      <c r="AO896" s="33"/>
    </row>
    <row r="897" spans="1:41" ht="182" x14ac:dyDescent="0.25">
      <c r="A897" s="26">
        <v>773</v>
      </c>
      <c r="B897" s="24" t="s">
        <v>1359</v>
      </c>
      <c r="C897" s="22">
        <v>22.19</v>
      </c>
      <c r="D897" s="25" t="s">
        <v>1360</v>
      </c>
      <c r="E897" s="24" t="s">
        <v>1379</v>
      </c>
      <c r="F897" s="24" t="s">
        <v>44</v>
      </c>
      <c r="G897" s="21" t="s">
        <v>80</v>
      </c>
      <c r="H897" s="26">
        <v>4237</v>
      </c>
      <c r="I897" s="26">
        <v>711</v>
      </c>
      <c r="J897" s="31"/>
      <c r="K897" s="31"/>
      <c r="L897" s="31"/>
      <c r="M897" s="31"/>
      <c r="N897" s="31"/>
      <c r="O897" s="31"/>
      <c r="P897" s="31"/>
      <c r="Q897" s="31"/>
      <c r="R897" s="31"/>
      <c r="S897" s="31"/>
      <c r="T897" s="31"/>
      <c r="U897" s="31"/>
      <c r="V897" s="31"/>
      <c r="W897" s="31"/>
      <c r="X897" s="31"/>
      <c r="Y897" s="31"/>
      <c r="Z897" s="31"/>
      <c r="AA897" s="31"/>
      <c r="AB897" s="31"/>
      <c r="AC897" s="31"/>
      <c r="AD897" s="31"/>
      <c r="AE897" s="31"/>
      <c r="AF897" s="31"/>
      <c r="AG897" s="31"/>
      <c r="AH897" s="31"/>
      <c r="AI897" s="31"/>
      <c r="AJ897" s="31"/>
      <c r="AK897" s="31"/>
      <c r="AL897" s="28" t="str">
        <f>VLOOKUP($G897,'[42]Sheet1 (2)'!$A$1:$B$1048440,2,FALSE)</f>
        <v>Rmt.</v>
      </c>
      <c r="AM897" s="32"/>
      <c r="AN897" s="31"/>
      <c r="AO897" s="33"/>
    </row>
    <row r="898" spans="1:41" ht="210" x14ac:dyDescent="0.25">
      <c r="A898" s="26">
        <v>774</v>
      </c>
      <c r="B898" s="24" t="s">
        <v>1359</v>
      </c>
      <c r="C898" s="22">
        <v>22.2</v>
      </c>
      <c r="D898" s="25" t="s">
        <v>1360</v>
      </c>
      <c r="E898" s="24" t="s">
        <v>1380</v>
      </c>
      <c r="F898" s="24" t="s">
        <v>44</v>
      </c>
      <c r="G898" s="21" t="s">
        <v>80</v>
      </c>
      <c r="H898" s="26">
        <v>5487</v>
      </c>
      <c r="I898" s="26">
        <v>873</v>
      </c>
      <c r="J898" s="31"/>
      <c r="K898" s="31"/>
      <c r="L898" s="31"/>
      <c r="M898" s="31"/>
      <c r="N898" s="31"/>
      <c r="O898" s="31"/>
      <c r="P898" s="31"/>
      <c r="Q898" s="31"/>
      <c r="R898" s="31"/>
      <c r="S898" s="31"/>
      <c r="T898" s="31"/>
      <c r="U898" s="31"/>
      <c r="V898" s="31"/>
      <c r="W898" s="31"/>
      <c r="X898" s="31"/>
      <c r="Y898" s="31"/>
      <c r="Z898" s="31"/>
      <c r="AA898" s="31"/>
      <c r="AB898" s="31"/>
      <c r="AC898" s="31"/>
      <c r="AD898" s="31"/>
      <c r="AE898" s="31"/>
      <c r="AF898" s="31"/>
      <c r="AG898" s="31"/>
      <c r="AH898" s="31"/>
      <c r="AI898" s="31"/>
      <c r="AJ898" s="31"/>
      <c r="AK898" s="31"/>
      <c r="AL898" s="28" t="str">
        <f>VLOOKUP($G898,'[42]Sheet1 (2)'!$A$1:$B$1048440,2,FALSE)</f>
        <v>Rmt.</v>
      </c>
      <c r="AM898" s="32"/>
      <c r="AN898" s="31"/>
      <c r="AO898" s="33"/>
    </row>
    <row r="899" spans="1:41" ht="210" x14ac:dyDescent="0.25">
      <c r="A899" s="26">
        <v>775</v>
      </c>
      <c r="B899" s="24" t="s">
        <v>1359</v>
      </c>
      <c r="C899" s="22">
        <v>22.21</v>
      </c>
      <c r="D899" s="25" t="s">
        <v>1381</v>
      </c>
      <c r="E899" s="24" t="s">
        <v>1382</v>
      </c>
      <c r="F899" s="24" t="s">
        <v>44</v>
      </c>
      <c r="G899" s="21" t="s">
        <v>80</v>
      </c>
      <c r="H899" s="26">
        <v>2659</v>
      </c>
      <c r="I899" s="26">
        <v>1352</v>
      </c>
      <c r="J899" s="31"/>
      <c r="K899" s="31"/>
      <c r="L899" s="31"/>
      <c r="M899" s="31"/>
      <c r="N899" s="31"/>
      <c r="O899" s="31"/>
      <c r="P899" s="31"/>
      <c r="Q899" s="31"/>
      <c r="R899" s="31"/>
      <c r="S899" s="31"/>
      <c r="T899" s="31"/>
      <c r="U899" s="31"/>
      <c r="V899" s="31"/>
      <c r="W899" s="31"/>
      <c r="X899" s="31"/>
      <c r="Y899" s="31"/>
      <c r="Z899" s="31"/>
      <c r="AA899" s="31"/>
      <c r="AB899" s="31"/>
      <c r="AC899" s="31"/>
      <c r="AD899" s="31"/>
      <c r="AE899" s="31"/>
      <c r="AF899" s="31"/>
      <c r="AG899" s="31"/>
      <c r="AH899" s="31"/>
      <c r="AI899" s="31"/>
      <c r="AJ899" s="31"/>
      <c r="AK899" s="31"/>
      <c r="AL899" s="28" t="str">
        <f>VLOOKUP($G899,'[42]Sheet1 (2)'!$A$1:$B$1048440,2,FALSE)</f>
        <v>Rmt.</v>
      </c>
      <c r="AM899" s="32"/>
      <c r="AN899" s="31"/>
      <c r="AO899" s="33"/>
    </row>
    <row r="900" spans="1:41" ht="182" x14ac:dyDescent="0.25">
      <c r="A900" s="26">
        <v>776</v>
      </c>
      <c r="B900" s="24" t="s">
        <v>1359</v>
      </c>
      <c r="C900" s="22">
        <v>22.22</v>
      </c>
      <c r="D900" s="25" t="s">
        <v>1381</v>
      </c>
      <c r="E900" s="24" t="s">
        <v>1383</v>
      </c>
      <c r="F900" s="24" t="s">
        <v>44</v>
      </c>
      <c r="G900" s="21" t="s">
        <v>80</v>
      </c>
      <c r="H900" s="26">
        <v>2771</v>
      </c>
      <c r="I900" s="26">
        <v>1379</v>
      </c>
      <c r="J900" s="31"/>
      <c r="K900" s="31"/>
      <c r="L900" s="31"/>
      <c r="M900" s="31"/>
      <c r="N900" s="31"/>
      <c r="O900" s="31"/>
      <c r="P900" s="31"/>
      <c r="Q900" s="31"/>
      <c r="R900" s="31"/>
      <c r="S900" s="31"/>
      <c r="T900" s="31"/>
      <c r="U900" s="31"/>
      <c r="V900" s="31"/>
      <c r="W900" s="31"/>
      <c r="X900" s="31"/>
      <c r="Y900" s="31"/>
      <c r="Z900" s="31"/>
      <c r="AA900" s="31"/>
      <c r="AB900" s="31"/>
      <c r="AC900" s="31"/>
      <c r="AD900" s="31"/>
      <c r="AE900" s="31"/>
      <c r="AF900" s="31"/>
      <c r="AG900" s="31"/>
      <c r="AH900" s="31"/>
      <c r="AI900" s="31"/>
      <c r="AJ900" s="31"/>
      <c r="AK900" s="31"/>
      <c r="AL900" s="28" t="str">
        <f>VLOOKUP($G900,'[42]Sheet1 (2)'!$A$1:$B$1048440,2,FALSE)</f>
        <v>Rmt.</v>
      </c>
      <c r="AM900" s="32"/>
      <c r="AN900" s="31"/>
      <c r="AO900" s="33"/>
    </row>
    <row r="901" spans="1:41" ht="182" x14ac:dyDescent="0.25">
      <c r="A901" s="26">
        <v>777</v>
      </c>
      <c r="B901" s="24" t="s">
        <v>1359</v>
      </c>
      <c r="C901" s="22">
        <v>22.23</v>
      </c>
      <c r="D901" s="25" t="s">
        <v>1381</v>
      </c>
      <c r="E901" s="24" t="s">
        <v>1384</v>
      </c>
      <c r="F901" s="24" t="s">
        <v>44</v>
      </c>
      <c r="G901" s="21" t="s">
        <v>80</v>
      </c>
      <c r="H901" s="26">
        <v>3002</v>
      </c>
      <c r="I901" s="121">
        <v>1435</v>
      </c>
      <c r="J901" s="31"/>
      <c r="K901" s="31"/>
      <c r="L901" s="31"/>
      <c r="M901" s="31"/>
      <c r="N901" s="31"/>
      <c r="O901" s="31"/>
      <c r="P901" s="31"/>
      <c r="Q901" s="31"/>
      <c r="R901" s="31"/>
      <c r="S901" s="31"/>
      <c r="T901" s="31"/>
      <c r="U901" s="31"/>
      <c r="V901" s="31"/>
      <c r="W901" s="31"/>
      <c r="X901" s="31"/>
      <c r="Y901" s="31"/>
      <c r="Z901" s="31"/>
      <c r="AA901" s="31"/>
      <c r="AB901" s="31"/>
      <c r="AC901" s="31"/>
      <c r="AD901" s="31"/>
      <c r="AE901" s="31"/>
      <c r="AF901" s="31"/>
      <c r="AG901" s="31"/>
      <c r="AH901" s="31"/>
      <c r="AI901" s="31"/>
      <c r="AJ901" s="31"/>
      <c r="AK901" s="31"/>
      <c r="AL901" s="28" t="str">
        <f>VLOOKUP($G901,'[42]Sheet1 (2)'!$A$1:$B$1048440,2,FALSE)</f>
        <v>Rmt.</v>
      </c>
      <c r="AM901" s="32"/>
      <c r="AN901" s="31"/>
      <c r="AO901" s="33"/>
    </row>
    <row r="902" spans="1:41" ht="182" x14ac:dyDescent="0.25">
      <c r="A902" s="26">
        <v>778</v>
      </c>
      <c r="B902" s="24" t="s">
        <v>1359</v>
      </c>
      <c r="C902" s="22">
        <v>22.24</v>
      </c>
      <c r="D902" s="25" t="s">
        <v>1381</v>
      </c>
      <c r="E902" s="24" t="s">
        <v>1385</v>
      </c>
      <c r="F902" s="24" t="s">
        <v>44</v>
      </c>
      <c r="G902" s="21" t="s">
        <v>80</v>
      </c>
      <c r="H902" s="26">
        <v>3129</v>
      </c>
      <c r="I902" s="121">
        <v>1467</v>
      </c>
      <c r="J902" s="31"/>
      <c r="K902" s="31"/>
      <c r="L902" s="31"/>
      <c r="M902" s="31"/>
      <c r="N902" s="31"/>
      <c r="O902" s="31"/>
      <c r="P902" s="31"/>
      <c r="Q902" s="31"/>
      <c r="R902" s="31"/>
      <c r="S902" s="31"/>
      <c r="T902" s="31"/>
      <c r="U902" s="31"/>
      <c r="V902" s="31"/>
      <c r="W902" s="31"/>
      <c r="X902" s="31"/>
      <c r="Y902" s="31"/>
      <c r="Z902" s="31"/>
      <c r="AA902" s="31"/>
      <c r="AB902" s="31"/>
      <c r="AC902" s="31"/>
      <c r="AD902" s="31"/>
      <c r="AE902" s="31"/>
      <c r="AF902" s="31"/>
      <c r="AG902" s="31"/>
      <c r="AH902" s="31"/>
      <c r="AI902" s="31"/>
      <c r="AJ902" s="31"/>
      <c r="AK902" s="31"/>
      <c r="AL902" s="28" t="str">
        <f>VLOOKUP($G902,'[42]Sheet1 (2)'!$A$1:$B$1048440,2,FALSE)</f>
        <v>Rmt.</v>
      </c>
      <c r="AM902" s="32"/>
      <c r="AN902" s="31"/>
      <c r="AO902" s="33"/>
    </row>
    <row r="903" spans="1:41" ht="182" x14ac:dyDescent="0.25">
      <c r="A903" s="26">
        <v>779</v>
      </c>
      <c r="B903" s="24" t="s">
        <v>1359</v>
      </c>
      <c r="C903" s="22">
        <v>22.25</v>
      </c>
      <c r="D903" s="25" t="s">
        <v>1381</v>
      </c>
      <c r="E903" s="24" t="s">
        <v>1386</v>
      </c>
      <c r="F903" s="24" t="s">
        <v>44</v>
      </c>
      <c r="G903" s="21" t="s">
        <v>80</v>
      </c>
      <c r="H903" s="26">
        <v>3450</v>
      </c>
      <c r="I903" s="121">
        <v>1537</v>
      </c>
      <c r="J903" s="31"/>
      <c r="K903" s="31"/>
      <c r="L903" s="31"/>
      <c r="M903" s="31"/>
      <c r="N903" s="31"/>
      <c r="O903" s="31"/>
      <c r="P903" s="31"/>
      <c r="Q903" s="31"/>
      <c r="R903" s="31"/>
      <c r="S903" s="31"/>
      <c r="T903" s="31"/>
      <c r="U903" s="31"/>
      <c r="V903" s="31"/>
      <c r="W903" s="31"/>
      <c r="X903" s="31"/>
      <c r="Y903" s="31"/>
      <c r="Z903" s="31"/>
      <c r="AA903" s="31"/>
      <c r="AB903" s="31"/>
      <c r="AC903" s="31"/>
      <c r="AD903" s="31"/>
      <c r="AE903" s="31"/>
      <c r="AF903" s="31"/>
      <c r="AG903" s="31"/>
      <c r="AH903" s="31"/>
      <c r="AI903" s="31"/>
      <c r="AJ903" s="31"/>
      <c r="AK903" s="31"/>
      <c r="AL903" s="28" t="str">
        <f>VLOOKUP($G903,'[42]Sheet1 (2)'!$A$1:$B$1048440,2,FALSE)</f>
        <v>Rmt.</v>
      </c>
      <c r="AM903" s="32"/>
      <c r="AN903" s="31"/>
      <c r="AO903" s="33"/>
    </row>
    <row r="904" spans="1:41" ht="182" x14ac:dyDescent="0.25">
      <c r="A904" s="26">
        <v>780</v>
      </c>
      <c r="B904" s="24" t="s">
        <v>1359</v>
      </c>
      <c r="C904" s="22">
        <v>22.26</v>
      </c>
      <c r="D904" s="25" t="s">
        <v>1381</v>
      </c>
      <c r="E904" s="24" t="s">
        <v>1387</v>
      </c>
      <c r="F904" s="24" t="s">
        <v>44</v>
      </c>
      <c r="G904" s="21" t="s">
        <v>80</v>
      </c>
      <c r="H904" s="26">
        <v>3941</v>
      </c>
      <c r="I904" s="121">
        <v>1772</v>
      </c>
      <c r="J904" s="31"/>
      <c r="K904" s="31"/>
      <c r="L904" s="31"/>
      <c r="M904" s="31"/>
      <c r="N904" s="31"/>
      <c r="O904" s="31"/>
      <c r="P904" s="31"/>
      <c r="Q904" s="31"/>
      <c r="R904" s="31"/>
      <c r="S904" s="31"/>
      <c r="T904" s="31"/>
      <c r="U904" s="31"/>
      <c r="V904" s="31"/>
      <c r="W904" s="31"/>
      <c r="X904" s="31"/>
      <c r="Y904" s="31"/>
      <c r="Z904" s="31"/>
      <c r="AA904" s="31"/>
      <c r="AB904" s="31"/>
      <c r="AC904" s="31"/>
      <c r="AD904" s="31"/>
      <c r="AE904" s="31"/>
      <c r="AF904" s="31"/>
      <c r="AG904" s="31"/>
      <c r="AH904" s="31"/>
      <c r="AI904" s="31"/>
      <c r="AJ904" s="31"/>
      <c r="AK904" s="31"/>
      <c r="AL904" s="28" t="str">
        <f>VLOOKUP($G904,'[42]Sheet1 (2)'!$A$1:$B$1048440,2,FALSE)</f>
        <v>Rmt.</v>
      </c>
      <c r="AM904" s="32"/>
      <c r="AN904" s="31"/>
      <c r="AO904" s="33"/>
    </row>
    <row r="905" spans="1:41" ht="182" x14ac:dyDescent="0.25">
      <c r="A905" s="26">
        <v>781</v>
      </c>
      <c r="B905" s="24" t="s">
        <v>1359</v>
      </c>
      <c r="C905" s="22">
        <v>22.27</v>
      </c>
      <c r="D905" s="25" t="s">
        <v>1381</v>
      </c>
      <c r="E905" s="24" t="s">
        <v>1388</v>
      </c>
      <c r="F905" s="24" t="s">
        <v>44</v>
      </c>
      <c r="G905" s="21" t="s">
        <v>80</v>
      </c>
      <c r="H905" s="26">
        <v>4212</v>
      </c>
      <c r="I905" s="121">
        <v>1811</v>
      </c>
      <c r="J905" s="31"/>
      <c r="K905" s="31"/>
      <c r="L905" s="31"/>
      <c r="M905" s="31"/>
      <c r="N905" s="31"/>
      <c r="O905" s="31"/>
      <c r="P905" s="31"/>
      <c r="Q905" s="31"/>
      <c r="R905" s="31"/>
      <c r="S905" s="31"/>
      <c r="T905" s="31"/>
      <c r="U905" s="31"/>
      <c r="V905" s="31"/>
      <c r="W905" s="31"/>
      <c r="X905" s="31"/>
      <c r="Y905" s="31"/>
      <c r="Z905" s="31"/>
      <c r="AA905" s="31"/>
      <c r="AB905" s="31"/>
      <c r="AC905" s="31"/>
      <c r="AD905" s="31"/>
      <c r="AE905" s="31"/>
      <c r="AF905" s="31"/>
      <c r="AG905" s="31"/>
      <c r="AH905" s="31"/>
      <c r="AI905" s="31"/>
      <c r="AJ905" s="31"/>
      <c r="AK905" s="31"/>
      <c r="AL905" s="28" t="str">
        <f>VLOOKUP($G905,'[42]Sheet1 (2)'!$A$1:$B$1048440,2,FALSE)</f>
        <v>Rmt.</v>
      </c>
      <c r="AM905" s="32"/>
      <c r="AN905" s="31"/>
      <c r="AO905" s="33"/>
    </row>
    <row r="906" spans="1:41" ht="182" x14ac:dyDescent="0.25">
      <c r="A906" s="26">
        <v>782</v>
      </c>
      <c r="B906" s="24" t="s">
        <v>1359</v>
      </c>
      <c r="C906" s="22">
        <v>22.28</v>
      </c>
      <c r="D906" s="25" t="s">
        <v>1381</v>
      </c>
      <c r="E906" s="24" t="s">
        <v>1389</v>
      </c>
      <c r="F906" s="24" t="s">
        <v>44</v>
      </c>
      <c r="G906" s="21" t="s">
        <v>80</v>
      </c>
      <c r="H906" s="26">
        <v>4379</v>
      </c>
      <c r="I906" s="121">
        <v>1852</v>
      </c>
      <c r="J906" s="31"/>
      <c r="K906" s="31"/>
      <c r="L906" s="31"/>
      <c r="M906" s="31"/>
      <c r="N906" s="31"/>
      <c r="O906" s="31"/>
      <c r="P906" s="31"/>
      <c r="Q906" s="31"/>
      <c r="R906" s="31"/>
      <c r="S906" s="31"/>
      <c r="T906" s="31"/>
      <c r="U906" s="31"/>
      <c r="V906" s="31"/>
      <c r="W906" s="31"/>
      <c r="X906" s="31"/>
      <c r="Y906" s="31"/>
      <c r="Z906" s="31"/>
      <c r="AA906" s="31"/>
      <c r="AB906" s="31"/>
      <c r="AC906" s="31"/>
      <c r="AD906" s="31"/>
      <c r="AE906" s="31"/>
      <c r="AF906" s="31"/>
      <c r="AG906" s="31"/>
      <c r="AH906" s="31"/>
      <c r="AI906" s="31"/>
      <c r="AJ906" s="31"/>
      <c r="AK906" s="31"/>
      <c r="AL906" s="28" t="str">
        <f>VLOOKUP($G906,'[42]Sheet1 (2)'!$A$1:$B$1048440,2,FALSE)</f>
        <v>Rmt.</v>
      </c>
      <c r="AM906" s="32"/>
      <c r="AN906" s="31"/>
      <c r="AO906" s="33"/>
    </row>
    <row r="907" spans="1:41" ht="182" x14ac:dyDescent="0.25">
      <c r="A907" s="26">
        <v>783</v>
      </c>
      <c r="B907" s="24" t="s">
        <v>1359</v>
      </c>
      <c r="C907" s="22">
        <v>22.29</v>
      </c>
      <c r="D907" s="25" t="s">
        <v>1381</v>
      </c>
      <c r="E907" s="24" t="s">
        <v>1390</v>
      </c>
      <c r="F907" s="24" t="s">
        <v>44</v>
      </c>
      <c r="G907" s="21" t="s">
        <v>80</v>
      </c>
      <c r="H907" s="26">
        <v>4738</v>
      </c>
      <c r="I907" s="121">
        <v>1940</v>
      </c>
      <c r="J907" s="31"/>
      <c r="K907" s="31"/>
      <c r="L907" s="31"/>
      <c r="M907" s="31"/>
      <c r="N907" s="31"/>
      <c r="O907" s="31"/>
      <c r="P907" s="31"/>
      <c r="Q907" s="31"/>
      <c r="R907" s="31"/>
      <c r="S907" s="31"/>
      <c r="T907" s="31"/>
      <c r="U907" s="31"/>
      <c r="V907" s="31"/>
      <c r="W907" s="31"/>
      <c r="X907" s="31"/>
      <c r="Y907" s="31"/>
      <c r="Z907" s="31"/>
      <c r="AA907" s="31"/>
      <c r="AB907" s="31"/>
      <c r="AC907" s="31"/>
      <c r="AD907" s="31"/>
      <c r="AE907" s="31"/>
      <c r="AF907" s="31"/>
      <c r="AG907" s="31"/>
      <c r="AH907" s="31"/>
      <c r="AI907" s="31"/>
      <c r="AJ907" s="31"/>
      <c r="AK907" s="31"/>
      <c r="AL907" s="28" t="str">
        <f>VLOOKUP($G907,'[42]Sheet1 (2)'!$A$1:$B$1048440,2,FALSE)</f>
        <v>Rmt.</v>
      </c>
      <c r="AM907" s="32"/>
      <c r="AN907" s="31"/>
      <c r="AO907" s="33"/>
    </row>
    <row r="908" spans="1:41" ht="182" x14ac:dyDescent="0.25">
      <c r="A908" s="26">
        <v>784</v>
      </c>
      <c r="B908" s="24" t="s">
        <v>1359</v>
      </c>
      <c r="C908" s="22">
        <v>22.3</v>
      </c>
      <c r="D908" s="25" t="s">
        <v>1381</v>
      </c>
      <c r="E908" s="24" t="s">
        <v>1391</v>
      </c>
      <c r="F908" s="24" t="s">
        <v>44</v>
      </c>
      <c r="G908" s="21" t="s">
        <v>80</v>
      </c>
      <c r="H908" s="26">
        <v>5149</v>
      </c>
      <c r="I908" s="121">
        <v>1987</v>
      </c>
      <c r="J908" s="31"/>
      <c r="K908" s="31"/>
      <c r="L908" s="31"/>
      <c r="M908" s="31"/>
      <c r="N908" s="31"/>
      <c r="O908" s="31"/>
      <c r="P908" s="31"/>
      <c r="Q908" s="31"/>
      <c r="R908" s="31"/>
      <c r="S908" s="31"/>
      <c r="T908" s="31"/>
      <c r="U908" s="31"/>
      <c r="V908" s="31"/>
      <c r="W908" s="31"/>
      <c r="X908" s="31"/>
      <c r="Y908" s="31"/>
      <c r="Z908" s="31"/>
      <c r="AA908" s="31"/>
      <c r="AB908" s="31"/>
      <c r="AC908" s="31"/>
      <c r="AD908" s="31"/>
      <c r="AE908" s="31"/>
      <c r="AF908" s="31"/>
      <c r="AG908" s="31"/>
      <c r="AH908" s="31"/>
      <c r="AI908" s="31"/>
      <c r="AJ908" s="31"/>
      <c r="AK908" s="31"/>
      <c r="AL908" s="28" t="str">
        <f>VLOOKUP($G908,'[42]Sheet1 (2)'!$A$1:$B$1048440,2,FALSE)</f>
        <v>Rmt.</v>
      </c>
      <c r="AM908" s="32"/>
      <c r="AN908" s="31"/>
      <c r="AO908" s="33"/>
    </row>
    <row r="909" spans="1:41" ht="182" x14ac:dyDescent="0.25">
      <c r="A909" s="26">
        <v>785</v>
      </c>
      <c r="B909" s="24" t="s">
        <v>1359</v>
      </c>
      <c r="C909" s="22">
        <v>22.31</v>
      </c>
      <c r="D909" s="25" t="s">
        <v>1381</v>
      </c>
      <c r="E909" s="24" t="s">
        <v>1392</v>
      </c>
      <c r="F909" s="24" t="s">
        <v>44</v>
      </c>
      <c r="G909" s="21" t="s">
        <v>80</v>
      </c>
      <c r="H909" s="26">
        <v>5348</v>
      </c>
      <c r="I909" s="121">
        <v>2035</v>
      </c>
      <c r="J909" s="31"/>
      <c r="K909" s="31"/>
      <c r="L909" s="31"/>
      <c r="M909" s="31"/>
      <c r="N909" s="31"/>
      <c r="O909" s="31"/>
      <c r="P909" s="31"/>
      <c r="Q909" s="31"/>
      <c r="R909" s="31"/>
      <c r="S909" s="31"/>
      <c r="T909" s="31"/>
      <c r="U909" s="31"/>
      <c r="V909" s="31"/>
      <c r="W909" s="31"/>
      <c r="X909" s="31"/>
      <c r="Y909" s="31"/>
      <c r="Z909" s="31"/>
      <c r="AA909" s="31"/>
      <c r="AB909" s="31"/>
      <c r="AC909" s="31"/>
      <c r="AD909" s="31"/>
      <c r="AE909" s="31"/>
      <c r="AF909" s="31"/>
      <c r="AG909" s="31"/>
      <c r="AH909" s="31"/>
      <c r="AI909" s="31"/>
      <c r="AJ909" s="31"/>
      <c r="AK909" s="31"/>
      <c r="AL909" s="28" t="str">
        <f>VLOOKUP($G909,'[42]Sheet1 (2)'!$A$1:$B$1048440,2,FALSE)</f>
        <v>Rmt.</v>
      </c>
      <c r="AM909" s="32"/>
      <c r="AN909" s="31"/>
      <c r="AO909" s="33"/>
    </row>
    <row r="910" spans="1:41" ht="182" x14ac:dyDescent="0.25">
      <c r="A910" s="26">
        <v>786</v>
      </c>
      <c r="B910" s="24" t="s">
        <v>1359</v>
      </c>
      <c r="C910" s="22">
        <v>22.32</v>
      </c>
      <c r="D910" s="25" t="s">
        <v>1381</v>
      </c>
      <c r="E910" s="24" t="s">
        <v>1393</v>
      </c>
      <c r="F910" s="24" t="s">
        <v>44</v>
      </c>
      <c r="G910" s="21" t="s">
        <v>80</v>
      </c>
      <c r="H910" s="26">
        <v>6337</v>
      </c>
      <c r="I910" s="121">
        <v>2250</v>
      </c>
      <c r="J910" s="31"/>
      <c r="K910" s="31"/>
      <c r="L910" s="31"/>
      <c r="M910" s="31"/>
      <c r="N910" s="31"/>
      <c r="O910" s="31"/>
      <c r="P910" s="31"/>
      <c r="Q910" s="31"/>
      <c r="R910" s="31"/>
      <c r="S910" s="31"/>
      <c r="T910" s="31"/>
      <c r="U910" s="31"/>
      <c r="V910" s="31"/>
      <c r="W910" s="31"/>
      <c r="X910" s="31"/>
      <c r="Y910" s="31"/>
      <c r="Z910" s="31"/>
      <c r="AA910" s="31"/>
      <c r="AB910" s="31"/>
      <c r="AC910" s="31"/>
      <c r="AD910" s="31"/>
      <c r="AE910" s="31"/>
      <c r="AF910" s="31"/>
      <c r="AG910" s="31"/>
      <c r="AH910" s="31"/>
      <c r="AI910" s="31"/>
      <c r="AJ910" s="31"/>
      <c r="AK910" s="31"/>
      <c r="AL910" s="28" t="str">
        <f>VLOOKUP($G910,'[42]Sheet1 (2)'!$A$1:$B$1048440,2,FALSE)</f>
        <v>Rmt.</v>
      </c>
      <c r="AM910" s="32"/>
      <c r="AN910" s="31"/>
      <c r="AO910" s="33"/>
    </row>
    <row r="911" spans="1:41" ht="182" x14ac:dyDescent="0.25">
      <c r="A911" s="26">
        <v>787</v>
      </c>
      <c r="B911" s="24" t="s">
        <v>1359</v>
      </c>
      <c r="C911" s="22">
        <v>22.33</v>
      </c>
      <c r="D911" s="25" t="s">
        <v>1381</v>
      </c>
      <c r="E911" s="24" t="s">
        <v>1394</v>
      </c>
      <c r="F911" s="24" t="s">
        <v>44</v>
      </c>
      <c r="G911" s="21" t="s">
        <v>80</v>
      </c>
      <c r="H911" s="26">
        <v>6822</v>
      </c>
      <c r="I911" s="121">
        <v>2368</v>
      </c>
      <c r="J911" s="31"/>
      <c r="K911" s="31"/>
      <c r="L911" s="31"/>
      <c r="M911" s="31"/>
      <c r="N911" s="31"/>
      <c r="O911" s="31"/>
      <c r="P911" s="31"/>
      <c r="Q911" s="31"/>
      <c r="R911" s="31"/>
      <c r="S911" s="31"/>
      <c r="T911" s="31"/>
      <c r="U911" s="31"/>
      <c r="V911" s="31"/>
      <c r="W911" s="31"/>
      <c r="X911" s="31"/>
      <c r="Y911" s="31"/>
      <c r="Z911" s="31"/>
      <c r="AA911" s="31"/>
      <c r="AB911" s="31"/>
      <c r="AC911" s="31"/>
      <c r="AD911" s="31"/>
      <c r="AE911" s="31"/>
      <c r="AF911" s="31"/>
      <c r="AG911" s="31"/>
      <c r="AH911" s="31"/>
      <c r="AI911" s="31"/>
      <c r="AJ911" s="31"/>
      <c r="AK911" s="31"/>
      <c r="AL911" s="28" t="str">
        <f>VLOOKUP($G911,'[42]Sheet1 (2)'!$A$1:$B$1048440,2,FALSE)</f>
        <v>Rmt.</v>
      </c>
      <c r="AM911" s="32"/>
      <c r="AN911" s="31"/>
      <c r="AO911" s="33"/>
    </row>
    <row r="912" spans="1:41" ht="182" x14ac:dyDescent="0.25">
      <c r="A912" s="26">
        <v>788</v>
      </c>
      <c r="B912" s="24" t="s">
        <v>1359</v>
      </c>
      <c r="C912" s="22">
        <v>22.34</v>
      </c>
      <c r="D912" s="25" t="s">
        <v>1381</v>
      </c>
      <c r="E912" s="24" t="s">
        <v>1395</v>
      </c>
      <c r="F912" s="24" t="s">
        <v>44</v>
      </c>
      <c r="G912" s="21" t="s">
        <v>80</v>
      </c>
      <c r="H912" s="26">
        <v>7642</v>
      </c>
      <c r="I912" s="121">
        <v>2709</v>
      </c>
      <c r="J912" s="31"/>
      <c r="K912" s="31"/>
      <c r="L912" s="31"/>
      <c r="M912" s="31"/>
      <c r="N912" s="31"/>
      <c r="O912" s="31"/>
      <c r="P912" s="31"/>
      <c r="Q912" s="31"/>
      <c r="R912" s="31"/>
      <c r="S912" s="31"/>
      <c r="T912" s="31"/>
      <c r="U912" s="31"/>
      <c r="V912" s="31"/>
      <c r="W912" s="31"/>
      <c r="X912" s="31"/>
      <c r="Y912" s="31"/>
      <c r="Z912" s="31"/>
      <c r="AA912" s="31"/>
      <c r="AB912" s="31"/>
      <c r="AC912" s="31"/>
      <c r="AD912" s="31"/>
      <c r="AE912" s="31"/>
      <c r="AF912" s="31"/>
      <c r="AG912" s="31"/>
      <c r="AH912" s="31"/>
      <c r="AI912" s="31"/>
      <c r="AJ912" s="31"/>
      <c r="AK912" s="31"/>
      <c r="AL912" s="28" t="str">
        <f>VLOOKUP($G912,'[42]Sheet1 (2)'!$A$1:$B$1048440,2,FALSE)</f>
        <v>Rmt.</v>
      </c>
      <c r="AM912" s="32"/>
      <c r="AN912" s="31"/>
      <c r="AO912" s="33"/>
    </row>
    <row r="913" spans="1:41" ht="182" x14ac:dyDescent="0.25">
      <c r="A913" s="26">
        <v>789</v>
      </c>
      <c r="B913" s="24" t="s">
        <v>1359</v>
      </c>
      <c r="C913" s="22">
        <v>22.35</v>
      </c>
      <c r="D913" s="25" t="s">
        <v>1381</v>
      </c>
      <c r="E913" s="24" t="s">
        <v>1396</v>
      </c>
      <c r="F913" s="24" t="s">
        <v>44</v>
      </c>
      <c r="G913" s="21" t="s">
        <v>80</v>
      </c>
      <c r="H913" s="26">
        <v>8455</v>
      </c>
      <c r="I913" s="121">
        <v>2908</v>
      </c>
      <c r="J913" s="31"/>
      <c r="K913" s="31"/>
      <c r="L913" s="31"/>
      <c r="M913" s="31"/>
      <c r="N913" s="31"/>
      <c r="O913" s="31"/>
      <c r="P913" s="31"/>
      <c r="Q913" s="31"/>
      <c r="R913" s="31"/>
      <c r="S913" s="31"/>
      <c r="T913" s="31"/>
      <c r="U913" s="31"/>
      <c r="V913" s="31"/>
      <c r="W913" s="31"/>
      <c r="X913" s="31"/>
      <c r="Y913" s="31"/>
      <c r="Z913" s="31"/>
      <c r="AA913" s="31"/>
      <c r="AB913" s="31"/>
      <c r="AC913" s="31"/>
      <c r="AD913" s="31"/>
      <c r="AE913" s="31"/>
      <c r="AF913" s="31"/>
      <c r="AG913" s="31"/>
      <c r="AH913" s="31"/>
      <c r="AI913" s="31"/>
      <c r="AJ913" s="31"/>
      <c r="AK913" s="31"/>
      <c r="AL913" s="28" t="str">
        <f>VLOOKUP($G913,'[42]Sheet1 (2)'!$A$1:$B$1048440,2,FALSE)</f>
        <v>Rmt.</v>
      </c>
      <c r="AM913" s="32"/>
      <c r="AN913" s="31"/>
      <c r="AO913" s="33"/>
    </row>
    <row r="914" spans="1:41" ht="182" x14ac:dyDescent="0.25">
      <c r="A914" s="26">
        <v>790</v>
      </c>
      <c r="B914" s="24" t="s">
        <v>1359</v>
      </c>
      <c r="C914" s="22">
        <v>22.36</v>
      </c>
      <c r="D914" s="25" t="s">
        <v>1381</v>
      </c>
      <c r="E914" s="24" t="s">
        <v>1397</v>
      </c>
      <c r="F914" s="24" t="s">
        <v>44</v>
      </c>
      <c r="G914" s="21" t="s">
        <v>80</v>
      </c>
      <c r="H914" s="26">
        <v>9331</v>
      </c>
      <c r="I914" s="121">
        <v>3122</v>
      </c>
      <c r="J914" s="31"/>
      <c r="K914" s="31"/>
      <c r="L914" s="31"/>
      <c r="M914" s="31"/>
      <c r="N914" s="31"/>
      <c r="O914" s="31"/>
      <c r="P914" s="31"/>
      <c r="Q914" s="31"/>
      <c r="R914" s="31"/>
      <c r="S914" s="31"/>
      <c r="T914" s="31"/>
      <c r="U914" s="31"/>
      <c r="V914" s="31"/>
      <c r="W914" s="31"/>
      <c r="X914" s="31"/>
      <c r="Y914" s="31"/>
      <c r="Z914" s="31"/>
      <c r="AA914" s="31"/>
      <c r="AB914" s="31"/>
      <c r="AC914" s="31"/>
      <c r="AD914" s="31"/>
      <c r="AE914" s="31"/>
      <c r="AF914" s="31"/>
      <c r="AG914" s="31"/>
      <c r="AH914" s="31"/>
      <c r="AI914" s="31"/>
      <c r="AJ914" s="31"/>
      <c r="AK914" s="31"/>
      <c r="AL914" s="28" t="str">
        <f>VLOOKUP($G914,'[42]Sheet1 (2)'!$A$1:$B$1048440,2,FALSE)</f>
        <v>Rmt.</v>
      </c>
      <c r="AM914" s="32"/>
      <c r="AN914" s="31"/>
      <c r="AO914" s="33"/>
    </row>
    <row r="915" spans="1:41" ht="182" x14ac:dyDescent="0.25">
      <c r="A915" s="26">
        <v>791</v>
      </c>
      <c r="B915" s="24" t="s">
        <v>1359</v>
      </c>
      <c r="C915" s="22">
        <v>22.37</v>
      </c>
      <c r="D915" s="25" t="s">
        <v>1381</v>
      </c>
      <c r="E915" s="24" t="s">
        <v>1398</v>
      </c>
      <c r="F915" s="24" t="s">
        <v>44</v>
      </c>
      <c r="G915" s="21" t="s">
        <v>80</v>
      </c>
      <c r="H915" s="26">
        <v>9641</v>
      </c>
      <c r="I915" s="121">
        <v>3198</v>
      </c>
      <c r="J915" s="31"/>
      <c r="K915" s="31"/>
      <c r="L915" s="31"/>
      <c r="M915" s="31"/>
      <c r="N915" s="31"/>
      <c r="O915" s="31"/>
      <c r="P915" s="31"/>
      <c r="Q915" s="31"/>
      <c r="R915" s="31"/>
      <c r="S915" s="31"/>
      <c r="T915" s="31"/>
      <c r="U915" s="31"/>
      <c r="V915" s="31"/>
      <c r="W915" s="31"/>
      <c r="X915" s="31"/>
      <c r="Y915" s="31"/>
      <c r="Z915" s="31"/>
      <c r="AA915" s="31"/>
      <c r="AB915" s="31"/>
      <c r="AC915" s="31"/>
      <c r="AD915" s="31"/>
      <c r="AE915" s="31"/>
      <c r="AF915" s="31"/>
      <c r="AG915" s="31"/>
      <c r="AH915" s="31"/>
      <c r="AI915" s="31"/>
      <c r="AJ915" s="31"/>
      <c r="AK915" s="31"/>
      <c r="AL915" s="28" t="str">
        <f>VLOOKUP($G915,'[42]Sheet1 (2)'!$A$1:$B$1048440,2,FALSE)</f>
        <v>Rmt.</v>
      </c>
      <c r="AM915" s="32"/>
      <c r="AN915" s="31"/>
      <c r="AO915" s="33"/>
    </row>
    <row r="916" spans="1:41" ht="182" x14ac:dyDescent="0.25">
      <c r="A916" s="26">
        <v>792</v>
      </c>
      <c r="B916" s="24" t="s">
        <v>1359</v>
      </c>
      <c r="C916" s="22">
        <v>22.38</v>
      </c>
      <c r="D916" s="25" t="s">
        <v>1381</v>
      </c>
      <c r="E916" s="24" t="s">
        <v>1399</v>
      </c>
      <c r="F916" s="24" t="s">
        <v>44</v>
      </c>
      <c r="G916" s="21" t="s">
        <v>80</v>
      </c>
      <c r="H916" s="26">
        <v>10279</v>
      </c>
      <c r="I916" s="26">
        <v>5039</v>
      </c>
      <c r="J916" s="31"/>
      <c r="K916" s="31"/>
      <c r="L916" s="31"/>
      <c r="M916" s="31"/>
      <c r="N916" s="31"/>
      <c r="O916" s="31"/>
      <c r="P916" s="31"/>
      <c r="Q916" s="31"/>
      <c r="R916" s="31"/>
      <c r="S916" s="31"/>
      <c r="T916" s="31"/>
      <c r="U916" s="31"/>
      <c r="V916" s="31"/>
      <c r="W916" s="31"/>
      <c r="X916" s="31"/>
      <c r="Y916" s="31"/>
      <c r="Z916" s="31"/>
      <c r="AA916" s="31"/>
      <c r="AB916" s="31"/>
      <c r="AC916" s="31"/>
      <c r="AD916" s="31"/>
      <c r="AE916" s="31"/>
      <c r="AF916" s="31"/>
      <c r="AG916" s="31"/>
      <c r="AH916" s="31"/>
      <c r="AI916" s="31"/>
      <c r="AJ916" s="31"/>
      <c r="AK916" s="31"/>
      <c r="AL916" s="28" t="str">
        <f>VLOOKUP($G916,'[42]Sheet1 (2)'!$A$1:$B$1048440,2,FALSE)</f>
        <v>Rmt.</v>
      </c>
      <c r="AM916" s="32"/>
      <c r="AN916" s="31"/>
      <c r="AO916" s="33"/>
    </row>
    <row r="917" spans="1:41" ht="70" x14ac:dyDescent="0.25">
      <c r="A917" s="26">
        <v>793</v>
      </c>
      <c r="B917" s="24" t="s">
        <v>1359</v>
      </c>
      <c r="C917" s="22">
        <v>22.39</v>
      </c>
      <c r="D917" s="25" t="s">
        <v>1400</v>
      </c>
      <c r="E917" s="24" t="s">
        <v>1401</v>
      </c>
      <c r="F917" s="24" t="s">
        <v>44</v>
      </c>
      <c r="G917" s="25" t="s">
        <v>1402</v>
      </c>
      <c r="H917" s="26">
        <v>911</v>
      </c>
      <c r="I917" s="26">
        <v>911</v>
      </c>
      <c r="J917" s="31"/>
      <c r="K917" s="31"/>
      <c r="L917" s="31"/>
      <c r="M917" s="31"/>
      <c r="N917" s="31"/>
      <c r="O917" s="31"/>
      <c r="P917" s="31"/>
      <c r="Q917" s="31"/>
      <c r="R917" s="31"/>
      <c r="S917" s="31"/>
      <c r="T917" s="31"/>
      <c r="U917" s="31"/>
      <c r="V917" s="31"/>
      <c r="W917" s="31"/>
      <c r="X917" s="31"/>
      <c r="Y917" s="31"/>
      <c r="Z917" s="31"/>
      <c r="AA917" s="31"/>
      <c r="AB917" s="31"/>
      <c r="AC917" s="31"/>
      <c r="AD917" s="31"/>
      <c r="AE917" s="31"/>
      <c r="AF917" s="31"/>
      <c r="AG917" s="31"/>
      <c r="AH917" s="31"/>
      <c r="AI917" s="31"/>
      <c r="AJ917" s="31"/>
      <c r="AK917" s="31"/>
      <c r="AL917" s="28" t="e">
        <f>VLOOKUP($G917,'[42]Sheet1 (2)'!$A$1:$B$1048440,2,FALSE)</f>
        <v>#N/A</v>
      </c>
      <c r="AM917" s="32"/>
      <c r="AN917" s="31"/>
      <c r="AO917" s="33"/>
    </row>
    <row r="918" spans="1:41" ht="70" x14ac:dyDescent="0.25">
      <c r="A918" s="26">
        <v>794</v>
      </c>
      <c r="B918" s="24" t="s">
        <v>1359</v>
      </c>
      <c r="C918" s="22">
        <v>22.4</v>
      </c>
      <c r="D918" s="25" t="s">
        <v>1400</v>
      </c>
      <c r="E918" s="24" t="s">
        <v>1403</v>
      </c>
      <c r="F918" s="24" t="s">
        <v>44</v>
      </c>
      <c r="G918" s="25" t="s">
        <v>1402</v>
      </c>
      <c r="H918" s="26">
        <v>1434</v>
      </c>
      <c r="I918" s="26">
        <v>1434</v>
      </c>
      <c r="J918" s="31"/>
      <c r="K918" s="31"/>
      <c r="L918" s="31"/>
      <c r="M918" s="31"/>
      <c r="N918" s="31"/>
      <c r="O918" s="31"/>
      <c r="P918" s="31"/>
      <c r="Q918" s="31"/>
      <c r="R918" s="31"/>
      <c r="S918" s="31"/>
      <c r="T918" s="31"/>
      <c r="U918" s="31"/>
      <c r="V918" s="31"/>
      <c r="W918" s="31"/>
      <c r="X918" s="31"/>
      <c r="Y918" s="31"/>
      <c r="Z918" s="31"/>
      <c r="AA918" s="31"/>
      <c r="AB918" s="31"/>
      <c r="AC918" s="31"/>
      <c r="AD918" s="31"/>
      <c r="AE918" s="31"/>
      <c r="AF918" s="31"/>
      <c r="AG918" s="31"/>
      <c r="AH918" s="31"/>
      <c r="AI918" s="31"/>
      <c r="AJ918" s="31"/>
      <c r="AK918" s="31"/>
      <c r="AL918" s="28" t="e">
        <f>VLOOKUP($G918,'[42]Sheet1 (2)'!$A$1:$B$1048440,2,FALSE)</f>
        <v>#N/A</v>
      </c>
      <c r="AM918" s="32"/>
      <c r="AN918" s="31"/>
      <c r="AO918" s="33"/>
    </row>
    <row r="919" spans="1:41" ht="70" x14ac:dyDescent="0.25">
      <c r="A919" s="26">
        <v>795</v>
      </c>
      <c r="B919" s="24" t="s">
        <v>1359</v>
      </c>
      <c r="C919" s="22">
        <v>22.41</v>
      </c>
      <c r="D919" s="25" t="s">
        <v>1400</v>
      </c>
      <c r="E919" s="24" t="s">
        <v>1404</v>
      </c>
      <c r="F919" s="24" t="s">
        <v>44</v>
      </c>
      <c r="G919" s="25" t="s">
        <v>1402</v>
      </c>
      <c r="H919" s="26">
        <v>1659</v>
      </c>
      <c r="I919" s="26">
        <v>1659</v>
      </c>
      <c r="J919" s="31"/>
      <c r="K919" s="31"/>
      <c r="L919" s="31"/>
      <c r="M919" s="31"/>
      <c r="N919" s="31"/>
      <c r="O919" s="31"/>
      <c r="P919" s="31"/>
      <c r="Q919" s="31"/>
      <c r="R919" s="31"/>
      <c r="S919" s="31"/>
      <c r="T919" s="31"/>
      <c r="U919" s="31"/>
      <c r="V919" s="31"/>
      <c r="W919" s="31"/>
      <c r="X919" s="31"/>
      <c r="Y919" s="31"/>
      <c r="Z919" s="31"/>
      <c r="AA919" s="31"/>
      <c r="AB919" s="31"/>
      <c r="AC919" s="31"/>
      <c r="AD919" s="31"/>
      <c r="AE919" s="31"/>
      <c r="AF919" s="31"/>
      <c r="AG919" s="31"/>
      <c r="AH919" s="31"/>
      <c r="AI919" s="31"/>
      <c r="AJ919" s="31"/>
      <c r="AK919" s="31"/>
      <c r="AL919" s="28" t="e">
        <f>VLOOKUP($G919,'[42]Sheet1 (2)'!$A$1:$B$1048440,2,FALSE)</f>
        <v>#N/A</v>
      </c>
      <c r="AM919" s="32"/>
      <c r="AN919" s="31"/>
      <c r="AO919" s="33"/>
    </row>
    <row r="920" spans="1:41" ht="70" x14ac:dyDescent="0.25">
      <c r="A920" s="26">
        <v>796</v>
      </c>
      <c r="B920" s="24" t="s">
        <v>1359</v>
      </c>
      <c r="C920" s="22">
        <v>22.42</v>
      </c>
      <c r="D920" s="25" t="s">
        <v>1400</v>
      </c>
      <c r="E920" s="24" t="s">
        <v>1405</v>
      </c>
      <c r="F920" s="24" t="s">
        <v>44</v>
      </c>
      <c r="G920" s="25" t="s">
        <v>1402</v>
      </c>
      <c r="H920" s="26">
        <v>2399</v>
      </c>
      <c r="I920" s="26">
        <v>2399</v>
      </c>
      <c r="J920" s="31"/>
      <c r="K920" s="31"/>
      <c r="L920" s="31"/>
      <c r="M920" s="31"/>
      <c r="N920" s="31"/>
      <c r="O920" s="31"/>
      <c r="P920" s="31"/>
      <c r="Q920" s="31"/>
      <c r="R920" s="31"/>
      <c r="S920" s="31"/>
      <c r="T920" s="31"/>
      <c r="U920" s="31"/>
      <c r="V920" s="31"/>
      <c r="W920" s="31"/>
      <c r="X920" s="31"/>
      <c r="Y920" s="31"/>
      <c r="Z920" s="31"/>
      <c r="AA920" s="31"/>
      <c r="AB920" s="31"/>
      <c r="AC920" s="31"/>
      <c r="AD920" s="31"/>
      <c r="AE920" s="31"/>
      <c r="AF920" s="31"/>
      <c r="AG920" s="31"/>
      <c r="AH920" s="31"/>
      <c r="AI920" s="31"/>
      <c r="AJ920" s="31"/>
      <c r="AK920" s="31"/>
      <c r="AL920" s="28" t="e">
        <f>VLOOKUP($G920,'[42]Sheet1 (2)'!$A$1:$B$1048440,2,FALSE)</f>
        <v>#N/A</v>
      </c>
      <c r="AM920" s="32"/>
      <c r="AN920" s="31"/>
      <c r="AO920" s="33"/>
    </row>
    <row r="921" spans="1:41" ht="84" x14ac:dyDescent="0.25">
      <c r="A921" s="26">
        <v>797</v>
      </c>
      <c r="B921" s="24" t="s">
        <v>1359</v>
      </c>
      <c r="C921" s="22">
        <v>22.43</v>
      </c>
      <c r="D921" s="25" t="s">
        <v>1406</v>
      </c>
      <c r="E921" s="24" t="s">
        <v>1407</v>
      </c>
      <c r="F921" s="24" t="s">
        <v>44</v>
      </c>
      <c r="G921" s="25" t="s">
        <v>45</v>
      </c>
      <c r="H921" s="26">
        <v>105513</v>
      </c>
      <c r="I921" s="26">
        <v>80469</v>
      </c>
      <c r="J921" s="31"/>
      <c r="K921" s="31"/>
      <c r="L921" s="31"/>
      <c r="M921" s="31"/>
      <c r="N921" s="31"/>
      <c r="O921" s="31"/>
      <c r="P921" s="31"/>
      <c r="Q921" s="31"/>
      <c r="R921" s="31"/>
      <c r="S921" s="31"/>
      <c r="T921" s="31"/>
      <c r="U921" s="31"/>
      <c r="V921" s="31"/>
      <c r="W921" s="31"/>
      <c r="X921" s="31"/>
      <c r="Y921" s="31"/>
      <c r="Z921" s="31"/>
      <c r="AA921" s="31"/>
      <c r="AB921" s="31"/>
      <c r="AC921" s="31"/>
      <c r="AD921" s="31"/>
      <c r="AE921" s="31"/>
      <c r="AF921" s="31"/>
      <c r="AG921" s="31"/>
      <c r="AH921" s="31"/>
      <c r="AI921" s="31"/>
      <c r="AJ921" s="31"/>
      <c r="AK921" s="31"/>
      <c r="AL921" s="28" t="str">
        <f>VLOOKUP($G921,'[42]Sheet1 (2)'!$A$1:$B$1048440,2,FALSE)</f>
        <v>No.</v>
      </c>
      <c r="AM921" s="32"/>
      <c r="AN921" s="31"/>
      <c r="AO921" s="33"/>
    </row>
    <row r="922" spans="1:41" ht="112" x14ac:dyDescent="0.25">
      <c r="A922" s="26">
        <v>798</v>
      </c>
      <c r="B922" s="24" t="s">
        <v>1359</v>
      </c>
      <c r="C922" s="22">
        <v>22.44</v>
      </c>
      <c r="D922" s="25" t="s">
        <v>1406</v>
      </c>
      <c r="E922" s="23" t="s">
        <v>1408</v>
      </c>
      <c r="F922" s="24" t="s">
        <v>44</v>
      </c>
      <c r="G922" s="25" t="s">
        <v>45</v>
      </c>
      <c r="H922" s="26">
        <v>127987</v>
      </c>
      <c r="I922" s="26">
        <v>102942</v>
      </c>
      <c r="J922" s="31"/>
      <c r="K922" s="31"/>
      <c r="L922" s="31"/>
      <c r="M922" s="31"/>
      <c r="N922" s="31"/>
      <c r="O922" s="31"/>
      <c r="P922" s="31"/>
      <c r="Q922" s="31"/>
      <c r="R922" s="31"/>
      <c r="S922" s="31"/>
      <c r="T922" s="31"/>
      <c r="U922" s="31"/>
      <c r="V922" s="31"/>
      <c r="W922" s="31"/>
      <c r="X922" s="31"/>
      <c r="Y922" s="31"/>
      <c r="Z922" s="31"/>
      <c r="AA922" s="31"/>
      <c r="AB922" s="31"/>
      <c r="AC922" s="31"/>
      <c r="AD922" s="31"/>
      <c r="AE922" s="31"/>
      <c r="AF922" s="31"/>
      <c r="AG922" s="31"/>
      <c r="AH922" s="31"/>
      <c r="AI922" s="31"/>
      <c r="AJ922" s="31"/>
      <c r="AK922" s="31"/>
      <c r="AL922" s="28" t="str">
        <f>VLOOKUP($G922,'[42]Sheet1 (2)'!$A$1:$B$1048440,2,FALSE)</f>
        <v>No.</v>
      </c>
      <c r="AM922" s="32"/>
      <c r="AN922" s="31"/>
      <c r="AO922" s="33"/>
    </row>
    <row r="923" spans="1:41" ht="84" x14ac:dyDescent="0.25">
      <c r="A923" s="26">
        <v>799</v>
      </c>
      <c r="B923" s="24" t="s">
        <v>1359</v>
      </c>
      <c r="C923" s="22">
        <v>22.45</v>
      </c>
      <c r="D923" s="25" t="s">
        <v>1406</v>
      </c>
      <c r="E923" s="24" t="s">
        <v>1409</v>
      </c>
      <c r="F923" s="24" t="s">
        <v>44</v>
      </c>
      <c r="G923" s="25" t="s">
        <v>45</v>
      </c>
      <c r="H923" s="26">
        <v>176736</v>
      </c>
      <c r="I923" s="26">
        <v>151692</v>
      </c>
      <c r="J923" s="31"/>
      <c r="K923" s="31"/>
      <c r="L923" s="31"/>
      <c r="M923" s="31"/>
      <c r="N923" s="31"/>
      <c r="O923" s="31"/>
      <c r="P923" s="31"/>
      <c r="Q923" s="31"/>
      <c r="R923" s="31"/>
      <c r="S923" s="31"/>
      <c r="T923" s="31"/>
      <c r="U923" s="31"/>
      <c r="V923" s="31"/>
      <c r="W923" s="31"/>
      <c r="X923" s="31"/>
      <c r="Y923" s="31"/>
      <c r="Z923" s="31"/>
      <c r="AA923" s="31"/>
      <c r="AB923" s="31"/>
      <c r="AC923" s="31"/>
      <c r="AD923" s="31"/>
      <c r="AE923" s="31"/>
      <c r="AF923" s="31"/>
      <c r="AG923" s="31"/>
      <c r="AH923" s="31"/>
      <c r="AI923" s="31"/>
      <c r="AJ923" s="31"/>
      <c r="AK923" s="31"/>
      <c r="AL923" s="28" t="str">
        <f>VLOOKUP($G923,'[42]Sheet1 (2)'!$A$1:$B$1048440,2,FALSE)</f>
        <v>No.</v>
      </c>
      <c r="AM923" s="32"/>
      <c r="AN923" s="31"/>
      <c r="AO923" s="33"/>
    </row>
    <row r="924" spans="1:41" ht="84" x14ac:dyDescent="0.25">
      <c r="A924" s="26">
        <v>800</v>
      </c>
      <c r="B924" s="24" t="s">
        <v>1359</v>
      </c>
      <c r="C924" s="22">
        <v>22.46</v>
      </c>
      <c r="D924" s="25" t="s">
        <v>1406</v>
      </c>
      <c r="E924" s="24" t="s">
        <v>1410</v>
      </c>
      <c r="F924" s="24" t="s">
        <v>44</v>
      </c>
      <c r="G924" s="25" t="s">
        <v>45</v>
      </c>
      <c r="H924" s="26">
        <v>222412</v>
      </c>
      <c r="I924" s="26">
        <v>197368</v>
      </c>
      <c r="J924" s="31"/>
      <c r="K924" s="31"/>
      <c r="L924" s="31"/>
      <c r="M924" s="31"/>
      <c r="N924" s="31"/>
      <c r="O924" s="31"/>
      <c r="P924" s="31"/>
      <c r="Q924" s="31"/>
      <c r="R924" s="31"/>
      <c r="S924" s="31"/>
      <c r="T924" s="31"/>
      <c r="U924" s="31"/>
      <c r="V924" s="31"/>
      <c r="W924" s="31"/>
      <c r="X924" s="31"/>
      <c r="Y924" s="31"/>
      <c r="Z924" s="31"/>
      <c r="AA924" s="31"/>
      <c r="AB924" s="31"/>
      <c r="AC924" s="31"/>
      <c r="AD924" s="31"/>
      <c r="AE924" s="31"/>
      <c r="AF924" s="31"/>
      <c r="AG924" s="31"/>
      <c r="AH924" s="31"/>
      <c r="AI924" s="31"/>
      <c r="AJ924" s="31"/>
      <c r="AK924" s="31"/>
      <c r="AL924" s="28" t="str">
        <f>VLOOKUP($G924,'[42]Sheet1 (2)'!$A$1:$B$1048440,2,FALSE)</f>
        <v>No.</v>
      </c>
      <c r="AM924" s="32"/>
      <c r="AN924" s="31"/>
      <c r="AO924" s="33"/>
    </row>
    <row r="925" spans="1:41" ht="84" x14ac:dyDescent="0.25">
      <c r="A925" s="26">
        <v>801</v>
      </c>
      <c r="B925" s="24" t="s">
        <v>1359</v>
      </c>
      <c r="C925" s="22">
        <v>22.47</v>
      </c>
      <c r="D925" s="25" t="s">
        <v>1406</v>
      </c>
      <c r="E925" s="24" t="s">
        <v>1411</v>
      </c>
      <c r="F925" s="24" t="s">
        <v>44</v>
      </c>
      <c r="G925" s="25" t="s">
        <v>45</v>
      </c>
      <c r="H925" s="26">
        <v>268147</v>
      </c>
      <c r="I925" s="26">
        <v>243103</v>
      </c>
      <c r="J925" s="31"/>
      <c r="K925" s="31"/>
      <c r="L925" s="31"/>
      <c r="M925" s="31"/>
      <c r="N925" s="31"/>
      <c r="O925" s="31"/>
      <c r="P925" s="31"/>
      <c r="Q925" s="31"/>
      <c r="R925" s="31"/>
      <c r="S925" s="31"/>
      <c r="T925" s="31"/>
      <c r="U925" s="31"/>
      <c r="V925" s="31"/>
      <c r="W925" s="31"/>
      <c r="X925" s="31"/>
      <c r="Y925" s="31"/>
      <c r="Z925" s="31"/>
      <c r="AA925" s="31"/>
      <c r="AB925" s="31"/>
      <c r="AC925" s="31"/>
      <c r="AD925" s="31"/>
      <c r="AE925" s="31"/>
      <c r="AF925" s="31"/>
      <c r="AG925" s="31"/>
      <c r="AH925" s="31"/>
      <c r="AI925" s="31"/>
      <c r="AJ925" s="31"/>
      <c r="AK925" s="31"/>
      <c r="AL925" s="28" t="str">
        <f>VLOOKUP($G925,'[42]Sheet1 (2)'!$A$1:$B$1048440,2,FALSE)</f>
        <v>No.</v>
      </c>
      <c r="AM925" s="32"/>
      <c r="AN925" s="31"/>
      <c r="AO925" s="33"/>
    </row>
    <row r="926" spans="1:41" ht="84" x14ac:dyDescent="0.25">
      <c r="A926" s="26">
        <v>802</v>
      </c>
      <c r="B926" s="24" t="s">
        <v>1359</v>
      </c>
      <c r="C926" s="22">
        <v>22.48</v>
      </c>
      <c r="D926" s="25" t="s">
        <v>1406</v>
      </c>
      <c r="E926" s="24" t="s">
        <v>1412</v>
      </c>
      <c r="F926" s="24" t="s">
        <v>44</v>
      </c>
      <c r="G926" s="25" t="s">
        <v>45</v>
      </c>
      <c r="H926" s="26">
        <v>311479</v>
      </c>
      <c r="I926" s="26">
        <v>286435</v>
      </c>
      <c r="J926" s="31"/>
      <c r="K926" s="31"/>
      <c r="L926" s="31"/>
      <c r="M926" s="31"/>
      <c r="N926" s="31"/>
      <c r="O926" s="31"/>
      <c r="P926" s="31"/>
      <c r="Q926" s="31"/>
      <c r="R926" s="31"/>
      <c r="S926" s="31"/>
      <c r="T926" s="31"/>
      <c r="U926" s="31"/>
      <c r="V926" s="31"/>
      <c r="W926" s="31"/>
      <c r="X926" s="31"/>
      <c r="Y926" s="31"/>
      <c r="Z926" s="31"/>
      <c r="AA926" s="31"/>
      <c r="AB926" s="31"/>
      <c r="AC926" s="31"/>
      <c r="AD926" s="31"/>
      <c r="AE926" s="31"/>
      <c r="AF926" s="31"/>
      <c r="AG926" s="31"/>
      <c r="AH926" s="31"/>
      <c r="AI926" s="31"/>
      <c r="AJ926" s="31"/>
      <c r="AK926" s="31"/>
      <c r="AL926" s="28" t="str">
        <f>VLOOKUP($G926,'[42]Sheet1 (2)'!$A$1:$B$1048440,2,FALSE)</f>
        <v>No.</v>
      </c>
      <c r="AM926" s="32"/>
      <c r="AN926" s="31"/>
      <c r="AO926" s="33"/>
    </row>
    <row r="927" spans="1:41" ht="84" x14ac:dyDescent="0.25">
      <c r="A927" s="26">
        <v>803</v>
      </c>
      <c r="B927" s="24" t="s">
        <v>1359</v>
      </c>
      <c r="C927" s="22">
        <v>22.49</v>
      </c>
      <c r="D927" s="25" t="s">
        <v>1406</v>
      </c>
      <c r="E927" s="24" t="s">
        <v>1413</v>
      </c>
      <c r="F927" s="24" t="s">
        <v>44</v>
      </c>
      <c r="G927" s="25" t="s">
        <v>45</v>
      </c>
      <c r="H927" s="26">
        <v>388752</v>
      </c>
      <c r="I927" s="26">
        <v>363707</v>
      </c>
      <c r="J927" s="31"/>
      <c r="K927" s="31"/>
      <c r="L927" s="31"/>
      <c r="M927" s="31"/>
      <c r="N927" s="31"/>
      <c r="O927" s="31"/>
      <c r="P927" s="31"/>
      <c r="Q927" s="31"/>
      <c r="R927" s="31"/>
      <c r="S927" s="31"/>
      <c r="T927" s="31"/>
      <c r="U927" s="31"/>
      <c r="V927" s="31"/>
      <c r="W927" s="31"/>
      <c r="X927" s="31"/>
      <c r="Y927" s="31"/>
      <c r="Z927" s="31"/>
      <c r="AA927" s="31"/>
      <c r="AB927" s="31"/>
      <c r="AC927" s="31"/>
      <c r="AD927" s="31"/>
      <c r="AE927" s="31"/>
      <c r="AF927" s="31"/>
      <c r="AG927" s="31"/>
      <c r="AH927" s="31"/>
      <c r="AI927" s="31"/>
      <c r="AJ927" s="31"/>
      <c r="AK927" s="31"/>
      <c r="AL927" s="28" t="str">
        <f>VLOOKUP($G927,'[42]Sheet1 (2)'!$A$1:$B$1048440,2,FALSE)</f>
        <v>No.</v>
      </c>
      <c r="AM927" s="32"/>
      <c r="AN927" s="31"/>
      <c r="AO927" s="33"/>
    </row>
    <row r="928" spans="1:41" ht="56" x14ac:dyDescent="0.25">
      <c r="A928" s="26">
        <v>804</v>
      </c>
      <c r="B928" s="24" t="s">
        <v>1359</v>
      </c>
      <c r="C928" s="22">
        <v>22.5</v>
      </c>
      <c r="D928" s="23"/>
      <c r="E928" s="23" t="s">
        <v>1414</v>
      </c>
      <c r="F928" s="24" t="s">
        <v>44</v>
      </c>
      <c r="G928" s="21" t="s">
        <v>80</v>
      </c>
      <c r="H928" s="26">
        <v>579</v>
      </c>
      <c r="I928" s="26">
        <v>422</v>
      </c>
      <c r="J928" s="31"/>
      <c r="K928" s="31"/>
      <c r="L928" s="31"/>
      <c r="M928" s="31"/>
      <c r="N928" s="31"/>
      <c r="O928" s="31"/>
      <c r="P928" s="31"/>
      <c r="Q928" s="31"/>
      <c r="R928" s="31"/>
      <c r="S928" s="31"/>
      <c r="T928" s="31"/>
      <c r="U928" s="31"/>
      <c r="V928" s="31"/>
      <c r="W928" s="31"/>
      <c r="X928" s="31"/>
      <c r="Y928" s="31"/>
      <c r="Z928" s="31"/>
      <c r="AA928" s="31"/>
      <c r="AB928" s="31"/>
      <c r="AC928" s="31"/>
      <c r="AD928" s="31"/>
      <c r="AE928" s="31"/>
      <c r="AF928" s="31"/>
      <c r="AG928" s="31"/>
      <c r="AH928" s="31"/>
      <c r="AI928" s="31"/>
      <c r="AJ928" s="31"/>
      <c r="AK928" s="31"/>
      <c r="AL928" s="28" t="str">
        <f>VLOOKUP($G928,'[42]Sheet1 (2)'!$A$1:$B$1048440,2,FALSE)</f>
        <v>Rmt.</v>
      </c>
      <c r="AM928" s="32"/>
      <c r="AN928" s="31"/>
      <c r="AO928" s="33"/>
    </row>
    <row r="929" spans="1:41" ht="56" x14ac:dyDescent="0.25">
      <c r="A929" s="26">
        <v>805</v>
      </c>
      <c r="B929" s="24" t="s">
        <v>1359</v>
      </c>
      <c r="C929" s="22">
        <v>22.51</v>
      </c>
      <c r="D929" s="23"/>
      <c r="E929" s="23" t="s">
        <v>1415</v>
      </c>
      <c r="F929" s="24" t="s">
        <v>44</v>
      </c>
      <c r="G929" s="21" t="s">
        <v>80</v>
      </c>
      <c r="H929" s="26">
        <v>668</v>
      </c>
      <c r="I929" s="26">
        <v>504</v>
      </c>
      <c r="J929" s="31"/>
      <c r="K929" s="31"/>
      <c r="L929" s="31"/>
      <c r="M929" s="31"/>
      <c r="N929" s="31"/>
      <c r="O929" s="31"/>
      <c r="P929" s="31"/>
      <c r="Q929" s="31"/>
      <c r="R929" s="31"/>
      <c r="S929" s="31"/>
      <c r="T929" s="31"/>
      <c r="U929" s="31"/>
      <c r="V929" s="31"/>
      <c r="W929" s="31"/>
      <c r="X929" s="31"/>
      <c r="Y929" s="31"/>
      <c r="Z929" s="31"/>
      <c r="AA929" s="31"/>
      <c r="AB929" s="31"/>
      <c r="AC929" s="31"/>
      <c r="AD929" s="31"/>
      <c r="AE929" s="31"/>
      <c r="AF929" s="31"/>
      <c r="AG929" s="31"/>
      <c r="AH929" s="31"/>
      <c r="AI929" s="31"/>
      <c r="AJ929" s="31"/>
      <c r="AK929" s="31"/>
      <c r="AL929" s="28" t="str">
        <f>VLOOKUP($G929,'[42]Sheet1 (2)'!$A$1:$B$1048440,2,FALSE)</f>
        <v>Rmt.</v>
      </c>
      <c r="AM929" s="32"/>
      <c r="AN929" s="31"/>
      <c r="AO929" s="33"/>
    </row>
    <row r="930" spans="1:41" ht="56" x14ac:dyDescent="0.25">
      <c r="A930" s="26">
        <v>806</v>
      </c>
      <c r="B930" s="24" t="s">
        <v>1359</v>
      </c>
      <c r="C930" s="22">
        <v>22.52</v>
      </c>
      <c r="D930" s="23"/>
      <c r="E930" s="23" t="s">
        <v>1416</v>
      </c>
      <c r="F930" s="24" t="s">
        <v>44</v>
      </c>
      <c r="G930" s="21" t="s">
        <v>80</v>
      </c>
      <c r="H930" s="26">
        <v>1348</v>
      </c>
      <c r="I930" s="26">
        <v>1166</v>
      </c>
      <c r="J930" s="31"/>
      <c r="K930" s="31"/>
      <c r="L930" s="31"/>
      <c r="M930" s="31"/>
      <c r="N930" s="31"/>
      <c r="O930" s="31"/>
      <c r="P930" s="31"/>
      <c r="Q930" s="31"/>
      <c r="R930" s="31"/>
      <c r="S930" s="31"/>
      <c r="T930" s="31"/>
      <c r="U930" s="31"/>
      <c r="V930" s="31"/>
      <c r="W930" s="31"/>
      <c r="X930" s="31"/>
      <c r="Y930" s="31"/>
      <c r="Z930" s="31"/>
      <c r="AA930" s="31"/>
      <c r="AB930" s="31"/>
      <c r="AC930" s="31"/>
      <c r="AD930" s="31"/>
      <c r="AE930" s="31"/>
      <c r="AF930" s="31"/>
      <c r="AG930" s="31"/>
      <c r="AH930" s="31"/>
      <c r="AI930" s="31"/>
      <c r="AJ930" s="31"/>
      <c r="AK930" s="31"/>
      <c r="AL930" s="28" t="str">
        <f>VLOOKUP($G930,'[42]Sheet1 (2)'!$A$1:$B$1048440,2,FALSE)</f>
        <v>Rmt.</v>
      </c>
      <c r="AM930" s="32"/>
      <c r="AN930" s="31"/>
      <c r="AO930" s="33"/>
    </row>
    <row r="931" spans="1:41" ht="56" x14ac:dyDescent="0.25">
      <c r="A931" s="26">
        <v>807</v>
      </c>
      <c r="B931" s="24" t="s">
        <v>1359</v>
      </c>
      <c r="C931" s="22">
        <v>22.53</v>
      </c>
      <c r="D931" s="23"/>
      <c r="E931" s="23" t="s">
        <v>1417</v>
      </c>
      <c r="F931" s="24" t="s">
        <v>44</v>
      </c>
      <c r="G931" s="21" t="s">
        <v>80</v>
      </c>
      <c r="H931" s="26">
        <v>1384</v>
      </c>
      <c r="I931" s="26">
        <v>1166</v>
      </c>
      <c r="J931" s="31"/>
      <c r="K931" s="31"/>
      <c r="L931" s="31"/>
      <c r="M931" s="31"/>
      <c r="N931" s="31"/>
      <c r="O931" s="31"/>
      <c r="P931" s="31"/>
      <c r="Q931" s="31"/>
      <c r="R931" s="31"/>
      <c r="S931" s="31"/>
      <c r="T931" s="31"/>
      <c r="U931" s="31"/>
      <c r="V931" s="31"/>
      <c r="W931" s="31"/>
      <c r="X931" s="31"/>
      <c r="Y931" s="31"/>
      <c r="Z931" s="31"/>
      <c r="AA931" s="31"/>
      <c r="AB931" s="31"/>
      <c r="AC931" s="31"/>
      <c r="AD931" s="31"/>
      <c r="AE931" s="31"/>
      <c r="AF931" s="31"/>
      <c r="AG931" s="31"/>
      <c r="AH931" s="31"/>
      <c r="AI931" s="31"/>
      <c r="AJ931" s="31"/>
      <c r="AK931" s="31"/>
      <c r="AL931" s="28" t="str">
        <f>VLOOKUP($G931,'[42]Sheet1 (2)'!$A$1:$B$1048440,2,FALSE)</f>
        <v>Rmt.</v>
      </c>
      <c r="AM931" s="32"/>
      <c r="AN931" s="31"/>
      <c r="AO931" s="33"/>
    </row>
    <row r="932" spans="1:41" ht="56" x14ac:dyDescent="0.25">
      <c r="A932" s="26">
        <v>808</v>
      </c>
      <c r="B932" s="24" t="s">
        <v>1359</v>
      </c>
      <c r="C932" s="22">
        <v>22.54</v>
      </c>
      <c r="D932" s="23"/>
      <c r="E932" s="23" t="s">
        <v>1418</v>
      </c>
      <c r="F932" s="24" t="s">
        <v>44</v>
      </c>
      <c r="G932" s="21" t="s">
        <v>80</v>
      </c>
      <c r="H932" s="26">
        <v>1485</v>
      </c>
      <c r="I932" s="121">
        <v>1249</v>
      </c>
      <c r="J932" s="31"/>
      <c r="K932" s="31"/>
      <c r="L932" s="31"/>
      <c r="M932" s="31"/>
      <c r="N932" s="31"/>
      <c r="O932" s="31"/>
      <c r="P932" s="31"/>
      <c r="Q932" s="31"/>
      <c r="R932" s="31"/>
      <c r="S932" s="31"/>
      <c r="T932" s="31"/>
      <c r="U932" s="31"/>
      <c r="V932" s="31"/>
      <c r="W932" s="31"/>
      <c r="X932" s="31"/>
      <c r="Y932" s="31"/>
      <c r="Z932" s="31"/>
      <c r="AA932" s="31"/>
      <c r="AB932" s="31"/>
      <c r="AC932" s="31"/>
      <c r="AD932" s="31"/>
      <c r="AE932" s="31"/>
      <c r="AF932" s="31"/>
      <c r="AG932" s="31"/>
      <c r="AH932" s="31"/>
      <c r="AI932" s="31"/>
      <c r="AJ932" s="31"/>
      <c r="AK932" s="31"/>
      <c r="AL932" s="28" t="str">
        <f>VLOOKUP($G932,'[42]Sheet1 (2)'!$A$1:$B$1048440,2,FALSE)</f>
        <v>Rmt.</v>
      </c>
      <c r="AM932" s="32"/>
      <c r="AN932" s="31"/>
      <c r="AO932" s="33"/>
    </row>
    <row r="933" spans="1:41" ht="70" x14ac:dyDescent="0.25">
      <c r="A933" s="26">
        <v>809</v>
      </c>
      <c r="B933" s="24" t="s">
        <v>1359</v>
      </c>
      <c r="C933" s="22">
        <v>22.55</v>
      </c>
      <c r="D933" s="23"/>
      <c r="E933" s="23" t="s">
        <v>1419</v>
      </c>
      <c r="F933" s="24" t="s">
        <v>44</v>
      </c>
      <c r="G933" s="25" t="s">
        <v>45</v>
      </c>
      <c r="H933" s="26">
        <v>744</v>
      </c>
      <c r="I933" s="103">
        <v>744</v>
      </c>
      <c r="J933" s="31"/>
      <c r="K933" s="31"/>
      <c r="L933" s="31"/>
      <c r="M933" s="31"/>
      <c r="N933" s="31"/>
      <c r="O933" s="31"/>
      <c r="P933" s="31"/>
      <c r="Q933" s="31"/>
      <c r="R933" s="31"/>
      <c r="S933" s="31"/>
      <c r="T933" s="31"/>
      <c r="U933" s="31"/>
      <c r="V933" s="31"/>
      <c r="W933" s="31"/>
      <c r="X933" s="31"/>
      <c r="Y933" s="31"/>
      <c r="Z933" s="31"/>
      <c r="AA933" s="31"/>
      <c r="AB933" s="31"/>
      <c r="AC933" s="31"/>
      <c r="AD933" s="31"/>
      <c r="AE933" s="31"/>
      <c r="AF933" s="31"/>
      <c r="AG933" s="31"/>
      <c r="AH933" s="31"/>
      <c r="AI933" s="31"/>
      <c r="AJ933" s="31"/>
      <c r="AK933" s="31"/>
      <c r="AL933" s="28" t="str">
        <f>VLOOKUP($G933,'[42]Sheet1 (2)'!$A$1:$B$1048440,2,FALSE)</f>
        <v>No.</v>
      </c>
      <c r="AM933" s="32"/>
      <c r="AN933" s="31"/>
      <c r="AO933" s="33"/>
    </row>
    <row r="934" spans="1:41" ht="42" x14ac:dyDescent="0.25">
      <c r="A934" s="26">
        <v>810</v>
      </c>
      <c r="B934" s="35" t="s">
        <v>1420</v>
      </c>
      <c r="C934" s="22">
        <v>22.56</v>
      </c>
      <c r="D934" s="23"/>
      <c r="E934" s="24" t="s">
        <v>1421</v>
      </c>
      <c r="F934" s="24" t="s">
        <v>44</v>
      </c>
      <c r="G934" s="21" t="s">
        <v>80</v>
      </c>
      <c r="H934" s="26">
        <v>80</v>
      </c>
      <c r="I934" s="103">
        <v>30</v>
      </c>
      <c r="J934" s="31"/>
      <c r="K934" s="31"/>
      <c r="L934" s="31"/>
      <c r="M934" s="31"/>
      <c r="N934" s="31"/>
      <c r="O934" s="31"/>
      <c r="P934" s="31"/>
      <c r="Q934" s="31"/>
      <c r="R934" s="31"/>
      <c r="S934" s="31"/>
      <c r="T934" s="31"/>
      <c r="U934" s="31"/>
      <c r="V934" s="31"/>
      <c r="W934" s="31"/>
      <c r="X934" s="31"/>
      <c r="Y934" s="31"/>
      <c r="Z934" s="31"/>
      <c r="AA934" s="31"/>
      <c r="AB934" s="31"/>
      <c r="AC934" s="31"/>
      <c r="AD934" s="31"/>
      <c r="AE934" s="31"/>
      <c r="AF934" s="31"/>
      <c r="AG934" s="31"/>
      <c r="AH934" s="31"/>
      <c r="AI934" s="31"/>
      <c r="AJ934" s="31"/>
      <c r="AK934" s="31"/>
      <c r="AL934" s="28" t="str">
        <f>VLOOKUP($G934,'[42]Sheet1 (2)'!$A$1:$B$1048440,2,FALSE)</f>
        <v>Rmt.</v>
      </c>
      <c r="AM934" s="32"/>
      <c r="AN934" s="31"/>
      <c r="AO934" s="33"/>
    </row>
    <row r="935" spans="1:41" ht="112" x14ac:dyDescent="0.25">
      <c r="A935" s="26">
        <v>811</v>
      </c>
      <c r="B935" s="24" t="s">
        <v>1359</v>
      </c>
      <c r="C935" s="22">
        <v>22.57</v>
      </c>
      <c r="D935" s="23"/>
      <c r="E935" s="23" t="s">
        <v>1422</v>
      </c>
      <c r="F935" s="24" t="s">
        <v>44</v>
      </c>
      <c r="G935" s="25" t="s">
        <v>1046</v>
      </c>
      <c r="H935" s="26">
        <v>100890</v>
      </c>
      <c r="I935" s="121">
        <v>21389</v>
      </c>
      <c r="J935" s="31"/>
      <c r="K935" s="31"/>
      <c r="L935" s="31"/>
      <c r="M935" s="31"/>
      <c r="N935" s="31"/>
      <c r="O935" s="31"/>
      <c r="P935" s="31"/>
      <c r="Q935" s="31"/>
      <c r="R935" s="31"/>
      <c r="S935" s="31"/>
      <c r="T935" s="31"/>
      <c r="U935" s="31"/>
      <c r="V935" s="31"/>
      <c r="W935" s="31"/>
      <c r="X935" s="31"/>
      <c r="Y935" s="31"/>
      <c r="Z935" s="31"/>
      <c r="AA935" s="31"/>
      <c r="AB935" s="31"/>
      <c r="AC935" s="31"/>
      <c r="AD935" s="31"/>
      <c r="AE935" s="31"/>
      <c r="AF935" s="31"/>
      <c r="AG935" s="31"/>
      <c r="AH935" s="31"/>
      <c r="AI935" s="31"/>
      <c r="AJ935" s="31"/>
      <c r="AK935" s="31"/>
      <c r="AL935" s="28" t="str">
        <f>VLOOKUP($G935,'[42]Sheet1 (2)'!$A$1:$B$1048440,2,FALSE)</f>
        <v>M.T.</v>
      </c>
      <c r="AM935" s="32"/>
      <c r="AN935" s="31"/>
      <c r="AO935" s="33"/>
    </row>
    <row r="936" spans="1:41" ht="126" x14ac:dyDescent="0.25">
      <c r="A936" s="26">
        <v>812</v>
      </c>
      <c r="B936" s="24" t="s">
        <v>1359</v>
      </c>
      <c r="C936" s="22">
        <v>22.58</v>
      </c>
      <c r="D936" s="23"/>
      <c r="E936" s="24" t="s">
        <v>1423</v>
      </c>
      <c r="F936" s="24" t="s">
        <v>44</v>
      </c>
      <c r="G936" s="25" t="s">
        <v>1046</v>
      </c>
      <c r="H936" s="26">
        <v>104801</v>
      </c>
      <c r="I936" s="121">
        <v>25299</v>
      </c>
      <c r="J936" s="31"/>
      <c r="K936" s="31"/>
      <c r="L936" s="31"/>
      <c r="M936" s="31"/>
      <c r="N936" s="31"/>
      <c r="O936" s="31"/>
      <c r="P936" s="31"/>
      <c r="Q936" s="31"/>
      <c r="R936" s="31"/>
      <c r="S936" s="31"/>
      <c r="T936" s="31"/>
      <c r="U936" s="31"/>
      <c r="V936" s="31"/>
      <c r="W936" s="31"/>
      <c r="X936" s="31"/>
      <c r="Y936" s="31"/>
      <c r="Z936" s="31"/>
      <c r="AA936" s="31"/>
      <c r="AB936" s="31"/>
      <c r="AC936" s="31"/>
      <c r="AD936" s="31"/>
      <c r="AE936" s="31"/>
      <c r="AF936" s="31"/>
      <c r="AG936" s="31"/>
      <c r="AH936" s="31"/>
      <c r="AI936" s="31"/>
      <c r="AJ936" s="31"/>
      <c r="AK936" s="31"/>
      <c r="AL936" s="28" t="str">
        <f>VLOOKUP($G936,'[42]Sheet1 (2)'!$A$1:$B$1048440,2,FALSE)</f>
        <v>M.T.</v>
      </c>
      <c r="AM936" s="32"/>
      <c r="AN936" s="31"/>
      <c r="AO936" s="33"/>
    </row>
    <row r="937" spans="1:41" ht="140" x14ac:dyDescent="0.25">
      <c r="A937" s="26">
        <v>813</v>
      </c>
      <c r="B937" s="24" t="s">
        <v>1359</v>
      </c>
      <c r="C937" s="22">
        <v>22.59</v>
      </c>
      <c r="D937" s="23"/>
      <c r="E937" s="23" t="s">
        <v>1424</v>
      </c>
      <c r="F937" s="24" t="s">
        <v>44</v>
      </c>
      <c r="G937" s="25" t="s">
        <v>47</v>
      </c>
      <c r="H937" s="26">
        <v>7534</v>
      </c>
      <c r="I937" s="121">
        <v>2165</v>
      </c>
      <c r="J937" s="163">
        <f>7/20</f>
        <v>0.35</v>
      </c>
      <c r="K937" s="163"/>
      <c r="L937" s="163">
        <v>0.85</v>
      </c>
      <c r="M937" s="163"/>
      <c r="N937" s="163"/>
      <c r="O937" s="163"/>
      <c r="P937" s="163">
        <v>0.42499999999999999</v>
      </c>
      <c r="Q937" s="31"/>
      <c r="R937" s="31"/>
      <c r="S937" s="31"/>
      <c r="T937" s="31"/>
      <c r="U937" s="31"/>
      <c r="V937" s="31"/>
      <c r="W937" s="31"/>
      <c r="X937" s="31"/>
      <c r="Y937" s="31"/>
      <c r="Z937" s="31"/>
      <c r="AA937" s="31"/>
      <c r="AB937" s="31"/>
      <c r="AC937" s="31"/>
      <c r="AD937" s="31"/>
      <c r="AE937" s="31"/>
      <c r="AF937" s="31"/>
      <c r="AG937" s="31"/>
      <c r="AH937" s="31"/>
      <c r="AI937" s="31"/>
      <c r="AJ937" s="31"/>
      <c r="AK937" s="31"/>
      <c r="AL937" s="28" t="str">
        <f>VLOOKUP($G937,'[42]Sheet1 (2)'!$A$1:$B$1048440,2,FALSE)</f>
        <v>Cum</v>
      </c>
      <c r="AM937" s="32" t="s">
        <v>1425</v>
      </c>
      <c r="AN937" s="31"/>
      <c r="AO937" s="33"/>
    </row>
    <row r="938" spans="1:41" ht="154" x14ac:dyDescent="0.25">
      <c r="A938" s="26">
        <v>814</v>
      </c>
      <c r="B938" s="24" t="s">
        <v>1359</v>
      </c>
      <c r="C938" s="22">
        <v>22.6</v>
      </c>
      <c r="D938" s="23"/>
      <c r="E938" s="23" t="s">
        <v>1426</v>
      </c>
      <c r="F938" s="24" t="s">
        <v>44</v>
      </c>
      <c r="G938" s="25" t="s">
        <v>47</v>
      </c>
      <c r="H938" s="26">
        <v>7505</v>
      </c>
      <c r="I938" s="121">
        <v>2165</v>
      </c>
      <c r="J938" s="184">
        <f>7.5/20</f>
        <v>0.375</v>
      </c>
      <c r="K938" s="184"/>
      <c r="L938" s="184">
        <v>0.85</v>
      </c>
      <c r="M938" s="184"/>
      <c r="N938" s="184"/>
      <c r="O938" s="184"/>
      <c r="P938" s="184">
        <v>0.42499999999999999</v>
      </c>
      <c r="Q938" s="31"/>
      <c r="R938" s="31"/>
      <c r="S938" s="31"/>
      <c r="T938" s="31"/>
      <c r="U938" s="31"/>
      <c r="V938" s="31"/>
      <c r="W938" s="31"/>
      <c r="X938" s="31"/>
      <c r="Y938" s="31"/>
      <c r="Z938" s="31"/>
      <c r="AA938" s="31"/>
      <c r="AB938" s="31"/>
      <c r="AC938" s="31"/>
      <c r="AD938" s="31"/>
      <c r="AE938" s="31"/>
      <c r="AF938" s="31"/>
      <c r="AG938" s="31"/>
      <c r="AH938" s="31"/>
      <c r="AI938" s="31"/>
      <c r="AJ938" s="31"/>
      <c r="AK938" s="31"/>
      <c r="AL938" s="28" t="str">
        <f>VLOOKUP($G938,'[42]Sheet1 (2)'!$A$1:$B$1048440,2,FALSE)</f>
        <v>Cum</v>
      </c>
      <c r="AM938" s="32" t="s">
        <v>1425</v>
      </c>
      <c r="AN938" s="31"/>
      <c r="AO938" s="33"/>
    </row>
    <row r="939" spans="1:41" ht="140" x14ac:dyDescent="0.25">
      <c r="A939" s="20">
        <v>815</v>
      </c>
      <c r="B939" s="24" t="s">
        <v>1359</v>
      </c>
      <c r="C939" s="203">
        <v>22.61</v>
      </c>
      <c r="D939" s="23"/>
      <c r="E939" s="23" t="s">
        <v>1427</v>
      </c>
      <c r="F939" s="24" t="s">
        <v>44</v>
      </c>
      <c r="G939" s="25" t="s">
        <v>47</v>
      </c>
      <c r="H939" s="20">
        <v>7695</v>
      </c>
      <c r="I939" s="20">
        <v>2165</v>
      </c>
      <c r="J939" s="184">
        <f>8/20</f>
        <v>0.4</v>
      </c>
      <c r="K939" s="184"/>
      <c r="L939" s="184">
        <v>0.85</v>
      </c>
      <c r="M939" s="184"/>
      <c r="N939" s="184"/>
      <c r="O939" s="184"/>
      <c r="P939" s="184">
        <v>0.42499999999999999</v>
      </c>
      <c r="Q939" s="31"/>
      <c r="R939" s="31"/>
      <c r="S939" s="31"/>
      <c r="T939" s="31"/>
      <c r="U939" s="31"/>
      <c r="V939" s="31"/>
      <c r="W939" s="31"/>
      <c r="X939" s="31"/>
      <c r="Y939" s="31"/>
      <c r="Z939" s="31"/>
      <c r="AA939" s="31"/>
      <c r="AB939" s="31"/>
      <c r="AC939" s="31"/>
      <c r="AD939" s="31"/>
      <c r="AE939" s="31"/>
      <c r="AF939" s="31"/>
      <c r="AG939" s="31"/>
      <c r="AH939" s="31"/>
      <c r="AI939" s="31"/>
      <c r="AJ939" s="31"/>
      <c r="AK939" s="31"/>
      <c r="AL939" s="28" t="str">
        <f>VLOOKUP($G939,'[42]Sheet1 (2)'!$A$1:$B$1048440,2,FALSE)</f>
        <v>Cum</v>
      </c>
      <c r="AM939" s="32" t="s">
        <v>1425</v>
      </c>
      <c r="AN939" s="31"/>
      <c r="AO939" s="33"/>
    </row>
    <row r="940" spans="1:41" ht="17.5" x14ac:dyDescent="0.25">
      <c r="A940" s="20"/>
      <c r="B940" s="24"/>
      <c r="C940" s="203"/>
      <c r="D940" s="23"/>
      <c r="E940" s="147" t="s">
        <v>1428</v>
      </c>
      <c r="F940" s="24"/>
      <c r="G940" s="25"/>
      <c r="H940" s="20"/>
      <c r="I940" s="20"/>
      <c r="J940" s="184"/>
      <c r="K940" s="184"/>
      <c r="L940" s="184"/>
      <c r="M940" s="184"/>
      <c r="N940" s="184"/>
      <c r="O940" s="184"/>
      <c r="P940" s="184"/>
      <c r="Q940" s="31"/>
      <c r="R940" s="31"/>
      <c r="S940" s="31"/>
      <c r="T940" s="31"/>
      <c r="U940" s="31"/>
      <c r="V940" s="31"/>
      <c r="W940" s="31"/>
      <c r="X940" s="31"/>
      <c r="Y940" s="31"/>
      <c r="Z940" s="31"/>
      <c r="AA940" s="31"/>
      <c r="AB940" s="31"/>
      <c r="AC940" s="31"/>
      <c r="AD940" s="31"/>
      <c r="AE940" s="31"/>
      <c r="AF940" s="31"/>
      <c r="AG940" s="31"/>
      <c r="AH940" s="31"/>
      <c r="AI940" s="31"/>
      <c r="AJ940" s="31"/>
      <c r="AK940" s="31"/>
      <c r="AL940" s="28" t="e">
        <f>VLOOKUP($G940,'[42]Sheet1 (2)'!$A$1:$B$1048440,2,FALSE)</f>
        <v>#N/A</v>
      </c>
      <c r="AM940" s="32"/>
      <c r="AN940" s="31"/>
      <c r="AO940" s="33"/>
    </row>
    <row r="941" spans="1:41" ht="126" x14ac:dyDescent="0.25">
      <c r="A941" s="40">
        <v>816</v>
      </c>
      <c r="B941" s="24" t="s">
        <v>1428</v>
      </c>
      <c r="C941" s="37">
        <v>23.01</v>
      </c>
      <c r="D941" s="25" t="s">
        <v>1429</v>
      </c>
      <c r="E941" s="57" t="s">
        <v>1430</v>
      </c>
      <c r="F941" s="21" t="s">
        <v>1431</v>
      </c>
      <c r="G941" s="25" t="s">
        <v>1046</v>
      </c>
      <c r="H941" s="40">
        <v>101844</v>
      </c>
      <c r="I941" s="40">
        <v>16062</v>
      </c>
      <c r="J941" s="31"/>
      <c r="K941" s="31">
        <v>1</v>
      </c>
      <c r="L941" s="31"/>
      <c r="M941" s="31"/>
      <c r="N941" s="31"/>
      <c r="O941" s="31"/>
      <c r="P941" s="31"/>
      <c r="Q941" s="31"/>
      <c r="R941" s="31"/>
      <c r="S941" s="31"/>
      <c r="T941" s="31"/>
      <c r="U941" s="31"/>
      <c r="V941" s="31"/>
      <c r="W941" s="31"/>
      <c r="X941" s="31"/>
      <c r="Y941" s="31"/>
      <c r="Z941" s="31"/>
      <c r="AA941" s="31"/>
      <c r="AB941" s="31"/>
      <c r="AC941" s="31"/>
      <c r="AD941" s="31"/>
      <c r="AE941" s="31"/>
      <c r="AF941" s="31"/>
      <c r="AG941" s="31"/>
      <c r="AH941" s="31"/>
      <c r="AI941" s="31"/>
      <c r="AJ941" s="31"/>
      <c r="AK941" s="31"/>
      <c r="AL941" s="28" t="str">
        <f>VLOOKUP($G941,'[42]Sheet1 (2)'!$A$1:$B$1048440,2,FALSE)</f>
        <v>M.T.</v>
      </c>
      <c r="AM941" s="32"/>
      <c r="AN941" s="31"/>
      <c r="AO941" s="33"/>
    </row>
    <row r="942" spans="1:41" ht="126" x14ac:dyDescent="0.25">
      <c r="A942" s="40">
        <v>817</v>
      </c>
      <c r="B942" s="24" t="s">
        <v>1428</v>
      </c>
      <c r="C942" s="37">
        <v>23.02</v>
      </c>
      <c r="D942" s="25" t="s">
        <v>1432</v>
      </c>
      <c r="E942" s="24" t="s">
        <v>1433</v>
      </c>
      <c r="F942" s="21" t="s">
        <v>1434</v>
      </c>
      <c r="G942" s="25" t="s">
        <v>1046</v>
      </c>
      <c r="H942" s="40">
        <v>97759</v>
      </c>
      <c r="I942" s="40">
        <v>14645</v>
      </c>
      <c r="J942" s="31"/>
      <c r="K942" s="31">
        <v>1</v>
      </c>
      <c r="L942" s="31"/>
      <c r="M942" s="31"/>
      <c r="N942" s="31"/>
      <c r="O942" s="31"/>
      <c r="P942" s="31"/>
      <c r="Q942" s="31"/>
      <c r="R942" s="31"/>
      <c r="S942" s="31"/>
      <c r="T942" s="31"/>
      <c r="U942" s="31"/>
      <c r="V942" s="31"/>
      <c r="W942" s="31"/>
      <c r="X942" s="31"/>
      <c r="Y942" s="31"/>
      <c r="Z942" s="31"/>
      <c r="AA942" s="31"/>
      <c r="AB942" s="31"/>
      <c r="AC942" s="31"/>
      <c r="AD942" s="31"/>
      <c r="AE942" s="31"/>
      <c r="AF942" s="31"/>
      <c r="AG942" s="31"/>
      <c r="AH942" s="31"/>
      <c r="AI942" s="31"/>
      <c r="AJ942" s="31"/>
      <c r="AK942" s="31"/>
      <c r="AL942" s="28" t="str">
        <f>VLOOKUP($G942,'[42]Sheet1 (2)'!$A$1:$B$1048440,2,FALSE)</f>
        <v>M.T.</v>
      </c>
      <c r="AM942" s="32"/>
      <c r="AN942" s="31"/>
      <c r="AO942" s="33"/>
    </row>
    <row r="943" spans="1:41" ht="126" x14ac:dyDescent="0.25">
      <c r="A943" s="40">
        <v>818</v>
      </c>
      <c r="B943" s="24" t="s">
        <v>1428</v>
      </c>
      <c r="C943" s="37">
        <v>23.03</v>
      </c>
      <c r="D943" s="25" t="s">
        <v>1435</v>
      </c>
      <c r="E943" s="57" t="s">
        <v>1436</v>
      </c>
      <c r="F943" s="21" t="s">
        <v>1437</v>
      </c>
      <c r="G943" s="25" t="s">
        <v>1046</v>
      </c>
      <c r="H943" s="40">
        <v>98009</v>
      </c>
      <c r="I943" s="40">
        <v>14265</v>
      </c>
      <c r="J943" s="31"/>
      <c r="K943" s="31">
        <v>1</v>
      </c>
      <c r="L943" s="31"/>
      <c r="M943" s="31"/>
      <c r="N943" s="31"/>
      <c r="O943" s="31"/>
      <c r="P943" s="31"/>
      <c r="Q943" s="31"/>
      <c r="R943" s="31"/>
      <c r="S943" s="31"/>
      <c r="T943" s="31"/>
      <c r="U943" s="31"/>
      <c r="V943" s="31"/>
      <c r="W943" s="31"/>
      <c r="X943" s="31"/>
      <c r="Y943" s="31"/>
      <c r="Z943" s="31"/>
      <c r="AA943" s="31"/>
      <c r="AB943" s="31"/>
      <c r="AC943" s="31"/>
      <c r="AD943" s="31"/>
      <c r="AE943" s="31"/>
      <c r="AF943" s="31"/>
      <c r="AG943" s="31"/>
      <c r="AH943" s="31"/>
      <c r="AI943" s="31"/>
      <c r="AJ943" s="31"/>
      <c r="AK943" s="31"/>
      <c r="AL943" s="28" t="str">
        <f>VLOOKUP($G943,'[42]Sheet1 (2)'!$A$1:$B$1048440,2,FALSE)</f>
        <v>M.T.</v>
      </c>
      <c r="AM943" s="32"/>
      <c r="AN943" s="31"/>
      <c r="AO943" s="33"/>
    </row>
    <row r="944" spans="1:41" ht="98" x14ac:dyDescent="0.25">
      <c r="A944" s="40">
        <v>819</v>
      </c>
      <c r="B944" s="24" t="s">
        <v>1428</v>
      </c>
      <c r="C944" s="37">
        <v>23.04</v>
      </c>
      <c r="D944" s="25" t="s">
        <v>1438</v>
      </c>
      <c r="E944" s="24" t="s">
        <v>1439</v>
      </c>
      <c r="F944" s="21" t="s">
        <v>1440</v>
      </c>
      <c r="G944" s="25" t="s">
        <v>1046</v>
      </c>
      <c r="H944" s="40">
        <v>119459</v>
      </c>
      <c r="I944" s="40">
        <v>33890</v>
      </c>
      <c r="J944" s="31"/>
      <c r="K944" s="31">
        <v>1</v>
      </c>
      <c r="L944" s="31"/>
      <c r="M944" s="31"/>
      <c r="N944" s="31"/>
      <c r="O944" s="31"/>
      <c r="P944" s="31"/>
      <c r="Q944" s="31"/>
      <c r="R944" s="31"/>
      <c r="S944" s="31"/>
      <c r="T944" s="31"/>
      <c r="U944" s="31"/>
      <c r="V944" s="31"/>
      <c r="W944" s="31"/>
      <c r="X944" s="31"/>
      <c r="Y944" s="31"/>
      <c r="Z944" s="31"/>
      <c r="AA944" s="31"/>
      <c r="AB944" s="31"/>
      <c r="AC944" s="31"/>
      <c r="AD944" s="31"/>
      <c r="AE944" s="31"/>
      <c r="AF944" s="31"/>
      <c r="AG944" s="31"/>
      <c r="AH944" s="31"/>
      <c r="AI944" s="31"/>
      <c r="AJ944" s="31"/>
      <c r="AK944" s="31"/>
      <c r="AL944" s="28" t="str">
        <f>VLOOKUP($G944,'[42]Sheet1 (2)'!$A$1:$B$1048440,2,FALSE)</f>
        <v>M.T.</v>
      </c>
      <c r="AM944" s="32"/>
      <c r="AN944" s="31"/>
      <c r="AO944" s="33"/>
    </row>
    <row r="945" spans="1:41" ht="84" x14ac:dyDescent="0.25">
      <c r="A945" s="40">
        <v>820</v>
      </c>
      <c r="B945" s="24" t="s">
        <v>1428</v>
      </c>
      <c r="C945" s="37">
        <v>23.05</v>
      </c>
      <c r="D945" s="25" t="s">
        <v>1441</v>
      </c>
      <c r="E945" s="24" t="s">
        <v>1442</v>
      </c>
      <c r="F945" s="24" t="s">
        <v>742</v>
      </c>
      <c r="G945" s="21" t="s">
        <v>217</v>
      </c>
      <c r="H945" s="40">
        <v>7257</v>
      </c>
      <c r="I945" s="40">
        <v>3898</v>
      </c>
      <c r="J945" s="31"/>
      <c r="K945" s="31"/>
      <c r="L945" s="31"/>
      <c r="M945" s="31"/>
      <c r="N945" s="31"/>
      <c r="O945" s="31"/>
      <c r="P945" s="31"/>
      <c r="Q945" s="31"/>
      <c r="R945" s="31"/>
      <c r="S945" s="31"/>
      <c r="T945" s="31"/>
      <c r="U945" s="31"/>
      <c r="V945" s="31"/>
      <c r="W945" s="31"/>
      <c r="X945" s="31"/>
      <c r="Y945" s="31"/>
      <c r="Z945" s="31"/>
      <c r="AA945" s="31"/>
      <c r="AB945" s="31"/>
      <c r="AC945" s="31"/>
      <c r="AD945" s="31"/>
      <c r="AE945" s="31"/>
      <c r="AF945" s="31"/>
      <c r="AG945" s="31"/>
      <c r="AH945" s="31"/>
      <c r="AI945" s="31"/>
      <c r="AJ945" s="31"/>
      <c r="AK945" s="31"/>
      <c r="AL945" s="28" t="str">
        <f>VLOOKUP($G945,'[42]Sheet1 (2)'!$A$1:$B$1048440,2,FALSE)</f>
        <v>Sqm</v>
      </c>
      <c r="AM945" s="32"/>
      <c r="AN945" s="31"/>
      <c r="AO945" s="33"/>
    </row>
    <row r="946" spans="1:41" ht="84" x14ac:dyDescent="0.25">
      <c r="A946" s="40">
        <v>821</v>
      </c>
      <c r="B946" s="24" t="s">
        <v>1428</v>
      </c>
      <c r="C946" s="37">
        <v>23.06</v>
      </c>
      <c r="D946" s="25" t="s">
        <v>1441</v>
      </c>
      <c r="E946" s="24" t="s">
        <v>1443</v>
      </c>
      <c r="F946" s="24" t="s">
        <v>742</v>
      </c>
      <c r="G946" s="25" t="s">
        <v>1046</v>
      </c>
      <c r="H946" s="40">
        <v>123398</v>
      </c>
      <c r="I946" s="40">
        <v>36975</v>
      </c>
      <c r="J946" s="31"/>
      <c r="K946" s="31">
        <v>1</v>
      </c>
      <c r="L946" s="31"/>
      <c r="M946" s="31"/>
      <c r="N946" s="31"/>
      <c r="O946" s="31"/>
      <c r="P946" s="31"/>
      <c r="Q946" s="31"/>
      <c r="R946" s="31"/>
      <c r="S946" s="31"/>
      <c r="T946" s="31"/>
      <c r="U946" s="31"/>
      <c r="V946" s="31"/>
      <c r="W946" s="31"/>
      <c r="X946" s="31"/>
      <c r="Y946" s="31"/>
      <c r="Z946" s="31"/>
      <c r="AA946" s="31"/>
      <c r="AB946" s="31"/>
      <c r="AC946" s="31"/>
      <c r="AD946" s="31"/>
      <c r="AE946" s="31"/>
      <c r="AF946" s="31"/>
      <c r="AG946" s="31"/>
      <c r="AH946" s="31"/>
      <c r="AI946" s="31"/>
      <c r="AJ946" s="31"/>
      <c r="AK946" s="31"/>
      <c r="AL946" s="28" t="str">
        <f>VLOOKUP($G946,'[42]Sheet1 (2)'!$A$1:$B$1048440,2,FALSE)</f>
        <v>M.T.</v>
      </c>
      <c r="AM946" s="32"/>
      <c r="AN946" s="31"/>
      <c r="AO946" s="33"/>
    </row>
    <row r="947" spans="1:41" ht="154" x14ac:dyDescent="0.25">
      <c r="A947" s="40">
        <v>822</v>
      </c>
      <c r="B947" s="24" t="s">
        <v>1428</v>
      </c>
      <c r="C947" s="37">
        <v>23.07</v>
      </c>
      <c r="D947" s="25" t="s">
        <v>1441</v>
      </c>
      <c r="E947" s="24" t="s">
        <v>1444</v>
      </c>
      <c r="F947" s="21" t="s">
        <v>1445</v>
      </c>
      <c r="G947" s="25" t="s">
        <v>1046</v>
      </c>
      <c r="H947" s="40">
        <v>114831</v>
      </c>
      <c r="I947" s="48">
        <v>22701</v>
      </c>
      <c r="J947" s="31"/>
      <c r="K947" s="31">
        <v>1</v>
      </c>
      <c r="L947" s="31"/>
      <c r="M947" s="31"/>
      <c r="N947" s="31"/>
      <c r="O947" s="31"/>
      <c r="P947" s="31"/>
      <c r="Q947" s="31"/>
      <c r="R947" s="31"/>
      <c r="S947" s="31"/>
      <c r="T947" s="31"/>
      <c r="U947" s="31"/>
      <c r="V947" s="31"/>
      <c r="W947" s="31"/>
      <c r="X947" s="31"/>
      <c r="Y947" s="31"/>
      <c r="Z947" s="31"/>
      <c r="AA947" s="31"/>
      <c r="AB947" s="31"/>
      <c r="AC947" s="31"/>
      <c r="AD947" s="31"/>
      <c r="AE947" s="31"/>
      <c r="AF947" s="31"/>
      <c r="AG947" s="31"/>
      <c r="AH947" s="31"/>
      <c r="AI947" s="31"/>
      <c r="AJ947" s="31"/>
      <c r="AK947" s="31"/>
      <c r="AL947" s="28" t="str">
        <f>VLOOKUP($G947,'[42]Sheet1 (2)'!$A$1:$B$1048440,2,FALSE)</f>
        <v>M.T.</v>
      </c>
      <c r="AM947" s="32" t="s">
        <v>1446</v>
      </c>
      <c r="AN947" s="31"/>
      <c r="AO947" s="33"/>
    </row>
    <row r="948" spans="1:41" ht="42" x14ac:dyDescent="0.25">
      <c r="A948" s="40">
        <v>823</v>
      </c>
      <c r="B948" s="24" t="s">
        <v>1428</v>
      </c>
      <c r="C948" s="37">
        <v>23.08</v>
      </c>
      <c r="D948" s="25" t="s">
        <v>1441</v>
      </c>
      <c r="E948" s="24" t="s">
        <v>1447</v>
      </c>
      <c r="F948" s="21" t="s">
        <v>1448</v>
      </c>
      <c r="G948" s="25" t="s">
        <v>1449</v>
      </c>
      <c r="H948" s="40">
        <v>11</v>
      </c>
      <c r="I948" s="40">
        <v>8</v>
      </c>
      <c r="J948" s="31"/>
      <c r="K948" s="31"/>
      <c r="L948" s="31"/>
      <c r="M948" s="31"/>
      <c r="N948" s="31"/>
      <c r="O948" s="31"/>
      <c r="P948" s="31"/>
      <c r="Q948" s="31"/>
      <c r="R948" s="31"/>
      <c r="S948" s="31"/>
      <c r="T948" s="31"/>
      <c r="U948" s="31"/>
      <c r="V948" s="31"/>
      <c r="W948" s="31"/>
      <c r="X948" s="31"/>
      <c r="Y948" s="31"/>
      <c r="Z948" s="31"/>
      <c r="AA948" s="31"/>
      <c r="AB948" s="31"/>
      <c r="AC948" s="31"/>
      <c r="AD948" s="31"/>
      <c r="AE948" s="31"/>
      <c r="AF948" s="31"/>
      <c r="AG948" s="31"/>
      <c r="AH948" s="31"/>
      <c r="AI948" s="31"/>
      <c r="AJ948" s="31"/>
      <c r="AK948" s="31"/>
      <c r="AL948" s="28" t="e">
        <f>VLOOKUP($G948,'[42]Sheet1 (2)'!$A$1:$B$1048440,2,FALSE)</f>
        <v>#N/A</v>
      </c>
      <c r="AM948" s="32"/>
      <c r="AN948" s="31"/>
      <c r="AO948" s="33"/>
    </row>
    <row r="949" spans="1:41" ht="70" x14ac:dyDescent="0.25">
      <c r="A949" s="40">
        <v>824</v>
      </c>
      <c r="B949" s="24" t="s">
        <v>1428</v>
      </c>
      <c r="C949" s="37">
        <v>23.09</v>
      </c>
      <c r="D949" s="25" t="s">
        <v>1450</v>
      </c>
      <c r="E949" s="57" t="s">
        <v>1451</v>
      </c>
      <c r="F949" s="25" t="s">
        <v>1452</v>
      </c>
      <c r="G949" s="21" t="s">
        <v>217</v>
      </c>
      <c r="H949" s="40">
        <v>2100</v>
      </c>
      <c r="I949" s="49">
        <v>267</v>
      </c>
      <c r="J949" s="31"/>
      <c r="K949" s="31"/>
      <c r="L949" s="31"/>
      <c r="M949" s="31"/>
      <c r="N949" s="31"/>
      <c r="O949" s="31"/>
      <c r="P949" s="31"/>
      <c r="Q949" s="31"/>
      <c r="R949" s="31"/>
      <c r="S949" s="31"/>
      <c r="T949" s="31"/>
      <c r="U949" s="31"/>
      <c r="V949" s="31"/>
      <c r="W949" s="31"/>
      <c r="X949" s="31"/>
      <c r="Y949" s="31"/>
      <c r="Z949" s="31"/>
      <c r="AA949" s="31"/>
      <c r="AB949" s="31"/>
      <c r="AC949" s="31"/>
      <c r="AD949" s="31"/>
      <c r="AE949" s="31"/>
      <c r="AF949" s="31"/>
      <c r="AG949" s="31"/>
      <c r="AH949" s="31"/>
      <c r="AI949" s="31"/>
      <c r="AJ949" s="31"/>
      <c r="AK949" s="31"/>
      <c r="AL949" s="28" t="str">
        <f>VLOOKUP($G949,'[42]Sheet1 (2)'!$A$1:$B$1048440,2,FALSE)</f>
        <v>Sqm</v>
      </c>
      <c r="AM949" s="32"/>
      <c r="AN949" s="31"/>
      <c r="AO949" s="33"/>
    </row>
    <row r="950" spans="1:41" ht="112.5" x14ac:dyDescent="0.25">
      <c r="A950" s="40">
        <v>825</v>
      </c>
      <c r="B950" s="24" t="s">
        <v>1428</v>
      </c>
      <c r="C950" s="37">
        <v>23.11</v>
      </c>
      <c r="D950" s="57"/>
      <c r="E950" s="219" t="s">
        <v>1453</v>
      </c>
      <c r="F950" s="25" t="s">
        <v>1452</v>
      </c>
      <c r="G950" s="25" t="s">
        <v>1046</v>
      </c>
      <c r="H950" s="40">
        <v>118790</v>
      </c>
      <c r="I950" s="48">
        <v>22701</v>
      </c>
      <c r="J950" s="31"/>
      <c r="K950" s="31">
        <v>1</v>
      </c>
      <c r="L950" s="31"/>
      <c r="M950" s="31"/>
      <c r="N950" s="31"/>
      <c r="O950" s="31"/>
      <c r="P950" s="31"/>
      <c r="Q950" s="31"/>
      <c r="R950" s="31"/>
      <c r="S950" s="31"/>
      <c r="T950" s="31"/>
      <c r="U950" s="31"/>
      <c r="V950" s="31"/>
      <c r="W950" s="31"/>
      <c r="X950" s="31"/>
      <c r="Y950" s="31"/>
      <c r="Z950" s="31"/>
      <c r="AA950" s="31"/>
      <c r="AB950" s="31"/>
      <c r="AC950" s="31"/>
      <c r="AD950" s="31"/>
      <c r="AE950" s="31"/>
      <c r="AF950" s="31"/>
      <c r="AG950" s="31"/>
      <c r="AH950" s="31"/>
      <c r="AI950" s="31"/>
      <c r="AJ950" s="31"/>
      <c r="AK950" s="31"/>
      <c r="AL950" s="28" t="str">
        <f>VLOOKUP($G950,'[42]Sheet1 (2)'!$A$1:$B$1048440,2,FALSE)</f>
        <v>M.T.</v>
      </c>
      <c r="AM950" s="32"/>
      <c r="AN950" s="31"/>
      <c r="AO950" s="33"/>
    </row>
    <row r="951" spans="1:41" ht="98" x14ac:dyDescent="0.25">
      <c r="A951" s="40">
        <v>826</v>
      </c>
      <c r="B951" s="24" t="s">
        <v>1428</v>
      </c>
      <c r="C951" s="37">
        <v>23.12</v>
      </c>
      <c r="D951" s="57"/>
      <c r="E951" s="24" t="s">
        <v>1454</v>
      </c>
      <c r="F951" s="25" t="s">
        <v>1455</v>
      </c>
      <c r="G951" s="25" t="s">
        <v>1046</v>
      </c>
      <c r="H951" s="40">
        <v>118790</v>
      </c>
      <c r="I951" s="48">
        <v>22701</v>
      </c>
      <c r="J951" s="31"/>
      <c r="K951" s="31">
        <v>1</v>
      </c>
      <c r="L951" s="31"/>
      <c r="M951" s="31"/>
      <c r="N951" s="31"/>
      <c r="O951" s="31"/>
      <c r="P951" s="31"/>
      <c r="Q951" s="31"/>
      <c r="R951" s="31"/>
      <c r="S951" s="31"/>
      <c r="T951" s="31"/>
      <c r="U951" s="31"/>
      <c r="V951" s="31"/>
      <c r="W951" s="31"/>
      <c r="X951" s="31"/>
      <c r="Y951" s="31"/>
      <c r="Z951" s="31"/>
      <c r="AA951" s="31"/>
      <c r="AB951" s="31"/>
      <c r="AC951" s="31"/>
      <c r="AD951" s="31"/>
      <c r="AE951" s="31"/>
      <c r="AF951" s="31"/>
      <c r="AG951" s="31"/>
      <c r="AH951" s="31"/>
      <c r="AI951" s="31"/>
      <c r="AJ951" s="31"/>
      <c r="AK951" s="31"/>
      <c r="AL951" s="28" t="str">
        <f>VLOOKUP($G951,'[42]Sheet1 (2)'!$A$1:$B$1048440,2,FALSE)</f>
        <v>M.T.</v>
      </c>
      <c r="AM951" s="32"/>
      <c r="AN951" s="31"/>
      <c r="AO951" s="33"/>
    </row>
    <row r="952" spans="1:41" ht="16" x14ac:dyDescent="0.25">
      <c r="A952" s="189"/>
      <c r="B952" s="24"/>
      <c r="C952" s="37"/>
      <c r="D952" s="220"/>
      <c r="E952" s="215" t="s">
        <v>1456</v>
      </c>
      <c r="F952" s="165"/>
      <c r="G952" s="165"/>
      <c r="H952" s="192"/>
      <c r="I952" s="221"/>
      <c r="J952" s="31"/>
      <c r="K952" s="31"/>
      <c r="L952" s="31"/>
      <c r="M952" s="31"/>
      <c r="N952" s="31"/>
      <c r="O952" s="31"/>
      <c r="P952" s="31"/>
      <c r="Q952" s="31"/>
      <c r="R952" s="31"/>
      <c r="S952" s="31"/>
      <c r="T952" s="31"/>
      <c r="U952" s="31"/>
      <c r="V952" s="31"/>
      <c r="W952" s="31"/>
      <c r="X952" s="31"/>
      <c r="Y952" s="31"/>
      <c r="Z952" s="31"/>
      <c r="AA952" s="31"/>
      <c r="AB952" s="31"/>
      <c r="AC952" s="31"/>
      <c r="AD952" s="31"/>
      <c r="AE952" s="31"/>
      <c r="AF952" s="31"/>
      <c r="AG952" s="31"/>
      <c r="AH952" s="31"/>
      <c r="AI952" s="31"/>
      <c r="AJ952" s="31"/>
      <c r="AK952" s="31"/>
      <c r="AL952" s="28" t="e">
        <f>VLOOKUP($G952,'[42]Sheet1 (2)'!$A$1:$B$1048440,2,FALSE)</f>
        <v>#N/A</v>
      </c>
      <c r="AM952" s="32"/>
      <c r="AN952" s="31"/>
      <c r="AO952" s="33"/>
    </row>
    <row r="953" spans="1:41" ht="140" x14ac:dyDescent="0.25">
      <c r="A953" s="40">
        <v>827</v>
      </c>
      <c r="B953" s="42" t="s">
        <v>1456</v>
      </c>
      <c r="C953" s="37">
        <v>24.01</v>
      </c>
      <c r="D953" s="45" t="s">
        <v>1457</v>
      </c>
      <c r="E953" s="43" t="s">
        <v>1458</v>
      </c>
      <c r="F953" s="44" t="s">
        <v>1459</v>
      </c>
      <c r="G953" s="45" t="s">
        <v>47</v>
      </c>
      <c r="H953" s="40">
        <v>5830</v>
      </c>
      <c r="I953" s="48">
        <v>1616</v>
      </c>
      <c r="J953" s="163">
        <f>4.4/20</f>
        <v>0.22000000000000003</v>
      </c>
      <c r="K953" s="163"/>
      <c r="L953" s="163">
        <f>0.7+0.2</f>
        <v>0.89999999999999991</v>
      </c>
      <c r="M953" s="163"/>
      <c r="N953" s="163"/>
      <c r="O953" s="163"/>
      <c r="P953" s="163">
        <v>0.47</v>
      </c>
      <c r="Q953" s="31"/>
      <c r="R953" s="31"/>
      <c r="S953" s="31"/>
      <c r="T953" s="31"/>
      <c r="U953" s="31"/>
      <c r="V953" s="31"/>
      <c r="W953" s="31"/>
      <c r="X953" s="31"/>
      <c r="Y953" s="31"/>
      <c r="Z953" s="31"/>
      <c r="AA953" s="31"/>
      <c r="AB953" s="31"/>
      <c r="AC953" s="31"/>
      <c r="AD953" s="31"/>
      <c r="AE953" s="31"/>
      <c r="AF953" s="31"/>
      <c r="AG953" s="31"/>
      <c r="AH953" s="31"/>
      <c r="AI953" s="31"/>
      <c r="AJ953" s="31">
        <v>1</v>
      </c>
      <c r="AK953" s="31"/>
      <c r="AL953" s="28" t="str">
        <f>VLOOKUP($G953,'[42]Sheet1 (2)'!$A$1:$B$1048440,2,FALSE)</f>
        <v>Cum</v>
      </c>
      <c r="AM953" s="32" t="s">
        <v>1460</v>
      </c>
      <c r="AN953" s="31"/>
      <c r="AO953" s="33"/>
    </row>
    <row r="954" spans="1:41" ht="196" x14ac:dyDescent="0.25">
      <c r="A954" s="40">
        <v>828</v>
      </c>
      <c r="B954" s="42" t="s">
        <v>1456</v>
      </c>
      <c r="C954" s="37">
        <v>24.04</v>
      </c>
      <c r="D954" s="45" t="s">
        <v>1461</v>
      </c>
      <c r="E954" s="44" t="s">
        <v>1462</v>
      </c>
      <c r="F954" s="193" t="s">
        <v>1463</v>
      </c>
      <c r="G954" s="45" t="s">
        <v>47</v>
      </c>
      <c r="H954" s="40">
        <v>6359</v>
      </c>
      <c r="I954" s="48">
        <v>1616</v>
      </c>
      <c r="J954" s="163">
        <f>6/20</f>
        <v>0.3</v>
      </c>
      <c r="K954" s="163"/>
      <c r="L954" s="163">
        <f>0.6+0.2+0.1</f>
        <v>0.9</v>
      </c>
      <c r="M954" s="163"/>
      <c r="N954" s="163"/>
      <c r="O954" s="163"/>
      <c r="P954" s="163">
        <v>0.44</v>
      </c>
      <c r="Q954" s="31"/>
      <c r="R954" s="31"/>
      <c r="S954" s="31"/>
      <c r="T954" s="31"/>
      <c r="U954" s="31"/>
      <c r="V954" s="31"/>
      <c r="W954" s="31"/>
      <c r="X954" s="31"/>
      <c r="Y954" s="31"/>
      <c r="Z954" s="31"/>
      <c r="AA954" s="31"/>
      <c r="AB954" s="31"/>
      <c r="AC954" s="31"/>
      <c r="AD954" s="31"/>
      <c r="AE954" s="31"/>
      <c r="AF954" s="31"/>
      <c r="AG954" s="31"/>
      <c r="AH954" s="31"/>
      <c r="AI954" s="31"/>
      <c r="AJ954" s="31">
        <v>1</v>
      </c>
      <c r="AK954" s="31"/>
      <c r="AL954" s="28" t="str">
        <f>VLOOKUP($G954,'[42]Sheet1 (2)'!$A$1:$B$1048440,2,FALSE)</f>
        <v>Cum</v>
      </c>
      <c r="AM954" s="32" t="s">
        <v>1464</v>
      </c>
      <c r="AN954" s="31"/>
      <c r="AO954" s="33"/>
    </row>
    <row r="955" spans="1:41" ht="196" x14ac:dyDescent="0.25">
      <c r="A955" s="40">
        <v>829</v>
      </c>
      <c r="B955" s="42" t="s">
        <v>1456</v>
      </c>
      <c r="C955" s="37">
        <v>24.06</v>
      </c>
      <c r="D955" s="45" t="s">
        <v>1461</v>
      </c>
      <c r="E955" s="44" t="s">
        <v>1465</v>
      </c>
      <c r="F955" s="193" t="s">
        <v>1463</v>
      </c>
      <c r="G955" s="45" t="s">
        <v>47</v>
      </c>
      <c r="H955" s="40">
        <v>6721</v>
      </c>
      <c r="I955" s="48">
        <v>1616</v>
      </c>
      <c r="J955" s="163">
        <f>7/20</f>
        <v>0.35</v>
      </c>
      <c r="K955" s="163"/>
      <c r="L955" s="163">
        <f>0.6+0.2+0.1</f>
        <v>0.9</v>
      </c>
      <c r="M955" s="163"/>
      <c r="N955" s="163"/>
      <c r="O955" s="163"/>
      <c r="P955" s="163">
        <v>0.42499999999999999</v>
      </c>
      <c r="Q955" s="31"/>
      <c r="R955" s="31"/>
      <c r="S955" s="31"/>
      <c r="T955" s="31"/>
      <c r="U955" s="31"/>
      <c r="V955" s="31"/>
      <c r="W955" s="31"/>
      <c r="X955" s="31"/>
      <c r="Y955" s="31"/>
      <c r="Z955" s="31"/>
      <c r="AA955" s="31"/>
      <c r="AB955" s="31"/>
      <c r="AC955" s="31"/>
      <c r="AD955" s="31"/>
      <c r="AE955" s="31"/>
      <c r="AF955" s="31"/>
      <c r="AG955" s="31"/>
      <c r="AH955" s="31"/>
      <c r="AI955" s="31"/>
      <c r="AJ955" s="31">
        <v>1</v>
      </c>
      <c r="AK955" s="31"/>
      <c r="AL955" s="28" t="str">
        <f>VLOOKUP($G955,'[42]Sheet1 (2)'!$A$1:$B$1048440,2,FALSE)</f>
        <v>Cum</v>
      </c>
      <c r="AM955" s="32" t="s">
        <v>1466</v>
      </c>
      <c r="AN955" s="31"/>
      <c r="AO955" s="33"/>
    </row>
    <row r="956" spans="1:41" ht="196" x14ac:dyDescent="0.25">
      <c r="A956" s="26">
        <v>830</v>
      </c>
      <c r="B956" s="21" t="s">
        <v>1456</v>
      </c>
      <c r="C956" s="22">
        <v>24.08</v>
      </c>
      <c r="D956" s="25" t="s">
        <v>1467</v>
      </c>
      <c r="E956" s="24" t="s">
        <v>1468</v>
      </c>
      <c r="F956" s="25" t="s">
        <v>1469</v>
      </c>
      <c r="G956" s="25" t="s">
        <v>47</v>
      </c>
      <c r="H956" s="26">
        <v>6359</v>
      </c>
      <c r="I956" s="121">
        <v>1616</v>
      </c>
      <c r="J956" s="163">
        <f>6/20</f>
        <v>0.3</v>
      </c>
      <c r="K956" s="163"/>
      <c r="L956" s="163">
        <f>0.7+0.2</f>
        <v>0.89999999999999991</v>
      </c>
      <c r="M956" s="163"/>
      <c r="N956" s="163"/>
      <c r="O956" s="163"/>
      <c r="P956" s="163">
        <v>0.42499999999999999</v>
      </c>
      <c r="Q956" s="31"/>
      <c r="R956" s="31"/>
      <c r="S956" s="31"/>
      <c r="T956" s="31"/>
      <c r="U956" s="31"/>
      <c r="V956" s="31"/>
      <c r="W956" s="31"/>
      <c r="X956" s="31"/>
      <c r="Y956" s="31"/>
      <c r="Z956" s="31"/>
      <c r="AA956" s="31"/>
      <c r="AB956" s="31"/>
      <c r="AC956" s="31"/>
      <c r="AD956" s="31"/>
      <c r="AE956" s="31"/>
      <c r="AF956" s="31"/>
      <c r="AG956" s="31"/>
      <c r="AH956" s="31"/>
      <c r="AI956" s="31"/>
      <c r="AJ956" s="31">
        <v>1</v>
      </c>
      <c r="AK956" s="31"/>
      <c r="AL956" s="28" t="str">
        <f>VLOOKUP($G956,'[42]Sheet1 (2)'!$A$1:$B$1048440,2,FALSE)</f>
        <v>Cum</v>
      </c>
      <c r="AM956" s="32" t="s">
        <v>1470</v>
      </c>
      <c r="AN956" s="31"/>
      <c r="AO956" s="33"/>
    </row>
    <row r="957" spans="1:41" ht="196" x14ac:dyDescent="0.25">
      <c r="A957" s="26">
        <v>831</v>
      </c>
      <c r="B957" s="21" t="s">
        <v>1456</v>
      </c>
      <c r="C957" s="22">
        <v>24.1</v>
      </c>
      <c r="D957" s="25" t="s">
        <v>1467</v>
      </c>
      <c r="E957" s="24" t="s">
        <v>1471</v>
      </c>
      <c r="F957" s="25" t="s">
        <v>1469</v>
      </c>
      <c r="G957" s="25" t="s">
        <v>47</v>
      </c>
      <c r="H957" s="26">
        <v>6721</v>
      </c>
      <c r="I957" s="121">
        <v>1616</v>
      </c>
      <c r="J957" s="163">
        <f>7/20</f>
        <v>0.35</v>
      </c>
      <c r="K957" s="163"/>
      <c r="L957" s="163">
        <f>0.6+0.2+0.1</f>
        <v>0.9</v>
      </c>
      <c r="M957" s="163"/>
      <c r="N957" s="163"/>
      <c r="O957" s="163"/>
      <c r="P957" s="163">
        <v>0.42499999999999999</v>
      </c>
      <c r="Q957" s="31"/>
      <c r="R957" s="31"/>
      <c r="S957" s="31"/>
      <c r="T957" s="31"/>
      <c r="U957" s="31"/>
      <c r="V957" s="31"/>
      <c r="W957" s="31"/>
      <c r="X957" s="31"/>
      <c r="Y957" s="31"/>
      <c r="Z957" s="31"/>
      <c r="AA957" s="31"/>
      <c r="AB957" s="31"/>
      <c r="AC957" s="31"/>
      <c r="AD957" s="31"/>
      <c r="AE957" s="31"/>
      <c r="AF957" s="31"/>
      <c r="AG957" s="31"/>
      <c r="AH957" s="31"/>
      <c r="AI957" s="31"/>
      <c r="AJ957" s="31">
        <v>1</v>
      </c>
      <c r="AK957" s="31"/>
      <c r="AL957" s="28" t="str">
        <f>VLOOKUP($G957,'[42]Sheet1 (2)'!$A$1:$B$1048440,2,FALSE)</f>
        <v>Cum</v>
      </c>
      <c r="AM957" s="32" t="s">
        <v>1472</v>
      </c>
      <c r="AN957" s="31"/>
      <c r="AO957" s="33"/>
    </row>
    <row r="958" spans="1:41" ht="154" x14ac:dyDescent="0.25">
      <c r="A958" s="26">
        <v>832</v>
      </c>
      <c r="B958" s="21" t="s">
        <v>1456</v>
      </c>
      <c r="C958" s="22">
        <v>24.12</v>
      </c>
      <c r="D958" s="25" t="s">
        <v>1473</v>
      </c>
      <c r="E958" s="24" t="s">
        <v>1474</v>
      </c>
      <c r="F958" s="35" t="s">
        <v>1475</v>
      </c>
      <c r="G958" s="25" t="s">
        <v>47</v>
      </c>
      <c r="H958" s="26">
        <v>12940</v>
      </c>
      <c r="I958" s="121">
        <v>4248</v>
      </c>
      <c r="J958" s="163">
        <f>7/20</f>
        <v>0.35</v>
      </c>
      <c r="K958" s="163"/>
      <c r="L958" s="163">
        <f>0.6+0.2+0.1</f>
        <v>0.9</v>
      </c>
      <c r="M958" s="163"/>
      <c r="N958" s="163"/>
      <c r="O958" s="163"/>
      <c r="P958" s="163">
        <v>0.42499999999999999</v>
      </c>
      <c r="Q958" s="31"/>
      <c r="R958" s="31"/>
      <c r="S958" s="31"/>
      <c r="T958" s="31"/>
      <c r="U958" s="31"/>
      <c r="V958" s="31"/>
      <c r="W958" s="31"/>
      <c r="X958" s="31"/>
      <c r="Y958" s="31"/>
      <c r="Z958" s="31"/>
      <c r="AA958" s="31"/>
      <c r="AB958" s="31"/>
      <c r="AC958" s="31"/>
      <c r="AD958" s="31"/>
      <c r="AE958" s="31"/>
      <c r="AF958" s="31"/>
      <c r="AG958" s="31"/>
      <c r="AH958" s="31"/>
      <c r="AI958" s="31"/>
      <c r="AJ958" s="31">
        <v>1</v>
      </c>
      <c r="AK958" s="31"/>
      <c r="AL958" s="28" t="str">
        <f>VLOOKUP($G958,'[42]Sheet1 (2)'!$A$1:$B$1048440,2,FALSE)</f>
        <v>Cum</v>
      </c>
      <c r="AM958" s="32" t="s">
        <v>1476</v>
      </c>
      <c r="AN958" s="31"/>
      <c r="AO958" s="33"/>
    </row>
    <row r="959" spans="1:41" ht="196" x14ac:dyDescent="0.25">
      <c r="A959" s="26">
        <v>833</v>
      </c>
      <c r="B959" s="21" t="s">
        <v>1456</v>
      </c>
      <c r="C959" s="22">
        <v>24.14</v>
      </c>
      <c r="D959" s="25" t="s">
        <v>1477</v>
      </c>
      <c r="E959" s="24" t="s">
        <v>1478</v>
      </c>
      <c r="F959" s="35" t="s">
        <v>1479</v>
      </c>
      <c r="G959" s="25" t="s">
        <v>47</v>
      </c>
      <c r="H959" s="26">
        <v>6359</v>
      </c>
      <c r="I959" s="121">
        <v>1778</v>
      </c>
      <c r="J959" s="163">
        <f>6/20</f>
        <v>0.3</v>
      </c>
      <c r="K959" s="163"/>
      <c r="L959" s="163">
        <f>0.7+0.2</f>
        <v>0.89999999999999991</v>
      </c>
      <c r="M959" s="163"/>
      <c r="N959" s="163"/>
      <c r="O959" s="163"/>
      <c r="P959" s="163">
        <v>0.42499999999999999</v>
      </c>
      <c r="Q959" s="31"/>
      <c r="R959" s="31"/>
      <c r="S959" s="31"/>
      <c r="T959" s="31"/>
      <c r="U959" s="31"/>
      <c r="V959" s="31"/>
      <c r="W959" s="31"/>
      <c r="X959" s="31"/>
      <c r="Y959" s="31"/>
      <c r="Z959" s="31"/>
      <c r="AA959" s="31"/>
      <c r="AB959" s="31"/>
      <c r="AC959" s="31"/>
      <c r="AD959" s="31"/>
      <c r="AE959" s="31"/>
      <c r="AF959" s="31"/>
      <c r="AG959" s="31"/>
      <c r="AH959" s="31"/>
      <c r="AI959" s="31"/>
      <c r="AJ959" s="31">
        <v>1</v>
      </c>
      <c r="AK959" s="31"/>
      <c r="AL959" s="28" t="str">
        <f>VLOOKUP($G959,'[42]Sheet1 (2)'!$A$1:$B$1048440,2,FALSE)</f>
        <v>Cum</v>
      </c>
      <c r="AM959" s="32" t="s">
        <v>1480</v>
      </c>
      <c r="AN959" s="31"/>
      <c r="AO959" s="33"/>
    </row>
    <row r="960" spans="1:41" ht="196" x14ac:dyDescent="0.25">
      <c r="A960" s="26">
        <v>834</v>
      </c>
      <c r="B960" s="21" t="s">
        <v>1456</v>
      </c>
      <c r="C960" s="22">
        <v>24.15</v>
      </c>
      <c r="D960" s="25" t="s">
        <v>1477</v>
      </c>
      <c r="E960" s="24" t="s">
        <v>1481</v>
      </c>
      <c r="F960" s="35" t="s">
        <v>1479</v>
      </c>
      <c r="G960" s="25" t="s">
        <v>47</v>
      </c>
      <c r="H960" s="26">
        <v>6721</v>
      </c>
      <c r="I960" s="121">
        <v>1778</v>
      </c>
      <c r="J960" s="163">
        <f>7/20</f>
        <v>0.35</v>
      </c>
      <c r="K960" s="163"/>
      <c r="L960" s="163">
        <f>0.6+0.2+0.1</f>
        <v>0.9</v>
      </c>
      <c r="M960" s="163"/>
      <c r="N960" s="163"/>
      <c r="O960" s="163"/>
      <c r="P960" s="163">
        <v>0.42499999999999999</v>
      </c>
      <c r="Q960" s="31"/>
      <c r="R960" s="31"/>
      <c r="S960" s="31"/>
      <c r="T960" s="31"/>
      <c r="U960" s="31"/>
      <c r="V960" s="31"/>
      <c r="W960" s="31"/>
      <c r="X960" s="31"/>
      <c r="Y960" s="31"/>
      <c r="Z960" s="31"/>
      <c r="AA960" s="31"/>
      <c r="AB960" s="31"/>
      <c r="AC960" s="31"/>
      <c r="AD960" s="31"/>
      <c r="AE960" s="31"/>
      <c r="AF960" s="31"/>
      <c r="AG960" s="31"/>
      <c r="AH960" s="31"/>
      <c r="AI960" s="31"/>
      <c r="AJ960" s="31">
        <v>1</v>
      </c>
      <c r="AK960" s="31"/>
      <c r="AL960" s="28" t="str">
        <f>VLOOKUP($G960,'[42]Sheet1 (2)'!$A$1:$B$1048440,2,FALSE)</f>
        <v>Cum</v>
      </c>
      <c r="AM960" s="32" t="s">
        <v>1482</v>
      </c>
      <c r="AN960" s="31"/>
      <c r="AO960" s="33"/>
    </row>
    <row r="961" spans="1:41" ht="154" x14ac:dyDescent="0.25">
      <c r="A961" s="26">
        <v>835</v>
      </c>
      <c r="B961" s="21" t="s">
        <v>1456</v>
      </c>
      <c r="C961" s="22">
        <v>24.16</v>
      </c>
      <c r="D961" s="25" t="s">
        <v>1483</v>
      </c>
      <c r="E961" s="24" t="s">
        <v>1484</v>
      </c>
      <c r="F961" s="35" t="s">
        <v>1485</v>
      </c>
      <c r="G961" s="25" t="s">
        <v>47</v>
      </c>
      <c r="H961" s="26">
        <v>6359</v>
      </c>
      <c r="I961" s="121">
        <v>1778</v>
      </c>
      <c r="J961" s="163">
        <f>6/20</f>
        <v>0.3</v>
      </c>
      <c r="K961" s="163"/>
      <c r="L961" s="163">
        <v>0.89</v>
      </c>
      <c r="M961" s="163"/>
      <c r="N961" s="163"/>
      <c r="O961" s="163"/>
      <c r="P961" s="163">
        <v>0.42499999999999999</v>
      </c>
      <c r="Q961" s="31"/>
      <c r="R961" s="31"/>
      <c r="S961" s="31"/>
      <c r="T961" s="31"/>
      <c r="U961" s="31"/>
      <c r="V961" s="31"/>
      <c r="W961" s="31"/>
      <c r="X961" s="31"/>
      <c r="Y961" s="31"/>
      <c r="Z961" s="31"/>
      <c r="AA961" s="31"/>
      <c r="AB961" s="31"/>
      <c r="AC961" s="31"/>
      <c r="AD961" s="31"/>
      <c r="AE961" s="31"/>
      <c r="AF961" s="31"/>
      <c r="AG961" s="31"/>
      <c r="AH961" s="31"/>
      <c r="AI961" s="31"/>
      <c r="AJ961" s="31">
        <v>1</v>
      </c>
      <c r="AK961" s="31"/>
      <c r="AL961" s="28" t="str">
        <f>VLOOKUP($G961,'[42]Sheet1 (2)'!$A$1:$B$1048440,2,FALSE)</f>
        <v>Cum</v>
      </c>
      <c r="AM961" s="32" t="s">
        <v>1486</v>
      </c>
      <c r="AN961" s="31"/>
      <c r="AO961" s="33"/>
    </row>
    <row r="962" spans="1:41" ht="16" x14ac:dyDescent="0.25">
      <c r="A962" s="109"/>
      <c r="B962" s="21"/>
      <c r="C962" s="22"/>
      <c r="D962" s="165"/>
      <c r="E962" s="222" t="s">
        <v>1487</v>
      </c>
      <c r="F962" s="223"/>
      <c r="G962" s="165"/>
      <c r="H962" s="167"/>
      <c r="I962" s="224"/>
      <c r="J962" s="163"/>
      <c r="K962" s="163"/>
      <c r="L962" s="163"/>
      <c r="M962" s="163"/>
      <c r="N962" s="163"/>
      <c r="O962" s="163"/>
      <c r="P962" s="163"/>
      <c r="Q962" s="31"/>
      <c r="R962" s="31"/>
      <c r="S962" s="31"/>
      <c r="T962" s="31"/>
      <c r="U962" s="31"/>
      <c r="V962" s="31"/>
      <c r="W962" s="31"/>
      <c r="X962" s="31"/>
      <c r="Y962" s="31"/>
      <c r="Z962" s="31"/>
      <c r="AA962" s="31"/>
      <c r="AB962" s="31"/>
      <c r="AC962" s="31"/>
      <c r="AD962" s="31"/>
      <c r="AE962" s="31"/>
      <c r="AF962" s="31"/>
      <c r="AG962" s="31"/>
      <c r="AH962" s="31"/>
      <c r="AI962" s="31"/>
      <c r="AJ962" s="31"/>
      <c r="AK962" s="31"/>
      <c r="AL962" s="28" t="e">
        <f>VLOOKUP($G962,'[42]Sheet1 (2)'!$A$1:$B$1048440,2,FALSE)</f>
        <v>#N/A</v>
      </c>
      <c r="AM962" s="32"/>
      <c r="AN962" s="31"/>
      <c r="AO962" s="33"/>
    </row>
    <row r="963" spans="1:41" ht="168" x14ac:dyDescent="0.25">
      <c r="A963" s="26">
        <v>836</v>
      </c>
      <c r="B963" s="24" t="s">
        <v>1487</v>
      </c>
      <c r="C963" s="22">
        <v>25.11</v>
      </c>
      <c r="D963" s="25" t="s">
        <v>1488</v>
      </c>
      <c r="E963" s="23" t="s">
        <v>1489</v>
      </c>
      <c r="F963" s="25" t="s">
        <v>1490</v>
      </c>
      <c r="G963" s="25" t="s">
        <v>47</v>
      </c>
      <c r="H963" s="26">
        <v>7104</v>
      </c>
      <c r="I963" s="121">
        <v>2110</v>
      </c>
      <c r="J963" s="163">
        <f>7/20</f>
        <v>0.35</v>
      </c>
      <c r="K963" s="163"/>
      <c r="L963" s="163">
        <f t="shared" ref="L963:L997" si="5">0.6+0.3</f>
        <v>0.89999999999999991</v>
      </c>
      <c r="M963" s="163"/>
      <c r="N963" s="163"/>
      <c r="O963" s="163"/>
      <c r="P963" s="163">
        <v>0.42499999999999999</v>
      </c>
      <c r="Q963" s="31"/>
      <c r="R963" s="31"/>
      <c r="S963" s="31"/>
      <c r="T963" s="31"/>
      <c r="U963" s="31"/>
      <c r="V963" s="31"/>
      <c r="W963" s="31"/>
      <c r="X963" s="31"/>
      <c r="Y963" s="31"/>
      <c r="Z963" s="31"/>
      <c r="AA963" s="31"/>
      <c r="AB963" s="31"/>
      <c r="AC963" s="31"/>
      <c r="AD963" s="31"/>
      <c r="AE963" s="31"/>
      <c r="AF963" s="31"/>
      <c r="AG963" s="31"/>
      <c r="AH963" s="31"/>
      <c r="AI963" s="31"/>
      <c r="AJ963" s="31">
        <v>1</v>
      </c>
      <c r="AK963" s="31"/>
      <c r="AL963" s="28" t="str">
        <f>VLOOKUP($G963,'[42]Sheet1 (2)'!$A$1:$B$1048440,2,FALSE)</f>
        <v>Cum</v>
      </c>
      <c r="AM963" s="32" t="s">
        <v>1491</v>
      </c>
      <c r="AN963" s="31"/>
      <c r="AO963" s="33"/>
    </row>
    <row r="964" spans="1:41" ht="168" x14ac:dyDescent="0.25">
      <c r="A964" s="26">
        <v>837</v>
      </c>
      <c r="B964" s="24" t="s">
        <v>1487</v>
      </c>
      <c r="C964" s="22">
        <v>25.13</v>
      </c>
      <c r="D964" s="25" t="s">
        <v>1488</v>
      </c>
      <c r="E964" s="24" t="s">
        <v>1492</v>
      </c>
      <c r="F964" s="25" t="s">
        <v>1490</v>
      </c>
      <c r="G964" s="25" t="s">
        <v>47</v>
      </c>
      <c r="H964" s="26">
        <v>7287</v>
      </c>
      <c r="I964" s="121">
        <v>2110</v>
      </c>
      <c r="J964" s="163">
        <f>7.5/20</f>
        <v>0.375</v>
      </c>
      <c r="K964" s="163"/>
      <c r="L964" s="163">
        <f t="shared" si="5"/>
        <v>0.89999999999999991</v>
      </c>
      <c r="M964" s="163"/>
      <c r="N964" s="163"/>
      <c r="O964" s="163"/>
      <c r="P964" s="163">
        <v>0.42499999999999999</v>
      </c>
      <c r="Q964" s="31"/>
      <c r="R964" s="31"/>
      <c r="S964" s="31"/>
      <c r="T964" s="31"/>
      <c r="U964" s="31"/>
      <c r="V964" s="31"/>
      <c r="W964" s="31"/>
      <c r="X964" s="31"/>
      <c r="Y964" s="31"/>
      <c r="Z964" s="31"/>
      <c r="AA964" s="31"/>
      <c r="AB964" s="31"/>
      <c r="AC964" s="31"/>
      <c r="AD964" s="31"/>
      <c r="AE964" s="31"/>
      <c r="AF964" s="31"/>
      <c r="AG964" s="31"/>
      <c r="AH964" s="31"/>
      <c r="AI964" s="31"/>
      <c r="AJ964" s="31">
        <v>1</v>
      </c>
      <c r="AK964" s="31"/>
      <c r="AL964" s="28" t="str">
        <f>VLOOKUP($G964,'[42]Sheet1 (2)'!$A$1:$B$1048440,2,FALSE)</f>
        <v>Cum</v>
      </c>
      <c r="AM964" s="32" t="s">
        <v>1493</v>
      </c>
      <c r="AN964" s="31"/>
      <c r="AO964" s="33"/>
    </row>
    <row r="965" spans="1:41" ht="210" x14ac:dyDescent="0.25">
      <c r="A965" s="26">
        <v>838</v>
      </c>
      <c r="B965" s="24" t="s">
        <v>1487</v>
      </c>
      <c r="C965" s="22">
        <v>25.15</v>
      </c>
      <c r="D965" s="25" t="s">
        <v>1488</v>
      </c>
      <c r="E965" s="24" t="s">
        <v>1494</v>
      </c>
      <c r="F965" s="25" t="s">
        <v>1490</v>
      </c>
      <c r="G965" s="25" t="s">
        <v>47</v>
      </c>
      <c r="H965" s="26">
        <v>7471</v>
      </c>
      <c r="I965" s="121">
        <v>2110</v>
      </c>
      <c r="J965" s="163">
        <f>8/20</f>
        <v>0.4</v>
      </c>
      <c r="K965" s="163"/>
      <c r="L965" s="163">
        <f t="shared" si="5"/>
        <v>0.89999999999999991</v>
      </c>
      <c r="M965" s="163"/>
      <c r="N965" s="163"/>
      <c r="O965" s="163"/>
      <c r="P965" s="163">
        <v>0.42499999999999999</v>
      </c>
      <c r="Q965" s="31"/>
      <c r="R965" s="31"/>
      <c r="S965" s="31"/>
      <c r="T965" s="31"/>
      <c r="U965" s="31"/>
      <c r="V965" s="31"/>
      <c r="W965" s="31"/>
      <c r="X965" s="31"/>
      <c r="Y965" s="31"/>
      <c r="Z965" s="31"/>
      <c r="AA965" s="31"/>
      <c r="AB965" s="31"/>
      <c r="AC965" s="31"/>
      <c r="AD965" s="31"/>
      <c r="AE965" s="31"/>
      <c r="AF965" s="31"/>
      <c r="AG965" s="31"/>
      <c r="AH965" s="31"/>
      <c r="AI965" s="31"/>
      <c r="AJ965" s="31">
        <v>1</v>
      </c>
      <c r="AK965" s="31"/>
      <c r="AL965" s="28" t="str">
        <f>VLOOKUP($G965,'[42]Sheet1 (2)'!$A$1:$B$1048440,2,FALSE)</f>
        <v>Cum</v>
      </c>
      <c r="AM965" s="32" t="s">
        <v>1495</v>
      </c>
      <c r="AN965" s="31"/>
      <c r="AO965" s="33"/>
    </row>
    <row r="966" spans="1:41" ht="196" x14ac:dyDescent="0.25">
      <c r="A966" s="26">
        <v>839</v>
      </c>
      <c r="B966" s="24" t="s">
        <v>1487</v>
      </c>
      <c r="C966" s="22">
        <v>25.17</v>
      </c>
      <c r="D966" s="25" t="s">
        <v>1488</v>
      </c>
      <c r="E966" s="24" t="s">
        <v>1496</v>
      </c>
      <c r="F966" s="25" t="s">
        <v>1490</v>
      </c>
      <c r="G966" s="25" t="s">
        <v>47</v>
      </c>
      <c r="H966" s="26">
        <v>7562</v>
      </c>
      <c r="I966" s="121">
        <v>2110</v>
      </c>
      <c r="J966" s="163">
        <f>8.25/20</f>
        <v>0.41249999999999998</v>
      </c>
      <c r="K966" s="163"/>
      <c r="L966" s="163">
        <f t="shared" si="5"/>
        <v>0.89999999999999991</v>
      </c>
      <c r="M966" s="163"/>
      <c r="N966" s="163"/>
      <c r="O966" s="163"/>
      <c r="P966" s="163">
        <v>0.42499999999999999</v>
      </c>
      <c r="Q966" s="31"/>
      <c r="R966" s="31"/>
      <c r="S966" s="31"/>
      <c r="T966" s="31"/>
      <c r="U966" s="31"/>
      <c r="V966" s="31"/>
      <c r="W966" s="31"/>
      <c r="X966" s="31"/>
      <c r="Y966" s="31"/>
      <c r="Z966" s="31"/>
      <c r="AA966" s="31"/>
      <c r="AB966" s="31"/>
      <c r="AC966" s="31"/>
      <c r="AD966" s="31"/>
      <c r="AE966" s="31"/>
      <c r="AF966" s="31"/>
      <c r="AG966" s="31"/>
      <c r="AH966" s="31"/>
      <c r="AI966" s="31"/>
      <c r="AJ966" s="31">
        <v>1</v>
      </c>
      <c r="AK966" s="31"/>
      <c r="AL966" s="28" t="str">
        <f>VLOOKUP($G966,'[42]Sheet1 (2)'!$A$1:$B$1048440,2,FALSE)</f>
        <v>Cum</v>
      </c>
      <c r="AM966" s="32" t="s">
        <v>1497</v>
      </c>
      <c r="AN966" s="31"/>
      <c r="AO966" s="33"/>
    </row>
    <row r="967" spans="1:41" ht="210" x14ac:dyDescent="0.25">
      <c r="A967" s="26">
        <v>840</v>
      </c>
      <c r="B967" s="24" t="s">
        <v>1487</v>
      </c>
      <c r="C967" s="22">
        <v>25.19</v>
      </c>
      <c r="D967" s="25" t="s">
        <v>1488</v>
      </c>
      <c r="E967" s="24" t="s">
        <v>1498</v>
      </c>
      <c r="F967" s="25" t="s">
        <v>1490</v>
      </c>
      <c r="G967" s="25" t="s">
        <v>47</v>
      </c>
      <c r="H967" s="26">
        <v>7801</v>
      </c>
      <c r="I967" s="121">
        <v>2110</v>
      </c>
      <c r="J967" s="163">
        <f>8.5/20</f>
        <v>0.42499999999999999</v>
      </c>
      <c r="K967" s="163"/>
      <c r="L967" s="163">
        <f t="shared" si="5"/>
        <v>0.89999999999999991</v>
      </c>
      <c r="M967" s="163"/>
      <c r="N967" s="163"/>
      <c r="O967" s="163"/>
      <c r="P967" s="163">
        <v>0.42499999999999999</v>
      </c>
      <c r="Q967" s="31"/>
      <c r="R967" s="31"/>
      <c r="S967" s="31"/>
      <c r="T967" s="31"/>
      <c r="U967" s="31"/>
      <c r="V967" s="31"/>
      <c r="W967" s="31"/>
      <c r="X967" s="31"/>
      <c r="Y967" s="31"/>
      <c r="Z967" s="31"/>
      <c r="AA967" s="31"/>
      <c r="AB967" s="31"/>
      <c r="AC967" s="31"/>
      <c r="AD967" s="31"/>
      <c r="AE967" s="31"/>
      <c r="AF967" s="31"/>
      <c r="AG967" s="31"/>
      <c r="AH967" s="31"/>
      <c r="AI967" s="31"/>
      <c r="AJ967" s="31">
        <v>1</v>
      </c>
      <c r="AK967" s="31"/>
      <c r="AL967" s="28" t="str">
        <f>VLOOKUP($G967,'[42]Sheet1 (2)'!$A$1:$B$1048440,2,FALSE)</f>
        <v>Cum</v>
      </c>
      <c r="AM967" s="32" t="s">
        <v>1497</v>
      </c>
      <c r="AN967" s="31"/>
      <c r="AO967" s="33"/>
    </row>
    <row r="968" spans="1:41" ht="182" x14ac:dyDescent="0.25">
      <c r="A968" s="26">
        <v>841</v>
      </c>
      <c r="B968" s="24" t="s">
        <v>1487</v>
      </c>
      <c r="C968" s="22">
        <v>25.31</v>
      </c>
      <c r="D968" s="25" t="s">
        <v>1499</v>
      </c>
      <c r="E968" s="24" t="s">
        <v>1500</v>
      </c>
      <c r="F968" s="24" t="s">
        <v>1501</v>
      </c>
      <c r="G968" s="25" t="s">
        <v>47</v>
      </c>
      <c r="H968" s="26">
        <v>13783</v>
      </c>
      <c r="I968" s="121">
        <v>5252</v>
      </c>
      <c r="J968" s="163">
        <f>7/20</f>
        <v>0.35</v>
      </c>
      <c r="K968" s="163"/>
      <c r="L968" s="163">
        <f t="shared" si="5"/>
        <v>0.89999999999999991</v>
      </c>
      <c r="M968" s="163"/>
      <c r="N968" s="163"/>
      <c r="O968" s="163"/>
      <c r="P968" s="163">
        <v>0.42499999999999999</v>
      </c>
      <c r="Q968" s="31"/>
      <c r="R968" s="31"/>
      <c r="S968" s="31"/>
      <c r="T968" s="31"/>
      <c r="U968" s="31"/>
      <c r="V968" s="31"/>
      <c r="W968" s="31"/>
      <c r="X968" s="31"/>
      <c r="Y968" s="31"/>
      <c r="Z968" s="31"/>
      <c r="AA968" s="31"/>
      <c r="AB968" s="31"/>
      <c r="AC968" s="31"/>
      <c r="AD968" s="31"/>
      <c r="AE968" s="31"/>
      <c r="AF968" s="31"/>
      <c r="AG968" s="31"/>
      <c r="AH968" s="31"/>
      <c r="AI968" s="31"/>
      <c r="AJ968" s="31">
        <v>1</v>
      </c>
      <c r="AK968" s="31"/>
      <c r="AL968" s="28" t="str">
        <f>VLOOKUP($G968,'[42]Sheet1 (2)'!$A$1:$B$1048440,2,FALSE)</f>
        <v>Cum</v>
      </c>
      <c r="AM968" s="32" t="s">
        <v>1502</v>
      </c>
      <c r="AN968" s="31"/>
      <c r="AO968" s="33"/>
    </row>
    <row r="969" spans="1:41" ht="182" x14ac:dyDescent="0.25">
      <c r="A969" s="26">
        <v>842</v>
      </c>
      <c r="B969" s="24" t="s">
        <v>1487</v>
      </c>
      <c r="C969" s="22">
        <v>25.33</v>
      </c>
      <c r="D969" s="25" t="s">
        <v>1499</v>
      </c>
      <c r="E969" s="24" t="s">
        <v>1503</v>
      </c>
      <c r="F969" s="92" t="s">
        <v>1504</v>
      </c>
      <c r="G969" s="25" t="s">
        <v>47</v>
      </c>
      <c r="H969" s="121">
        <v>13967</v>
      </c>
      <c r="I969" s="121">
        <v>5252</v>
      </c>
      <c r="J969" s="163">
        <f>7.5/20</f>
        <v>0.375</v>
      </c>
      <c r="K969" s="163"/>
      <c r="L969" s="163">
        <f t="shared" si="5"/>
        <v>0.89999999999999991</v>
      </c>
      <c r="M969" s="163"/>
      <c r="N969" s="163"/>
      <c r="O969" s="163"/>
      <c r="P969" s="163">
        <v>0.42499999999999999</v>
      </c>
      <c r="Q969" s="31"/>
      <c r="R969" s="31"/>
      <c r="S969" s="31"/>
      <c r="T969" s="31"/>
      <c r="U969" s="31"/>
      <c r="V969" s="31"/>
      <c r="W969" s="31"/>
      <c r="X969" s="31"/>
      <c r="Y969" s="31"/>
      <c r="Z969" s="31"/>
      <c r="AA969" s="31"/>
      <c r="AB969" s="31"/>
      <c r="AC969" s="31"/>
      <c r="AD969" s="31"/>
      <c r="AE969" s="31"/>
      <c r="AF969" s="31"/>
      <c r="AG969" s="31"/>
      <c r="AH969" s="31"/>
      <c r="AI969" s="31"/>
      <c r="AJ969" s="31">
        <v>1</v>
      </c>
      <c r="AK969" s="31"/>
      <c r="AL969" s="28" t="str">
        <f>VLOOKUP($G969,'[42]Sheet1 (2)'!$A$1:$B$1048440,2,FALSE)</f>
        <v>Cum</v>
      </c>
      <c r="AM969" s="32" t="s">
        <v>1505</v>
      </c>
      <c r="AN969" s="31"/>
      <c r="AO969" s="33"/>
    </row>
    <row r="970" spans="1:41" ht="182" x14ac:dyDescent="0.25">
      <c r="A970" s="26">
        <v>843</v>
      </c>
      <c r="B970" s="24" t="s">
        <v>1487</v>
      </c>
      <c r="C970" s="22">
        <v>25.35</v>
      </c>
      <c r="D970" s="25" t="s">
        <v>1499</v>
      </c>
      <c r="E970" s="24" t="s">
        <v>1506</v>
      </c>
      <c r="F970" s="24" t="s">
        <v>1501</v>
      </c>
      <c r="G970" s="25" t="s">
        <v>47</v>
      </c>
      <c r="H970" s="121">
        <v>14150</v>
      </c>
      <c r="I970" s="121">
        <v>5252</v>
      </c>
      <c r="J970" s="163">
        <f>8/20</f>
        <v>0.4</v>
      </c>
      <c r="K970" s="163"/>
      <c r="L970" s="163">
        <f t="shared" si="5"/>
        <v>0.89999999999999991</v>
      </c>
      <c r="M970" s="163"/>
      <c r="N970" s="163"/>
      <c r="O970" s="163"/>
      <c r="P970" s="163">
        <v>0.42499999999999999</v>
      </c>
      <c r="Q970" s="31"/>
      <c r="R970" s="31"/>
      <c r="S970" s="31"/>
      <c r="T970" s="31"/>
      <c r="U970" s="31"/>
      <c r="V970" s="31"/>
      <c r="W970" s="31"/>
      <c r="X970" s="31"/>
      <c r="Y970" s="31"/>
      <c r="Z970" s="31"/>
      <c r="AA970" s="31"/>
      <c r="AB970" s="31"/>
      <c r="AC970" s="31"/>
      <c r="AD970" s="31"/>
      <c r="AE970" s="31"/>
      <c r="AF970" s="31"/>
      <c r="AG970" s="31"/>
      <c r="AH970" s="31"/>
      <c r="AI970" s="31"/>
      <c r="AJ970" s="31">
        <v>1</v>
      </c>
      <c r="AK970" s="31"/>
      <c r="AL970" s="28" t="str">
        <f>VLOOKUP($G970,'[42]Sheet1 (2)'!$A$1:$B$1048440,2,FALSE)</f>
        <v>Cum</v>
      </c>
      <c r="AM970" s="32" t="s">
        <v>1507</v>
      </c>
      <c r="AN970" s="31"/>
      <c r="AO970" s="33"/>
    </row>
    <row r="971" spans="1:41" ht="182" x14ac:dyDescent="0.25">
      <c r="A971" s="26">
        <v>844</v>
      </c>
      <c r="B971" s="24" t="s">
        <v>1487</v>
      </c>
      <c r="C971" s="22">
        <v>25.37</v>
      </c>
      <c r="D971" s="25" t="s">
        <v>1499</v>
      </c>
      <c r="E971" s="24" t="s">
        <v>1508</v>
      </c>
      <c r="F971" s="24" t="s">
        <v>1501</v>
      </c>
      <c r="G971" s="25" t="s">
        <v>47</v>
      </c>
      <c r="H971" s="121">
        <v>14242</v>
      </c>
      <c r="I971" s="121">
        <v>5252</v>
      </c>
      <c r="J971" s="163">
        <f>8.25/20</f>
        <v>0.41249999999999998</v>
      </c>
      <c r="K971" s="163"/>
      <c r="L971" s="163">
        <f t="shared" si="5"/>
        <v>0.89999999999999991</v>
      </c>
      <c r="M971" s="163"/>
      <c r="N971" s="163"/>
      <c r="O971" s="163"/>
      <c r="P971" s="163">
        <v>0.42499999999999999</v>
      </c>
      <c r="Q971" s="31"/>
      <c r="R971" s="31"/>
      <c r="S971" s="31"/>
      <c r="T971" s="31"/>
      <c r="U971" s="31"/>
      <c r="V971" s="31"/>
      <c r="W971" s="31"/>
      <c r="X971" s="31"/>
      <c r="Y971" s="31"/>
      <c r="Z971" s="31"/>
      <c r="AA971" s="31"/>
      <c r="AB971" s="31"/>
      <c r="AC971" s="31"/>
      <c r="AD971" s="31"/>
      <c r="AE971" s="31"/>
      <c r="AF971" s="31"/>
      <c r="AG971" s="31"/>
      <c r="AH971" s="31"/>
      <c r="AI971" s="31"/>
      <c r="AJ971" s="31">
        <v>1</v>
      </c>
      <c r="AK971" s="31"/>
      <c r="AL971" s="28" t="str">
        <f>VLOOKUP($G971,'[42]Sheet1 (2)'!$A$1:$B$1048440,2,FALSE)</f>
        <v>Cum</v>
      </c>
      <c r="AM971" s="32" t="s">
        <v>1509</v>
      </c>
      <c r="AN971" s="31"/>
      <c r="AO971" s="33"/>
    </row>
    <row r="972" spans="1:41" ht="182" x14ac:dyDescent="0.25">
      <c r="A972" s="26">
        <v>845</v>
      </c>
      <c r="B972" s="24" t="s">
        <v>1487</v>
      </c>
      <c r="C972" s="22">
        <v>25.39</v>
      </c>
      <c r="D972" s="25" t="s">
        <v>1499</v>
      </c>
      <c r="E972" s="24" t="s">
        <v>1510</v>
      </c>
      <c r="F972" s="24" t="s">
        <v>1501</v>
      </c>
      <c r="G972" s="25" t="s">
        <v>47</v>
      </c>
      <c r="H972" s="121">
        <v>14333</v>
      </c>
      <c r="I972" s="121">
        <v>5252</v>
      </c>
      <c r="J972" s="163">
        <f>8.5/20</f>
        <v>0.42499999999999999</v>
      </c>
      <c r="K972" s="163"/>
      <c r="L972" s="163">
        <f t="shared" si="5"/>
        <v>0.89999999999999991</v>
      </c>
      <c r="M972" s="163"/>
      <c r="N972" s="163"/>
      <c r="O972" s="163"/>
      <c r="P972" s="163">
        <v>0.42499999999999999</v>
      </c>
      <c r="Q972" s="31"/>
      <c r="R972" s="31"/>
      <c r="S972" s="31"/>
      <c r="T972" s="31"/>
      <c r="U972" s="31"/>
      <c r="V972" s="31"/>
      <c r="W972" s="31"/>
      <c r="X972" s="31"/>
      <c r="Y972" s="31"/>
      <c r="Z972" s="31"/>
      <c r="AA972" s="31"/>
      <c r="AB972" s="31"/>
      <c r="AC972" s="31"/>
      <c r="AD972" s="31"/>
      <c r="AE972" s="31"/>
      <c r="AF972" s="31"/>
      <c r="AG972" s="31"/>
      <c r="AH972" s="31"/>
      <c r="AI972" s="31"/>
      <c r="AJ972" s="31">
        <v>1</v>
      </c>
      <c r="AK972" s="31"/>
      <c r="AL972" s="28" t="str">
        <f>VLOOKUP($G972,'[42]Sheet1 (2)'!$A$1:$B$1048440,2,FALSE)</f>
        <v>Cum</v>
      </c>
      <c r="AM972" s="32" t="s">
        <v>1509</v>
      </c>
      <c r="AN972" s="31"/>
      <c r="AO972" s="33"/>
    </row>
    <row r="973" spans="1:41" ht="168" x14ac:dyDescent="0.25">
      <c r="A973" s="26">
        <v>846</v>
      </c>
      <c r="B973" s="24" t="s">
        <v>1487</v>
      </c>
      <c r="C973" s="22">
        <v>25.5</v>
      </c>
      <c r="D973" s="25" t="s">
        <v>1511</v>
      </c>
      <c r="E973" s="23" t="s">
        <v>1512</v>
      </c>
      <c r="F973" s="25" t="s">
        <v>1513</v>
      </c>
      <c r="G973" s="25" t="s">
        <v>47</v>
      </c>
      <c r="H973" s="121">
        <v>12269</v>
      </c>
      <c r="I973" s="121">
        <v>5085</v>
      </c>
      <c r="J973" s="163">
        <f>7/20</f>
        <v>0.35</v>
      </c>
      <c r="K973" s="163"/>
      <c r="L973" s="163">
        <f t="shared" si="5"/>
        <v>0.89999999999999991</v>
      </c>
      <c r="M973" s="163"/>
      <c r="N973" s="163"/>
      <c r="O973" s="163"/>
      <c r="P973" s="163">
        <v>0.42499999999999999</v>
      </c>
      <c r="Q973" s="31"/>
      <c r="R973" s="31"/>
      <c r="S973" s="31"/>
      <c r="T973" s="31"/>
      <c r="U973" s="31"/>
      <c r="V973" s="31"/>
      <c r="W973" s="31"/>
      <c r="X973" s="31"/>
      <c r="Y973" s="31"/>
      <c r="Z973" s="31"/>
      <c r="AA973" s="31"/>
      <c r="AB973" s="31"/>
      <c r="AC973" s="31"/>
      <c r="AD973" s="31"/>
      <c r="AE973" s="31"/>
      <c r="AF973" s="31"/>
      <c r="AG973" s="31"/>
      <c r="AH973" s="31"/>
      <c r="AI973" s="31"/>
      <c r="AJ973" s="31">
        <v>1</v>
      </c>
      <c r="AK973" s="31"/>
      <c r="AL973" s="28" t="str">
        <f>VLOOKUP($G973,'[42]Sheet1 (2)'!$A$1:$B$1048440,2,FALSE)</f>
        <v>Cum</v>
      </c>
      <c r="AM973" s="32" t="s">
        <v>1514</v>
      </c>
      <c r="AN973" s="31"/>
      <c r="AO973" s="33"/>
    </row>
    <row r="974" spans="1:41" ht="154" x14ac:dyDescent="0.25">
      <c r="A974" s="26">
        <v>847</v>
      </c>
      <c r="B974" s="24" t="s">
        <v>1487</v>
      </c>
      <c r="C974" s="22">
        <v>25.52</v>
      </c>
      <c r="D974" s="25" t="s">
        <v>1511</v>
      </c>
      <c r="E974" s="24" t="s">
        <v>1515</v>
      </c>
      <c r="F974" s="25" t="s">
        <v>1513</v>
      </c>
      <c r="G974" s="25" t="s">
        <v>47</v>
      </c>
      <c r="H974" s="121">
        <v>12452</v>
      </c>
      <c r="I974" s="121">
        <v>5085</v>
      </c>
      <c r="J974" s="163">
        <f>7.5/20</f>
        <v>0.375</v>
      </c>
      <c r="K974" s="163"/>
      <c r="L974" s="163">
        <f t="shared" si="5"/>
        <v>0.89999999999999991</v>
      </c>
      <c r="M974" s="163"/>
      <c r="N974" s="163"/>
      <c r="O974" s="163"/>
      <c r="P974" s="163">
        <v>0.42499999999999999</v>
      </c>
      <c r="Q974" s="31"/>
      <c r="R974" s="31"/>
      <c r="S974" s="31"/>
      <c r="T974" s="31"/>
      <c r="U974" s="31"/>
      <c r="V974" s="31"/>
      <c r="W974" s="31"/>
      <c r="X974" s="31"/>
      <c r="Y974" s="31"/>
      <c r="Z974" s="31"/>
      <c r="AA974" s="31"/>
      <c r="AB974" s="31"/>
      <c r="AC974" s="31"/>
      <c r="AD974" s="31"/>
      <c r="AE974" s="31"/>
      <c r="AF974" s="31"/>
      <c r="AG974" s="31"/>
      <c r="AH974" s="31"/>
      <c r="AI974" s="31"/>
      <c r="AJ974" s="31">
        <v>1</v>
      </c>
      <c r="AK974" s="31"/>
      <c r="AL974" s="28" t="str">
        <f>VLOOKUP($G974,'[42]Sheet1 (2)'!$A$1:$B$1048440,2,FALSE)</f>
        <v>Cum</v>
      </c>
      <c r="AM974" s="32" t="s">
        <v>1516</v>
      </c>
      <c r="AN974" s="31"/>
      <c r="AO974" s="33"/>
    </row>
    <row r="975" spans="1:41" ht="154" x14ac:dyDescent="0.25">
      <c r="A975" s="26">
        <v>848</v>
      </c>
      <c r="B975" s="24" t="s">
        <v>1487</v>
      </c>
      <c r="C975" s="22">
        <v>25.54</v>
      </c>
      <c r="D975" s="25" t="s">
        <v>1511</v>
      </c>
      <c r="E975" s="24" t="s">
        <v>1517</v>
      </c>
      <c r="F975" s="25" t="s">
        <v>1513</v>
      </c>
      <c r="G975" s="25" t="s">
        <v>47</v>
      </c>
      <c r="H975" s="121">
        <v>12635</v>
      </c>
      <c r="I975" s="121">
        <v>5085</v>
      </c>
      <c r="J975" s="163">
        <f>8/20</f>
        <v>0.4</v>
      </c>
      <c r="K975" s="163"/>
      <c r="L975" s="163">
        <f t="shared" si="5"/>
        <v>0.89999999999999991</v>
      </c>
      <c r="M975" s="163"/>
      <c r="N975" s="163"/>
      <c r="O975" s="163"/>
      <c r="P975" s="163">
        <v>0.42499999999999999</v>
      </c>
      <c r="Q975" s="31"/>
      <c r="R975" s="31"/>
      <c r="S975" s="31"/>
      <c r="T975" s="31"/>
      <c r="U975" s="31"/>
      <c r="V975" s="31"/>
      <c r="W975" s="31"/>
      <c r="X975" s="31"/>
      <c r="Y975" s="31"/>
      <c r="Z975" s="31"/>
      <c r="AA975" s="31"/>
      <c r="AB975" s="31"/>
      <c r="AC975" s="31"/>
      <c r="AD975" s="31"/>
      <c r="AE975" s="31"/>
      <c r="AF975" s="31"/>
      <c r="AG975" s="31"/>
      <c r="AH975" s="31"/>
      <c r="AI975" s="31"/>
      <c r="AJ975" s="31">
        <v>1</v>
      </c>
      <c r="AK975" s="31"/>
      <c r="AL975" s="28" t="str">
        <f>VLOOKUP($G975,'[42]Sheet1 (2)'!$A$1:$B$1048440,2,FALSE)</f>
        <v>Cum</v>
      </c>
      <c r="AM975" s="32" t="s">
        <v>1518</v>
      </c>
      <c r="AN975" s="31"/>
      <c r="AO975" s="33"/>
    </row>
    <row r="976" spans="1:41" ht="154" x14ac:dyDescent="0.25">
      <c r="A976" s="26">
        <v>849</v>
      </c>
      <c r="B976" s="24" t="s">
        <v>1487</v>
      </c>
      <c r="C976" s="22">
        <v>25.56</v>
      </c>
      <c r="D976" s="25" t="s">
        <v>1511</v>
      </c>
      <c r="E976" s="23" t="s">
        <v>1519</v>
      </c>
      <c r="F976" s="25" t="s">
        <v>1513</v>
      </c>
      <c r="G976" s="25" t="s">
        <v>47</v>
      </c>
      <c r="H976" s="121">
        <v>12727</v>
      </c>
      <c r="I976" s="121">
        <v>5085</v>
      </c>
      <c r="J976" s="163">
        <f>8.25/20</f>
        <v>0.41249999999999998</v>
      </c>
      <c r="K976" s="163"/>
      <c r="L976" s="163">
        <f t="shared" si="5"/>
        <v>0.89999999999999991</v>
      </c>
      <c r="M976" s="163"/>
      <c r="N976" s="163"/>
      <c r="O976" s="163"/>
      <c r="P976" s="163">
        <v>0.42499999999999999</v>
      </c>
      <c r="Q976" s="31"/>
      <c r="R976" s="31"/>
      <c r="S976" s="31"/>
      <c r="T976" s="31"/>
      <c r="U976" s="31"/>
      <c r="V976" s="31"/>
      <c r="W976" s="31"/>
      <c r="X976" s="31"/>
      <c r="Y976" s="31"/>
      <c r="Z976" s="31"/>
      <c r="AA976" s="31"/>
      <c r="AB976" s="31"/>
      <c r="AC976" s="31"/>
      <c r="AD976" s="31"/>
      <c r="AE976" s="31"/>
      <c r="AF976" s="31"/>
      <c r="AG976" s="31"/>
      <c r="AH976" s="31"/>
      <c r="AI976" s="31"/>
      <c r="AJ976" s="31">
        <v>1</v>
      </c>
      <c r="AK976" s="31"/>
      <c r="AL976" s="28" t="str">
        <f>VLOOKUP($G976,'[42]Sheet1 (2)'!$A$1:$B$1048440,2,FALSE)</f>
        <v>Cum</v>
      </c>
      <c r="AM976" s="32" t="s">
        <v>1520</v>
      </c>
      <c r="AN976" s="31"/>
      <c r="AO976" s="33"/>
    </row>
    <row r="977" spans="1:41" ht="168" x14ac:dyDescent="0.25">
      <c r="A977" s="26">
        <v>850</v>
      </c>
      <c r="B977" s="24" t="s">
        <v>1487</v>
      </c>
      <c r="C977" s="22">
        <v>25.58</v>
      </c>
      <c r="D977" s="25" t="s">
        <v>1511</v>
      </c>
      <c r="E977" s="23" t="s">
        <v>1521</v>
      </c>
      <c r="F977" s="25" t="s">
        <v>1513</v>
      </c>
      <c r="G977" s="25" t="s">
        <v>47</v>
      </c>
      <c r="H977" s="121">
        <v>13002</v>
      </c>
      <c r="I977" s="121">
        <v>5085</v>
      </c>
      <c r="J977" s="163">
        <f>8.5/20</f>
        <v>0.42499999999999999</v>
      </c>
      <c r="K977" s="163"/>
      <c r="L977" s="163">
        <f t="shared" si="5"/>
        <v>0.89999999999999991</v>
      </c>
      <c r="M977" s="163"/>
      <c r="N977" s="163"/>
      <c r="O977" s="163"/>
      <c r="P977" s="163">
        <v>0.42499999999999999</v>
      </c>
      <c r="Q977" s="31"/>
      <c r="R977" s="31"/>
      <c r="S977" s="31"/>
      <c r="T977" s="31"/>
      <c r="U977" s="31"/>
      <c r="V977" s="31"/>
      <c r="W977" s="31"/>
      <c r="X977" s="31"/>
      <c r="Y977" s="31"/>
      <c r="Z977" s="31"/>
      <c r="AA977" s="31"/>
      <c r="AB977" s="31"/>
      <c r="AC977" s="31"/>
      <c r="AD977" s="31"/>
      <c r="AE977" s="31"/>
      <c r="AF977" s="31"/>
      <c r="AG977" s="31"/>
      <c r="AH977" s="31"/>
      <c r="AI977" s="31"/>
      <c r="AJ977" s="31">
        <v>1</v>
      </c>
      <c r="AK977" s="31"/>
      <c r="AL977" s="28" t="str">
        <f>VLOOKUP($G977,'[42]Sheet1 (2)'!$A$1:$B$1048440,2,FALSE)</f>
        <v>Cum</v>
      </c>
      <c r="AM977" s="32" t="s">
        <v>1520</v>
      </c>
      <c r="AN977" s="31"/>
      <c r="AO977" s="33"/>
    </row>
    <row r="978" spans="1:41" ht="182" x14ac:dyDescent="0.25">
      <c r="A978" s="26">
        <v>851</v>
      </c>
      <c r="B978" s="24" t="s">
        <v>1487</v>
      </c>
      <c r="C978" s="22">
        <v>25.7</v>
      </c>
      <c r="D978" s="25" t="s">
        <v>1522</v>
      </c>
      <c r="E978" s="24" t="s">
        <v>1523</v>
      </c>
      <c r="F978" s="25" t="s">
        <v>1524</v>
      </c>
      <c r="G978" s="25" t="s">
        <v>47</v>
      </c>
      <c r="H978" s="121">
        <v>13932</v>
      </c>
      <c r="I978" s="121">
        <v>5988</v>
      </c>
      <c r="J978" s="163">
        <f>7/20</f>
        <v>0.35</v>
      </c>
      <c r="K978" s="163"/>
      <c r="L978" s="163">
        <f t="shared" si="5"/>
        <v>0.89999999999999991</v>
      </c>
      <c r="M978" s="163"/>
      <c r="N978" s="163"/>
      <c r="O978" s="163"/>
      <c r="P978" s="163">
        <v>0.42499999999999999</v>
      </c>
      <c r="Q978" s="31"/>
      <c r="R978" s="31"/>
      <c r="S978" s="31"/>
      <c r="T978" s="31"/>
      <c r="U978" s="31"/>
      <c r="V978" s="31"/>
      <c r="W978" s="31"/>
      <c r="X978" s="31"/>
      <c r="Y978" s="31"/>
      <c r="Z978" s="31"/>
      <c r="AA978" s="31"/>
      <c r="AB978" s="31"/>
      <c r="AC978" s="31"/>
      <c r="AD978" s="31"/>
      <c r="AE978" s="31"/>
      <c r="AF978" s="31"/>
      <c r="AG978" s="31"/>
      <c r="AH978" s="31"/>
      <c r="AI978" s="31"/>
      <c r="AJ978" s="31">
        <v>1</v>
      </c>
      <c r="AK978" s="31"/>
      <c r="AL978" s="28" t="str">
        <f>VLOOKUP($G978,'[42]Sheet1 (2)'!$A$1:$B$1048440,2,FALSE)</f>
        <v>Cum</v>
      </c>
      <c r="AM978" s="32" t="s">
        <v>1525</v>
      </c>
      <c r="AN978" s="31"/>
      <c r="AO978" s="33"/>
    </row>
    <row r="979" spans="1:41" ht="182" x14ac:dyDescent="0.25">
      <c r="A979" s="26">
        <v>852</v>
      </c>
      <c r="B979" s="24" t="s">
        <v>1487</v>
      </c>
      <c r="C979" s="22">
        <v>25.72</v>
      </c>
      <c r="D979" s="25" t="s">
        <v>1522</v>
      </c>
      <c r="E979" s="24" t="s">
        <v>1526</v>
      </c>
      <c r="F979" s="25" t="s">
        <v>1524</v>
      </c>
      <c r="G979" s="25" t="s">
        <v>47</v>
      </c>
      <c r="H979" s="121">
        <v>14116</v>
      </c>
      <c r="I979" s="121">
        <v>5988</v>
      </c>
      <c r="J979" s="163">
        <f>7.5/20</f>
        <v>0.375</v>
      </c>
      <c r="K979" s="163"/>
      <c r="L979" s="163">
        <f t="shared" si="5"/>
        <v>0.89999999999999991</v>
      </c>
      <c r="M979" s="163"/>
      <c r="N979" s="163"/>
      <c r="O979" s="163"/>
      <c r="P979" s="163">
        <v>0.42499999999999999</v>
      </c>
      <c r="Q979" s="31"/>
      <c r="R979" s="31"/>
      <c r="S979" s="31"/>
      <c r="T979" s="31"/>
      <c r="U979" s="31"/>
      <c r="V979" s="31"/>
      <c r="W979" s="31"/>
      <c r="X979" s="31"/>
      <c r="Y979" s="31"/>
      <c r="Z979" s="31"/>
      <c r="AA979" s="31"/>
      <c r="AB979" s="31"/>
      <c r="AC979" s="31"/>
      <c r="AD979" s="31"/>
      <c r="AE979" s="31"/>
      <c r="AF979" s="31"/>
      <c r="AG979" s="31"/>
      <c r="AH979" s="31"/>
      <c r="AI979" s="31"/>
      <c r="AJ979" s="31">
        <v>1</v>
      </c>
      <c r="AK979" s="31"/>
      <c r="AL979" s="28" t="str">
        <f>VLOOKUP($G979,'[42]Sheet1 (2)'!$A$1:$B$1048440,2,FALSE)</f>
        <v>Cum</v>
      </c>
      <c r="AM979" s="32" t="s">
        <v>1527</v>
      </c>
      <c r="AN979" s="31"/>
      <c r="AO979" s="33"/>
    </row>
    <row r="980" spans="1:41" ht="182" x14ac:dyDescent="0.25">
      <c r="A980" s="26">
        <v>853</v>
      </c>
      <c r="B980" s="24" t="s">
        <v>1487</v>
      </c>
      <c r="C980" s="22">
        <v>25.74</v>
      </c>
      <c r="D980" s="25" t="s">
        <v>1522</v>
      </c>
      <c r="E980" s="24" t="s">
        <v>1528</v>
      </c>
      <c r="F980" s="25" t="s">
        <v>1524</v>
      </c>
      <c r="G980" s="25" t="s">
        <v>47</v>
      </c>
      <c r="H980" s="121">
        <v>14299</v>
      </c>
      <c r="I980" s="121">
        <v>5988</v>
      </c>
      <c r="J980" s="163">
        <f>8/20</f>
        <v>0.4</v>
      </c>
      <c r="K980" s="163"/>
      <c r="L980" s="163">
        <f t="shared" si="5"/>
        <v>0.89999999999999991</v>
      </c>
      <c r="M980" s="163"/>
      <c r="N980" s="163"/>
      <c r="O980" s="163"/>
      <c r="P980" s="163">
        <v>0.42499999999999999</v>
      </c>
      <c r="Q980" s="31"/>
      <c r="R980" s="31"/>
      <c r="S980" s="31"/>
      <c r="T980" s="31"/>
      <c r="U980" s="31"/>
      <c r="V980" s="31"/>
      <c r="W980" s="31"/>
      <c r="X980" s="31"/>
      <c r="Y980" s="31"/>
      <c r="Z980" s="31"/>
      <c r="AA980" s="31"/>
      <c r="AB980" s="31"/>
      <c r="AC980" s="31"/>
      <c r="AD980" s="31"/>
      <c r="AE980" s="31"/>
      <c r="AF980" s="31"/>
      <c r="AG980" s="31"/>
      <c r="AH980" s="31"/>
      <c r="AI980" s="31"/>
      <c r="AJ980" s="31">
        <v>1</v>
      </c>
      <c r="AK980" s="31"/>
      <c r="AL980" s="28" t="str">
        <f>VLOOKUP($G980,'[42]Sheet1 (2)'!$A$1:$B$1048440,2,FALSE)</f>
        <v>Cum</v>
      </c>
      <c r="AM980" s="32" t="s">
        <v>1529</v>
      </c>
      <c r="AN980" s="31"/>
      <c r="AO980" s="33"/>
    </row>
    <row r="981" spans="1:41" ht="182" x14ac:dyDescent="0.25">
      <c r="A981" s="26">
        <v>854</v>
      </c>
      <c r="B981" s="24" t="s">
        <v>1487</v>
      </c>
      <c r="C981" s="22">
        <v>25.76</v>
      </c>
      <c r="D981" s="25" t="s">
        <v>1522</v>
      </c>
      <c r="E981" s="24" t="s">
        <v>1530</v>
      </c>
      <c r="F981" s="25" t="s">
        <v>1524</v>
      </c>
      <c r="G981" s="25" t="s">
        <v>47</v>
      </c>
      <c r="H981" s="121">
        <v>14391</v>
      </c>
      <c r="I981" s="121">
        <v>5988</v>
      </c>
      <c r="J981" s="163">
        <f>8.25/20</f>
        <v>0.41249999999999998</v>
      </c>
      <c r="K981" s="163"/>
      <c r="L981" s="163">
        <f t="shared" si="5"/>
        <v>0.89999999999999991</v>
      </c>
      <c r="M981" s="163"/>
      <c r="N981" s="163"/>
      <c r="O981" s="163"/>
      <c r="P981" s="163">
        <v>0.42499999999999999</v>
      </c>
      <c r="Q981" s="31"/>
      <c r="R981" s="31"/>
      <c r="S981" s="31"/>
      <c r="T981" s="31"/>
      <c r="U981" s="31"/>
      <c r="V981" s="31"/>
      <c r="W981" s="31"/>
      <c r="X981" s="31"/>
      <c r="Y981" s="31"/>
      <c r="Z981" s="31"/>
      <c r="AA981" s="31"/>
      <c r="AB981" s="31"/>
      <c r="AC981" s="31"/>
      <c r="AD981" s="31"/>
      <c r="AE981" s="31"/>
      <c r="AF981" s="31"/>
      <c r="AG981" s="31"/>
      <c r="AH981" s="31"/>
      <c r="AI981" s="31"/>
      <c r="AJ981" s="31">
        <v>1</v>
      </c>
      <c r="AK981" s="31"/>
      <c r="AL981" s="28" t="str">
        <f>VLOOKUP($G981,'[42]Sheet1 (2)'!$A$1:$B$1048440,2,FALSE)</f>
        <v>Cum</v>
      </c>
      <c r="AM981" s="32" t="s">
        <v>1531</v>
      </c>
      <c r="AN981" s="31"/>
      <c r="AO981" s="33"/>
    </row>
    <row r="982" spans="1:41" ht="182" x14ac:dyDescent="0.25">
      <c r="A982" s="26">
        <v>855</v>
      </c>
      <c r="B982" s="24" t="s">
        <v>1487</v>
      </c>
      <c r="C982" s="22">
        <v>25.78</v>
      </c>
      <c r="D982" s="25" t="s">
        <v>1522</v>
      </c>
      <c r="E982" s="24" t="s">
        <v>1532</v>
      </c>
      <c r="F982" s="25" t="s">
        <v>1524</v>
      </c>
      <c r="G982" s="25" t="s">
        <v>47</v>
      </c>
      <c r="H982" s="121">
        <v>14666</v>
      </c>
      <c r="I982" s="121">
        <v>5988</v>
      </c>
      <c r="J982" s="163">
        <f>8.5/20</f>
        <v>0.42499999999999999</v>
      </c>
      <c r="K982" s="163"/>
      <c r="L982" s="163">
        <f t="shared" si="5"/>
        <v>0.89999999999999991</v>
      </c>
      <c r="M982" s="163"/>
      <c r="N982" s="163"/>
      <c r="O982" s="163"/>
      <c r="P982" s="163">
        <v>0.42499999999999999</v>
      </c>
      <c r="Q982" s="31"/>
      <c r="R982" s="31"/>
      <c r="S982" s="31"/>
      <c r="T982" s="31"/>
      <c r="U982" s="31"/>
      <c r="V982" s="31"/>
      <c r="W982" s="31"/>
      <c r="X982" s="31"/>
      <c r="Y982" s="31"/>
      <c r="Z982" s="31"/>
      <c r="AA982" s="31"/>
      <c r="AB982" s="31"/>
      <c r="AC982" s="31"/>
      <c r="AD982" s="31"/>
      <c r="AE982" s="31"/>
      <c r="AF982" s="31"/>
      <c r="AG982" s="31"/>
      <c r="AH982" s="31"/>
      <c r="AI982" s="31"/>
      <c r="AJ982" s="31">
        <v>1</v>
      </c>
      <c r="AK982" s="31"/>
      <c r="AL982" s="28" t="str">
        <f>VLOOKUP($G982,'[42]Sheet1 (2)'!$A$1:$B$1048440,2,FALSE)</f>
        <v>Cum</v>
      </c>
      <c r="AM982" s="32" t="s">
        <v>1533</v>
      </c>
      <c r="AN982" s="31"/>
      <c r="AO982" s="33"/>
    </row>
    <row r="983" spans="1:41" ht="140" x14ac:dyDescent="0.25">
      <c r="A983" s="26">
        <v>856</v>
      </c>
      <c r="B983" s="24" t="s">
        <v>1487</v>
      </c>
      <c r="C983" s="22">
        <v>26.05</v>
      </c>
      <c r="D983" s="25" t="s">
        <v>1534</v>
      </c>
      <c r="E983" s="24" t="s">
        <v>1535</v>
      </c>
      <c r="F983" s="25" t="s">
        <v>1536</v>
      </c>
      <c r="G983" s="25" t="s">
        <v>47</v>
      </c>
      <c r="H983" s="121">
        <v>13932</v>
      </c>
      <c r="I983" s="121">
        <v>5988</v>
      </c>
      <c r="J983" s="163">
        <f>7/20</f>
        <v>0.35</v>
      </c>
      <c r="K983" s="163"/>
      <c r="L983" s="163">
        <f t="shared" si="5"/>
        <v>0.89999999999999991</v>
      </c>
      <c r="M983" s="163"/>
      <c r="N983" s="163"/>
      <c r="O983" s="163"/>
      <c r="P983" s="163">
        <v>0.42499999999999999</v>
      </c>
      <c r="Q983" s="31"/>
      <c r="R983" s="31"/>
      <c r="S983" s="31"/>
      <c r="T983" s="31"/>
      <c r="U983" s="31"/>
      <c r="V983" s="31"/>
      <c r="W983" s="31"/>
      <c r="X983" s="31"/>
      <c r="Y983" s="31"/>
      <c r="Z983" s="31"/>
      <c r="AA983" s="31"/>
      <c r="AB983" s="31"/>
      <c r="AC983" s="31"/>
      <c r="AD983" s="31"/>
      <c r="AE983" s="31"/>
      <c r="AF983" s="31"/>
      <c r="AG983" s="31"/>
      <c r="AH983" s="31"/>
      <c r="AI983" s="31"/>
      <c r="AJ983" s="31">
        <v>1</v>
      </c>
      <c r="AK983" s="31"/>
      <c r="AL983" s="28" t="str">
        <f>VLOOKUP($G983,'[42]Sheet1 (2)'!$A$1:$B$1048440,2,FALSE)</f>
        <v>Cum</v>
      </c>
      <c r="AM983" s="32" t="s">
        <v>1537</v>
      </c>
      <c r="AN983" s="31"/>
      <c r="AO983" s="33"/>
    </row>
    <row r="984" spans="1:41" ht="140" x14ac:dyDescent="0.25">
      <c r="A984" s="26">
        <v>857</v>
      </c>
      <c r="B984" s="24" t="s">
        <v>1487</v>
      </c>
      <c r="C984" s="22">
        <v>26.07</v>
      </c>
      <c r="D984" s="25" t="s">
        <v>1534</v>
      </c>
      <c r="E984" s="24" t="s">
        <v>1538</v>
      </c>
      <c r="F984" s="25" t="s">
        <v>1536</v>
      </c>
      <c r="G984" s="25" t="s">
        <v>47</v>
      </c>
      <c r="H984" s="121">
        <v>14116</v>
      </c>
      <c r="I984" s="121">
        <v>5988</v>
      </c>
      <c r="J984" s="163">
        <f>7.5/20</f>
        <v>0.375</v>
      </c>
      <c r="K984" s="163"/>
      <c r="L984" s="163">
        <f t="shared" si="5"/>
        <v>0.89999999999999991</v>
      </c>
      <c r="M984" s="163"/>
      <c r="N984" s="163"/>
      <c r="O984" s="163"/>
      <c r="P984" s="163">
        <v>0.42499999999999999</v>
      </c>
      <c r="Q984" s="31"/>
      <c r="R984" s="31"/>
      <c r="S984" s="31"/>
      <c r="T984" s="31"/>
      <c r="U984" s="31"/>
      <c r="V984" s="31"/>
      <c r="W984" s="31"/>
      <c r="X984" s="31"/>
      <c r="Y984" s="31"/>
      <c r="Z984" s="31"/>
      <c r="AA984" s="31"/>
      <c r="AB984" s="31"/>
      <c r="AC984" s="31"/>
      <c r="AD984" s="31"/>
      <c r="AE984" s="31"/>
      <c r="AF984" s="31"/>
      <c r="AG984" s="31"/>
      <c r="AH984" s="31"/>
      <c r="AI984" s="31"/>
      <c r="AJ984" s="31">
        <v>1</v>
      </c>
      <c r="AK984" s="31"/>
      <c r="AL984" s="28" t="str">
        <f>VLOOKUP($G984,'[42]Sheet1 (2)'!$A$1:$B$1048440,2,FALSE)</f>
        <v>Cum</v>
      </c>
      <c r="AM984" s="32" t="s">
        <v>1539</v>
      </c>
      <c r="AN984" s="31"/>
      <c r="AO984" s="33"/>
    </row>
    <row r="985" spans="1:41" ht="140" x14ac:dyDescent="0.25">
      <c r="A985" s="26">
        <v>858</v>
      </c>
      <c r="B985" s="24" t="s">
        <v>1487</v>
      </c>
      <c r="C985" s="22">
        <v>26.09</v>
      </c>
      <c r="D985" s="25" t="s">
        <v>1540</v>
      </c>
      <c r="E985" s="24" t="s">
        <v>1541</v>
      </c>
      <c r="F985" s="25" t="s">
        <v>1542</v>
      </c>
      <c r="G985" s="25" t="s">
        <v>47</v>
      </c>
      <c r="H985" s="121">
        <v>13932</v>
      </c>
      <c r="I985" s="121">
        <v>5988</v>
      </c>
      <c r="J985" s="163">
        <f>7/20</f>
        <v>0.35</v>
      </c>
      <c r="K985" s="163"/>
      <c r="L985" s="163">
        <f t="shared" si="5"/>
        <v>0.89999999999999991</v>
      </c>
      <c r="M985" s="163"/>
      <c r="N985" s="163"/>
      <c r="O985" s="163"/>
      <c r="P985" s="163">
        <v>0.42499999999999999</v>
      </c>
      <c r="Q985" s="31"/>
      <c r="R985" s="31"/>
      <c r="S985" s="31"/>
      <c r="T985" s="31"/>
      <c r="U985" s="31"/>
      <c r="V985" s="31"/>
      <c r="W985" s="31"/>
      <c r="X985" s="31"/>
      <c r="Y985" s="31"/>
      <c r="Z985" s="31"/>
      <c r="AA985" s="31"/>
      <c r="AB985" s="31"/>
      <c r="AC985" s="31"/>
      <c r="AD985" s="31"/>
      <c r="AE985" s="31"/>
      <c r="AF985" s="31"/>
      <c r="AG985" s="31"/>
      <c r="AH985" s="31"/>
      <c r="AI985" s="31"/>
      <c r="AJ985" s="31">
        <v>1</v>
      </c>
      <c r="AK985" s="31"/>
      <c r="AL985" s="28" t="str">
        <f>VLOOKUP($G985,'[42]Sheet1 (2)'!$A$1:$B$1048440,2,FALSE)</f>
        <v>Cum</v>
      </c>
      <c r="AM985" s="32" t="s">
        <v>1543</v>
      </c>
      <c r="AN985" s="31"/>
      <c r="AO985" s="33"/>
    </row>
    <row r="986" spans="1:41" ht="140" x14ac:dyDescent="0.25">
      <c r="A986" s="26">
        <v>859</v>
      </c>
      <c r="B986" s="24" t="s">
        <v>1487</v>
      </c>
      <c r="C986" s="22">
        <v>26.11</v>
      </c>
      <c r="D986" s="25" t="s">
        <v>1540</v>
      </c>
      <c r="E986" s="23" t="s">
        <v>1544</v>
      </c>
      <c r="F986" s="25" t="s">
        <v>1542</v>
      </c>
      <c r="G986" s="25" t="s">
        <v>47</v>
      </c>
      <c r="H986" s="121">
        <v>14116</v>
      </c>
      <c r="I986" s="121">
        <v>5988</v>
      </c>
      <c r="J986" s="163">
        <f>7.5/20</f>
        <v>0.375</v>
      </c>
      <c r="K986" s="163"/>
      <c r="L986" s="163">
        <f t="shared" si="5"/>
        <v>0.89999999999999991</v>
      </c>
      <c r="M986" s="163"/>
      <c r="N986" s="163"/>
      <c r="O986" s="163"/>
      <c r="P986" s="163">
        <v>0.42499999999999999</v>
      </c>
      <c r="Q986" s="31"/>
      <c r="R986" s="31"/>
      <c r="S986" s="31"/>
      <c r="T986" s="31"/>
      <c r="U986" s="31"/>
      <c r="V986" s="31"/>
      <c r="W986" s="31"/>
      <c r="X986" s="31"/>
      <c r="Y986" s="31"/>
      <c r="Z986" s="31"/>
      <c r="AA986" s="31"/>
      <c r="AB986" s="31"/>
      <c r="AC986" s="31"/>
      <c r="AD986" s="31"/>
      <c r="AE986" s="31"/>
      <c r="AF986" s="31"/>
      <c r="AG986" s="31"/>
      <c r="AH986" s="31"/>
      <c r="AI986" s="31"/>
      <c r="AJ986" s="31">
        <v>1</v>
      </c>
      <c r="AK986" s="31"/>
      <c r="AL986" s="28" t="str">
        <f>VLOOKUP($G986,'[42]Sheet1 (2)'!$A$1:$B$1048440,2,FALSE)</f>
        <v>Cum</v>
      </c>
      <c r="AM986" s="32" t="s">
        <v>1545</v>
      </c>
      <c r="AN986" s="31"/>
      <c r="AO986" s="33"/>
    </row>
    <row r="987" spans="1:41" ht="154" x14ac:dyDescent="0.25">
      <c r="A987" s="26">
        <v>860</v>
      </c>
      <c r="B987" s="24" t="s">
        <v>1487</v>
      </c>
      <c r="C987" s="22">
        <v>26.17</v>
      </c>
      <c r="D987" s="25" t="s">
        <v>1546</v>
      </c>
      <c r="E987" s="24" t="s">
        <v>1547</v>
      </c>
      <c r="F987" s="25" t="s">
        <v>1548</v>
      </c>
      <c r="G987" s="25" t="s">
        <v>47</v>
      </c>
      <c r="H987" s="26">
        <v>15567</v>
      </c>
      <c r="I987" s="121">
        <v>7338</v>
      </c>
      <c r="J987" s="163">
        <f>7/20</f>
        <v>0.35</v>
      </c>
      <c r="K987" s="163"/>
      <c r="L987" s="163">
        <f t="shared" si="5"/>
        <v>0.89999999999999991</v>
      </c>
      <c r="M987" s="163"/>
      <c r="N987" s="163"/>
      <c r="O987" s="163"/>
      <c r="P987" s="163">
        <v>0.42499999999999999</v>
      </c>
      <c r="Q987" s="31"/>
      <c r="R987" s="31"/>
      <c r="S987" s="31"/>
      <c r="T987" s="31"/>
      <c r="U987" s="31"/>
      <c r="V987" s="31"/>
      <c r="W987" s="31"/>
      <c r="X987" s="31"/>
      <c r="Y987" s="31"/>
      <c r="Z987" s="31"/>
      <c r="AA987" s="31"/>
      <c r="AB987" s="31"/>
      <c r="AC987" s="31"/>
      <c r="AD987" s="31"/>
      <c r="AE987" s="31"/>
      <c r="AF987" s="31"/>
      <c r="AG987" s="31"/>
      <c r="AH987" s="31"/>
      <c r="AI987" s="31"/>
      <c r="AJ987" s="31">
        <v>1</v>
      </c>
      <c r="AK987" s="31"/>
      <c r="AL987" s="28" t="str">
        <f>VLOOKUP($G987,'[42]Sheet1 (2)'!$A$1:$B$1048440,2,FALSE)</f>
        <v>Cum</v>
      </c>
      <c r="AM987" s="32" t="s">
        <v>1549</v>
      </c>
      <c r="AN987" s="31"/>
      <c r="AO987" s="33"/>
    </row>
    <row r="988" spans="1:41" ht="140" x14ac:dyDescent="0.25">
      <c r="A988" s="26">
        <v>861</v>
      </c>
      <c r="B988" s="24" t="s">
        <v>1487</v>
      </c>
      <c r="C988" s="22">
        <v>26.19</v>
      </c>
      <c r="D988" s="25" t="s">
        <v>1546</v>
      </c>
      <c r="E988" s="24" t="s">
        <v>1550</v>
      </c>
      <c r="F988" s="25" t="s">
        <v>1548</v>
      </c>
      <c r="G988" s="25" t="s">
        <v>47</v>
      </c>
      <c r="H988" s="26">
        <v>15750</v>
      </c>
      <c r="I988" s="121">
        <v>7338</v>
      </c>
      <c r="J988" s="163">
        <f>7.5/20</f>
        <v>0.375</v>
      </c>
      <c r="K988" s="163"/>
      <c r="L988" s="163">
        <f t="shared" si="5"/>
        <v>0.89999999999999991</v>
      </c>
      <c r="M988" s="163"/>
      <c r="N988" s="163"/>
      <c r="O988" s="163"/>
      <c r="P988" s="163">
        <v>0.42499999999999999</v>
      </c>
      <c r="Q988" s="31"/>
      <c r="R988" s="31"/>
      <c r="S988" s="31"/>
      <c r="T988" s="31"/>
      <c r="U988" s="31"/>
      <c r="V988" s="31"/>
      <c r="W988" s="31"/>
      <c r="X988" s="31"/>
      <c r="Y988" s="31"/>
      <c r="Z988" s="31"/>
      <c r="AA988" s="31"/>
      <c r="AB988" s="31"/>
      <c r="AC988" s="31"/>
      <c r="AD988" s="31"/>
      <c r="AE988" s="31"/>
      <c r="AF988" s="31"/>
      <c r="AG988" s="31"/>
      <c r="AH988" s="31"/>
      <c r="AI988" s="31"/>
      <c r="AJ988" s="31">
        <v>1</v>
      </c>
      <c r="AK988" s="31"/>
      <c r="AL988" s="28" t="str">
        <f>VLOOKUP($G988,'[42]Sheet1 (2)'!$A$1:$B$1048440,2,FALSE)</f>
        <v>Cum</v>
      </c>
      <c r="AM988" s="32" t="s">
        <v>1551</v>
      </c>
      <c r="AN988" s="31"/>
      <c r="AO988" s="33"/>
    </row>
    <row r="989" spans="1:41" ht="168" x14ac:dyDescent="0.25">
      <c r="A989" s="26">
        <v>862</v>
      </c>
      <c r="B989" s="24" t="s">
        <v>1487</v>
      </c>
      <c r="C989" s="22">
        <v>26.23</v>
      </c>
      <c r="D989" s="25" t="s">
        <v>1552</v>
      </c>
      <c r="E989" s="24" t="s">
        <v>1553</v>
      </c>
      <c r="F989" s="35" t="s">
        <v>1554</v>
      </c>
      <c r="G989" s="25" t="s">
        <v>47</v>
      </c>
      <c r="H989" s="26">
        <v>7190</v>
      </c>
      <c r="I989" s="121">
        <v>2196</v>
      </c>
      <c r="J989" s="163">
        <f>7/20</f>
        <v>0.35</v>
      </c>
      <c r="K989" s="163"/>
      <c r="L989" s="163">
        <f t="shared" si="5"/>
        <v>0.89999999999999991</v>
      </c>
      <c r="M989" s="163"/>
      <c r="N989" s="163"/>
      <c r="O989" s="163"/>
      <c r="P989" s="163">
        <v>0.42499999999999999</v>
      </c>
      <c r="Q989" s="31"/>
      <c r="R989" s="31"/>
      <c r="S989" s="31"/>
      <c r="T989" s="31"/>
      <c r="U989" s="31"/>
      <c r="V989" s="31"/>
      <c r="W989" s="31"/>
      <c r="X989" s="31"/>
      <c r="Y989" s="31"/>
      <c r="Z989" s="31"/>
      <c r="AA989" s="31"/>
      <c r="AB989" s="31"/>
      <c r="AC989" s="31"/>
      <c r="AD989" s="31"/>
      <c r="AE989" s="31"/>
      <c r="AF989" s="31"/>
      <c r="AG989" s="31"/>
      <c r="AH989" s="31"/>
      <c r="AI989" s="31"/>
      <c r="AJ989" s="31">
        <v>1</v>
      </c>
      <c r="AK989" s="31"/>
      <c r="AL989" s="28" t="str">
        <f>VLOOKUP($G989,'[42]Sheet1 (2)'!$A$1:$B$1048440,2,FALSE)</f>
        <v>Cum</v>
      </c>
      <c r="AM989" s="32" t="s">
        <v>1555</v>
      </c>
      <c r="AN989" s="31"/>
      <c r="AO989" s="33"/>
    </row>
    <row r="990" spans="1:41" ht="210" x14ac:dyDescent="0.25">
      <c r="A990" s="26">
        <v>863</v>
      </c>
      <c r="B990" s="24" t="s">
        <v>1487</v>
      </c>
      <c r="C990" s="22">
        <v>26.25</v>
      </c>
      <c r="D990" s="25" t="s">
        <v>1556</v>
      </c>
      <c r="E990" s="24" t="s">
        <v>1557</v>
      </c>
      <c r="F990" s="35" t="s">
        <v>1558</v>
      </c>
      <c r="G990" s="25" t="s">
        <v>47</v>
      </c>
      <c r="H990" s="26">
        <v>12060</v>
      </c>
      <c r="I990" s="121">
        <v>5219</v>
      </c>
      <c r="J990" s="163">
        <f>7/20</f>
        <v>0.35</v>
      </c>
      <c r="K990" s="163"/>
      <c r="L990" s="163">
        <f t="shared" si="5"/>
        <v>0.89999999999999991</v>
      </c>
      <c r="M990" s="163"/>
      <c r="N990" s="163"/>
      <c r="O990" s="163"/>
      <c r="P990" s="163">
        <v>0.42499999999999999</v>
      </c>
      <c r="Q990" s="31"/>
      <c r="R990" s="31"/>
      <c r="S990" s="31"/>
      <c r="T990" s="31"/>
      <c r="U990" s="31"/>
      <c r="V990" s="31"/>
      <c r="W990" s="31"/>
      <c r="X990" s="31"/>
      <c r="Y990" s="31"/>
      <c r="Z990" s="31"/>
      <c r="AA990" s="31"/>
      <c r="AB990" s="31"/>
      <c r="AC990" s="31"/>
      <c r="AD990" s="31"/>
      <c r="AE990" s="31"/>
      <c r="AF990" s="31"/>
      <c r="AG990" s="31"/>
      <c r="AH990" s="31"/>
      <c r="AI990" s="31"/>
      <c r="AJ990" s="31">
        <v>1</v>
      </c>
      <c r="AK990" s="31"/>
      <c r="AL990" s="28" t="str">
        <f>VLOOKUP($G990,'[42]Sheet1 (2)'!$A$1:$B$1048440,2,FALSE)</f>
        <v>Cum</v>
      </c>
      <c r="AM990" s="32" t="s">
        <v>1559</v>
      </c>
      <c r="AN990" s="31"/>
      <c r="AO990" s="33"/>
    </row>
    <row r="991" spans="1:41" ht="210" x14ac:dyDescent="0.25">
      <c r="A991" s="26">
        <v>864</v>
      </c>
      <c r="B991" s="24" t="s">
        <v>1487</v>
      </c>
      <c r="C991" s="22">
        <v>26.26</v>
      </c>
      <c r="D991" s="25" t="s">
        <v>1556</v>
      </c>
      <c r="E991" s="24" t="s">
        <v>1560</v>
      </c>
      <c r="F991" s="35" t="s">
        <v>1558</v>
      </c>
      <c r="G991" s="25" t="s">
        <v>47</v>
      </c>
      <c r="H991" s="121">
        <v>12244</v>
      </c>
      <c r="I991" s="121">
        <v>5219</v>
      </c>
      <c r="J991" s="163">
        <f>7.5/20</f>
        <v>0.375</v>
      </c>
      <c r="K991" s="163"/>
      <c r="L991" s="163">
        <f t="shared" si="5"/>
        <v>0.89999999999999991</v>
      </c>
      <c r="M991" s="163"/>
      <c r="N991" s="163"/>
      <c r="O991" s="163"/>
      <c r="P991" s="163">
        <v>0.42499999999999999</v>
      </c>
      <c r="Q991" s="31"/>
      <c r="R991" s="31"/>
      <c r="S991" s="31"/>
      <c r="T991" s="31"/>
      <c r="U991" s="31"/>
      <c r="V991" s="31"/>
      <c r="W991" s="31"/>
      <c r="X991" s="31"/>
      <c r="Y991" s="31"/>
      <c r="Z991" s="31"/>
      <c r="AA991" s="31"/>
      <c r="AB991" s="31"/>
      <c r="AC991" s="31"/>
      <c r="AD991" s="31"/>
      <c r="AE991" s="31"/>
      <c r="AF991" s="31"/>
      <c r="AG991" s="31"/>
      <c r="AH991" s="31"/>
      <c r="AI991" s="31"/>
      <c r="AJ991" s="31">
        <v>1</v>
      </c>
      <c r="AK991" s="31"/>
      <c r="AL991" s="28" t="str">
        <f>VLOOKUP($G991,'[42]Sheet1 (2)'!$A$1:$B$1048440,2,FALSE)</f>
        <v>Cum</v>
      </c>
      <c r="AM991" s="32" t="s">
        <v>1561</v>
      </c>
      <c r="AN991" s="31"/>
      <c r="AO991" s="33"/>
    </row>
    <row r="992" spans="1:41" ht="210" x14ac:dyDescent="0.25">
      <c r="A992" s="26">
        <v>865</v>
      </c>
      <c r="B992" s="24" t="s">
        <v>1487</v>
      </c>
      <c r="C992" s="22">
        <v>26.27</v>
      </c>
      <c r="D992" s="25" t="s">
        <v>1562</v>
      </c>
      <c r="E992" s="24" t="s">
        <v>1563</v>
      </c>
      <c r="F992" s="35" t="s">
        <v>1564</v>
      </c>
      <c r="G992" s="25" t="s">
        <v>47</v>
      </c>
      <c r="H992" s="121">
        <v>12805</v>
      </c>
      <c r="I992" s="121">
        <v>4861</v>
      </c>
      <c r="J992" s="163">
        <f>7/20</f>
        <v>0.35</v>
      </c>
      <c r="K992" s="163"/>
      <c r="L992" s="163">
        <f t="shared" si="5"/>
        <v>0.89999999999999991</v>
      </c>
      <c r="M992" s="163"/>
      <c r="N992" s="163"/>
      <c r="O992" s="163"/>
      <c r="P992" s="163">
        <v>0.42499999999999999</v>
      </c>
      <c r="Q992" s="31"/>
      <c r="R992" s="31"/>
      <c r="S992" s="31"/>
      <c r="T992" s="31"/>
      <c r="U992" s="31"/>
      <c r="V992" s="31"/>
      <c r="W992" s="31"/>
      <c r="X992" s="31"/>
      <c r="Y992" s="31"/>
      <c r="Z992" s="31"/>
      <c r="AA992" s="31"/>
      <c r="AB992" s="31"/>
      <c r="AC992" s="31"/>
      <c r="AD992" s="31"/>
      <c r="AE992" s="31"/>
      <c r="AF992" s="31"/>
      <c r="AG992" s="31"/>
      <c r="AH992" s="31"/>
      <c r="AI992" s="31"/>
      <c r="AJ992" s="31">
        <v>1</v>
      </c>
      <c r="AK992" s="31"/>
      <c r="AL992" s="28" t="str">
        <f>VLOOKUP($G992,'[42]Sheet1 (2)'!$A$1:$B$1048440,2,FALSE)</f>
        <v>Cum</v>
      </c>
      <c r="AM992" s="32" t="s">
        <v>1565</v>
      </c>
      <c r="AN992" s="31"/>
      <c r="AO992" s="33"/>
    </row>
    <row r="993" spans="1:41" ht="196" x14ac:dyDescent="0.25">
      <c r="A993" s="26">
        <v>866</v>
      </c>
      <c r="B993" s="24" t="s">
        <v>1487</v>
      </c>
      <c r="C993" s="22">
        <v>26.28</v>
      </c>
      <c r="D993" s="25" t="s">
        <v>1562</v>
      </c>
      <c r="E993" s="24" t="s">
        <v>1566</v>
      </c>
      <c r="F993" s="35" t="s">
        <v>1567</v>
      </c>
      <c r="G993" s="25" t="s">
        <v>47</v>
      </c>
      <c r="H993" s="121">
        <v>12989</v>
      </c>
      <c r="I993" s="121">
        <v>4861</v>
      </c>
      <c r="J993" s="163">
        <f>7.5/20</f>
        <v>0.375</v>
      </c>
      <c r="K993" s="163"/>
      <c r="L993" s="163">
        <f t="shared" si="5"/>
        <v>0.89999999999999991</v>
      </c>
      <c r="M993" s="163"/>
      <c r="N993" s="163"/>
      <c r="O993" s="163"/>
      <c r="P993" s="163">
        <v>0.42499999999999999</v>
      </c>
      <c r="Q993" s="31"/>
      <c r="R993" s="31"/>
      <c r="S993" s="31"/>
      <c r="T993" s="31"/>
      <c r="U993" s="31"/>
      <c r="V993" s="31"/>
      <c r="W993" s="31"/>
      <c r="X993" s="31"/>
      <c r="Y993" s="31"/>
      <c r="Z993" s="31"/>
      <c r="AA993" s="31"/>
      <c r="AB993" s="31"/>
      <c r="AC993" s="31"/>
      <c r="AD993" s="31"/>
      <c r="AE993" s="31"/>
      <c r="AF993" s="31"/>
      <c r="AG993" s="31"/>
      <c r="AH993" s="31"/>
      <c r="AI993" s="31"/>
      <c r="AJ993" s="31">
        <v>1</v>
      </c>
      <c r="AK993" s="31"/>
      <c r="AL993" s="28" t="str">
        <f>VLOOKUP($G993,'[42]Sheet1 (2)'!$A$1:$B$1048440,2,FALSE)</f>
        <v>Cum</v>
      </c>
      <c r="AM993" s="32" t="s">
        <v>1568</v>
      </c>
      <c r="AN993" s="31"/>
      <c r="AO993" s="33"/>
    </row>
    <row r="994" spans="1:41" ht="224" x14ac:dyDescent="0.25">
      <c r="A994" s="26">
        <v>867</v>
      </c>
      <c r="B994" s="24" t="s">
        <v>1487</v>
      </c>
      <c r="C994" s="22">
        <v>26.29</v>
      </c>
      <c r="D994" s="25" t="s">
        <v>1569</v>
      </c>
      <c r="E994" s="23" t="s">
        <v>1570</v>
      </c>
      <c r="F994" s="35" t="s">
        <v>1571</v>
      </c>
      <c r="G994" s="25" t="s">
        <v>47</v>
      </c>
      <c r="H994" s="121">
        <v>14136</v>
      </c>
      <c r="I994" s="121">
        <v>5393</v>
      </c>
      <c r="J994" s="163">
        <f>7/20</f>
        <v>0.35</v>
      </c>
      <c r="K994" s="163"/>
      <c r="L994" s="163">
        <f t="shared" si="5"/>
        <v>0.89999999999999991</v>
      </c>
      <c r="M994" s="163"/>
      <c r="N994" s="163"/>
      <c r="O994" s="163"/>
      <c r="P994" s="163">
        <v>0.42499999999999999</v>
      </c>
      <c r="Q994" s="31"/>
      <c r="R994" s="31"/>
      <c r="S994" s="31"/>
      <c r="T994" s="31"/>
      <c r="U994" s="31"/>
      <c r="V994" s="31"/>
      <c r="W994" s="31"/>
      <c r="X994" s="31"/>
      <c r="Y994" s="31"/>
      <c r="Z994" s="31"/>
      <c r="AA994" s="31"/>
      <c r="AB994" s="31"/>
      <c r="AC994" s="31"/>
      <c r="AD994" s="31"/>
      <c r="AE994" s="31"/>
      <c r="AF994" s="31"/>
      <c r="AG994" s="31"/>
      <c r="AH994" s="31"/>
      <c r="AI994" s="31"/>
      <c r="AJ994" s="31">
        <v>1</v>
      </c>
      <c r="AK994" s="31"/>
      <c r="AL994" s="28" t="str">
        <f>VLOOKUP($G994,'[42]Sheet1 (2)'!$A$1:$B$1048440,2,FALSE)</f>
        <v>Cum</v>
      </c>
      <c r="AM994" s="32" t="s">
        <v>1572</v>
      </c>
      <c r="AN994" s="31"/>
      <c r="AO994" s="33"/>
    </row>
    <row r="995" spans="1:41" ht="196" x14ac:dyDescent="0.25">
      <c r="A995" s="26">
        <v>868</v>
      </c>
      <c r="B995" s="24" t="s">
        <v>1487</v>
      </c>
      <c r="C995" s="22">
        <v>26.3</v>
      </c>
      <c r="D995" s="25" t="s">
        <v>1569</v>
      </c>
      <c r="E995" s="23" t="s">
        <v>1573</v>
      </c>
      <c r="F995" s="35" t="s">
        <v>1571</v>
      </c>
      <c r="G995" s="25" t="s">
        <v>47</v>
      </c>
      <c r="H995" s="121">
        <v>14319</v>
      </c>
      <c r="I995" s="121">
        <v>5393</v>
      </c>
      <c r="J995" s="163">
        <f>7.5/20</f>
        <v>0.375</v>
      </c>
      <c r="K995" s="163"/>
      <c r="L995" s="163">
        <f t="shared" si="5"/>
        <v>0.89999999999999991</v>
      </c>
      <c r="M995" s="163"/>
      <c r="N995" s="163"/>
      <c r="O995" s="163"/>
      <c r="P995" s="163">
        <v>0.42499999999999999</v>
      </c>
      <c r="Q995" s="31"/>
      <c r="R995" s="31"/>
      <c r="S995" s="31"/>
      <c r="T995" s="31"/>
      <c r="U995" s="31"/>
      <c r="V995" s="31"/>
      <c r="W995" s="31"/>
      <c r="X995" s="31"/>
      <c r="Y995" s="31"/>
      <c r="Z995" s="31"/>
      <c r="AA995" s="31"/>
      <c r="AB995" s="31"/>
      <c r="AC995" s="31"/>
      <c r="AD995" s="31"/>
      <c r="AE995" s="31"/>
      <c r="AF995" s="31"/>
      <c r="AG995" s="31"/>
      <c r="AH995" s="31"/>
      <c r="AI995" s="31"/>
      <c r="AJ995" s="31">
        <v>1</v>
      </c>
      <c r="AK995" s="31"/>
      <c r="AL995" s="28" t="str">
        <f>VLOOKUP($G995,'[42]Sheet1 (2)'!$A$1:$B$1048440,2,FALSE)</f>
        <v>Cum</v>
      </c>
      <c r="AM995" s="32" t="s">
        <v>1574</v>
      </c>
      <c r="AN995" s="31"/>
      <c r="AO995" s="33"/>
    </row>
    <row r="996" spans="1:41" ht="210" x14ac:dyDescent="0.25">
      <c r="A996" s="26">
        <v>869</v>
      </c>
      <c r="B996" s="24" t="s">
        <v>1487</v>
      </c>
      <c r="C996" s="22">
        <v>26.31</v>
      </c>
      <c r="D996" s="25" t="s">
        <v>1575</v>
      </c>
      <c r="E996" s="24" t="s">
        <v>1576</v>
      </c>
      <c r="F996" s="35" t="s">
        <v>1577</v>
      </c>
      <c r="G996" s="25" t="s">
        <v>47</v>
      </c>
      <c r="H996" s="121">
        <v>17601</v>
      </c>
      <c r="I996" s="121">
        <v>8136</v>
      </c>
      <c r="J996" s="163">
        <f>7/20</f>
        <v>0.35</v>
      </c>
      <c r="K996" s="163"/>
      <c r="L996" s="163">
        <f t="shared" si="5"/>
        <v>0.89999999999999991</v>
      </c>
      <c r="M996" s="163"/>
      <c r="N996" s="163"/>
      <c r="O996" s="163"/>
      <c r="P996" s="163">
        <v>0.42499999999999999</v>
      </c>
      <c r="Q996" s="31"/>
      <c r="R996" s="31"/>
      <c r="S996" s="31"/>
      <c r="T996" s="31"/>
      <c r="U996" s="31"/>
      <c r="V996" s="31"/>
      <c r="W996" s="31"/>
      <c r="X996" s="31"/>
      <c r="Y996" s="31"/>
      <c r="Z996" s="31"/>
      <c r="AA996" s="31"/>
      <c r="AB996" s="31"/>
      <c r="AC996" s="31"/>
      <c r="AD996" s="31"/>
      <c r="AE996" s="31"/>
      <c r="AF996" s="31"/>
      <c r="AG996" s="31"/>
      <c r="AH996" s="31"/>
      <c r="AI996" s="31"/>
      <c r="AJ996" s="31">
        <v>1</v>
      </c>
      <c r="AK996" s="31"/>
      <c r="AL996" s="28" t="str">
        <f>VLOOKUP($G996,'[42]Sheet1 (2)'!$A$1:$B$1048440,2,FALSE)</f>
        <v>Cum</v>
      </c>
      <c r="AM996" s="32" t="s">
        <v>1578</v>
      </c>
      <c r="AN996" s="31"/>
      <c r="AO996" s="33"/>
    </row>
    <row r="997" spans="1:41" ht="210" x14ac:dyDescent="0.25">
      <c r="A997" s="26">
        <v>870</v>
      </c>
      <c r="B997" s="24" t="s">
        <v>1487</v>
      </c>
      <c r="C997" s="22">
        <v>26.32</v>
      </c>
      <c r="D997" s="25" t="s">
        <v>1575</v>
      </c>
      <c r="E997" s="24" t="s">
        <v>1579</v>
      </c>
      <c r="F997" s="35" t="s">
        <v>1577</v>
      </c>
      <c r="G997" s="25" t="s">
        <v>47</v>
      </c>
      <c r="H997" s="121">
        <v>17785</v>
      </c>
      <c r="I997" s="26">
        <v>8136</v>
      </c>
      <c r="J997" s="163">
        <f>7.5/20</f>
        <v>0.375</v>
      </c>
      <c r="K997" s="163"/>
      <c r="L997" s="163">
        <f t="shared" si="5"/>
        <v>0.89999999999999991</v>
      </c>
      <c r="M997" s="163"/>
      <c r="N997" s="163"/>
      <c r="O997" s="163"/>
      <c r="P997" s="163">
        <v>0.42499999999999999</v>
      </c>
      <c r="Q997" s="31"/>
      <c r="R997" s="31"/>
      <c r="S997" s="31"/>
      <c r="T997" s="31"/>
      <c r="U997" s="31"/>
      <c r="V997" s="31"/>
      <c r="W997" s="31"/>
      <c r="X997" s="31"/>
      <c r="Y997" s="31"/>
      <c r="Z997" s="31"/>
      <c r="AA997" s="31"/>
      <c r="AB997" s="31"/>
      <c r="AC997" s="31"/>
      <c r="AD997" s="31"/>
      <c r="AE997" s="31"/>
      <c r="AF997" s="31"/>
      <c r="AG997" s="31"/>
      <c r="AH997" s="31"/>
      <c r="AI997" s="31"/>
      <c r="AJ997" s="31">
        <v>1</v>
      </c>
      <c r="AK997" s="31"/>
      <c r="AL997" s="28" t="str">
        <f>VLOOKUP($G997,'[42]Sheet1 (2)'!$A$1:$B$1048440,2,FALSE)</f>
        <v>Cum</v>
      </c>
      <c r="AM997" s="32" t="s">
        <v>1580</v>
      </c>
      <c r="AN997" s="31"/>
      <c r="AO997" s="33"/>
    </row>
    <row r="998" spans="1:41" ht="98" x14ac:dyDescent="0.25">
      <c r="A998" s="26">
        <v>871</v>
      </c>
      <c r="B998" s="24" t="s">
        <v>1487</v>
      </c>
      <c r="C998" s="22">
        <v>26.33</v>
      </c>
      <c r="D998" s="25" t="s">
        <v>1581</v>
      </c>
      <c r="E998" s="24" t="s">
        <v>1582</v>
      </c>
      <c r="F998" s="24" t="s">
        <v>1583</v>
      </c>
      <c r="G998" s="25" t="s">
        <v>1046</v>
      </c>
      <c r="H998" s="121">
        <v>89703</v>
      </c>
      <c r="I998" s="26">
        <v>11762</v>
      </c>
      <c r="J998" s="31"/>
      <c r="K998" s="31">
        <v>1</v>
      </c>
      <c r="L998" s="31"/>
      <c r="M998" s="31"/>
      <c r="N998" s="31"/>
      <c r="O998" s="31"/>
      <c r="P998" s="31"/>
      <c r="Q998" s="31"/>
      <c r="R998" s="31"/>
      <c r="S998" s="31"/>
      <c r="T998" s="31"/>
      <c r="U998" s="31"/>
      <c r="V998" s="31"/>
      <c r="W998" s="31"/>
      <c r="X998" s="31"/>
      <c r="Y998" s="31"/>
      <c r="Z998" s="31"/>
      <c r="AA998" s="31"/>
      <c r="AB998" s="31"/>
      <c r="AC998" s="31"/>
      <c r="AD998" s="31"/>
      <c r="AE998" s="31"/>
      <c r="AF998" s="31"/>
      <c r="AG998" s="31"/>
      <c r="AH998" s="31"/>
      <c r="AI998" s="31"/>
      <c r="AJ998" s="31"/>
      <c r="AK998" s="31"/>
      <c r="AL998" s="28" t="str">
        <f>VLOOKUP($G998,'[42]Sheet1 (2)'!$A$1:$B$1048440,2,FALSE)</f>
        <v>M.T.</v>
      </c>
      <c r="AM998" s="32"/>
      <c r="AN998" s="31"/>
      <c r="AO998" s="33"/>
    </row>
    <row r="999" spans="1:41" ht="112" x14ac:dyDescent="0.25">
      <c r="A999" s="26">
        <v>872</v>
      </c>
      <c r="B999" s="24" t="s">
        <v>1487</v>
      </c>
      <c r="C999" s="22">
        <v>26.34</v>
      </c>
      <c r="D999" s="25" t="s">
        <v>1581</v>
      </c>
      <c r="E999" s="25" t="s">
        <v>1584</v>
      </c>
      <c r="F999" s="24" t="s">
        <v>1583</v>
      </c>
      <c r="G999" s="25" t="s">
        <v>1046</v>
      </c>
      <c r="H999" s="121">
        <v>94136</v>
      </c>
      <c r="I999" s="26">
        <v>11880</v>
      </c>
      <c r="J999" s="31"/>
      <c r="K999" s="31">
        <v>1</v>
      </c>
      <c r="L999" s="31"/>
      <c r="M999" s="31"/>
      <c r="N999" s="31"/>
      <c r="O999" s="31"/>
      <c r="P999" s="31"/>
      <c r="Q999" s="31"/>
      <c r="R999" s="31"/>
      <c r="S999" s="31"/>
      <c r="T999" s="31"/>
      <c r="U999" s="31"/>
      <c r="V999" s="31"/>
      <c r="W999" s="31"/>
      <c r="X999" s="31"/>
      <c r="Y999" s="31"/>
      <c r="Z999" s="31"/>
      <c r="AA999" s="31"/>
      <c r="AB999" s="31"/>
      <c r="AC999" s="31"/>
      <c r="AD999" s="31"/>
      <c r="AE999" s="31"/>
      <c r="AF999" s="31"/>
      <c r="AG999" s="31"/>
      <c r="AH999" s="31"/>
      <c r="AI999" s="31"/>
      <c r="AJ999" s="31"/>
      <c r="AK999" s="31"/>
      <c r="AL999" s="28" t="str">
        <f>VLOOKUP($G999,'[42]Sheet1 (2)'!$A$1:$B$1048440,2,FALSE)</f>
        <v>M.T.</v>
      </c>
      <c r="AM999" s="32"/>
      <c r="AN999" s="31"/>
      <c r="AO999" s="33"/>
    </row>
    <row r="1000" spans="1:41" ht="140" x14ac:dyDescent="0.25">
      <c r="A1000" s="26">
        <v>873</v>
      </c>
      <c r="B1000" s="24" t="s">
        <v>1487</v>
      </c>
      <c r="C1000" s="22">
        <v>26.36</v>
      </c>
      <c r="D1000" s="23"/>
      <c r="E1000" s="23" t="s">
        <v>1585</v>
      </c>
      <c r="F1000" s="24" t="s">
        <v>1233</v>
      </c>
      <c r="G1000" s="25" t="s">
        <v>1046</v>
      </c>
      <c r="H1000" s="121">
        <v>11287</v>
      </c>
      <c r="I1000" s="26">
        <v>6562</v>
      </c>
      <c r="J1000" s="31"/>
      <c r="K1000" s="31"/>
      <c r="L1000" s="31"/>
      <c r="M1000" s="31"/>
      <c r="N1000" s="31"/>
      <c r="O1000" s="31"/>
      <c r="P1000" s="31"/>
      <c r="Q1000" s="31"/>
      <c r="R1000" s="31"/>
      <c r="S1000" s="31"/>
      <c r="T1000" s="31"/>
      <c r="U1000" s="31"/>
      <c r="V1000" s="31"/>
      <c r="W1000" s="31"/>
      <c r="X1000" s="31"/>
      <c r="Y1000" s="31"/>
      <c r="Z1000" s="31"/>
      <c r="AA1000" s="31"/>
      <c r="AB1000" s="31"/>
      <c r="AC1000" s="31"/>
      <c r="AD1000" s="31"/>
      <c r="AE1000" s="31"/>
      <c r="AF1000" s="31"/>
      <c r="AG1000" s="31"/>
      <c r="AH1000" s="31"/>
      <c r="AI1000" s="31"/>
      <c r="AJ1000" s="31"/>
      <c r="AK1000" s="31"/>
      <c r="AL1000" s="28" t="str">
        <f>VLOOKUP($G1000,'[42]Sheet1 (2)'!$A$1:$B$1048440,2,FALSE)</f>
        <v>M.T.</v>
      </c>
      <c r="AM1000" s="32"/>
      <c r="AN1000" s="31"/>
      <c r="AO1000" s="33"/>
    </row>
    <row r="1001" spans="1:41" ht="336" x14ac:dyDescent="0.25">
      <c r="A1001" s="20">
        <v>874</v>
      </c>
      <c r="B1001" s="24" t="s">
        <v>1487</v>
      </c>
      <c r="C1001" s="203">
        <v>26.37</v>
      </c>
      <c r="D1001" s="35" t="s">
        <v>1586</v>
      </c>
      <c r="E1001" s="23" t="s">
        <v>1587</v>
      </c>
      <c r="F1001" s="24" t="s">
        <v>1233</v>
      </c>
      <c r="G1001" s="25" t="s">
        <v>1046</v>
      </c>
      <c r="H1001" s="20">
        <v>24710</v>
      </c>
      <c r="I1001" s="20">
        <v>1024</v>
      </c>
      <c r="J1001" s="31"/>
      <c r="K1001" s="31"/>
      <c r="L1001" s="31"/>
      <c r="M1001" s="31"/>
      <c r="N1001" s="31"/>
      <c r="O1001" s="31"/>
      <c r="P1001" s="31"/>
      <c r="Q1001" s="31"/>
      <c r="R1001" s="31"/>
      <c r="S1001" s="31"/>
      <c r="T1001" s="31"/>
      <c r="U1001" s="31"/>
      <c r="V1001" s="31"/>
      <c r="W1001" s="31"/>
      <c r="X1001" s="31"/>
      <c r="Y1001" s="31"/>
      <c r="Z1001" s="31"/>
      <c r="AA1001" s="31"/>
      <c r="AB1001" s="31"/>
      <c r="AC1001" s="31"/>
      <c r="AD1001" s="31"/>
      <c r="AE1001" s="31"/>
      <c r="AF1001" s="31"/>
      <c r="AG1001" s="31"/>
      <c r="AH1001" s="31"/>
      <c r="AI1001" s="31"/>
      <c r="AJ1001" s="31"/>
      <c r="AK1001" s="31"/>
      <c r="AL1001" s="28" t="str">
        <f>VLOOKUP($G1001,'[42]Sheet1 (2)'!$A$1:$B$1048440,2,FALSE)</f>
        <v>M.T.</v>
      </c>
      <c r="AM1001" s="32"/>
      <c r="AN1001" s="31"/>
      <c r="AO1001" s="33"/>
    </row>
    <row r="1002" spans="1:41" ht="322" x14ac:dyDescent="0.25">
      <c r="A1002" s="20">
        <v>875</v>
      </c>
      <c r="B1002" s="24" t="s">
        <v>1487</v>
      </c>
      <c r="C1002" s="203">
        <v>26.38</v>
      </c>
      <c r="D1002" s="35" t="s">
        <v>1586</v>
      </c>
      <c r="E1002" s="23" t="s">
        <v>1588</v>
      </c>
      <c r="F1002" s="24" t="s">
        <v>1233</v>
      </c>
      <c r="G1002" s="25" t="s">
        <v>1046</v>
      </c>
      <c r="H1002" s="20">
        <v>19640</v>
      </c>
      <c r="I1002" s="20">
        <v>1024</v>
      </c>
      <c r="J1002" s="31"/>
      <c r="K1002" s="31"/>
      <c r="L1002" s="31"/>
      <c r="M1002" s="31"/>
      <c r="N1002" s="31"/>
      <c r="O1002" s="31"/>
      <c r="P1002" s="31"/>
      <c r="Q1002" s="31"/>
      <c r="R1002" s="31"/>
      <c r="S1002" s="31"/>
      <c r="T1002" s="31"/>
      <c r="U1002" s="31"/>
      <c r="V1002" s="31"/>
      <c r="W1002" s="31"/>
      <c r="X1002" s="31"/>
      <c r="Y1002" s="31"/>
      <c r="Z1002" s="31"/>
      <c r="AA1002" s="31"/>
      <c r="AB1002" s="31"/>
      <c r="AC1002" s="31"/>
      <c r="AD1002" s="31"/>
      <c r="AE1002" s="31"/>
      <c r="AF1002" s="31"/>
      <c r="AG1002" s="31"/>
      <c r="AH1002" s="31"/>
      <c r="AI1002" s="31"/>
      <c r="AJ1002" s="31"/>
      <c r="AK1002" s="31"/>
      <c r="AL1002" s="28" t="str">
        <f>VLOOKUP($G1002,'[42]Sheet1 (2)'!$A$1:$B$1048440,2,FALSE)</f>
        <v>M.T.</v>
      </c>
      <c r="AM1002" s="32"/>
      <c r="AN1002" s="31"/>
      <c r="AO1002" s="33"/>
    </row>
    <row r="1003" spans="1:41" ht="322" x14ac:dyDescent="0.25">
      <c r="A1003" s="36">
        <v>876</v>
      </c>
      <c r="B1003" s="44" t="s">
        <v>1487</v>
      </c>
      <c r="C1003" s="131">
        <v>26.39</v>
      </c>
      <c r="D1003" s="47" t="s">
        <v>1589</v>
      </c>
      <c r="E1003" s="43" t="s">
        <v>1590</v>
      </c>
      <c r="F1003" s="44" t="s">
        <v>1233</v>
      </c>
      <c r="G1003" s="45" t="s">
        <v>1046</v>
      </c>
      <c r="H1003" s="36">
        <v>16896</v>
      </c>
      <c r="I1003" s="36">
        <v>1024</v>
      </c>
      <c r="J1003" s="31"/>
      <c r="K1003" s="31"/>
      <c r="L1003" s="31"/>
      <c r="M1003" s="31"/>
      <c r="N1003" s="31"/>
      <c r="O1003" s="31"/>
      <c r="P1003" s="31"/>
      <c r="Q1003" s="31"/>
      <c r="R1003" s="31"/>
      <c r="S1003" s="31"/>
      <c r="T1003" s="31"/>
      <c r="U1003" s="31"/>
      <c r="V1003" s="31"/>
      <c r="W1003" s="31"/>
      <c r="X1003" s="31"/>
      <c r="Y1003" s="31"/>
      <c r="Z1003" s="31"/>
      <c r="AA1003" s="31"/>
      <c r="AB1003" s="31"/>
      <c r="AC1003" s="31"/>
      <c r="AD1003" s="31"/>
      <c r="AE1003" s="31"/>
      <c r="AF1003" s="31"/>
      <c r="AG1003" s="31"/>
      <c r="AH1003" s="31"/>
      <c r="AI1003" s="31"/>
      <c r="AJ1003" s="31"/>
      <c r="AK1003" s="31"/>
      <c r="AL1003" s="28" t="str">
        <f>VLOOKUP($G1003,'[42]Sheet1 (2)'!$A$1:$B$1048440,2,FALSE)</f>
        <v>M.T.</v>
      </c>
      <c r="AM1003" s="32"/>
      <c r="AN1003" s="31"/>
      <c r="AO1003" s="33"/>
    </row>
    <row r="1004" spans="1:41" ht="322" x14ac:dyDescent="0.25">
      <c r="A1004" s="20">
        <v>877</v>
      </c>
      <c r="B1004" s="24" t="s">
        <v>1487</v>
      </c>
      <c r="C1004" s="203">
        <v>26.4</v>
      </c>
      <c r="D1004" s="35" t="s">
        <v>1586</v>
      </c>
      <c r="E1004" s="23" t="s">
        <v>1591</v>
      </c>
      <c r="F1004" s="24" t="s">
        <v>1233</v>
      </c>
      <c r="G1004" s="25" t="s">
        <v>1046</v>
      </c>
      <c r="H1004" s="20">
        <v>13108</v>
      </c>
      <c r="I1004" s="20">
        <v>1024</v>
      </c>
      <c r="J1004" s="31"/>
      <c r="K1004" s="31"/>
      <c r="L1004" s="31"/>
      <c r="M1004" s="31"/>
      <c r="N1004" s="31"/>
      <c r="O1004" s="31"/>
      <c r="P1004" s="31"/>
      <c r="Q1004" s="31"/>
      <c r="R1004" s="31"/>
      <c r="S1004" s="31"/>
      <c r="T1004" s="31"/>
      <c r="U1004" s="31"/>
      <c r="V1004" s="31"/>
      <c r="W1004" s="31"/>
      <c r="X1004" s="31"/>
      <c r="Y1004" s="31"/>
      <c r="Z1004" s="31"/>
      <c r="AA1004" s="31"/>
      <c r="AB1004" s="31"/>
      <c r="AC1004" s="31"/>
      <c r="AD1004" s="31"/>
      <c r="AE1004" s="31"/>
      <c r="AF1004" s="31"/>
      <c r="AG1004" s="31"/>
      <c r="AH1004" s="31"/>
      <c r="AI1004" s="31"/>
      <c r="AJ1004" s="31"/>
      <c r="AK1004" s="31"/>
      <c r="AL1004" s="28" t="str">
        <f>VLOOKUP($G1004,'[42]Sheet1 (2)'!$A$1:$B$1048440,2,FALSE)</f>
        <v>M.T.</v>
      </c>
      <c r="AM1004" s="32"/>
      <c r="AN1004" s="31"/>
      <c r="AO1004" s="33"/>
    </row>
    <row r="1005" spans="1:41" ht="322" x14ac:dyDescent="0.25">
      <c r="A1005" s="26">
        <v>878</v>
      </c>
      <c r="B1005" s="24" t="s">
        <v>1487</v>
      </c>
      <c r="C1005" s="22">
        <v>26.41</v>
      </c>
      <c r="D1005" s="35" t="s">
        <v>1586</v>
      </c>
      <c r="E1005" s="23" t="s">
        <v>1592</v>
      </c>
      <c r="F1005" s="24" t="s">
        <v>1233</v>
      </c>
      <c r="G1005" s="25" t="s">
        <v>1046</v>
      </c>
      <c r="H1005" s="26">
        <v>10841</v>
      </c>
      <c r="I1005" s="121">
        <v>1024</v>
      </c>
      <c r="J1005" s="31"/>
      <c r="K1005" s="31"/>
      <c r="L1005" s="31"/>
      <c r="M1005" s="31"/>
      <c r="N1005" s="31"/>
      <c r="O1005" s="31"/>
      <c r="P1005" s="31"/>
      <c r="Q1005" s="31"/>
      <c r="R1005" s="31"/>
      <c r="S1005" s="31"/>
      <c r="T1005" s="31"/>
      <c r="U1005" s="31"/>
      <c r="V1005" s="31"/>
      <c r="W1005" s="31"/>
      <c r="X1005" s="31"/>
      <c r="Y1005" s="31"/>
      <c r="Z1005" s="31"/>
      <c r="AA1005" s="31"/>
      <c r="AB1005" s="31"/>
      <c r="AC1005" s="31"/>
      <c r="AD1005" s="31"/>
      <c r="AE1005" s="31"/>
      <c r="AF1005" s="31"/>
      <c r="AG1005" s="31"/>
      <c r="AH1005" s="31"/>
      <c r="AI1005" s="31"/>
      <c r="AJ1005" s="31"/>
      <c r="AK1005" s="31"/>
      <c r="AL1005" s="28" t="str">
        <f>VLOOKUP($G1005,'[42]Sheet1 (2)'!$A$1:$B$1048440,2,FALSE)</f>
        <v>M.T.</v>
      </c>
      <c r="AM1005" s="32"/>
      <c r="AN1005" s="31"/>
      <c r="AO1005" s="33"/>
    </row>
    <row r="1006" spans="1:41" ht="140" x14ac:dyDescent="0.25">
      <c r="A1006" s="26">
        <v>879</v>
      </c>
      <c r="B1006" s="24" t="s">
        <v>1487</v>
      </c>
      <c r="C1006" s="22">
        <v>26.42</v>
      </c>
      <c r="D1006" s="35" t="s">
        <v>1586</v>
      </c>
      <c r="E1006" s="24" t="s">
        <v>1593</v>
      </c>
      <c r="F1006" s="24" t="s">
        <v>1233</v>
      </c>
      <c r="G1006" s="25" t="s">
        <v>1046</v>
      </c>
      <c r="H1006" s="26">
        <v>9051</v>
      </c>
      <c r="I1006" s="121">
        <v>1024</v>
      </c>
      <c r="J1006" s="31"/>
      <c r="K1006" s="31"/>
      <c r="L1006" s="31"/>
      <c r="M1006" s="31"/>
      <c r="N1006" s="31"/>
      <c r="O1006" s="31"/>
      <c r="P1006" s="31"/>
      <c r="Q1006" s="31"/>
      <c r="R1006" s="31"/>
      <c r="S1006" s="31"/>
      <c r="T1006" s="31"/>
      <c r="U1006" s="31"/>
      <c r="V1006" s="31"/>
      <c r="W1006" s="31"/>
      <c r="X1006" s="31"/>
      <c r="Y1006" s="31"/>
      <c r="Z1006" s="31"/>
      <c r="AA1006" s="31"/>
      <c r="AB1006" s="31"/>
      <c r="AC1006" s="31"/>
      <c r="AD1006" s="31"/>
      <c r="AE1006" s="31"/>
      <c r="AF1006" s="31"/>
      <c r="AG1006" s="31"/>
      <c r="AH1006" s="31"/>
      <c r="AI1006" s="31"/>
      <c r="AJ1006" s="31"/>
      <c r="AK1006" s="31"/>
      <c r="AL1006" s="28" t="str">
        <f>VLOOKUP($G1006,'[42]Sheet1 (2)'!$A$1:$B$1048440,2,FALSE)</f>
        <v>M.T.</v>
      </c>
      <c r="AM1006" s="32"/>
      <c r="AN1006" s="31"/>
      <c r="AO1006" s="33"/>
    </row>
    <row r="1007" spans="1:41" ht="322" x14ac:dyDescent="0.25">
      <c r="A1007" s="26">
        <v>880</v>
      </c>
      <c r="B1007" s="24" t="s">
        <v>1487</v>
      </c>
      <c r="C1007" s="22">
        <v>26.44</v>
      </c>
      <c r="D1007" s="35" t="s">
        <v>1586</v>
      </c>
      <c r="E1007" s="23" t="s">
        <v>1594</v>
      </c>
      <c r="F1007" s="24" t="s">
        <v>1233</v>
      </c>
      <c r="G1007" s="25" t="s">
        <v>1046</v>
      </c>
      <c r="H1007" s="26">
        <v>7411</v>
      </c>
      <c r="I1007" s="26">
        <v>1024</v>
      </c>
      <c r="J1007" s="31"/>
      <c r="K1007" s="31"/>
      <c r="L1007" s="31"/>
      <c r="M1007" s="31"/>
      <c r="N1007" s="31"/>
      <c r="O1007" s="31"/>
      <c r="P1007" s="31"/>
      <c r="Q1007" s="31"/>
      <c r="R1007" s="31"/>
      <c r="S1007" s="31"/>
      <c r="T1007" s="31"/>
      <c r="U1007" s="31"/>
      <c r="V1007" s="31"/>
      <c r="W1007" s="31"/>
      <c r="X1007" s="31"/>
      <c r="Y1007" s="31"/>
      <c r="Z1007" s="31"/>
      <c r="AA1007" s="31"/>
      <c r="AB1007" s="31"/>
      <c r="AC1007" s="31"/>
      <c r="AD1007" s="31"/>
      <c r="AE1007" s="31"/>
      <c r="AF1007" s="31"/>
      <c r="AG1007" s="31"/>
      <c r="AH1007" s="31"/>
      <c r="AI1007" s="31"/>
      <c r="AJ1007" s="31"/>
      <c r="AK1007" s="31"/>
      <c r="AL1007" s="28" t="str">
        <f>VLOOKUP($G1007,'[42]Sheet1 (2)'!$A$1:$B$1048440,2,FALSE)</f>
        <v>M.T.</v>
      </c>
      <c r="AM1007" s="32"/>
      <c r="AN1007" s="31"/>
      <c r="AO1007" s="33"/>
    </row>
    <row r="1008" spans="1:41" ht="56" x14ac:dyDescent="0.25">
      <c r="A1008" s="26">
        <v>881</v>
      </c>
      <c r="B1008" s="24" t="s">
        <v>1487</v>
      </c>
      <c r="C1008" s="22">
        <v>26.46</v>
      </c>
      <c r="D1008" s="25" t="s">
        <v>1595</v>
      </c>
      <c r="E1008" s="24" t="s">
        <v>1596</v>
      </c>
      <c r="F1008" s="24" t="s">
        <v>1597</v>
      </c>
      <c r="G1008" s="21" t="s">
        <v>217</v>
      </c>
      <c r="H1008" s="26">
        <v>937</v>
      </c>
      <c r="I1008" s="26">
        <v>158</v>
      </c>
      <c r="J1008" s="31"/>
      <c r="K1008" s="31"/>
      <c r="L1008" s="31"/>
      <c r="M1008" s="31"/>
      <c r="N1008" s="31"/>
      <c r="O1008" s="31"/>
      <c r="P1008" s="31"/>
      <c r="Q1008" s="31"/>
      <c r="R1008" s="31"/>
      <c r="S1008" s="31"/>
      <c r="T1008" s="31"/>
      <c r="U1008" s="31"/>
      <c r="V1008" s="31"/>
      <c r="W1008" s="31"/>
      <c r="X1008" s="31"/>
      <c r="Y1008" s="31"/>
      <c r="Z1008" s="31"/>
      <c r="AA1008" s="31"/>
      <c r="AB1008" s="31"/>
      <c r="AC1008" s="31"/>
      <c r="AD1008" s="31"/>
      <c r="AE1008" s="31"/>
      <c r="AF1008" s="31"/>
      <c r="AG1008" s="31"/>
      <c r="AH1008" s="31"/>
      <c r="AI1008" s="31"/>
      <c r="AJ1008" s="31"/>
      <c r="AK1008" s="31"/>
      <c r="AL1008" s="28" t="str">
        <f>VLOOKUP($G1008,'[42]Sheet1 (2)'!$A$1:$B$1048440,2,FALSE)</f>
        <v>Sqm</v>
      </c>
      <c r="AM1008" s="32"/>
      <c r="AN1008" s="31"/>
      <c r="AO1008" s="33"/>
    </row>
    <row r="1009" spans="1:41" ht="56" x14ac:dyDescent="0.25">
      <c r="A1009" s="26">
        <v>882</v>
      </c>
      <c r="B1009" s="24" t="s">
        <v>1487</v>
      </c>
      <c r="C1009" s="22">
        <v>26.47</v>
      </c>
      <c r="D1009" s="25" t="s">
        <v>1595</v>
      </c>
      <c r="E1009" s="24" t="s">
        <v>1598</v>
      </c>
      <c r="F1009" s="24" t="s">
        <v>1599</v>
      </c>
      <c r="G1009" s="21" t="s">
        <v>217</v>
      </c>
      <c r="H1009" s="26">
        <v>1193</v>
      </c>
      <c r="I1009" s="26">
        <v>158</v>
      </c>
      <c r="J1009" s="31"/>
      <c r="K1009" s="31"/>
      <c r="L1009" s="31"/>
      <c r="M1009" s="31"/>
      <c r="N1009" s="31"/>
      <c r="O1009" s="31"/>
      <c r="P1009" s="31"/>
      <c r="Q1009" s="31"/>
      <c r="R1009" s="31"/>
      <c r="S1009" s="31"/>
      <c r="T1009" s="31"/>
      <c r="U1009" s="31"/>
      <c r="V1009" s="31"/>
      <c r="W1009" s="31"/>
      <c r="X1009" s="31"/>
      <c r="Y1009" s="31"/>
      <c r="Z1009" s="31"/>
      <c r="AA1009" s="31"/>
      <c r="AB1009" s="31"/>
      <c r="AC1009" s="31"/>
      <c r="AD1009" s="31"/>
      <c r="AE1009" s="31"/>
      <c r="AF1009" s="31"/>
      <c r="AG1009" s="31"/>
      <c r="AH1009" s="31"/>
      <c r="AI1009" s="31"/>
      <c r="AJ1009" s="31"/>
      <c r="AK1009" s="31"/>
      <c r="AL1009" s="28" t="str">
        <f>VLOOKUP($G1009,'[42]Sheet1 (2)'!$A$1:$B$1048440,2,FALSE)</f>
        <v>Sqm</v>
      </c>
      <c r="AM1009" s="32"/>
      <c r="AN1009" s="31"/>
      <c r="AO1009" s="33"/>
    </row>
    <row r="1010" spans="1:41" ht="168" x14ac:dyDescent="0.25">
      <c r="A1010" s="26">
        <v>883</v>
      </c>
      <c r="B1010" s="24" t="s">
        <v>1487</v>
      </c>
      <c r="C1010" s="22">
        <v>26.58</v>
      </c>
      <c r="D1010" s="25" t="s">
        <v>1600</v>
      </c>
      <c r="E1010" s="24" t="s">
        <v>1601</v>
      </c>
      <c r="F1010" s="92" t="s">
        <v>1602</v>
      </c>
      <c r="G1010" s="25" t="s">
        <v>47</v>
      </c>
      <c r="H1010" s="26">
        <v>15094</v>
      </c>
      <c r="I1010" s="26">
        <v>7149</v>
      </c>
      <c r="J1010" s="178">
        <f>7/20</f>
        <v>0.35</v>
      </c>
      <c r="K1010" s="178"/>
      <c r="L1010" s="178">
        <f>0.6+0.3</f>
        <v>0.89999999999999991</v>
      </c>
      <c r="M1010" s="178"/>
      <c r="N1010" s="178"/>
      <c r="O1010" s="178"/>
      <c r="P1010" s="178">
        <v>0.42499999999999999</v>
      </c>
      <c r="Q1010" s="31"/>
      <c r="R1010" s="31"/>
      <c r="S1010" s="31"/>
      <c r="T1010" s="31"/>
      <c r="U1010" s="31"/>
      <c r="V1010" s="31"/>
      <c r="W1010" s="31"/>
      <c r="X1010" s="31"/>
      <c r="Y1010" s="31"/>
      <c r="Z1010" s="31"/>
      <c r="AA1010" s="31"/>
      <c r="AB1010" s="31"/>
      <c r="AC1010" s="31"/>
      <c r="AD1010" s="31"/>
      <c r="AE1010" s="31"/>
      <c r="AF1010" s="31"/>
      <c r="AG1010" s="31"/>
      <c r="AH1010" s="31"/>
      <c r="AI1010" s="31"/>
      <c r="AJ1010" s="31"/>
      <c r="AK1010" s="31"/>
      <c r="AL1010" s="28" t="str">
        <f>VLOOKUP($G1010,'[42]Sheet1 (2)'!$A$1:$B$1048440,2,FALSE)</f>
        <v>Cum</v>
      </c>
      <c r="AM1010" s="32" t="s">
        <v>1603</v>
      </c>
      <c r="AN1010" s="31"/>
      <c r="AO1010" s="33"/>
    </row>
    <row r="1011" spans="1:41" ht="168" x14ac:dyDescent="0.25">
      <c r="A1011" s="26">
        <v>884</v>
      </c>
      <c r="B1011" s="24" t="s">
        <v>1487</v>
      </c>
      <c r="C1011" s="22">
        <v>26.6</v>
      </c>
      <c r="D1011" s="25" t="s">
        <v>1600</v>
      </c>
      <c r="E1011" s="24" t="s">
        <v>1604</v>
      </c>
      <c r="F1011" s="92" t="s">
        <v>1602</v>
      </c>
      <c r="G1011" s="25" t="s">
        <v>47</v>
      </c>
      <c r="H1011" s="121">
        <v>15277</v>
      </c>
      <c r="I1011" s="121">
        <v>7149</v>
      </c>
      <c r="J1011" s="178">
        <f>7.5/20</f>
        <v>0.375</v>
      </c>
      <c r="K1011" s="178"/>
      <c r="L1011" s="178">
        <f>0.6+0.3</f>
        <v>0.89999999999999991</v>
      </c>
      <c r="M1011" s="178"/>
      <c r="N1011" s="178"/>
      <c r="O1011" s="178"/>
      <c r="P1011" s="178">
        <v>0.42499999999999999</v>
      </c>
      <c r="Q1011" s="31"/>
      <c r="R1011" s="31"/>
      <c r="S1011" s="31"/>
      <c r="T1011" s="31"/>
      <c r="U1011" s="31"/>
      <c r="V1011" s="31"/>
      <c r="W1011" s="31"/>
      <c r="X1011" s="31"/>
      <c r="Y1011" s="31"/>
      <c r="Z1011" s="31"/>
      <c r="AA1011" s="31"/>
      <c r="AB1011" s="31"/>
      <c r="AC1011" s="31"/>
      <c r="AD1011" s="31"/>
      <c r="AE1011" s="31"/>
      <c r="AF1011" s="31"/>
      <c r="AG1011" s="31"/>
      <c r="AH1011" s="31"/>
      <c r="AI1011" s="31"/>
      <c r="AJ1011" s="31"/>
      <c r="AK1011" s="31"/>
      <c r="AL1011" s="28" t="str">
        <f>VLOOKUP($G1011,'[42]Sheet1 (2)'!$A$1:$B$1048440,2,FALSE)</f>
        <v>Cum</v>
      </c>
      <c r="AM1011" s="32" t="s">
        <v>1605</v>
      </c>
      <c r="AN1011" s="31"/>
      <c r="AO1011" s="33"/>
    </row>
    <row r="1012" spans="1:41" ht="182" x14ac:dyDescent="0.25">
      <c r="A1012" s="26">
        <v>885</v>
      </c>
      <c r="B1012" s="24" t="s">
        <v>1487</v>
      </c>
      <c r="C1012" s="22">
        <v>26.62</v>
      </c>
      <c r="D1012" s="25" t="s">
        <v>1600</v>
      </c>
      <c r="E1012" s="23" t="s">
        <v>1606</v>
      </c>
      <c r="F1012" s="92" t="s">
        <v>1602</v>
      </c>
      <c r="G1012" s="25" t="s">
        <v>47</v>
      </c>
      <c r="H1012" s="121">
        <v>15461</v>
      </c>
      <c r="I1012" s="121">
        <v>7149</v>
      </c>
      <c r="J1012" s="178">
        <f>8/20</f>
        <v>0.4</v>
      </c>
      <c r="K1012" s="178"/>
      <c r="L1012" s="178">
        <f>0.6+0.3</f>
        <v>0.89999999999999991</v>
      </c>
      <c r="M1012" s="178"/>
      <c r="N1012" s="178"/>
      <c r="O1012" s="178"/>
      <c r="P1012" s="178">
        <v>0.42499999999999999</v>
      </c>
      <c r="Q1012" s="31"/>
      <c r="R1012" s="31"/>
      <c r="S1012" s="31"/>
      <c r="T1012" s="31"/>
      <c r="U1012" s="31"/>
      <c r="V1012" s="31"/>
      <c r="W1012" s="31"/>
      <c r="X1012" s="31"/>
      <c r="Y1012" s="31"/>
      <c r="Z1012" s="31"/>
      <c r="AA1012" s="31"/>
      <c r="AB1012" s="31"/>
      <c r="AC1012" s="31"/>
      <c r="AD1012" s="31"/>
      <c r="AE1012" s="31"/>
      <c r="AF1012" s="31"/>
      <c r="AG1012" s="31"/>
      <c r="AH1012" s="31"/>
      <c r="AI1012" s="31"/>
      <c r="AJ1012" s="31"/>
      <c r="AK1012" s="31"/>
      <c r="AL1012" s="28" t="str">
        <f>VLOOKUP($G1012,'[42]Sheet1 (2)'!$A$1:$B$1048440,2,FALSE)</f>
        <v>Cum</v>
      </c>
      <c r="AM1012" s="32" t="s">
        <v>1607</v>
      </c>
      <c r="AN1012" s="31"/>
      <c r="AO1012" s="33"/>
    </row>
    <row r="1013" spans="1:41" ht="182" x14ac:dyDescent="0.25">
      <c r="A1013" s="26">
        <v>886</v>
      </c>
      <c r="B1013" s="24" t="s">
        <v>1487</v>
      </c>
      <c r="C1013" s="22">
        <v>26.64</v>
      </c>
      <c r="D1013" s="25" t="s">
        <v>1608</v>
      </c>
      <c r="E1013" s="23" t="s">
        <v>1609</v>
      </c>
      <c r="F1013" s="92" t="s">
        <v>1610</v>
      </c>
      <c r="G1013" s="25" t="s">
        <v>47</v>
      </c>
      <c r="H1013" s="121">
        <v>15549</v>
      </c>
      <c r="I1013" s="121">
        <v>7149</v>
      </c>
      <c r="J1013" s="178">
        <f>8.25/20</f>
        <v>0.41249999999999998</v>
      </c>
      <c r="K1013" s="178"/>
      <c r="L1013" s="178">
        <f>0.6+0.3</f>
        <v>0.89999999999999991</v>
      </c>
      <c r="M1013" s="178"/>
      <c r="N1013" s="178"/>
      <c r="O1013" s="178"/>
      <c r="P1013" s="178">
        <v>0.42499999999999999</v>
      </c>
      <c r="Q1013" s="31"/>
      <c r="R1013" s="31"/>
      <c r="S1013" s="31"/>
      <c r="T1013" s="31"/>
      <c r="U1013" s="31"/>
      <c r="V1013" s="31"/>
      <c r="W1013" s="31"/>
      <c r="X1013" s="31"/>
      <c r="Y1013" s="31"/>
      <c r="Z1013" s="31"/>
      <c r="AA1013" s="31"/>
      <c r="AB1013" s="31"/>
      <c r="AC1013" s="31"/>
      <c r="AD1013" s="31"/>
      <c r="AE1013" s="31"/>
      <c r="AF1013" s="31"/>
      <c r="AG1013" s="31"/>
      <c r="AH1013" s="31"/>
      <c r="AI1013" s="31"/>
      <c r="AJ1013" s="31"/>
      <c r="AK1013" s="31"/>
      <c r="AL1013" s="28" t="str">
        <f>VLOOKUP($G1013,'[42]Sheet1 (2)'!$A$1:$B$1048440,2,FALSE)</f>
        <v>Cum</v>
      </c>
      <c r="AM1013" s="32" t="s">
        <v>1611</v>
      </c>
      <c r="AN1013" s="31"/>
      <c r="AO1013" s="33"/>
    </row>
    <row r="1014" spans="1:41" ht="182" x14ac:dyDescent="0.25">
      <c r="A1014" s="26">
        <v>887</v>
      </c>
      <c r="B1014" s="24" t="s">
        <v>1487</v>
      </c>
      <c r="C1014" s="22">
        <v>26.66</v>
      </c>
      <c r="D1014" s="25" t="s">
        <v>1600</v>
      </c>
      <c r="E1014" s="23" t="s">
        <v>1612</v>
      </c>
      <c r="F1014" s="25" t="s">
        <v>1469</v>
      </c>
      <c r="G1014" s="25" t="s">
        <v>47</v>
      </c>
      <c r="H1014" s="121">
        <v>15827</v>
      </c>
      <c r="I1014" s="121">
        <v>7149</v>
      </c>
      <c r="J1014" s="178">
        <f>8.5/20</f>
        <v>0.42499999999999999</v>
      </c>
      <c r="K1014" s="178"/>
      <c r="L1014" s="178">
        <f>0.6+0.3</f>
        <v>0.89999999999999991</v>
      </c>
      <c r="M1014" s="178"/>
      <c r="N1014" s="178"/>
      <c r="O1014" s="178"/>
      <c r="P1014" s="178">
        <v>0.42499999999999999</v>
      </c>
      <c r="Q1014" s="31"/>
      <c r="R1014" s="31"/>
      <c r="S1014" s="31"/>
      <c r="T1014" s="31"/>
      <c r="U1014" s="31"/>
      <c r="V1014" s="31"/>
      <c r="W1014" s="31"/>
      <c r="X1014" s="31"/>
      <c r="Y1014" s="31"/>
      <c r="Z1014" s="31"/>
      <c r="AA1014" s="31"/>
      <c r="AB1014" s="31"/>
      <c r="AC1014" s="31"/>
      <c r="AD1014" s="31"/>
      <c r="AE1014" s="31"/>
      <c r="AF1014" s="31"/>
      <c r="AG1014" s="31"/>
      <c r="AH1014" s="31"/>
      <c r="AI1014" s="31"/>
      <c r="AJ1014" s="31"/>
      <c r="AK1014" s="31"/>
      <c r="AL1014" s="28" t="str">
        <f>VLOOKUP($G1014,'[42]Sheet1 (2)'!$A$1:$B$1048440,2,FALSE)</f>
        <v>Cum</v>
      </c>
      <c r="AM1014" s="32" t="s">
        <v>1613</v>
      </c>
      <c r="AN1014" s="31"/>
      <c r="AO1014" s="33"/>
    </row>
    <row r="1015" spans="1:41" ht="98" x14ac:dyDescent="0.25">
      <c r="A1015" s="20">
        <v>888</v>
      </c>
      <c r="B1015" s="24" t="s">
        <v>1487</v>
      </c>
      <c r="C1015" s="203">
        <v>26.68</v>
      </c>
      <c r="D1015" s="25" t="s">
        <v>1608</v>
      </c>
      <c r="E1015" s="23" t="s">
        <v>1614</v>
      </c>
      <c r="F1015" s="24" t="s">
        <v>44</v>
      </c>
      <c r="G1015" s="25" t="s">
        <v>45</v>
      </c>
      <c r="H1015" s="26">
        <v>397</v>
      </c>
      <c r="I1015" s="26">
        <v>30</v>
      </c>
      <c r="J1015" s="31"/>
      <c r="K1015" s="31"/>
      <c r="L1015" s="31"/>
      <c r="M1015" s="31"/>
      <c r="N1015" s="31"/>
      <c r="O1015" s="31"/>
      <c r="P1015" s="31"/>
      <c r="Q1015" s="31"/>
      <c r="R1015" s="31"/>
      <c r="S1015" s="31"/>
      <c r="T1015" s="31"/>
      <c r="U1015" s="31"/>
      <c r="V1015" s="31"/>
      <c r="W1015" s="31"/>
      <c r="X1015" s="31"/>
      <c r="Y1015" s="31"/>
      <c r="Z1015" s="31"/>
      <c r="AA1015" s="31"/>
      <c r="AB1015" s="31"/>
      <c r="AC1015" s="31"/>
      <c r="AD1015" s="31"/>
      <c r="AE1015" s="31"/>
      <c r="AF1015" s="31"/>
      <c r="AG1015" s="31"/>
      <c r="AH1015" s="31"/>
      <c r="AI1015" s="31"/>
      <c r="AJ1015" s="31"/>
      <c r="AK1015" s="31"/>
      <c r="AL1015" s="28" t="str">
        <f>VLOOKUP($G1015,'[42]Sheet1 (2)'!$A$1:$B$1048440,2,FALSE)</f>
        <v>No.</v>
      </c>
      <c r="AM1015" s="32"/>
      <c r="AN1015" s="31"/>
      <c r="AO1015" s="33"/>
    </row>
    <row r="1016" spans="1:41" ht="17.5" x14ac:dyDescent="0.25">
      <c r="A1016" s="20"/>
      <c r="B1016" s="24"/>
      <c r="C1016" s="203"/>
      <c r="D1016" s="25"/>
      <c r="E1016" s="147" t="s">
        <v>1615</v>
      </c>
      <c r="F1016" s="24"/>
      <c r="G1016" s="25"/>
      <c r="H1016" s="26"/>
      <c r="I1016" s="26"/>
      <c r="J1016" s="31"/>
      <c r="K1016" s="31"/>
      <c r="L1016" s="31"/>
      <c r="M1016" s="31"/>
      <c r="N1016" s="31"/>
      <c r="O1016" s="31"/>
      <c r="P1016" s="31"/>
      <c r="Q1016" s="31"/>
      <c r="R1016" s="31"/>
      <c r="S1016" s="31"/>
      <c r="T1016" s="31"/>
      <c r="U1016" s="31"/>
      <c r="V1016" s="31"/>
      <c r="W1016" s="31"/>
      <c r="X1016" s="31"/>
      <c r="Y1016" s="31"/>
      <c r="Z1016" s="31"/>
      <c r="AA1016" s="31"/>
      <c r="AB1016" s="31"/>
      <c r="AC1016" s="31"/>
      <c r="AD1016" s="31"/>
      <c r="AE1016" s="31"/>
      <c r="AF1016" s="31"/>
      <c r="AG1016" s="31"/>
      <c r="AH1016" s="31"/>
      <c r="AI1016" s="31"/>
      <c r="AJ1016" s="31"/>
      <c r="AK1016" s="31"/>
      <c r="AL1016" s="28" t="e">
        <f>VLOOKUP($G1016,'[42]Sheet1 (2)'!$A$1:$B$1048440,2,FALSE)</f>
        <v>#N/A</v>
      </c>
      <c r="AM1016" s="32"/>
      <c r="AN1016" s="31"/>
      <c r="AO1016" s="33"/>
    </row>
    <row r="1017" spans="1:41" ht="84" x14ac:dyDescent="0.25">
      <c r="A1017" s="26">
        <v>889</v>
      </c>
      <c r="B1017" s="25" t="s">
        <v>1615</v>
      </c>
      <c r="C1017" s="22">
        <v>27.01</v>
      </c>
      <c r="D1017" s="25" t="s">
        <v>1616</v>
      </c>
      <c r="E1017" s="23" t="s">
        <v>1617</v>
      </c>
      <c r="F1017" s="35" t="s">
        <v>1618</v>
      </c>
      <c r="G1017" s="25" t="s">
        <v>47</v>
      </c>
      <c r="H1017" s="26">
        <v>7755</v>
      </c>
      <c r="I1017" s="26">
        <v>1588</v>
      </c>
      <c r="J1017" s="180">
        <f>1.58/20</f>
        <v>7.9000000000000001E-2</v>
      </c>
      <c r="K1017" s="180"/>
      <c r="L1017" s="180"/>
      <c r="M1017" s="180"/>
      <c r="N1017" s="180"/>
      <c r="O1017" s="180"/>
      <c r="P1017" s="180">
        <v>0.32</v>
      </c>
      <c r="Q1017" s="180"/>
      <c r="R1017" s="180"/>
      <c r="S1017" s="180"/>
      <c r="T1017" s="180">
        <v>475</v>
      </c>
      <c r="U1017" s="31"/>
      <c r="V1017" s="31"/>
      <c r="W1017" s="31"/>
      <c r="X1017" s="31"/>
      <c r="Y1017" s="31"/>
      <c r="Z1017" s="31"/>
      <c r="AA1017" s="31"/>
      <c r="AB1017" s="31"/>
      <c r="AC1017" s="31"/>
      <c r="AD1017" s="31"/>
      <c r="AE1017" s="31"/>
      <c r="AF1017" s="31"/>
      <c r="AG1017" s="31"/>
      <c r="AH1017" s="31"/>
      <c r="AI1017" s="31"/>
      <c r="AJ1017" s="31"/>
      <c r="AK1017" s="31"/>
      <c r="AL1017" s="28" t="str">
        <f>VLOOKUP($G1017,'[42]Sheet1 (2)'!$A$1:$B$1048440,2,FALSE)</f>
        <v>Cum</v>
      </c>
      <c r="AM1017" s="32" t="s">
        <v>1619</v>
      </c>
      <c r="AN1017" s="31">
        <v>475</v>
      </c>
      <c r="AO1017" s="33"/>
    </row>
    <row r="1018" spans="1:41" ht="84" x14ac:dyDescent="0.25">
      <c r="A1018" s="26">
        <v>890</v>
      </c>
      <c r="B1018" s="25" t="s">
        <v>1615</v>
      </c>
      <c r="C1018" s="22">
        <v>27.02</v>
      </c>
      <c r="D1018" s="25" t="s">
        <v>1620</v>
      </c>
      <c r="E1018" s="23" t="s">
        <v>1621</v>
      </c>
      <c r="F1018" s="21" t="s">
        <v>1622</v>
      </c>
      <c r="G1018" s="25" t="s">
        <v>47</v>
      </c>
      <c r="H1018" s="26">
        <v>7928</v>
      </c>
      <c r="I1018" s="26">
        <v>1739</v>
      </c>
      <c r="J1018" s="180">
        <f>1.24/20</f>
        <v>6.2E-2</v>
      </c>
      <c r="K1018" s="180"/>
      <c r="L1018" s="180"/>
      <c r="M1018" s="180"/>
      <c r="N1018" s="180"/>
      <c r="O1018" s="180"/>
      <c r="P1018" s="180">
        <v>0.25</v>
      </c>
      <c r="Q1018" s="180"/>
      <c r="R1018" s="180"/>
      <c r="S1018" s="180"/>
      <c r="T1018" s="180">
        <v>475</v>
      </c>
      <c r="U1018" s="31"/>
      <c r="V1018" s="31"/>
      <c r="W1018" s="31"/>
      <c r="X1018" s="31"/>
      <c r="Y1018" s="31"/>
      <c r="Z1018" s="31"/>
      <c r="AA1018" s="31"/>
      <c r="AB1018" s="31"/>
      <c r="AC1018" s="31"/>
      <c r="AD1018" s="31"/>
      <c r="AE1018" s="31"/>
      <c r="AF1018" s="31"/>
      <c r="AG1018" s="31"/>
      <c r="AH1018" s="31"/>
      <c r="AI1018" s="31"/>
      <c r="AJ1018" s="31"/>
      <c r="AK1018" s="31"/>
      <c r="AL1018" s="28" t="str">
        <f>VLOOKUP($G1018,'[42]Sheet1 (2)'!$A$1:$B$1048440,2,FALSE)</f>
        <v>Cum</v>
      </c>
      <c r="AM1018" s="32" t="s">
        <v>1623</v>
      </c>
      <c r="AN1018" s="31">
        <v>475</v>
      </c>
      <c r="AO1018" s="33"/>
    </row>
    <row r="1019" spans="1:41" ht="70" x14ac:dyDescent="0.25">
      <c r="A1019" s="26">
        <v>891</v>
      </c>
      <c r="B1019" s="25" t="s">
        <v>1615</v>
      </c>
      <c r="C1019" s="22">
        <v>27.03</v>
      </c>
      <c r="D1019" s="25" t="s">
        <v>1624</v>
      </c>
      <c r="E1019" s="24" t="s">
        <v>1625</v>
      </c>
      <c r="F1019" s="21" t="s">
        <v>1626</v>
      </c>
      <c r="G1019" s="25" t="s">
        <v>47</v>
      </c>
      <c r="H1019" s="26">
        <v>7514</v>
      </c>
      <c r="I1019" s="26">
        <v>1348</v>
      </c>
      <c r="J1019" s="180">
        <f>1.58/20</f>
        <v>7.9000000000000001E-2</v>
      </c>
      <c r="K1019" s="180"/>
      <c r="L1019" s="180"/>
      <c r="M1019" s="180"/>
      <c r="N1019" s="180"/>
      <c r="O1019" s="180"/>
      <c r="P1019" s="180">
        <v>0.32</v>
      </c>
      <c r="Q1019" s="180"/>
      <c r="R1019" s="180"/>
      <c r="S1019" s="180"/>
      <c r="T1019" s="180">
        <v>475</v>
      </c>
      <c r="U1019" s="31"/>
      <c r="V1019" s="31"/>
      <c r="W1019" s="31"/>
      <c r="X1019" s="31"/>
      <c r="Y1019" s="31"/>
      <c r="Z1019" s="31"/>
      <c r="AA1019" s="31"/>
      <c r="AB1019" s="31"/>
      <c r="AC1019" s="31"/>
      <c r="AD1019" s="31"/>
      <c r="AE1019" s="31"/>
      <c r="AF1019" s="31"/>
      <c r="AG1019" s="31"/>
      <c r="AH1019" s="31"/>
      <c r="AI1019" s="31"/>
      <c r="AJ1019" s="31"/>
      <c r="AK1019" s="31"/>
      <c r="AL1019" s="28" t="str">
        <f>VLOOKUP($G1019,'[42]Sheet1 (2)'!$A$1:$B$1048440,2,FALSE)</f>
        <v>Cum</v>
      </c>
      <c r="AM1019" s="32" t="s">
        <v>1623</v>
      </c>
      <c r="AN1019" s="31">
        <v>475</v>
      </c>
      <c r="AO1019" s="33"/>
    </row>
    <row r="1020" spans="1:41" ht="56" x14ac:dyDescent="0.25">
      <c r="A1020" s="26">
        <v>892</v>
      </c>
      <c r="B1020" s="25" t="s">
        <v>1615</v>
      </c>
      <c r="C1020" s="22">
        <v>27.05</v>
      </c>
      <c r="D1020" s="25" t="s">
        <v>1627</v>
      </c>
      <c r="E1020" s="23" t="s">
        <v>1628</v>
      </c>
      <c r="F1020" s="21" t="s">
        <v>1629</v>
      </c>
      <c r="G1020" s="25" t="s">
        <v>47</v>
      </c>
      <c r="H1020" s="26">
        <v>7994</v>
      </c>
      <c r="I1020" s="26">
        <v>1705</v>
      </c>
      <c r="J1020" s="180">
        <f>1.58/20</f>
        <v>7.9000000000000001E-2</v>
      </c>
      <c r="K1020" s="180"/>
      <c r="L1020" s="180"/>
      <c r="M1020" s="180"/>
      <c r="N1020" s="180"/>
      <c r="O1020" s="180"/>
      <c r="P1020" s="180">
        <v>0.32</v>
      </c>
      <c r="Q1020" s="180"/>
      <c r="R1020" s="180"/>
      <c r="S1020" s="180"/>
      <c r="T1020" s="180">
        <v>475</v>
      </c>
      <c r="U1020" s="31"/>
      <c r="V1020" s="31"/>
      <c r="W1020" s="31"/>
      <c r="X1020" s="31"/>
      <c r="Y1020" s="31"/>
      <c r="Z1020" s="31"/>
      <c r="AA1020" s="31"/>
      <c r="AB1020" s="31"/>
      <c r="AC1020" s="31"/>
      <c r="AD1020" s="31"/>
      <c r="AE1020" s="31"/>
      <c r="AF1020" s="31"/>
      <c r="AG1020" s="31"/>
      <c r="AH1020" s="31"/>
      <c r="AI1020" s="31"/>
      <c r="AJ1020" s="31"/>
      <c r="AK1020" s="31"/>
      <c r="AL1020" s="28" t="str">
        <f>VLOOKUP($G1020,'[42]Sheet1 (2)'!$A$1:$B$1048440,2,FALSE)</f>
        <v>Cum</v>
      </c>
      <c r="AM1020" s="32" t="s">
        <v>1630</v>
      </c>
      <c r="AN1020" s="31">
        <v>475</v>
      </c>
      <c r="AO1020" s="33"/>
    </row>
    <row r="1021" spans="1:41" ht="98" x14ac:dyDescent="0.25">
      <c r="A1021" s="26">
        <v>893</v>
      </c>
      <c r="B1021" s="25" t="s">
        <v>1615</v>
      </c>
      <c r="C1021" s="22">
        <v>27.06</v>
      </c>
      <c r="D1021" s="25" t="s">
        <v>1631</v>
      </c>
      <c r="E1021" s="23" t="s">
        <v>1632</v>
      </c>
      <c r="F1021" s="21" t="s">
        <v>1633</v>
      </c>
      <c r="G1021" s="202" t="s">
        <v>621</v>
      </c>
      <c r="H1021" s="26">
        <v>1119</v>
      </c>
      <c r="I1021" s="26">
        <v>203</v>
      </c>
      <c r="J1021" s="180">
        <f>0.255/20</f>
        <v>1.2750000000000001E-2</v>
      </c>
      <c r="K1021" s="180"/>
      <c r="L1021" s="180"/>
      <c r="M1021" s="180"/>
      <c r="N1021" s="180"/>
      <c r="O1021" s="180"/>
      <c r="P1021" s="180">
        <v>3.4000000000000002E-2</v>
      </c>
      <c r="Q1021" s="180"/>
      <c r="R1021" s="180"/>
      <c r="S1021" s="180"/>
      <c r="T1021" s="180">
        <v>57</v>
      </c>
      <c r="U1021" s="31"/>
      <c r="V1021" s="31"/>
      <c r="W1021" s="31"/>
      <c r="X1021" s="31"/>
      <c r="Y1021" s="31"/>
      <c r="Z1021" s="31"/>
      <c r="AA1021" s="31"/>
      <c r="AB1021" s="31"/>
      <c r="AC1021" s="31"/>
      <c r="AD1021" s="31"/>
      <c r="AE1021" s="31"/>
      <c r="AF1021" s="31"/>
      <c r="AG1021" s="31"/>
      <c r="AH1021" s="31"/>
      <c r="AI1021" s="31"/>
      <c r="AJ1021" s="31"/>
      <c r="AK1021" s="31"/>
      <c r="AL1021" s="28" t="str">
        <f>VLOOKUP($G1021,'[42]Sheet1 (2)'!$A$1:$B$1048440,2,FALSE)</f>
        <v>Sqm</v>
      </c>
      <c r="AM1021" s="32" t="s">
        <v>1634</v>
      </c>
      <c r="AN1021" s="31">
        <v>57</v>
      </c>
      <c r="AO1021" s="33"/>
    </row>
    <row r="1022" spans="1:41" ht="98" x14ac:dyDescent="0.25">
      <c r="A1022" s="26">
        <v>894</v>
      </c>
      <c r="B1022" s="25" t="s">
        <v>1615</v>
      </c>
      <c r="C1022" s="22">
        <v>27.07</v>
      </c>
      <c r="D1022" s="25" t="s">
        <v>1635</v>
      </c>
      <c r="E1022" s="23" t="s">
        <v>1636</v>
      </c>
      <c r="F1022" s="21" t="s">
        <v>1637</v>
      </c>
      <c r="G1022" s="202" t="s">
        <v>621</v>
      </c>
      <c r="H1022" s="26">
        <v>802</v>
      </c>
      <c r="I1022" s="26">
        <v>177</v>
      </c>
      <c r="J1022" s="180">
        <f>0.21/20</f>
        <v>1.0499999999999999E-2</v>
      </c>
      <c r="K1022" s="180"/>
      <c r="L1022" s="180"/>
      <c r="M1022" s="180"/>
      <c r="N1022" s="180"/>
      <c r="O1022" s="180"/>
      <c r="P1022" s="180">
        <v>2.1000000000000001E-2</v>
      </c>
      <c r="Q1022" s="180"/>
      <c r="R1022" s="180"/>
      <c r="S1022" s="180"/>
      <c r="T1022" s="180">
        <v>38</v>
      </c>
      <c r="U1022" s="31"/>
      <c r="V1022" s="31"/>
      <c r="W1022" s="31"/>
      <c r="X1022" s="31"/>
      <c r="Y1022" s="31"/>
      <c r="Z1022" s="31"/>
      <c r="AA1022" s="31"/>
      <c r="AB1022" s="31"/>
      <c r="AC1022" s="31"/>
      <c r="AD1022" s="31"/>
      <c r="AE1022" s="31"/>
      <c r="AF1022" s="31"/>
      <c r="AG1022" s="31"/>
      <c r="AH1022" s="31"/>
      <c r="AI1022" s="31"/>
      <c r="AJ1022" s="31"/>
      <c r="AK1022" s="31"/>
      <c r="AL1022" s="28" t="str">
        <f>VLOOKUP($G1022,'[42]Sheet1 (2)'!$A$1:$B$1048440,2,FALSE)</f>
        <v>Sqm</v>
      </c>
      <c r="AM1022" s="32" t="s">
        <v>1638</v>
      </c>
      <c r="AN1022" s="31">
        <v>38</v>
      </c>
      <c r="AO1022" s="33"/>
    </row>
    <row r="1023" spans="1:41" ht="84" x14ac:dyDescent="0.25">
      <c r="A1023" s="26">
        <v>895</v>
      </c>
      <c r="B1023" s="25" t="s">
        <v>1615</v>
      </c>
      <c r="C1023" s="22">
        <v>27.08</v>
      </c>
      <c r="D1023" s="25" t="s">
        <v>1639</v>
      </c>
      <c r="E1023" s="23" t="s">
        <v>1640</v>
      </c>
      <c r="F1023" s="24" t="s">
        <v>1641</v>
      </c>
      <c r="G1023" s="25" t="s">
        <v>47</v>
      </c>
      <c r="H1023" s="26">
        <v>9525</v>
      </c>
      <c r="I1023" s="26">
        <v>2704</v>
      </c>
      <c r="J1023" s="180">
        <f>2.6/20</f>
        <v>0.13</v>
      </c>
      <c r="K1023" s="180"/>
      <c r="L1023" s="180"/>
      <c r="M1023" s="180"/>
      <c r="N1023" s="180"/>
      <c r="O1023" s="180"/>
      <c r="P1023" s="180">
        <v>0.25</v>
      </c>
      <c r="Q1023" s="180"/>
      <c r="R1023" s="180"/>
      <c r="S1023" s="180"/>
      <c r="T1023" s="180">
        <v>475</v>
      </c>
      <c r="U1023" s="31"/>
      <c r="V1023" s="31"/>
      <c r="W1023" s="31"/>
      <c r="X1023" s="31"/>
      <c r="Y1023" s="31"/>
      <c r="Z1023" s="31"/>
      <c r="AA1023" s="31"/>
      <c r="AB1023" s="31"/>
      <c r="AC1023" s="31"/>
      <c r="AD1023" s="31"/>
      <c r="AE1023" s="31"/>
      <c r="AF1023" s="31"/>
      <c r="AG1023" s="31"/>
      <c r="AH1023" s="31"/>
      <c r="AI1023" s="31"/>
      <c r="AJ1023" s="31"/>
      <c r="AK1023" s="31"/>
      <c r="AL1023" s="28" t="str">
        <f>VLOOKUP($G1023,'[42]Sheet1 (2)'!$A$1:$B$1048440,2,FALSE)</f>
        <v>Cum</v>
      </c>
      <c r="AM1023" s="32" t="s">
        <v>1642</v>
      </c>
      <c r="AN1023" s="31">
        <v>475</v>
      </c>
      <c r="AO1023" s="33"/>
    </row>
    <row r="1024" spans="1:41" ht="70" x14ac:dyDescent="0.25">
      <c r="A1024" s="26">
        <v>896</v>
      </c>
      <c r="B1024" s="25" t="s">
        <v>1615</v>
      </c>
      <c r="C1024" s="22">
        <v>27.09</v>
      </c>
      <c r="D1024" s="25" t="s">
        <v>1639</v>
      </c>
      <c r="E1024" s="24" t="s">
        <v>1643</v>
      </c>
      <c r="F1024" s="24" t="s">
        <v>1644</v>
      </c>
      <c r="G1024" s="25" t="s">
        <v>47</v>
      </c>
      <c r="H1024" s="26">
        <v>11311</v>
      </c>
      <c r="I1024" s="26">
        <v>2908</v>
      </c>
      <c r="J1024" s="180">
        <f>2.6/20</f>
        <v>0.13</v>
      </c>
      <c r="K1024" s="180"/>
      <c r="L1024" s="180"/>
      <c r="M1024" s="180"/>
      <c r="N1024" s="180"/>
      <c r="O1024" s="180"/>
      <c r="P1024" s="180">
        <v>0.25</v>
      </c>
      <c r="Q1024" s="180"/>
      <c r="R1024" s="180"/>
      <c r="S1024" s="180"/>
      <c r="T1024" s="180">
        <v>616</v>
      </c>
      <c r="U1024" s="31"/>
      <c r="V1024" s="31"/>
      <c r="W1024" s="31"/>
      <c r="X1024" s="31"/>
      <c r="Y1024" s="31"/>
      <c r="Z1024" s="31"/>
      <c r="AA1024" s="31"/>
      <c r="AB1024" s="31"/>
      <c r="AC1024" s="31"/>
      <c r="AD1024" s="31"/>
      <c r="AE1024" s="31"/>
      <c r="AF1024" s="31"/>
      <c r="AG1024" s="31"/>
      <c r="AH1024" s="31"/>
      <c r="AI1024" s="31"/>
      <c r="AJ1024" s="31"/>
      <c r="AK1024" s="31"/>
      <c r="AL1024" s="28" t="str">
        <f>VLOOKUP($G1024,'[42]Sheet1 (2)'!$A$1:$B$1048440,2,FALSE)</f>
        <v>Cum</v>
      </c>
      <c r="AM1024" s="32" t="s">
        <v>1645</v>
      </c>
      <c r="AN1024" s="31">
        <v>475</v>
      </c>
      <c r="AO1024" s="33"/>
    </row>
    <row r="1025" spans="1:41" ht="70" x14ac:dyDescent="0.25">
      <c r="A1025" s="26">
        <v>897</v>
      </c>
      <c r="B1025" s="25" t="s">
        <v>1615</v>
      </c>
      <c r="C1025" s="22">
        <v>27.1</v>
      </c>
      <c r="D1025" s="25" t="s">
        <v>1646</v>
      </c>
      <c r="E1025" s="24" t="s">
        <v>1647</v>
      </c>
      <c r="F1025" s="35" t="s">
        <v>1648</v>
      </c>
      <c r="G1025" s="25" t="s">
        <v>47</v>
      </c>
      <c r="H1025" s="26">
        <v>8419</v>
      </c>
      <c r="I1025" s="26">
        <v>1966</v>
      </c>
      <c r="J1025" s="180">
        <f>2.6/20</f>
        <v>0.13</v>
      </c>
      <c r="K1025" s="180"/>
      <c r="L1025" s="180"/>
      <c r="M1025" s="180"/>
      <c r="N1025" s="180"/>
      <c r="O1025" s="180"/>
      <c r="P1025" s="180">
        <v>0.25</v>
      </c>
      <c r="Q1025" s="180"/>
      <c r="R1025" s="180"/>
      <c r="S1025" s="180"/>
      <c r="T1025" s="180">
        <v>475</v>
      </c>
      <c r="U1025" s="31"/>
      <c r="V1025" s="31"/>
      <c r="W1025" s="31"/>
      <c r="X1025" s="31"/>
      <c r="Y1025" s="31"/>
      <c r="Z1025" s="31"/>
      <c r="AA1025" s="31"/>
      <c r="AB1025" s="31"/>
      <c r="AC1025" s="31"/>
      <c r="AD1025" s="31"/>
      <c r="AE1025" s="31"/>
      <c r="AF1025" s="31"/>
      <c r="AG1025" s="31"/>
      <c r="AH1025" s="31"/>
      <c r="AI1025" s="31"/>
      <c r="AJ1025" s="31"/>
      <c r="AK1025" s="31"/>
      <c r="AL1025" s="28" t="str">
        <f>VLOOKUP($G1025,'[42]Sheet1 (2)'!$A$1:$B$1048440,2,FALSE)</f>
        <v>Cum</v>
      </c>
      <c r="AM1025" s="32" t="s">
        <v>1642</v>
      </c>
      <c r="AN1025" s="31">
        <v>475</v>
      </c>
      <c r="AO1025" s="33"/>
    </row>
    <row r="1026" spans="1:41" ht="56" x14ac:dyDescent="0.25">
      <c r="A1026" s="26">
        <v>898</v>
      </c>
      <c r="B1026" s="25" t="s">
        <v>1615</v>
      </c>
      <c r="C1026" s="22">
        <v>27.11</v>
      </c>
      <c r="D1026" s="25" t="s">
        <v>1646</v>
      </c>
      <c r="E1026" s="24" t="s">
        <v>1649</v>
      </c>
      <c r="F1026" s="35" t="s">
        <v>1650</v>
      </c>
      <c r="G1026" s="25" t="s">
        <v>47</v>
      </c>
      <c r="H1026" s="26">
        <v>10163</v>
      </c>
      <c r="I1026" s="26">
        <v>2144</v>
      </c>
      <c r="J1026" s="180">
        <f>2.6/20</f>
        <v>0.13</v>
      </c>
      <c r="K1026" s="180"/>
      <c r="L1026" s="180"/>
      <c r="M1026" s="180"/>
      <c r="N1026" s="180"/>
      <c r="O1026" s="180"/>
      <c r="P1026" s="180">
        <v>0.25</v>
      </c>
      <c r="Q1026" s="180"/>
      <c r="R1026" s="180"/>
      <c r="S1026" s="180"/>
      <c r="T1026" s="180">
        <v>616</v>
      </c>
      <c r="U1026" s="31"/>
      <c r="V1026" s="31"/>
      <c r="W1026" s="31"/>
      <c r="X1026" s="31"/>
      <c r="Y1026" s="31"/>
      <c r="Z1026" s="31"/>
      <c r="AA1026" s="31"/>
      <c r="AB1026" s="31"/>
      <c r="AC1026" s="31"/>
      <c r="AD1026" s="31"/>
      <c r="AE1026" s="31"/>
      <c r="AF1026" s="31"/>
      <c r="AG1026" s="31"/>
      <c r="AH1026" s="31"/>
      <c r="AI1026" s="31"/>
      <c r="AJ1026" s="31"/>
      <c r="AK1026" s="31"/>
      <c r="AL1026" s="28" t="str">
        <f>VLOOKUP($G1026,'[42]Sheet1 (2)'!$A$1:$B$1048440,2,FALSE)</f>
        <v>Cum</v>
      </c>
      <c r="AM1026" s="32" t="s">
        <v>1645</v>
      </c>
      <c r="AN1026" s="31">
        <v>475</v>
      </c>
      <c r="AO1026" s="33"/>
    </row>
    <row r="1027" spans="1:41" ht="70" x14ac:dyDescent="0.25">
      <c r="A1027" s="26">
        <v>899</v>
      </c>
      <c r="B1027" s="25" t="s">
        <v>1615</v>
      </c>
      <c r="C1027" s="22">
        <v>27.12</v>
      </c>
      <c r="D1027" s="25" t="s">
        <v>1651</v>
      </c>
      <c r="E1027" s="24" t="s">
        <v>1652</v>
      </c>
      <c r="F1027" s="35" t="s">
        <v>1653</v>
      </c>
      <c r="G1027" s="25" t="s">
        <v>47</v>
      </c>
      <c r="H1027" s="26">
        <v>6884</v>
      </c>
      <c r="I1027" s="26">
        <v>1588</v>
      </c>
      <c r="J1027" s="180">
        <f>1.58/20</f>
        <v>7.9000000000000001E-2</v>
      </c>
      <c r="K1027" s="180"/>
      <c r="L1027" s="180"/>
      <c r="M1027" s="180"/>
      <c r="N1027" s="180"/>
      <c r="O1027" s="180"/>
      <c r="P1027" s="180">
        <v>0.32</v>
      </c>
      <c r="Q1027" s="180"/>
      <c r="R1027" s="180"/>
      <c r="S1027" s="180"/>
      <c r="T1027" s="180"/>
      <c r="U1027" s="180">
        <v>475</v>
      </c>
      <c r="V1027" s="31"/>
      <c r="W1027" s="31"/>
      <c r="X1027" s="31"/>
      <c r="Y1027" s="31"/>
      <c r="Z1027" s="31"/>
      <c r="AA1027" s="31"/>
      <c r="AB1027" s="31"/>
      <c r="AC1027" s="31"/>
      <c r="AD1027" s="31"/>
      <c r="AE1027" s="31"/>
      <c r="AF1027" s="31"/>
      <c r="AG1027" s="31"/>
      <c r="AH1027" s="31"/>
      <c r="AI1027" s="31"/>
      <c r="AJ1027" s="31"/>
      <c r="AK1027" s="31"/>
      <c r="AL1027" s="28" t="str">
        <f>VLOOKUP($G1027,'[42]Sheet1 (2)'!$A$1:$B$1048440,2,FALSE)</f>
        <v>Cum</v>
      </c>
      <c r="AM1027" s="32" t="s">
        <v>1654</v>
      </c>
      <c r="AN1027" s="31">
        <v>475</v>
      </c>
      <c r="AO1027" s="33"/>
    </row>
    <row r="1028" spans="1:41" ht="70" x14ac:dyDescent="0.25">
      <c r="A1028" s="26">
        <v>900</v>
      </c>
      <c r="B1028" s="25" t="s">
        <v>1615</v>
      </c>
      <c r="C1028" s="22">
        <v>27.13</v>
      </c>
      <c r="D1028" s="25" t="s">
        <v>1651</v>
      </c>
      <c r="E1028" s="24" t="s">
        <v>1655</v>
      </c>
      <c r="F1028" s="35" t="s">
        <v>1656</v>
      </c>
      <c r="G1028" s="25" t="s">
        <v>47</v>
      </c>
      <c r="H1028" s="26">
        <v>7106</v>
      </c>
      <c r="I1028" s="26">
        <v>1705</v>
      </c>
      <c r="J1028" s="180">
        <f>1.58/20</f>
        <v>7.9000000000000001E-2</v>
      </c>
      <c r="K1028" s="180"/>
      <c r="L1028" s="180"/>
      <c r="M1028" s="180"/>
      <c r="N1028" s="180"/>
      <c r="O1028" s="180"/>
      <c r="P1028" s="180">
        <v>0.32</v>
      </c>
      <c r="Q1028" s="180"/>
      <c r="R1028" s="180"/>
      <c r="S1028" s="180"/>
      <c r="T1028" s="180"/>
      <c r="U1028" s="180">
        <v>475</v>
      </c>
      <c r="V1028" s="31"/>
      <c r="W1028" s="31"/>
      <c r="X1028" s="31"/>
      <c r="Y1028" s="31"/>
      <c r="Z1028" s="31"/>
      <c r="AA1028" s="31"/>
      <c r="AB1028" s="31"/>
      <c r="AC1028" s="31"/>
      <c r="AD1028" s="31"/>
      <c r="AE1028" s="31"/>
      <c r="AF1028" s="31"/>
      <c r="AG1028" s="31"/>
      <c r="AH1028" s="31"/>
      <c r="AI1028" s="31"/>
      <c r="AJ1028" s="31"/>
      <c r="AK1028" s="31"/>
      <c r="AL1028" s="28" t="str">
        <f>VLOOKUP($G1028,'[42]Sheet1 (2)'!$A$1:$B$1048440,2,FALSE)</f>
        <v>Cum</v>
      </c>
      <c r="AM1028" s="32" t="s">
        <v>1657</v>
      </c>
      <c r="AN1028" s="31">
        <v>475</v>
      </c>
      <c r="AO1028" s="33"/>
    </row>
    <row r="1029" spans="1:41" ht="98" x14ac:dyDescent="0.25">
      <c r="A1029" s="26">
        <v>901</v>
      </c>
      <c r="B1029" s="25" t="s">
        <v>1615</v>
      </c>
      <c r="C1029" s="22">
        <v>27.14</v>
      </c>
      <c r="D1029" s="25" t="s">
        <v>1651</v>
      </c>
      <c r="E1029" s="23" t="s">
        <v>1658</v>
      </c>
      <c r="F1029" s="21" t="s">
        <v>1659</v>
      </c>
      <c r="G1029" s="202" t="s">
        <v>621</v>
      </c>
      <c r="H1029" s="26">
        <v>1012</v>
      </c>
      <c r="I1029" s="26">
        <v>203</v>
      </c>
      <c r="J1029" s="180">
        <f>0.255/20</f>
        <v>1.2750000000000001E-2</v>
      </c>
      <c r="K1029" s="180"/>
      <c r="L1029" s="180"/>
      <c r="M1029" s="180"/>
      <c r="N1029" s="180"/>
      <c r="O1029" s="180"/>
      <c r="P1029" s="180">
        <v>3.4000000000000002E-2</v>
      </c>
      <c r="Q1029" s="180"/>
      <c r="R1029" s="180"/>
      <c r="S1029" s="180"/>
      <c r="T1029" s="180"/>
      <c r="U1029" s="180">
        <v>57</v>
      </c>
      <c r="V1029" s="31"/>
      <c r="W1029" s="31"/>
      <c r="X1029" s="31"/>
      <c r="Y1029" s="31"/>
      <c r="Z1029" s="31"/>
      <c r="AA1029" s="31"/>
      <c r="AB1029" s="31"/>
      <c r="AC1029" s="31"/>
      <c r="AD1029" s="31"/>
      <c r="AE1029" s="31"/>
      <c r="AF1029" s="31"/>
      <c r="AG1029" s="31"/>
      <c r="AH1029" s="31"/>
      <c r="AI1029" s="31"/>
      <c r="AJ1029" s="31"/>
      <c r="AK1029" s="31"/>
      <c r="AL1029" s="28" t="str">
        <f>VLOOKUP($G1029,'[42]Sheet1 (2)'!$A$1:$B$1048440,2,FALSE)</f>
        <v>Sqm</v>
      </c>
      <c r="AM1029" s="32" t="s">
        <v>1660</v>
      </c>
      <c r="AN1029" s="31">
        <v>57</v>
      </c>
      <c r="AO1029" s="33"/>
    </row>
    <row r="1030" spans="1:41" ht="84" x14ac:dyDescent="0.25">
      <c r="A1030" s="26">
        <v>902</v>
      </c>
      <c r="B1030" s="25" t="s">
        <v>1615</v>
      </c>
      <c r="C1030" s="22">
        <v>27.15</v>
      </c>
      <c r="D1030" s="25" t="s">
        <v>1651</v>
      </c>
      <c r="E1030" s="24" t="s">
        <v>1661</v>
      </c>
      <c r="F1030" s="24" t="s">
        <v>1662</v>
      </c>
      <c r="G1030" s="25" t="s">
        <v>47</v>
      </c>
      <c r="H1030" s="26">
        <v>7340</v>
      </c>
      <c r="I1030" s="26">
        <v>2080</v>
      </c>
      <c r="J1030" s="31"/>
      <c r="K1030" s="31"/>
      <c r="L1030" s="31"/>
      <c r="M1030" s="31"/>
      <c r="N1030" s="31"/>
      <c r="O1030" s="31"/>
      <c r="P1030" s="31"/>
      <c r="Q1030" s="31"/>
      <c r="R1030" s="31"/>
      <c r="S1030" s="31"/>
      <c r="T1030" s="31"/>
      <c r="U1030" s="31"/>
      <c r="V1030" s="31"/>
      <c r="W1030" s="31"/>
      <c r="X1030" s="31"/>
      <c r="Y1030" s="31"/>
      <c r="Z1030" s="31"/>
      <c r="AA1030" s="31"/>
      <c r="AB1030" s="31"/>
      <c r="AC1030" s="31"/>
      <c r="AD1030" s="31"/>
      <c r="AE1030" s="31"/>
      <c r="AF1030" s="31"/>
      <c r="AG1030" s="31"/>
      <c r="AH1030" s="31"/>
      <c r="AI1030" s="31"/>
      <c r="AJ1030" s="31"/>
      <c r="AK1030" s="31"/>
      <c r="AL1030" s="28" t="str">
        <f>VLOOKUP($G1030,'[42]Sheet1 (2)'!$A$1:$B$1048440,2,FALSE)</f>
        <v>Cum</v>
      </c>
      <c r="AM1030" s="32"/>
      <c r="AN1030" s="31"/>
      <c r="AO1030" s="33"/>
    </row>
    <row r="1031" spans="1:41" ht="84" x14ac:dyDescent="0.25">
      <c r="A1031" s="26">
        <v>903</v>
      </c>
      <c r="B1031" s="25" t="s">
        <v>1615</v>
      </c>
      <c r="C1031" s="22">
        <v>27.16</v>
      </c>
      <c r="D1031" s="25" t="s">
        <v>1651</v>
      </c>
      <c r="E1031" s="24" t="s">
        <v>1663</v>
      </c>
      <c r="F1031" s="24" t="s">
        <v>1662</v>
      </c>
      <c r="G1031" s="202" t="s">
        <v>621</v>
      </c>
      <c r="H1031" s="26">
        <v>1026</v>
      </c>
      <c r="I1031" s="26">
        <v>172</v>
      </c>
      <c r="J1031" s="31"/>
      <c r="K1031" s="31"/>
      <c r="L1031" s="31"/>
      <c r="M1031" s="31"/>
      <c r="N1031" s="31"/>
      <c r="O1031" s="31"/>
      <c r="P1031" s="31"/>
      <c r="Q1031" s="31"/>
      <c r="R1031" s="31"/>
      <c r="S1031" s="31"/>
      <c r="T1031" s="31"/>
      <c r="U1031" s="31"/>
      <c r="V1031" s="31"/>
      <c r="W1031" s="31"/>
      <c r="X1031" s="31"/>
      <c r="Y1031" s="31"/>
      <c r="Z1031" s="31"/>
      <c r="AA1031" s="31"/>
      <c r="AB1031" s="31"/>
      <c r="AC1031" s="31"/>
      <c r="AD1031" s="31"/>
      <c r="AE1031" s="31"/>
      <c r="AF1031" s="31"/>
      <c r="AG1031" s="31"/>
      <c r="AH1031" s="31"/>
      <c r="AI1031" s="31"/>
      <c r="AJ1031" s="31"/>
      <c r="AK1031" s="31"/>
      <c r="AL1031" s="28" t="str">
        <f>VLOOKUP($G1031,'[42]Sheet1 (2)'!$A$1:$B$1048440,2,FALSE)</f>
        <v>Sqm</v>
      </c>
      <c r="AM1031" s="32"/>
      <c r="AN1031" s="31"/>
      <c r="AO1031" s="33"/>
    </row>
    <row r="1032" spans="1:41" ht="16" x14ac:dyDescent="0.25">
      <c r="A1032" s="109"/>
      <c r="B1032" s="25"/>
      <c r="C1032" s="22"/>
      <c r="D1032" s="165"/>
      <c r="E1032" s="222" t="s">
        <v>1664</v>
      </c>
      <c r="F1032" s="166"/>
      <c r="G1032" s="206"/>
      <c r="H1032" s="167"/>
      <c r="I1032" s="167"/>
      <c r="J1032" s="31"/>
      <c r="K1032" s="31"/>
      <c r="L1032" s="31"/>
      <c r="M1032" s="31"/>
      <c r="N1032" s="31"/>
      <c r="O1032" s="31"/>
      <c r="P1032" s="31"/>
      <c r="Q1032" s="31"/>
      <c r="R1032" s="31"/>
      <c r="S1032" s="31"/>
      <c r="T1032" s="31"/>
      <c r="U1032" s="31"/>
      <c r="V1032" s="31"/>
      <c r="W1032" s="31"/>
      <c r="X1032" s="31"/>
      <c r="Y1032" s="31"/>
      <c r="Z1032" s="31"/>
      <c r="AA1032" s="31"/>
      <c r="AB1032" s="31"/>
      <c r="AC1032" s="31"/>
      <c r="AD1032" s="31"/>
      <c r="AE1032" s="31"/>
      <c r="AF1032" s="31"/>
      <c r="AG1032" s="31"/>
      <c r="AH1032" s="31"/>
      <c r="AI1032" s="31"/>
      <c r="AJ1032" s="31"/>
      <c r="AK1032" s="31"/>
      <c r="AL1032" s="28" t="e">
        <f>VLOOKUP($G1032,'[42]Sheet1 (2)'!$A$1:$B$1048440,2,FALSE)</f>
        <v>#N/A</v>
      </c>
      <c r="AM1032" s="32"/>
      <c r="AN1032" s="31"/>
      <c r="AO1032" s="33"/>
    </row>
    <row r="1033" spans="1:41" ht="84" x14ac:dyDescent="0.25">
      <c r="A1033" s="26">
        <v>904</v>
      </c>
      <c r="B1033" s="25" t="s">
        <v>1664</v>
      </c>
      <c r="C1033" s="22">
        <v>28.01</v>
      </c>
      <c r="D1033" s="25" t="s">
        <v>1665</v>
      </c>
      <c r="E1033" s="23" t="s">
        <v>1666</v>
      </c>
      <c r="F1033" s="21" t="s">
        <v>1667</v>
      </c>
      <c r="G1033" s="25" t="s">
        <v>47</v>
      </c>
      <c r="H1033" s="26">
        <v>5025</v>
      </c>
      <c r="I1033" s="121">
        <v>2513</v>
      </c>
      <c r="J1033" s="31"/>
      <c r="K1033" s="31"/>
      <c r="L1033" s="31"/>
      <c r="M1033" s="31"/>
      <c r="N1033" s="31"/>
      <c r="O1033" s="31"/>
      <c r="P1033" s="31"/>
      <c r="Q1033" s="31"/>
      <c r="R1033" s="31"/>
      <c r="S1033" s="31"/>
      <c r="T1033" s="31"/>
      <c r="U1033" s="31"/>
      <c r="V1033" s="31"/>
      <c r="W1033" s="31"/>
      <c r="X1033" s="31"/>
      <c r="Y1033" s="31"/>
      <c r="Z1033" s="31"/>
      <c r="AA1033" s="31"/>
      <c r="AB1033" s="31"/>
      <c r="AC1033" s="31"/>
      <c r="AD1033" s="31"/>
      <c r="AE1033" s="31"/>
      <c r="AF1033" s="31"/>
      <c r="AG1033" s="31"/>
      <c r="AH1033" s="31"/>
      <c r="AI1033" s="31"/>
      <c r="AJ1033" s="31"/>
      <c r="AK1033" s="31"/>
      <c r="AL1033" s="28" t="str">
        <f>VLOOKUP($G1033,'[42]Sheet1 (2)'!$A$1:$B$1048440,2,FALSE)</f>
        <v>Cum</v>
      </c>
      <c r="AM1033" s="32"/>
      <c r="AN1033" s="31"/>
      <c r="AO1033" s="33"/>
    </row>
    <row r="1034" spans="1:41" ht="84" x14ac:dyDescent="0.25">
      <c r="A1034" s="26">
        <v>905</v>
      </c>
      <c r="B1034" s="25" t="s">
        <v>1664</v>
      </c>
      <c r="C1034" s="22">
        <v>28.02</v>
      </c>
      <c r="D1034" s="25" t="s">
        <v>1668</v>
      </c>
      <c r="E1034" s="23" t="s">
        <v>1669</v>
      </c>
      <c r="F1034" s="21" t="s">
        <v>1670</v>
      </c>
      <c r="G1034" s="25" t="s">
        <v>47</v>
      </c>
      <c r="H1034" s="26">
        <v>5157</v>
      </c>
      <c r="I1034" s="121">
        <v>2513</v>
      </c>
      <c r="J1034" s="163"/>
      <c r="K1034" s="163"/>
      <c r="L1034" s="163"/>
      <c r="M1034" s="163"/>
      <c r="N1034" s="163"/>
      <c r="O1034" s="163"/>
      <c r="P1034" s="163"/>
      <c r="Q1034" s="31"/>
      <c r="R1034" s="31"/>
      <c r="S1034" s="31"/>
      <c r="T1034" s="31"/>
      <c r="U1034" s="31"/>
      <c r="V1034" s="31"/>
      <c r="W1034" s="31"/>
      <c r="X1034" s="31"/>
      <c r="Y1034" s="31"/>
      <c r="Z1034" s="31"/>
      <c r="AA1034" s="31"/>
      <c r="AB1034" s="31"/>
      <c r="AC1034" s="31"/>
      <c r="AD1034" s="31"/>
      <c r="AE1034" s="31"/>
      <c r="AF1034" s="31"/>
      <c r="AG1034" s="31"/>
      <c r="AH1034" s="31"/>
      <c r="AI1034" s="31"/>
      <c r="AJ1034" s="31"/>
      <c r="AK1034" s="31"/>
      <c r="AL1034" s="28" t="str">
        <f>VLOOKUP($G1034,'[42]Sheet1 (2)'!$A$1:$B$1048440,2,FALSE)</f>
        <v>Cum</v>
      </c>
      <c r="AM1034" s="32"/>
      <c r="AN1034" s="31"/>
      <c r="AO1034" s="33"/>
    </row>
    <row r="1035" spans="1:41" ht="98" x14ac:dyDescent="0.25">
      <c r="A1035" s="26">
        <v>906</v>
      </c>
      <c r="B1035" s="25" t="s">
        <v>1664</v>
      </c>
      <c r="C1035" s="22">
        <v>28.03</v>
      </c>
      <c r="D1035" s="25" t="s">
        <v>1671</v>
      </c>
      <c r="E1035" s="35" t="s">
        <v>1672</v>
      </c>
      <c r="F1035" s="21" t="s">
        <v>1673</v>
      </c>
      <c r="G1035" s="25" t="s">
        <v>47</v>
      </c>
      <c r="H1035" s="26">
        <v>5530</v>
      </c>
      <c r="I1035" s="121">
        <v>2114</v>
      </c>
      <c r="J1035" s="163"/>
      <c r="K1035" s="163"/>
      <c r="L1035" s="163"/>
      <c r="M1035" s="163"/>
      <c r="N1035" s="163"/>
      <c r="O1035" s="163"/>
      <c r="P1035" s="163"/>
      <c r="Q1035" s="31"/>
      <c r="R1035" s="31"/>
      <c r="S1035" s="31"/>
      <c r="T1035" s="31"/>
      <c r="U1035" s="31"/>
      <c r="V1035" s="31"/>
      <c r="W1035" s="31"/>
      <c r="X1035" s="31"/>
      <c r="Y1035" s="31"/>
      <c r="Z1035" s="31"/>
      <c r="AA1035" s="31"/>
      <c r="AB1035" s="31"/>
      <c r="AC1035" s="31"/>
      <c r="AD1035" s="31"/>
      <c r="AE1035" s="31"/>
      <c r="AF1035" s="31"/>
      <c r="AG1035" s="31"/>
      <c r="AH1035" s="31"/>
      <c r="AI1035" s="31"/>
      <c r="AJ1035" s="31"/>
      <c r="AK1035" s="31"/>
      <c r="AL1035" s="28" t="str">
        <f>VLOOKUP($G1035,'[42]Sheet1 (2)'!$A$1:$B$1048440,2,FALSE)</f>
        <v>Cum</v>
      </c>
      <c r="AM1035" s="32"/>
      <c r="AN1035" s="31"/>
      <c r="AO1035" s="33"/>
    </row>
    <row r="1036" spans="1:41" ht="84" x14ac:dyDescent="0.25">
      <c r="A1036" s="26">
        <v>907</v>
      </c>
      <c r="B1036" s="25" t="s">
        <v>1664</v>
      </c>
      <c r="C1036" s="22">
        <v>28.04</v>
      </c>
      <c r="D1036" s="25" t="s">
        <v>1674</v>
      </c>
      <c r="E1036" s="23" t="s">
        <v>1675</v>
      </c>
      <c r="F1036" s="21" t="s">
        <v>1676</v>
      </c>
      <c r="G1036" s="25" t="s">
        <v>47</v>
      </c>
      <c r="H1036" s="26">
        <v>5534</v>
      </c>
      <c r="I1036" s="121">
        <v>3022</v>
      </c>
      <c r="J1036" s="163"/>
      <c r="K1036" s="163"/>
      <c r="L1036" s="163"/>
      <c r="M1036" s="163"/>
      <c r="N1036" s="163"/>
      <c r="O1036" s="163"/>
      <c r="P1036" s="163"/>
      <c r="Q1036" s="31"/>
      <c r="R1036" s="31"/>
      <c r="S1036" s="31"/>
      <c r="T1036" s="31"/>
      <c r="U1036" s="31"/>
      <c r="V1036" s="31"/>
      <c r="W1036" s="31"/>
      <c r="X1036" s="31"/>
      <c r="Y1036" s="31"/>
      <c r="Z1036" s="31"/>
      <c r="AA1036" s="31"/>
      <c r="AB1036" s="31"/>
      <c r="AC1036" s="31"/>
      <c r="AD1036" s="31"/>
      <c r="AE1036" s="31"/>
      <c r="AF1036" s="31"/>
      <c r="AG1036" s="31"/>
      <c r="AH1036" s="31"/>
      <c r="AI1036" s="31"/>
      <c r="AJ1036" s="31"/>
      <c r="AK1036" s="31"/>
      <c r="AL1036" s="28" t="str">
        <f>VLOOKUP($G1036,'[42]Sheet1 (2)'!$A$1:$B$1048440,2,FALSE)</f>
        <v>Cum</v>
      </c>
      <c r="AM1036" s="32"/>
      <c r="AN1036" s="31"/>
      <c r="AO1036" s="33"/>
    </row>
    <row r="1037" spans="1:41" ht="56" x14ac:dyDescent="0.25">
      <c r="A1037" s="26">
        <v>908</v>
      </c>
      <c r="B1037" s="25" t="s">
        <v>1664</v>
      </c>
      <c r="C1037" s="22">
        <v>28.05</v>
      </c>
      <c r="D1037" s="25" t="s">
        <v>1677</v>
      </c>
      <c r="E1037" s="24" t="s">
        <v>1678</v>
      </c>
      <c r="F1037" s="21" t="s">
        <v>1679</v>
      </c>
      <c r="G1037" s="25" t="s">
        <v>47</v>
      </c>
      <c r="H1037" s="26">
        <v>4734</v>
      </c>
      <c r="I1037" s="121">
        <v>2588</v>
      </c>
      <c r="J1037" s="163"/>
      <c r="K1037" s="163"/>
      <c r="L1037" s="163"/>
      <c r="M1037" s="163"/>
      <c r="N1037" s="163"/>
      <c r="O1037" s="163"/>
      <c r="P1037" s="163"/>
      <c r="Q1037" s="31"/>
      <c r="R1037" s="31"/>
      <c r="S1037" s="31"/>
      <c r="T1037" s="31"/>
      <c r="U1037" s="31"/>
      <c r="V1037" s="31"/>
      <c r="W1037" s="31"/>
      <c r="X1037" s="31"/>
      <c r="Y1037" s="31"/>
      <c r="Z1037" s="31"/>
      <c r="AA1037" s="31"/>
      <c r="AB1037" s="31"/>
      <c r="AC1037" s="31"/>
      <c r="AD1037" s="31"/>
      <c r="AE1037" s="31"/>
      <c r="AF1037" s="31"/>
      <c r="AG1037" s="31"/>
      <c r="AH1037" s="31"/>
      <c r="AI1037" s="31"/>
      <c r="AJ1037" s="31"/>
      <c r="AK1037" s="31"/>
      <c r="AL1037" s="28" t="str">
        <f>VLOOKUP($G1037,'[42]Sheet1 (2)'!$A$1:$B$1048440,2,FALSE)</f>
        <v>Cum</v>
      </c>
      <c r="AM1037" s="32"/>
      <c r="AN1037" s="31"/>
      <c r="AO1037" s="33"/>
    </row>
    <row r="1038" spans="1:41" ht="84" x14ac:dyDescent="0.25">
      <c r="A1038" s="26">
        <v>909</v>
      </c>
      <c r="B1038" s="25" t="s">
        <v>1664</v>
      </c>
      <c r="C1038" s="22">
        <v>28.06</v>
      </c>
      <c r="D1038" s="25" t="s">
        <v>1680</v>
      </c>
      <c r="E1038" s="23" t="s">
        <v>1681</v>
      </c>
      <c r="F1038" s="21" t="s">
        <v>1682</v>
      </c>
      <c r="G1038" s="25" t="s">
        <v>47</v>
      </c>
      <c r="H1038" s="26">
        <v>5423</v>
      </c>
      <c r="I1038" s="121">
        <v>2881</v>
      </c>
      <c r="J1038" s="163"/>
      <c r="K1038" s="163"/>
      <c r="L1038" s="163"/>
      <c r="M1038" s="163"/>
      <c r="N1038" s="163"/>
      <c r="O1038" s="163"/>
      <c r="P1038" s="163"/>
      <c r="Q1038" s="31"/>
      <c r="R1038" s="31"/>
      <c r="S1038" s="31"/>
      <c r="T1038" s="31"/>
      <c r="U1038" s="31"/>
      <c r="V1038" s="31"/>
      <c r="W1038" s="31"/>
      <c r="X1038" s="31"/>
      <c r="Y1038" s="31"/>
      <c r="Z1038" s="31"/>
      <c r="AA1038" s="31"/>
      <c r="AB1038" s="31"/>
      <c r="AC1038" s="31"/>
      <c r="AD1038" s="31"/>
      <c r="AE1038" s="31"/>
      <c r="AF1038" s="31"/>
      <c r="AG1038" s="31"/>
      <c r="AH1038" s="31"/>
      <c r="AI1038" s="31"/>
      <c r="AJ1038" s="31"/>
      <c r="AK1038" s="31"/>
      <c r="AL1038" s="28" t="str">
        <f>VLOOKUP($G1038,'[42]Sheet1 (2)'!$A$1:$B$1048440,2,FALSE)</f>
        <v>Cum</v>
      </c>
      <c r="AM1038" s="32"/>
      <c r="AN1038" s="31"/>
      <c r="AO1038" s="33"/>
    </row>
    <row r="1039" spans="1:41" ht="84" x14ac:dyDescent="0.25">
      <c r="A1039" s="26">
        <v>910</v>
      </c>
      <c r="B1039" s="25" t="s">
        <v>1664</v>
      </c>
      <c r="C1039" s="22">
        <v>28.07</v>
      </c>
      <c r="D1039" s="25" t="s">
        <v>1683</v>
      </c>
      <c r="E1039" s="23" t="s">
        <v>1684</v>
      </c>
      <c r="F1039" s="21" t="s">
        <v>1685</v>
      </c>
      <c r="G1039" s="25" t="s">
        <v>47</v>
      </c>
      <c r="H1039" s="26">
        <v>5940</v>
      </c>
      <c r="I1039" s="121">
        <v>3398</v>
      </c>
      <c r="J1039" s="163"/>
      <c r="K1039" s="163"/>
      <c r="L1039" s="163"/>
      <c r="M1039" s="163"/>
      <c r="N1039" s="163"/>
      <c r="O1039" s="163"/>
      <c r="P1039" s="163"/>
      <c r="Q1039" s="31"/>
      <c r="R1039" s="31"/>
      <c r="S1039" s="31"/>
      <c r="T1039" s="31"/>
      <c r="U1039" s="31"/>
      <c r="V1039" s="31"/>
      <c r="W1039" s="31"/>
      <c r="X1039" s="31"/>
      <c r="Y1039" s="31"/>
      <c r="Z1039" s="31"/>
      <c r="AA1039" s="31"/>
      <c r="AB1039" s="31"/>
      <c r="AC1039" s="31"/>
      <c r="AD1039" s="31"/>
      <c r="AE1039" s="31"/>
      <c r="AF1039" s="31"/>
      <c r="AG1039" s="31"/>
      <c r="AH1039" s="31"/>
      <c r="AI1039" s="31"/>
      <c r="AJ1039" s="31"/>
      <c r="AK1039" s="31"/>
      <c r="AL1039" s="28" t="str">
        <f>VLOOKUP($G1039,'[42]Sheet1 (2)'!$A$1:$B$1048440,2,FALSE)</f>
        <v>Cum</v>
      </c>
      <c r="AM1039" s="32"/>
      <c r="AN1039" s="31"/>
      <c r="AO1039" s="33"/>
    </row>
    <row r="1040" spans="1:41" ht="98" x14ac:dyDescent="0.25">
      <c r="A1040" s="26">
        <v>911</v>
      </c>
      <c r="B1040" s="25" t="s">
        <v>1664</v>
      </c>
      <c r="C1040" s="22">
        <v>28.08</v>
      </c>
      <c r="D1040" s="25" t="s">
        <v>1686</v>
      </c>
      <c r="E1040" s="23" t="s">
        <v>1687</v>
      </c>
      <c r="F1040" s="21" t="s">
        <v>1688</v>
      </c>
      <c r="G1040" s="25" t="s">
        <v>47</v>
      </c>
      <c r="H1040" s="26">
        <v>6288</v>
      </c>
      <c r="I1040" s="121">
        <v>3720</v>
      </c>
      <c r="J1040" s="163"/>
      <c r="K1040" s="163"/>
      <c r="L1040" s="163"/>
      <c r="M1040" s="163"/>
      <c r="N1040" s="163"/>
      <c r="O1040" s="163"/>
      <c r="P1040" s="163"/>
      <c r="Q1040" s="31"/>
      <c r="R1040" s="31"/>
      <c r="S1040" s="31"/>
      <c r="T1040" s="31"/>
      <c r="U1040" s="31"/>
      <c r="V1040" s="31"/>
      <c r="W1040" s="31"/>
      <c r="X1040" s="31"/>
      <c r="Y1040" s="31"/>
      <c r="Z1040" s="31"/>
      <c r="AA1040" s="31"/>
      <c r="AB1040" s="31"/>
      <c r="AC1040" s="31"/>
      <c r="AD1040" s="31"/>
      <c r="AE1040" s="31"/>
      <c r="AF1040" s="31"/>
      <c r="AG1040" s="31"/>
      <c r="AH1040" s="31"/>
      <c r="AI1040" s="31"/>
      <c r="AJ1040" s="31"/>
      <c r="AK1040" s="31"/>
      <c r="AL1040" s="28" t="str">
        <f>VLOOKUP($G1040,'[42]Sheet1 (2)'!$A$1:$B$1048440,2,FALSE)</f>
        <v>Cum</v>
      </c>
      <c r="AM1040" s="32"/>
      <c r="AN1040" s="31"/>
      <c r="AO1040" s="33"/>
    </row>
    <row r="1041" spans="1:41" ht="70" x14ac:dyDescent="0.25">
      <c r="A1041" s="40">
        <v>912</v>
      </c>
      <c r="B1041" s="45" t="s">
        <v>1664</v>
      </c>
      <c r="C1041" s="37">
        <v>28.09</v>
      </c>
      <c r="D1041" s="45" t="s">
        <v>1689</v>
      </c>
      <c r="E1041" s="44" t="s">
        <v>1690</v>
      </c>
      <c r="F1041" s="44" t="s">
        <v>1691</v>
      </c>
      <c r="G1041" s="45" t="s">
        <v>47</v>
      </c>
      <c r="H1041" s="48">
        <v>11703</v>
      </c>
      <c r="I1041" s="48">
        <v>3214</v>
      </c>
      <c r="J1041" s="163"/>
      <c r="K1041" s="163"/>
      <c r="L1041" s="163"/>
      <c r="M1041" s="163"/>
      <c r="N1041" s="163"/>
      <c r="O1041" s="163"/>
      <c r="P1041" s="163"/>
      <c r="Q1041" s="31"/>
      <c r="R1041" s="31"/>
      <c r="S1041" s="31"/>
      <c r="T1041" s="31"/>
      <c r="U1041" s="31"/>
      <c r="V1041" s="31"/>
      <c r="W1041" s="31"/>
      <c r="X1041" s="31"/>
      <c r="Y1041" s="31"/>
      <c r="Z1041" s="31"/>
      <c r="AA1041" s="31"/>
      <c r="AB1041" s="31"/>
      <c r="AC1041" s="31"/>
      <c r="AD1041" s="31"/>
      <c r="AE1041" s="31"/>
      <c r="AF1041" s="31"/>
      <c r="AG1041" s="31"/>
      <c r="AH1041" s="31"/>
      <c r="AI1041" s="31"/>
      <c r="AJ1041" s="31"/>
      <c r="AK1041" s="31"/>
      <c r="AL1041" s="28" t="str">
        <f>VLOOKUP($G1041,'[42]Sheet1 (2)'!$A$1:$B$1048440,2,FALSE)</f>
        <v>Cum</v>
      </c>
      <c r="AM1041" s="32"/>
      <c r="AN1041" s="31"/>
      <c r="AO1041" s="33"/>
    </row>
    <row r="1042" spans="1:41" ht="84" x14ac:dyDescent="0.25">
      <c r="A1042" s="40">
        <v>913</v>
      </c>
      <c r="B1042" s="45" t="s">
        <v>1664</v>
      </c>
      <c r="C1042" s="37">
        <v>28.1</v>
      </c>
      <c r="D1042" s="45" t="s">
        <v>1692</v>
      </c>
      <c r="E1042" s="43" t="s">
        <v>1693</v>
      </c>
      <c r="F1042" s="44" t="s">
        <v>1694</v>
      </c>
      <c r="G1042" s="45" t="s">
        <v>47</v>
      </c>
      <c r="H1042" s="48">
        <v>12303</v>
      </c>
      <c r="I1042" s="48">
        <v>3729</v>
      </c>
      <c r="J1042" s="163"/>
      <c r="K1042" s="163"/>
      <c r="L1042" s="163"/>
      <c r="M1042" s="163"/>
      <c r="N1042" s="163"/>
      <c r="O1042" s="163"/>
      <c r="P1042" s="163"/>
      <c r="Q1042" s="31"/>
      <c r="R1042" s="31"/>
      <c r="S1042" s="31"/>
      <c r="T1042" s="31"/>
      <c r="U1042" s="31"/>
      <c r="V1042" s="31"/>
      <c r="W1042" s="31"/>
      <c r="X1042" s="31"/>
      <c r="Y1042" s="31"/>
      <c r="Z1042" s="31"/>
      <c r="AA1042" s="31"/>
      <c r="AB1042" s="31"/>
      <c r="AC1042" s="31"/>
      <c r="AD1042" s="31"/>
      <c r="AE1042" s="31"/>
      <c r="AF1042" s="31"/>
      <c r="AG1042" s="31"/>
      <c r="AH1042" s="31"/>
      <c r="AI1042" s="31"/>
      <c r="AJ1042" s="31"/>
      <c r="AK1042" s="31"/>
      <c r="AL1042" s="28" t="str">
        <f>VLOOKUP($G1042,'[42]Sheet1 (2)'!$A$1:$B$1048440,2,FALSE)</f>
        <v>Cum</v>
      </c>
      <c r="AM1042" s="32"/>
      <c r="AN1042" s="31"/>
      <c r="AO1042" s="33"/>
    </row>
    <row r="1043" spans="1:41" ht="56" x14ac:dyDescent="0.25">
      <c r="A1043" s="40">
        <v>914</v>
      </c>
      <c r="B1043" s="45" t="s">
        <v>1664</v>
      </c>
      <c r="C1043" s="37">
        <v>28.11</v>
      </c>
      <c r="D1043" s="45" t="s">
        <v>1695</v>
      </c>
      <c r="E1043" s="43" t="s">
        <v>1696</v>
      </c>
      <c r="F1043" s="44" t="s">
        <v>1697</v>
      </c>
      <c r="G1043" s="45" t="s">
        <v>47</v>
      </c>
      <c r="H1043" s="48">
        <v>12427</v>
      </c>
      <c r="I1043" s="48">
        <v>3938</v>
      </c>
      <c r="J1043" s="163"/>
      <c r="K1043" s="163"/>
      <c r="L1043" s="163"/>
      <c r="M1043" s="163"/>
      <c r="N1043" s="163"/>
      <c r="O1043" s="163"/>
      <c r="P1043" s="163"/>
      <c r="Q1043" s="31"/>
      <c r="R1043" s="31"/>
      <c r="S1043" s="31"/>
      <c r="T1043" s="31"/>
      <c r="U1043" s="31"/>
      <c r="V1043" s="31"/>
      <c r="W1043" s="31"/>
      <c r="X1043" s="31"/>
      <c r="Y1043" s="31"/>
      <c r="Z1043" s="31"/>
      <c r="AA1043" s="31"/>
      <c r="AB1043" s="31"/>
      <c r="AC1043" s="31"/>
      <c r="AD1043" s="31"/>
      <c r="AE1043" s="31"/>
      <c r="AF1043" s="31"/>
      <c r="AG1043" s="31"/>
      <c r="AH1043" s="31"/>
      <c r="AI1043" s="31"/>
      <c r="AJ1043" s="31"/>
      <c r="AK1043" s="31"/>
      <c r="AL1043" s="28" t="str">
        <f>VLOOKUP($G1043,'[42]Sheet1 (2)'!$A$1:$B$1048440,2,FALSE)</f>
        <v>Cum</v>
      </c>
      <c r="AM1043" s="32"/>
      <c r="AN1043" s="31"/>
      <c r="AO1043" s="33"/>
    </row>
    <row r="1044" spans="1:41" ht="56" x14ac:dyDescent="0.25">
      <c r="A1044" s="40">
        <v>915</v>
      </c>
      <c r="B1044" s="45" t="s">
        <v>1664</v>
      </c>
      <c r="C1044" s="37">
        <v>28.12</v>
      </c>
      <c r="D1044" s="45" t="s">
        <v>1698</v>
      </c>
      <c r="E1044" s="44" t="s">
        <v>1699</v>
      </c>
      <c r="F1044" s="44" t="s">
        <v>1700</v>
      </c>
      <c r="G1044" s="45" t="s">
        <v>47</v>
      </c>
      <c r="H1044" s="48">
        <v>13274</v>
      </c>
      <c r="I1044" s="48">
        <v>4361</v>
      </c>
      <c r="J1044" s="163"/>
      <c r="K1044" s="163"/>
      <c r="L1044" s="163"/>
      <c r="M1044" s="163"/>
      <c r="N1044" s="163"/>
      <c r="O1044" s="163"/>
      <c r="P1044" s="163"/>
      <c r="Q1044" s="31"/>
      <c r="R1044" s="31"/>
      <c r="S1044" s="31"/>
      <c r="T1044" s="31"/>
      <c r="U1044" s="31"/>
      <c r="V1044" s="31"/>
      <c r="W1044" s="31"/>
      <c r="X1044" s="31"/>
      <c r="Y1044" s="31"/>
      <c r="Z1044" s="31"/>
      <c r="AA1044" s="31"/>
      <c r="AB1044" s="31"/>
      <c r="AC1044" s="31"/>
      <c r="AD1044" s="31"/>
      <c r="AE1044" s="31"/>
      <c r="AF1044" s="31"/>
      <c r="AG1044" s="31"/>
      <c r="AH1044" s="31"/>
      <c r="AI1044" s="31"/>
      <c r="AJ1044" s="31"/>
      <c r="AK1044" s="31"/>
      <c r="AL1044" s="28" t="str">
        <f>VLOOKUP($G1044,'[42]Sheet1 (2)'!$A$1:$B$1048440,2,FALSE)</f>
        <v>Cum</v>
      </c>
      <c r="AM1044" s="32"/>
      <c r="AN1044" s="31"/>
      <c r="AO1044" s="33"/>
    </row>
    <row r="1045" spans="1:41" ht="70" x14ac:dyDescent="0.25">
      <c r="A1045" s="40">
        <v>916</v>
      </c>
      <c r="B1045" s="45" t="s">
        <v>1664</v>
      </c>
      <c r="C1045" s="37">
        <v>28.13</v>
      </c>
      <c r="D1045" s="45" t="s">
        <v>1701</v>
      </c>
      <c r="E1045" s="43" t="s">
        <v>1702</v>
      </c>
      <c r="F1045" s="44" t="s">
        <v>1703</v>
      </c>
      <c r="G1045" s="45" t="s">
        <v>47</v>
      </c>
      <c r="H1045" s="48">
        <v>12485</v>
      </c>
      <c r="I1045" s="48">
        <v>5782</v>
      </c>
      <c r="J1045" s="163"/>
      <c r="K1045" s="163"/>
      <c r="L1045" s="163"/>
      <c r="M1045" s="163"/>
      <c r="N1045" s="163"/>
      <c r="O1045" s="163"/>
      <c r="P1045" s="163"/>
      <c r="Q1045" s="31"/>
      <c r="R1045" s="31"/>
      <c r="S1045" s="31"/>
      <c r="T1045" s="31"/>
      <c r="U1045" s="31"/>
      <c r="V1045" s="31"/>
      <c r="W1045" s="31"/>
      <c r="X1045" s="31"/>
      <c r="Y1045" s="31"/>
      <c r="Z1045" s="31"/>
      <c r="AA1045" s="31"/>
      <c r="AB1045" s="31"/>
      <c r="AC1045" s="31"/>
      <c r="AD1045" s="31"/>
      <c r="AE1045" s="31"/>
      <c r="AF1045" s="31"/>
      <c r="AG1045" s="31"/>
      <c r="AH1045" s="31"/>
      <c r="AI1045" s="31"/>
      <c r="AJ1045" s="31"/>
      <c r="AK1045" s="31"/>
      <c r="AL1045" s="28" t="str">
        <f>VLOOKUP($G1045,'[42]Sheet1 (2)'!$A$1:$B$1048440,2,FALSE)</f>
        <v>Cum</v>
      </c>
      <c r="AM1045" s="32"/>
      <c r="AN1045" s="31"/>
      <c r="AO1045" s="33"/>
    </row>
    <row r="1046" spans="1:41" ht="17.5" x14ac:dyDescent="0.25">
      <c r="A1046" s="189"/>
      <c r="B1046" s="45"/>
      <c r="C1046" s="37"/>
      <c r="D1046" s="190"/>
      <c r="E1046" s="225" t="s">
        <v>1704</v>
      </c>
      <c r="F1046" s="191"/>
      <c r="G1046" s="190"/>
      <c r="H1046" s="221"/>
      <c r="I1046" s="221"/>
      <c r="J1046" s="163"/>
      <c r="K1046" s="163"/>
      <c r="L1046" s="163"/>
      <c r="M1046" s="163"/>
      <c r="N1046" s="163"/>
      <c r="O1046" s="163"/>
      <c r="P1046" s="163"/>
      <c r="Q1046" s="31"/>
      <c r="R1046" s="31"/>
      <c r="S1046" s="31"/>
      <c r="T1046" s="31"/>
      <c r="U1046" s="31"/>
      <c r="V1046" s="31"/>
      <c r="W1046" s="31"/>
      <c r="X1046" s="31"/>
      <c r="Y1046" s="31"/>
      <c r="Z1046" s="31"/>
      <c r="AA1046" s="31"/>
      <c r="AB1046" s="31"/>
      <c r="AC1046" s="31"/>
      <c r="AD1046" s="31"/>
      <c r="AE1046" s="31"/>
      <c r="AF1046" s="31"/>
      <c r="AG1046" s="31"/>
      <c r="AH1046" s="31"/>
      <c r="AI1046" s="31"/>
      <c r="AJ1046" s="31"/>
      <c r="AK1046" s="31"/>
      <c r="AL1046" s="28" t="e">
        <f>VLOOKUP($G1046,'[42]Sheet1 (2)'!$A$1:$B$1048440,2,FALSE)</f>
        <v>#N/A</v>
      </c>
      <c r="AM1046" s="32"/>
      <c r="AN1046" s="31"/>
      <c r="AO1046" s="33"/>
    </row>
    <row r="1047" spans="1:41" ht="56" x14ac:dyDescent="0.25">
      <c r="A1047" s="26">
        <v>917</v>
      </c>
      <c r="B1047" s="24" t="s">
        <v>1704</v>
      </c>
      <c r="C1047" s="22">
        <v>29.01</v>
      </c>
      <c r="D1047" s="25" t="s">
        <v>1705</v>
      </c>
      <c r="E1047" s="23" t="s">
        <v>1706</v>
      </c>
      <c r="F1047" s="21" t="s">
        <v>1707</v>
      </c>
      <c r="G1047" s="202" t="s">
        <v>621</v>
      </c>
      <c r="H1047" s="26">
        <v>1231</v>
      </c>
      <c r="I1047" s="26">
        <v>557</v>
      </c>
      <c r="J1047" s="163"/>
      <c r="K1047" s="163"/>
      <c r="L1047" s="163"/>
      <c r="M1047" s="163"/>
      <c r="N1047" s="163"/>
      <c r="O1047" s="163"/>
      <c r="P1047" s="163"/>
      <c r="Q1047" s="31"/>
      <c r="R1047" s="31"/>
      <c r="S1047" s="31"/>
      <c r="T1047" s="31"/>
      <c r="U1047" s="31"/>
      <c r="V1047" s="31"/>
      <c r="W1047" s="31"/>
      <c r="X1047" s="31"/>
      <c r="Y1047" s="31"/>
      <c r="Z1047" s="31"/>
      <c r="AA1047" s="31"/>
      <c r="AB1047" s="31"/>
      <c r="AC1047" s="31"/>
      <c r="AD1047" s="31"/>
      <c r="AE1047" s="31"/>
      <c r="AF1047" s="31"/>
      <c r="AG1047" s="31"/>
      <c r="AH1047" s="31"/>
      <c r="AI1047" s="31"/>
      <c r="AJ1047" s="31"/>
      <c r="AK1047" s="31"/>
      <c r="AL1047" s="28" t="str">
        <f>VLOOKUP($G1047,'[42]Sheet1 (2)'!$A$1:$B$1048440,2,FALSE)</f>
        <v>Sqm</v>
      </c>
      <c r="AM1047" s="32"/>
      <c r="AN1047" s="31"/>
      <c r="AO1047" s="33"/>
    </row>
    <row r="1048" spans="1:41" ht="70" x14ac:dyDescent="0.25">
      <c r="A1048" s="26">
        <v>918</v>
      </c>
      <c r="B1048" s="24" t="s">
        <v>1704</v>
      </c>
      <c r="C1048" s="22">
        <v>29.02</v>
      </c>
      <c r="D1048" s="25" t="s">
        <v>1705</v>
      </c>
      <c r="E1048" s="23" t="s">
        <v>1708</v>
      </c>
      <c r="F1048" s="21" t="s">
        <v>1707</v>
      </c>
      <c r="G1048" s="202" t="s">
        <v>621</v>
      </c>
      <c r="H1048" s="26">
        <v>1332</v>
      </c>
      <c r="I1048" s="26">
        <v>581</v>
      </c>
      <c r="J1048" s="163"/>
      <c r="K1048" s="163"/>
      <c r="L1048" s="163"/>
      <c r="M1048" s="163"/>
      <c r="N1048" s="163"/>
      <c r="O1048" s="163"/>
      <c r="P1048" s="163"/>
      <c r="Q1048" s="31"/>
      <c r="R1048" s="31"/>
      <c r="S1048" s="31"/>
      <c r="T1048" s="31"/>
      <c r="U1048" s="31"/>
      <c r="V1048" s="31"/>
      <c r="W1048" s="31"/>
      <c r="X1048" s="31"/>
      <c r="Y1048" s="31"/>
      <c r="Z1048" s="31"/>
      <c r="AA1048" s="31"/>
      <c r="AB1048" s="31"/>
      <c r="AC1048" s="31"/>
      <c r="AD1048" s="31"/>
      <c r="AE1048" s="31"/>
      <c r="AF1048" s="31"/>
      <c r="AG1048" s="31"/>
      <c r="AH1048" s="31"/>
      <c r="AI1048" s="31"/>
      <c r="AJ1048" s="31"/>
      <c r="AK1048" s="31"/>
      <c r="AL1048" s="28" t="str">
        <f>VLOOKUP($G1048,'[42]Sheet1 (2)'!$A$1:$B$1048440,2,FALSE)</f>
        <v>Sqm</v>
      </c>
      <c r="AM1048" s="32"/>
      <c r="AN1048" s="31"/>
      <c r="AO1048" s="33"/>
    </row>
    <row r="1049" spans="1:41" ht="98" x14ac:dyDescent="0.25">
      <c r="A1049" s="26">
        <v>919</v>
      </c>
      <c r="B1049" s="24" t="s">
        <v>1704</v>
      </c>
      <c r="C1049" s="22">
        <v>29.03</v>
      </c>
      <c r="D1049" s="25" t="s">
        <v>1709</v>
      </c>
      <c r="E1049" s="23" t="s">
        <v>1710</v>
      </c>
      <c r="F1049" s="24" t="s">
        <v>1711</v>
      </c>
      <c r="G1049" s="25" t="s">
        <v>47</v>
      </c>
      <c r="H1049" s="26">
        <v>7638</v>
      </c>
      <c r="I1049" s="26">
        <v>1438</v>
      </c>
      <c r="J1049" s="163"/>
      <c r="K1049" s="163"/>
      <c r="L1049" s="163"/>
      <c r="M1049" s="163"/>
      <c r="N1049" s="163"/>
      <c r="O1049" s="163"/>
      <c r="P1049" s="163"/>
      <c r="Q1049" s="31"/>
      <c r="R1049" s="31"/>
      <c r="S1049" s="31"/>
      <c r="T1049" s="31"/>
      <c r="U1049" s="31"/>
      <c r="V1049" s="31"/>
      <c r="W1049" s="31"/>
      <c r="X1049" s="31"/>
      <c r="Y1049" s="31"/>
      <c r="Z1049" s="31"/>
      <c r="AA1049" s="31"/>
      <c r="AB1049" s="31"/>
      <c r="AC1049" s="31"/>
      <c r="AD1049" s="31"/>
      <c r="AE1049" s="31"/>
      <c r="AF1049" s="31"/>
      <c r="AG1049" s="31"/>
      <c r="AH1049" s="31"/>
      <c r="AI1049" s="31"/>
      <c r="AJ1049" s="31"/>
      <c r="AK1049" s="31"/>
      <c r="AL1049" s="28" t="str">
        <f>VLOOKUP($G1049,'[42]Sheet1 (2)'!$A$1:$B$1048440,2,FALSE)</f>
        <v>Cum</v>
      </c>
      <c r="AM1049" s="32"/>
      <c r="AN1049" s="31"/>
      <c r="AO1049" s="33"/>
    </row>
    <row r="1050" spans="1:41" ht="98" x14ac:dyDescent="0.25">
      <c r="A1050" s="26">
        <v>920</v>
      </c>
      <c r="B1050" s="24" t="s">
        <v>1704</v>
      </c>
      <c r="C1050" s="22">
        <v>29.04</v>
      </c>
      <c r="D1050" s="25" t="s">
        <v>1709</v>
      </c>
      <c r="E1050" s="24" t="s">
        <v>1712</v>
      </c>
      <c r="F1050" s="24" t="s">
        <v>1711</v>
      </c>
      <c r="G1050" s="25" t="s">
        <v>47</v>
      </c>
      <c r="H1050" s="26">
        <v>7682</v>
      </c>
      <c r="I1050" s="26">
        <v>1588</v>
      </c>
      <c r="J1050" s="163"/>
      <c r="K1050" s="163"/>
      <c r="L1050" s="163"/>
      <c r="M1050" s="163"/>
      <c r="N1050" s="163"/>
      <c r="O1050" s="163"/>
      <c r="P1050" s="163"/>
      <c r="Q1050" s="31"/>
      <c r="R1050" s="31"/>
      <c r="S1050" s="31"/>
      <c r="T1050" s="31"/>
      <c r="U1050" s="31"/>
      <c r="V1050" s="31"/>
      <c r="W1050" s="31"/>
      <c r="X1050" s="31"/>
      <c r="Y1050" s="31"/>
      <c r="Z1050" s="31"/>
      <c r="AA1050" s="31"/>
      <c r="AB1050" s="31"/>
      <c r="AC1050" s="31"/>
      <c r="AD1050" s="31"/>
      <c r="AE1050" s="31"/>
      <c r="AF1050" s="31"/>
      <c r="AG1050" s="31"/>
      <c r="AH1050" s="31"/>
      <c r="AI1050" s="31"/>
      <c r="AJ1050" s="31"/>
      <c r="AK1050" s="31"/>
      <c r="AL1050" s="28" t="str">
        <f>VLOOKUP($G1050,'[42]Sheet1 (2)'!$A$1:$B$1048440,2,FALSE)</f>
        <v>Cum</v>
      </c>
      <c r="AM1050" s="32"/>
      <c r="AN1050" s="31"/>
      <c r="AO1050" s="33"/>
    </row>
    <row r="1051" spans="1:41" ht="84" x14ac:dyDescent="0.25">
      <c r="A1051" s="26">
        <v>921</v>
      </c>
      <c r="B1051" s="24" t="s">
        <v>1704</v>
      </c>
      <c r="C1051" s="22">
        <v>29.05</v>
      </c>
      <c r="D1051" s="25" t="s">
        <v>1709</v>
      </c>
      <c r="E1051" s="24" t="s">
        <v>1713</v>
      </c>
      <c r="F1051" s="24" t="s">
        <v>1711</v>
      </c>
      <c r="G1051" s="25" t="s">
        <v>47</v>
      </c>
      <c r="H1051" s="26">
        <v>7765</v>
      </c>
      <c r="I1051" s="26">
        <v>1671</v>
      </c>
      <c r="J1051" s="163"/>
      <c r="K1051" s="163"/>
      <c r="L1051" s="163"/>
      <c r="M1051" s="163"/>
      <c r="N1051" s="163"/>
      <c r="O1051" s="163"/>
      <c r="P1051" s="163"/>
      <c r="Q1051" s="31"/>
      <c r="R1051" s="31"/>
      <c r="S1051" s="31"/>
      <c r="T1051" s="31"/>
      <c r="U1051" s="31"/>
      <c r="V1051" s="31"/>
      <c r="W1051" s="31"/>
      <c r="X1051" s="31"/>
      <c r="Y1051" s="31"/>
      <c r="Z1051" s="31"/>
      <c r="AA1051" s="31"/>
      <c r="AB1051" s="31"/>
      <c r="AC1051" s="31"/>
      <c r="AD1051" s="31"/>
      <c r="AE1051" s="31"/>
      <c r="AF1051" s="31"/>
      <c r="AG1051" s="31"/>
      <c r="AH1051" s="31"/>
      <c r="AI1051" s="31"/>
      <c r="AJ1051" s="31"/>
      <c r="AK1051" s="31"/>
      <c r="AL1051" s="28" t="str">
        <f>VLOOKUP($G1051,'[42]Sheet1 (2)'!$A$1:$B$1048440,2,FALSE)</f>
        <v>Cum</v>
      </c>
      <c r="AM1051" s="32"/>
      <c r="AN1051" s="31"/>
      <c r="AO1051" s="33"/>
    </row>
    <row r="1052" spans="1:41" ht="98" x14ac:dyDescent="0.25">
      <c r="A1052" s="26">
        <v>922</v>
      </c>
      <c r="B1052" s="24" t="s">
        <v>1704</v>
      </c>
      <c r="C1052" s="22">
        <v>29.06</v>
      </c>
      <c r="D1052" s="25" t="s">
        <v>1709</v>
      </c>
      <c r="E1052" s="24" t="s">
        <v>1714</v>
      </c>
      <c r="F1052" s="24" t="s">
        <v>1711</v>
      </c>
      <c r="G1052" s="21" t="s">
        <v>217</v>
      </c>
      <c r="H1052" s="26">
        <v>996</v>
      </c>
      <c r="I1052" s="26">
        <v>203</v>
      </c>
      <c r="J1052" s="163"/>
      <c r="K1052" s="163"/>
      <c r="L1052" s="163"/>
      <c r="M1052" s="163"/>
      <c r="N1052" s="163"/>
      <c r="O1052" s="163"/>
      <c r="P1052" s="163"/>
      <c r="Q1052" s="31"/>
      <c r="R1052" s="31"/>
      <c r="S1052" s="31"/>
      <c r="T1052" s="31"/>
      <c r="U1052" s="31"/>
      <c r="V1052" s="31"/>
      <c r="W1052" s="31"/>
      <c r="X1052" s="31"/>
      <c r="Y1052" s="31"/>
      <c r="Z1052" s="31"/>
      <c r="AA1052" s="31"/>
      <c r="AB1052" s="31"/>
      <c r="AC1052" s="31"/>
      <c r="AD1052" s="31"/>
      <c r="AE1052" s="31"/>
      <c r="AF1052" s="31"/>
      <c r="AG1052" s="31"/>
      <c r="AH1052" s="31"/>
      <c r="AI1052" s="31"/>
      <c r="AJ1052" s="31"/>
      <c r="AK1052" s="31"/>
      <c r="AL1052" s="28" t="str">
        <f>VLOOKUP($G1052,'[42]Sheet1 (2)'!$A$1:$B$1048440,2,FALSE)</f>
        <v>Sqm</v>
      </c>
      <c r="AM1052" s="32"/>
      <c r="AN1052" s="31"/>
      <c r="AO1052" s="33"/>
    </row>
    <row r="1053" spans="1:41" ht="140" x14ac:dyDescent="0.25">
      <c r="A1053" s="26">
        <v>923</v>
      </c>
      <c r="B1053" s="24" t="s">
        <v>1704</v>
      </c>
      <c r="C1053" s="22">
        <v>29.11</v>
      </c>
      <c r="D1053" s="25" t="s">
        <v>1709</v>
      </c>
      <c r="E1053" s="23" t="s">
        <v>1715</v>
      </c>
      <c r="F1053" s="24" t="s">
        <v>1716</v>
      </c>
      <c r="G1053" s="21" t="s">
        <v>217</v>
      </c>
      <c r="H1053" s="26">
        <v>1551</v>
      </c>
      <c r="I1053" s="26">
        <v>564</v>
      </c>
      <c r="J1053" s="163"/>
      <c r="K1053" s="163"/>
      <c r="L1053" s="163"/>
      <c r="M1053" s="163"/>
      <c r="N1053" s="163"/>
      <c r="O1053" s="163"/>
      <c r="P1053" s="163"/>
      <c r="Q1053" s="31"/>
      <c r="R1053" s="31"/>
      <c r="S1053" s="31"/>
      <c r="T1053" s="31"/>
      <c r="U1053" s="31"/>
      <c r="V1053" s="31"/>
      <c r="W1053" s="31"/>
      <c r="X1053" s="31"/>
      <c r="Y1053" s="31"/>
      <c r="Z1053" s="31"/>
      <c r="AA1053" s="31"/>
      <c r="AB1053" s="31"/>
      <c r="AC1053" s="31"/>
      <c r="AD1053" s="31"/>
      <c r="AE1053" s="31"/>
      <c r="AF1053" s="31"/>
      <c r="AG1053" s="31"/>
      <c r="AH1053" s="31"/>
      <c r="AI1053" s="31"/>
      <c r="AJ1053" s="31"/>
      <c r="AK1053" s="31"/>
      <c r="AL1053" s="28" t="str">
        <f>VLOOKUP($G1053,'[42]Sheet1 (2)'!$A$1:$B$1048440,2,FALSE)</f>
        <v>Sqm</v>
      </c>
      <c r="AM1053" s="32"/>
      <c r="AN1053" s="31"/>
      <c r="AO1053" s="33"/>
    </row>
    <row r="1054" spans="1:41" ht="154" x14ac:dyDescent="0.25">
      <c r="A1054" s="26">
        <v>924</v>
      </c>
      <c r="B1054" s="24" t="s">
        <v>1704</v>
      </c>
      <c r="C1054" s="22">
        <v>29.12</v>
      </c>
      <c r="D1054" s="25" t="s">
        <v>1709</v>
      </c>
      <c r="E1054" s="23" t="s">
        <v>1717</v>
      </c>
      <c r="F1054" s="24" t="s">
        <v>1711</v>
      </c>
      <c r="G1054" s="202" t="s">
        <v>621</v>
      </c>
      <c r="H1054" s="26">
        <v>1757</v>
      </c>
      <c r="I1054" s="26">
        <v>644</v>
      </c>
      <c r="J1054" s="163"/>
      <c r="K1054" s="163"/>
      <c r="L1054" s="163"/>
      <c r="M1054" s="163"/>
      <c r="N1054" s="163"/>
      <c r="O1054" s="163"/>
      <c r="P1054" s="163"/>
      <c r="Q1054" s="31"/>
      <c r="R1054" s="31"/>
      <c r="S1054" s="31"/>
      <c r="T1054" s="31"/>
      <c r="U1054" s="31"/>
      <c r="V1054" s="31"/>
      <c r="W1054" s="31"/>
      <c r="X1054" s="31"/>
      <c r="Y1054" s="31"/>
      <c r="Z1054" s="31"/>
      <c r="AA1054" s="31"/>
      <c r="AB1054" s="31"/>
      <c r="AC1054" s="31"/>
      <c r="AD1054" s="31"/>
      <c r="AE1054" s="31"/>
      <c r="AF1054" s="31"/>
      <c r="AG1054" s="31"/>
      <c r="AH1054" s="31"/>
      <c r="AI1054" s="31"/>
      <c r="AJ1054" s="31"/>
      <c r="AK1054" s="31"/>
      <c r="AL1054" s="28" t="str">
        <f>VLOOKUP($G1054,'[42]Sheet1 (2)'!$A$1:$B$1048440,2,FALSE)</f>
        <v>Sqm</v>
      </c>
      <c r="AM1054" s="32"/>
      <c r="AN1054" s="31"/>
      <c r="AO1054" s="33"/>
    </row>
    <row r="1055" spans="1:41" ht="140" x14ac:dyDescent="0.25">
      <c r="A1055" s="26">
        <v>925</v>
      </c>
      <c r="B1055" s="24" t="s">
        <v>1704</v>
      </c>
      <c r="C1055" s="22">
        <v>29.13</v>
      </c>
      <c r="D1055" s="25" t="s">
        <v>1709</v>
      </c>
      <c r="E1055" s="23" t="s">
        <v>1718</v>
      </c>
      <c r="F1055" s="24" t="s">
        <v>1711</v>
      </c>
      <c r="G1055" s="202" t="s">
        <v>621</v>
      </c>
      <c r="H1055" s="26">
        <v>2795</v>
      </c>
      <c r="I1055" s="26">
        <v>725</v>
      </c>
      <c r="J1055" s="163"/>
      <c r="K1055" s="163"/>
      <c r="L1055" s="163"/>
      <c r="M1055" s="163"/>
      <c r="N1055" s="163"/>
      <c r="O1055" s="163"/>
      <c r="P1055" s="163"/>
      <c r="Q1055" s="31"/>
      <c r="R1055" s="31"/>
      <c r="S1055" s="31"/>
      <c r="T1055" s="31"/>
      <c r="U1055" s="31"/>
      <c r="V1055" s="31"/>
      <c r="W1055" s="31"/>
      <c r="X1055" s="31"/>
      <c r="Y1055" s="31"/>
      <c r="Z1055" s="31"/>
      <c r="AA1055" s="31"/>
      <c r="AB1055" s="31"/>
      <c r="AC1055" s="31"/>
      <c r="AD1055" s="31"/>
      <c r="AE1055" s="31"/>
      <c r="AF1055" s="31"/>
      <c r="AG1055" s="31"/>
      <c r="AH1055" s="31"/>
      <c r="AI1055" s="31"/>
      <c r="AJ1055" s="31"/>
      <c r="AK1055" s="31"/>
      <c r="AL1055" s="28" t="str">
        <f>VLOOKUP($G1055,'[42]Sheet1 (2)'!$A$1:$B$1048440,2,FALSE)</f>
        <v>Sqm</v>
      </c>
      <c r="AM1055" s="32"/>
      <c r="AN1055" s="31"/>
      <c r="AO1055" s="33"/>
    </row>
    <row r="1056" spans="1:41" x14ac:dyDescent="0.25">
      <c r="A1056" s="109"/>
      <c r="B1056" s="24"/>
      <c r="C1056" s="22"/>
      <c r="D1056" s="165"/>
      <c r="E1056" s="226" t="s">
        <v>1719</v>
      </c>
      <c r="F1056" s="166"/>
      <c r="G1056" s="206"/>
      <c r="H1056" s="167"/>
      <c r="I1056" s="167"/>
      <c r="J1056" s="163"/>
      <c r="K1056" s="163"/>
      <c r="L1056" s="163"/>
      <c r="M1056" s="163"/>
      <c r="N1056" s="163"/>
      <c r="O1056" s="163"/>
      <c r="P1056" s="163"/>
      <c r="Q1056" s="31"/>
      <c r="R1056" s="31"/>
      <c r="S1056" s="31"/>
      <c r="T1056" s="31"/>
      <c r="U1056" s="31"/>
      <c r="V1056" s="31"/>
      <c r="W1056" s="31"/>
      <c r="X1056" s="31"/>
      <c r="Y1056" s="31"/>
      <c r="Z1056" s="31"/>
      <c r="AA1056" s="31"/>
      <c r="AB1056" s="31"/>
      <c r="AC1056" s="31"/>
      <c r="AD1056" s="31"/>
      <c r="AE1056" s="31"/>
      <c r="AF1056" s="31"/>
      <c r="AG1056" s="31"/>
      <c r="AH1056" s="31"/>
      <c r="AI1056" s="31"/>
      <c r="AJ1056" s="31"/>
      <c r="AK1056" s="31"/>
      <c r="AL1056" s="28" t="e">
        <f>VLOOKUP($G1056,'[42]Sheet1 (2)'!$A$1:$B$1048440,2,FALSE)</f>
        <v>#N/A</v>
      </c>
      <c r="AM1056" s="32"/>
      <c r="AN1056" s="31"/>
      <c r="AO1056" s="33"/>
    </row>
    <row r="1057" spans="1:41" ht="56" x14ac:dyDescent="0.25">
      <c r="A1057" s="26">
        <v>926</v>
      </c>
      <c r="B1057" s="25" t="s">
        <v>1719</v>
      </c>
      <c r="C1057" s="22">
        <v>30.01</v>
      </c>
      <c r="D1057" s="25" t="s">
        <v>1720</v>
      </c>
      <c r="E1057" s="23" t="s">
        <v>1721</v>
      </c>
      <c r="F1057" s="21" t="s">
        <v>1722</v>
      </c>
      <c r="G1057" s="202" t="s">
        <v>621</v>
      </c>
      <c r="H1057" s="26">
        <v>4257</v>
      </c>
      <c r="I1057" s="26">
        <v>1135</v>
      </c>
      <c r="J1057" s="163"/>
      <c r="K1057" s="163"/>
      <c r="L1057" s="163"/>
      <c r="M1057" s="163"/>
      <c r="N1057" s="163"/>
      <c r="O1057" s="163"/>
      <c r="P1057" s="163"/>
      <c r="Q1057" s="31"/>
      <c r="R1057" s="31"/>
      <c r="S1057" s="31"/>
      <c r="T1057" s="31"/>
      <c r="U1057" s="31"/>
      <c r="V1057" s="31"/>
      <c r="W1057" s="31"/>
      <c r="X1057" s="31"/>
      <c r="Y1057" s="31"/>
      <c r="Z1057" s="31"/>
      <c r="AA1057" s="31"/>
      <c r="AB1057" s="31"/>
      <c r="AC1057" s="31"/>
      <c r="AD1057" s="31"/>
      <c r="AE1057" s="31"/>
      <c r="AF1057" s="31"/>
      <c r="AG1057" s="31"/>
      <c r="AH1057" s="31"/>
      <c r="AI1057" s="31"/>
      <c r="AJ1057" s="31"/>
      <c r="AK1057" s="31"/>
      <c r="AL1057" s="28" t="str">
        <f>VLOOKUP($G1057,'[42]Sheet1 (2)'!$A$1:$B$1048440,2,FALSE)</f>
        <v>Sqm</v>
      </c>
      <c r="AM1057" s="32"/>
      <c r="AN1057" s="31"/>
      <c r="AO1057" s="33"/>
    </row>
    <row r="1058" spans="1:41" ht="56" x14ac:dyDescent="0.25">
      <c r="A1058" s="26">
        <v>927</v>
      </c>
      <c r="B1058" s="25" t="s">
        <v>1719</v>
      </c>
      <c r="C1058" s="22">
        <v>30.02</v>
      </c>
      <c r="D1058" s="25" t="s">
        <v>1720</v>
      </c>
      <c r="E1058" s="24" t="s">
        <v>1723</v>
      </c>
      <c r="F1058" s="21" t="s">
        <v>1722</v>
      </c>
      <c r="G1058" s="202" t="s">
        <v>621</v>
      </c>
      <c r="H1058" s="26">
        <v>4949</v>
      </c>
      <c r="I1058" s="26">
        <v>1146</v>
      </c>
      <c r="J1058" s="163"/>
      <c r="K1058" s="163"/>
      <c r="L1058" s="163"/>
      <c r="M1058" s="163"/>
      <c r="N1058" s="163"/>
      <c r="O1058" s="163"/>
      <c r="P1058" s="163"/>
      <c r="Q1058" s="31"/>
      <c r="R1058" s="31"/>
      <c r="S1058" s="31"/>
      <c r="T1058" s="31"/>
      <c r="U1058" s="31"/>
      <c r="V1058" s="31"/>
      <c r="W1058" s="31"/>
      <c r="X1058" s="31"/>
      <c r="Y1058" s="31"/>
      <c r="Z1058" s="31"/>
      <c r="AA1058" s="31"/>
      <c r="AB1058" s="31"/>
      <c r="AC1058" s="31"/>
      <c r="AD1058" s="31"/>
      <c r="AE1058" s="31"/>
      <c r="AF1058" s="31"/>
      <c r="AG1058" s="31"/>
      <c r="AH1058" s="31"/>
      <c r="AI1058" s="31"/>
      <c r="AJ1058" s="31"/>
      <c r="AK1058" s="31"/>
      <c r="AL1058" s="28" t="str">
        <f>VLOOKUP($G1058,'[42]Sheet1 (2)'!$A$1:$B$1048440,2,FALSE)</f>
        <v>Sqm</v>
      </c>
      <c r="AM1058" s="32"/>
      <c r="AN1058" s="31"/>
      <c r="AO1058" s="33"/>
    </row>
    <row r="1059" spans="1:41" ht="56" x14ac:dyDescent="0.25">
      <c r="A1059" s="26">
        <v>928</v>
      </c>
      <c r="B1059" s="25" t="s">
        <v>1719</v>
      </c>
      <c r="C1059" s="22">
        <v>30.03</v>
      </c>
      <c r="D1059" s="25" t="s">
        <v>1720</v>
      </c>
      <c r="E1059" s="24" t="s">
        <v>1724</v>
      </c>
      <c r="F1059" s="21" t="s">
        <v>1722</v>
      </c>
      <c r="G1059" s="202" t="s">
        <v>621</v>
      </c>
      <c r="H1059" s="26">
        <v>5128</v>
      </c>
      <c r="I1059" s="26">
        <v>1146</v>
      </c>
      <c r="J1059" s="163"/>
      <c r="K1059" s="163"/>
      <c r="L1059" s="163"/>
      <c r="M1059" s="163"/>
      <c r="N1059" s="163"/>
      <c r="O1059" s="163"/>
      <c r="P1059" s="163"/>
      <c r="Q1059" s="31"/>
      <c r="R1059" s="31"/>
      <c r="S1059" s="31"/>
      <c r="T1059" s="31"/>
      <c r="U1059" s="31"/>
      <c r="V1059" s="31"/>
      <c r="W1059" s="31"/>
      <c r="X1059" s="31"/>
      <c r="Y1059" s="31"/>
      <c r="Z1059" s="31"/>
      <c r="AA1059" s="31"/>
      <c r="AB1059" s="31"/>
      <c r="AC1059" s="31"/>
      <c r="AD1059" s="31"/>
      <c r="AE1059" s="31"/>
      <c r="AF1059" s="31"/>
      <c r="AG1059" s="31"/>
      <c r="AH1059" s="31"/>
      <c r="AI1059" s="31"/>
      <c r="AJ1059" s="31"/>
      <c r="AK1059" s="31"/>
      <c r="AL1059" s="28" t="str">
        <f>VLOOKUP($G1059,'[42]Sheet1 (2)'!$A$1:$B$1048440,2,FALSE)</f>
        <v>Sqm</v>
      </c>
      <c r="AM1059" s="32"/>
      <c r="AN1059" s="31"/>
      <c r="AO1059" s="33"/>
    </row>
    <row r="1060" spans="1:41" ht="84" x14ac:dyDescent="0.25">
      <c r="A1060" s="26">
        <v>929</v>
      </c>
      <c r="B1060" s="25" t="s">
        <v>1719</v>
      </c>
      <c r="C1060" s="22">
        <v>30.04</v>
      </c>
      <c r="D1060" s="25" t="s">
        <v>1720</v>
      </c>
      <c r="E1060" s="23" t="s">
        <v>1725</v>
      </c>
      <c r="F1060" s="21" t="s">
        <v>1722</v>
      </c>
      <c r="G1060" s="202" t="s">
        <v>621</v>
      </c>
      <c r="H1060" s="26">
        <v>5014</v>
      </c>
      <c r="I1060" s="26">
        <v>1051</v>
      </c>
      <c r="J1060" s="163"/>
      <c r="K1060" s="163"/>
      <c r="L1060" s="163"/>
      <c r="M1060" s="163"/>
      <c r="N1060" s="163"/>
      <c r="O1060" s="163"/>
      <c r="P1060" s="163"/>
      <c r="Q1060" s="31"/>
      <c r="R1060" s="31"/>
      <c r="S1060" s="31"/>
      <c r="T1060" s="31"/>
      <c r="U1060" s="31"/>
      <c r="V1060" s="31"/>
      <c r="W1060" s="31"/>
      <c r="X1060" s="31"/>
      <c r="Y1060" s="31"/>
      <c r="Z1060" s="31"/>
      <c r="AA1060" s="31"/>
      <c r="AB1060" s="31"/>
      <c r="AC1060" s="31"/>
      <c r="AD1060" s="31"/>
      <c r="AE1060" s="31"/>
      <c r="AF1060" s="31"/>
      <c r="AG1060" s="31"/>
      <c r="AH1060" s="31"/>
      <c r="AI1060" s="31"/>
      <c r="AJ1060" s="31"/>
      <c r="AK1060" s="31"/>
      <c r="AL1060" s="28" t="str">
        <f>VLOOKUP($G1060,'[42]Sheet1 (2)'!$A$1:$B$1048440,2,FALSE)</f>
        <v>Sqm</v>
      </c>
      <c r="AM1060" s="32"/>
      <c r="AN1060" s="31"/>
      <c r="AO1060" s="33"/>
    </row>
    <row r="1061" spans="1:41" ht="84" x14ac:dyDescent="0.25">
      <c r="A1061" s="26">
        <v>930</v>
      </c>
      <c r="B1061" s="25" t="s">
        <v>1719</v>
      </c>
      <c r="C1061" s="22">
        <v>30.05</v>
      </c>
      <c r="D1061" s="25" t="s">
        <v>1726</v>
      </c>
      <c r="E1061" s="23" t="s">
        <v>1727</v>
      </c>
      <c r="F1061" s="25" t="s">
        <v>1728</v>
      </c>
      <c r="G1061" s="202" t="s">
        <v>621</v>
      </c>
      <c r="H1061" s="26">
        <v>5662</v>
      </c>
      <c r="I1061" s="26">
        <v>1879</v>
      </c>
      <c r="J1061" s="163"/>
      <c r="K1061" s="163"/>
      <c r="L1061" s="163"/>
      <c r="M1061" s="163"/>
      <c r="N1061" s="163"/>
      <c r="O1061" s="163"/>
      <c r="P1061" s="163"/>
      <c r="Q1061" s="31"/>
      <c r="R1061" s="31"/>
      <c r="S1061" s="31"/>
      <c r="T1061" s="31"/>
      <c r="U1061" s="31"/>
      <c r="V1061" s="31"/>
      <c r="W1061" s="31"/>
      <c r="X1061" s="31"/>
      <c r="Y1061" s="31"/>
      <c r="Z1061" s="31"/>
      <c r="AA1061" s="31"/>
      <c r="AB1061" s="31"/>
      <c r="AC1061" s="31"/>
      <c r="AD1061" s="31"/>
      <c r="AE1061" s="31"/>
      <c r="AF1061" s="31"/>
      <c r="AG1061" s="31"/>
      <c r="AH1061" s="31"/>
      <c r="AI1061" s="31"/>
      <c r="AJ1061" s="31"/>
      <c r="AK1061" s="31"/>
      <c r="AL1061" s="28" t="str">
        <f>VLOOKUP($G1061,'[42]Sheet1 (2)'!$A$1:$B$1048440,2,FALSE)</f>
        <v>Sqm</v>
      </c>
      <c r="AM1061" s="32"/>
      <c r="AN1061" s="31"/>
      <c r="AO1061" s="33"/>
    </row>
    <row r="1062" spans="1:41" ht="56" x14ac:dyDescent="0.25">
      <c r="A1062" s="26">
        <v>931</v>
      </c>
      <c r="B1062" s="25" t="s">
        <v>1719</v>
      </c>
      <c r="C1062" s="22">
        <v>30.06</v>
      </c>
      <c r="D1062" s="25" t="s">
        <v>1729</v>
      </c>
      <c r="E1062" s="23" t="s">
        <v>1730</v>
      </c>
      <c r="F1062" s="25" t="s">
        <v>1731</v>
      </c>
      <c r="G1062" s="202" t="s">
        <v>621</v>
      </c>
      <c r="H1062" s="26">
        <v>5935</v>
      </c>
      <c r="I1062" s="26">
        <v>1879</v>
      </c>
      <c r="J1062" s="163"/>
      <c r="K1062" s="163"/>
      <c r="L1062" s="163"/>
      <c r="M1062" s="163"/>
      <c r="N1062" s="163"/>
      <c r="O1062" s="163"/>
      <c r="P1062" s="163"/>
      <c r="Q1062" s="31"/>
      <c r="R1062" s="31"/>
      <c r="S1062" s="31"/>
      <c r="T1062" s="31"/>
      <c r="U1062" s="31"/>
      <c r="V1062" s="31"/>
      <c r="W1062" s="31"/>
      <c r="X1062" s="31"/>
      <c r="Y1062" s="31"/>
      <c r="Z1062" s="31"/>
      <c r="AA1062" s="31"/>
      <c r="AB1062" s="31"/>
      <c r="AC1062" s="31"/>
      <c r="AD1062" s="31"/>
      <c r="AE1062" s="31"/>
      <c r="AF1062" s="31"/>
      <c r="AG1062" s="31"/>
      <c r="AH1062" s="31"/>
      <c r="AI1062" s="31"/>
      <c r="AJ1062" s="31"/>
      <c r="AK1062" s="31"/>
      <c r="AL1062" s="28" t="str">
        <f>VLOOKUP($G1062,'[42]Sheet1 (2)'!$A$1:$B$1048440,2,FALSE)</f>
        <v>Sqm</v>
      </c>
      <c r="AM1062" s="32"/>
      <c r="AN1062" s="31"/>
      <c r="AO1062" s="33"/>
    </row>
    <row r="1063" spans="1:41" ht="56" x14ac:dyDescent="0.25">
      <c r="A1063" s="26">
        <v>932</v>
      </c>
      <c r="B1063" s="25" t="s">
        <v>1719</v>
      </c>
      <c r="C1063" s="22">
        <v>30.07</v>
      </c>
      <c r="D1063" s="25" t="s">
        <v>1732</v>
      </c>
      <c r="E1063" s="23" t="s">
        <v>1733</v>
      </c>
      <c r="F1063" s="25" t="s">
        <v>1734</v>
      </c>
      <c r="G1063" s="202" t="s">
        <v>621</v>
      </c>
      <c r="H1063" s="26">
        <v>4561</v>
      </c>
      <c r="I1063" s="26">
        <v>744</v>
      </c>
      <c r="J1063" s="163"/>
      <c r="K1063" s="163"/>
      <c r="L1063" s="163"/>
      <c r="M1063" s="163"/>
      <c r="N1063" s="163"/>
      <c r="O1063" s="163"/>
      <c r="P1063" s="163"/>
      <c r="Q1063" s="31"/>
      <c r="R1063" s="31"/>
      <c r="S1063" s="31"/>
      <c r="T1063" s="31"/>
      <c r="U1063" s="31"/>
      <c r="V1063" s="31"/>
      <c r="W1063" s="31"/>
      <c r="X1063" s="31"/>
      <c r="Y1063" s="31"/>
      <c r="Z1063" s="31"/>
      <c r="AA1063" s="31"/>
      <c r="AB1063" s="31"/>
      <c r="AC1063" s="31"/>
      <c r="AD1063" s="31"/>
      <c r="AE1063" s="31"/>
      <c r="AF1063" s="31"/>
      <c r="AG1063" s="31"/>
      <c r="AH1063" s="31"/>
      <c r="AI1063" s="31"/>
      <c r="AJ1063" s="31"/>
      <c r="AK1063" s="31"/>
      <c r="AL1063" s="28" t="str">
        <f>VLOOKUP($G1063,'[42]Sheet1 (2)'!$A$1:$B$1048440,2,FALSE)</f>
        <v>Sqm</v>
      </c>
      <c r="AM1063" s="32"/>
      <c r="AN1063" s="31"/>
      <c r="AO1063" s="33"/>
    </row>
    <row r="1064" spans="1:41" ht="70" x14ac:dyDescent="0.25">
      <c r="A1064" s="26">
        <v>933</v>
      </c>
      <c r="B1064" s="25" t="s">
        <v>1719</v>
      </c>
      <c r="C1064" s="22">
        <v>30.08</v>
      </c>
      <c r="D1064" s="25" t="s">
        <v>1735</v>
      </c>
      <c r="E1064" s="23" t="s">
        <v>1736</v>
      </c>
      <c r="F1064" s="25" t="s">
        <v>1737</v>
      </c>
      <c r="G1064" s="202" t="s">
        <v>621</v>
      </c>
      <c r="H1064" s="26">
        <v>4533</v>
      </c>
      <c r="I1064" s="26">
        <v>744</v>
      </c>
      <c r="J1064" s="163"/>
      <c r="K1064" s="163"/>
      <c r="L1064" s="163"/>
      <c r="M1064" s="163"/>
      <c r="N1064" s="163"/>
      <c r="O1064" s="163"/>
      <c r="P1064" s="163"/>
      <c r="Q1064" s="31"/>
      <c r="R1064" s="31"/>
      <c r="S1064" s="31"/>
      <c r="T1064" s="31"/>
      <c r="U1064" s="31"/>
      <c r="V1064" s="31"/>
      <c r="W1064" s="31"/>
      <c r="X1064" s="31"/>
      <c r="Y1064" s="31"/>
      <c r="Z1064" s="31"/>
      <c r="AA1064" s="31"/>
      <c r="AB1064" s="31"/>
      <c r="AC1064" s="31"/>
      <c r="AD1064" s="31"/>
      <c r="AE1064" s="31"/>
      <c r="AF1064" s="31"/>
      <c r="AG1064" s="31"/>
      <c r="AH1064" s="31"/>
      <c r="AI1064" s="31"/>
      <c r="AJ1064" s="31"/>
      <c r="AK1064" s="31"/>
      <c r="AL1064" s="28" t="str">
        <f>VLOOKUP($G1064,'[42]Sheet1 (2)'!$A$1:$B$1048440,2,FALSE)</f>
        <v>Sqm</v>
      </c>
      <c r="AM1064" s="32"/>
      <c r="AN1064" s="31"/>
      <c r="AO1064" s="33"/>
    </row>
    <row r="1065" spans="1:41" ht="112" x14ac:dyDescent="0.25">
      <c r="A1065" s="26">
        <v>934</v>
      </c>
      <c r="B1065" s="25" t="s">
        <v>1719</v>
      </c>
      <c r="C1065" s="22">
        <v>30.09</v>
      </c>
      <c r="D1065" s="25" t="s">
        <v>1738</v>
      </c>
      <c r="E1065" s="23" t="s">
        <v>1739</v>
      </c>
      <c r="F1065" s="24" t="s">
        <v>44</v>
      </c>
      <c r="G1065" s="21" t="s">
        <v>80</v>
      </c>
      <c r="H1065" s="26">
        <v>2339</v>
      </c>
      <c r="I1065" s="26">
        <v>258</v>
      </c>
      <c r="J1065" s="163"/>
      <c r="K1065" s="163"/>
      <c r="L1065" s="163"/>
      <c r="M1065" s="163"/>
      <c r="N1065" s="163"/>
      <c r="O1065" s="163"/>
      <c r="P1065" s="163"/>
      <c r="Q1065" s="31"/>
      <c r="R1065" s="31"/>
      <c r="S1065" s="31"/>
      <c r="T1065" s="31"/>
      <c r="U1065" s="31"/>
      <c r="V1065" s="31"/>
      <c r="W1065" s="31"/>
      <c r="X1065" s="31"/>
      <c r="Y1065" s="31"/>
      <c r="Z1065" s="31"/>
      <c r="AA1065" s="31"/>
      <c r="AB1065" s="31"/>
      <c r="AC1065" s="31"/>
      <c r="AD1065" s="31"/>
      <c r="AE1065" s="31"/>
      <c r="AF1065" s="31"/>
      <c r="AG1065" s="31"/>
      <c r="AH1065" s="31"/>
      <c r="AI1065" s="31"/>
      <c r="AJ1065" s="31"/>
      <c r="AK1065" s="31"/>
      <c r="AL1065" s="28" t="str">
        <f>VLOOKUP($G1065,'[42]Sheet1 (2)'!$A$1:$B$1048440,2,FALSE)</f>
        <v>Rmt.</v>
      </c>
      <c r="AM1065" s="32"/>
      <c r="AN1065" s="31"/>
      <c r="AO1065" s="33"/>
    </row>
    <row r="1066" spans="1:41" ht="154" x14ac:dyDescent="0.25">
      <c r="A1066" s="26">
        <v>935</v>
      </c>
      <c r="B1066" s="25" t="s">
        <v>1719</v>
      </c>
      <c r="C1066" s="22">
        <v>30.1</v>
      </c>
      <c r="D1066" s="25" t="s">
        <v>1738</v>
      </c>
      <c r="E1066" s="23" t="s">
        <v>1740</v>
      </c>
      <c r="F1066" s="24" t="s">
        <v>44</v>
      </c>
      <c r="G1066" s="21" t="s">
        <v>80</v>
      </c>
      <c r="H1066" s="26">
        <v>2287</v>
      </c>
      <c r="I1066" s="26">
        <v>189</v>
      </c>
      <c r="J1066" s="163"/>
      <c r="K1066" s="163"/>
      <c r="L1066" s="163"/>
      <c r="M1066" s="163"/>
      <c r="N1066" s="163"/>
      <c r="O1066" s="163"/>
      <c r="P1066" s="163"/>
      <c r="Q1066" s="31"/>
      <c r="R1066" s="31"/>
      <c r="S1066" s="31"/>
      <c r="T1066" s="31"/>
      <c r="U1066" s="31"/>
      <c r="V1066" s="31"/>
      <c r="W1066" s="31"/>
      <c r="X1066" s="31"/>
      <c r="Y1066" s="31"/>
      <c r="Z1066" s="31"/>
      <c r="AA1066" s="31"/>
      <c r="AB1066" s="31"/>
      <c r="AC1066" s="31"/>
      <c r="AD1066" s="31"/>
      <c r="AE1066" s="31"/>
      <c r="AF1066" s="31"/>
      <c r="AG1066" s="31"/>
      <c r="AH1066" s="31"/>
      <c r="AI1066" s="31"/>
      <c r="AJ1066" s="31"/>
      <c r="AK1066" s="31"/>
      <c r="AL1066" s="28" t="str">
        <f>VLOOKUP($G1066,'[42]Sheet1 (2)'!$A$1:$B$1048440,2,FALSE)</f>
        <v>Rmt.</v>
      </c>
      <c r="AM1066" s="32"/>
      <c r="AN1066" s="31"/>
      <c r="AO1066" s="33"/>
    </row>
    <row r="1067" spans="1:41" ht="56" x14ac:dyDescent="0.25">
      <c r="A1067" s="26">
        <v>936</v>
      </c>
      <c r="B1067" s="25" t="s">
        <v>1719</v>
      </c>
      <c r="C1067" s="22">
        <v>30.11</v>
      </c>
      <c r="D1067" s="23"/>
      <c r="E1067" s="24" t="s">
        <v>1741</v>
      </c>
      <c r="F1067" s="35" t="s">
        <v>1742</v>
      </c>
      <c r="G1067" s="202" t="s">
        <v>621</v>
      </c>
      <c r="H1067" s="26">
        <v>1767</v>
      </c>
      <c r="I1067" s="26">
        <v>186</v>
      </c>
      <c r="J1067" s="163"/>
      <c r="K1067" s="163"/>
      <c r="L1067" s="163"/>
      <c r="M1067" s="163"/>
      <c r="N1067" s="163"/>
      <c r="O1067" s="163"/>
      <c r="P1067" s="163"/>
      <c r="Q1067" s="31"/>
      <c r="R1067" s="31"/>
      <c r="S1067" s="31"/>
      <c r="T1067" s="31"/>
      <c r="U1067" s="31"/>
      <c r="V1067" s="31"/>
      <c r="W1067" s="31"/>
      <c r="X1067" s="31"/>
      <c r="Y1067" s="31"/>
      <c r="Z1067" s="31"/>
      <c r="AA1067" s="31"/>
      <c r="AB1067" s="31"/>
      <c r="AC1067" s="31"/>
      <c r="AD1067" s="31"/>
      <c r="AE1067" s="31"/>
      <c r="AF1067" s="31"/>
      <c r="AG1067" s="31"/>
      <c r="AH1067" s="31"/>
      <c r="AI1067" s="31"/>
      <c r="AJ1067" s="31"/>
      <c r="AK1067" s="31"/>
      <c r="AL1067" s="28" t="str">
        <f>VLOOKUP($G1067,'[42]Sheet1 (2)'!$A$1:$B$1048440,2,FALSE)</f>
        <v>Sqm</v>
      </c>
      <c r="AM1067" s="32"/>
      <c r="AN1067" s="31"/>
      <c r="AO1067" s="33"/>
    </row>
    <row r="1068" spans="1:41" x14ac:dyDescent="0.25">
      <c r="A1068" s="109"/>
      <c r="B1068" s="25"/>
      <c r="C1068" s="22"/>
      <c r="D1068" s="200"/>
      <c r="E1068" s="227" t="s">
        <v>1743</v>
      </c>
      <c r="F1068" s="223"/>
      <c r="G1068" s="206"/>
      <c r="H1068" s="167"/>
      <c r="I1068" s="167"/>
      <c r="J1068" s="163"/>
      <c r="K1068" s="163"/>
      <c r="L1068" s="163"/>
      <c r="M1068" s="163"/>
      <c r="N1068" s="163"/>
      <c r="O1068" s="163"/>
      <c r="P1068" s="163"/>
      <c r="Q1068" s="31"/>
      <c r="R1068" s="31"/>
      <c r="S1068" s="31"/>
      <c r="T1068" s="31"/>
      <c r="U1068" s="31"/>
      <c r="V1068" s="31"/>
      <c r="W1068" s="31"/>
      <c r="X1068" s="31"/>
      <c r="Y1068" s="31"/>
      <c r="Z1068" s="31"/>
      <c r="AA1068" s="31"/>
      <c r="AB1068" s="31"/>
      <c r="AC1068" s="31"/>
      <c r="AD1068" s="31"/>
      <c r="AE1068" s="31"/>
      <c r="AF1068" s="31"/>
      <c r="AG1068" s="31"/>
      <c r="AH1068" s="31"/>
      <c r="AI1068" s="31"/>
      <c r="AJ1068" s="31"/>
      <c r="AK1068" s="31"/>
      <c r="AL1068" s="28" t="e">
        <f>VLOOKUP($G1068,'[42]Sheet1 (2)'!$A$1:$B$1048440,2,FALSE)</f>
        <v>#N/A</v>
      </c>
      <c r="AM1068" s="32"/>
      <c r="AN1068" s="31"/>
      <c r="AO1068" s="33"/>
    </row>
    <row r="1069" spans="1:41" ht="56" x14ac:dyDescent="0.25">
      <c r="A1069" s="26">
        <v>937</v>
      </c>
      <c r="B1069" s="25" t="s">
        <v>1743</v>
      </c>
      <c r="C1069" s="22">
        <v>31.01</v>
      </c>
      <c r="D1069" s="25" t="s">
        <v>1744</v>
      </c>
      <c r="E1069" s="23" t="s">
        <v>1745</v>
      </c>
      <c r="F1069" s="21" t="s">
        <v>1746</v>
      </c>
      <c r="G1069" s="202" t="s">
        <v>621</v>
      </c>
      <c r="H1069" s="26">
        <v>432</v>
      </c>
      <c r="I1069" s="26">
        <v>98</v>
      </c>
      <c r="J1069" s="180">
        <f>0.32/20</f>
        <v>1.6E-2</v>
      </c>
      <c r="K1069" s="180"/>
      <c r="L1069" s="180">
        <f>0.033+0.4</f>
        <v>0.43300000000000005</v>
      </c>
      <c r="M1069" s="180"/>
      <c r="N1069" s="180"/>
      <c r="O1069" s="180"/>
      <c r="P1069" s="180">
        <v>2.1999999999999999E-2</v>
      </c>
      <c r="Q1069" s="31"/>
      <c r="R1069" s="31"/>
      <c r="S1069" s="31"/>
      <c r="T1069" s="31"/>
      <c r="U1069" s="31"/>
      <c r="V1069" s="31"/>
      <c r="W1069" s="31"/>
      <c r="X1069" s="31"/>
      <c r="Y1069" s="31"/>
      <c r="Z1069" s="31"/>
      <c r="AA1069" s="31"/>
      <c r="AB1069" s="31"/>
      <c r="AC1069" s="31"/>
      <c r="AD1069" s="31"/>
      <c r="AE1069" s="31"/>
      <c r="AF1069" s="31"/>
      <c r="AG1069" s="31"/>
      <c r="AH1069" s="31"/>
      <c r="AI1069" s="31"/>
      <c r="AJ1069" s="31"/>
      <c r="AK1069" s="31"/>
      <c r="AL1069" s="28" t="str">
        <f>VLOOKUP($G1069,'[42]Sheet1 (2)'!$A$1:$B$1048440,2,FALSE)</f>
        <v>Sqm</v>
      </c>
      <c r="AM1069" s="32" t="s">
        <v>1747</v>
      </c>
      <c r="AN1069" s="31"/>
      <c r="AO1069" s="33"/>
    </row>
    <row r="1070" spans="1:41" ht="56" x14ac:dyDescent="0.25">
      <c r="A1070" s="26">
        <v>938</v>
      </c>
      <c r="B1070" s="25" t="s">
        <v>1743</v>
      </c>
      <c r="C1070" s="22">
        <v>31.02</v>
      </c>
      <c r="D1070" s="25" t="s">
        <v>1748</v>
      </c>
      <c r="E1070" s="23" t="s">
        <v>1749</v>
      </c>
      <c r="F1070" s="21" t="s">
        <v>1750</v>
      </c>
      <c r="G1070" s="202" t="s">
        <v>621</v>
      </c>
      <c r="H1070" s="26">
        <v>246</v>
      </c>
      <c r="I1070" s="26">
        <v>15</v>
      </c>
      <c r="J1070" s="31"/>
      <c r="K1070" s="31"/>
      <c r="L1070" s="31"/>
      <c r="M1070" s="31"/>
      <c r="N1070" s="31"/>
      <c r="O1070" s="31"/>
      <c r="P1070" s="31"/>
      <c r="Q1070" s="31"/>
      <c r="R1070" s="31"/>
      <c r="S1070" s="31"/>
      <c r="T1070" s="31"/>
      <c r="U1070" s="31"/>
      <c r="V1070" s="31"/>
      <c r="W1070" s="31"/>
      <c r="X1070" s="31"/>
      <c r="Y1070" s="31"/>
      <c r="Z1070" s="31"/>
      <c r="AA1070" s="31"/>
      <c r="AB1070" s="31"/>
      <c r="AC1070" s="31"/>
      <c r="AD1070" s="31"/>
      <c r="AE1070" s="31"/>
      <c r="AF1070" s="31"/>
      <c r="AG1070" s="31"/>
      <c r="AH1070" s="31"/>
      <c r="AI1070" s="31"/>
      <c r="AJ1070" s="31"/>
      <c r="AK1070" s="31"/>
      <c r="AL1070" s="28" t="str">
        <f>VLOOKUP($G1070,'[42]Sheet1 (2)'!$A$1:$B$1048440,2,FALSE)</f>
        <v>Sqm</v>
      </c>
      <c r="AM1070" s="32"/>
      <c r="AN1070" s="31"/>
      <c r="AO1070" s="33"/>
    </row>
    <row r="1071" spans="1:41" ht="98" x14ac:dyDescent="0.25">
      <c r="A1071" s="26">
        <v>939</v>
      </c>
      <c r="B1071" s="25" t="s">
        <v>1743</v>
      </c>
      <c r="C1071" s="22">
        <v>31.03</v>
      </c>
      <c r="D1071" s="25" t="s">
        <v>1751</v>
      </c>
      <c r="E1071" s="24" t="s">
        <v>3784</v>
      </c>
      <c r="F1071" s="24" t="s">
        <v>742</v>
      </c>
      <c r="G1071" s="25" t="s">
        <v>1752</v>
      </c>
      <c r="H1071" s="26">
        <v>40</v>
      </c>
      <c r="I1071" s="26">
        <v>14</v>
      </c>
      <c r="J1071" s="31"/>
      <c r="K1071" s="31"/>
      <c r="L1071" s="31"/>
      <c r="M1071" s="31"/>
      <c r="N1071" s="31"/>
      <c r="O1071" s="31"/>
      <c r="P1071" s="31"/>
      <c r="Q1071" s="31"/>
      <c r="R1071" s="31"/>
      <c r="S1071" s="31"/>
      <c r="T1071" s="31"/>
      <c r="U1071" s="31"/>
      <c r="V1071" s="31"/>
      <c r="W1071" s="31"/>
      <c r="X1071" s="31"/>
      <c r="Y1071" s="31"/>
      <c r="Z1071" s="31"/>
      <c r="AA1071" s="31"/>
      <c r="AB1071" s="31"/>
      <c r="AC1071" s="31"/>
      <c r="AD1071" s="31"/>
      <c r="AE1071" s="31"/>
      <c r="AF1071" s="31"/>
      <c r="AG1071" s="31"/>
      <c r="AH1071" s="31"/>
      <c r="AI1071" s="31"/>
      <c r="AJ1071" s="31"/>
      <c r="AK1071" s="31"/>
      <c r="AL1071" s="28" t="str">
        <f>VLOOKUP($G1071,'[42]Sheet1 (2)'!$A$1:$B$1048440,2,FALSE)</f>
        <v>One Litre</v>
      </c>
      <c r="AM1071" s="32"/>
      <c r="AN1071" s="31"/>
      <c r="AO1071" s="33"/>
    </row>
    <row r="1072" spans="1:41" ht="280" x14ac:dyDescent="0.25">
      <c r="A1072" s="26">
        <v>940</v>
      </c>
      <c r="B1072" s="25" t="s">
        <v>1743</v>
      </c>
      <c r="C1072" s="22">
        <v>31.04</v>
      </c>
      <c r="D1072" s="25" t="s">
        <v>1751</v>
      </c>
      <c r="E1072" s="24" t="s">
        <v>1753</v>
      </c>
      <c r="F1072" s="24" t="s">
        <v>742</v>
      </c>
      <c r="G1072" s="202" t="s">
        <v>621</v>
      </c>
      <c r="H1072" s="26">
        <v>1155</v>
      </c>
      <c r="I1072" s="26">
        <v>605</v>
      </c>
      <c r="J1072" s="31"/>
      <c r="K1072" s="31"/>
      <c r="L1072" s="31"/>
      <c r="M1072" s="31"/>
      <c r="N1072" s="31"/>
      <c r="O1072" s="31"/>
      <c r="P1072" s="31"/>
      <c r="Q1072" s="31"/>
      <c r="R1072" s="31"/>
      <c r="S1072" s="31"/>
      <c r="T1072" s="31"/>
      <c r="U1072" s="31"/>
      <c r="V1072" s="31"/>
      <c r="W1072" s="31"/>
      <c r="X1072" s="31"/>
      <c r="Y1072" s="31"/>
      <c r="Z1072" s="31"/>
      <c r="AA1072" s="31"/>
      <c r="AB1072" s="31"/>
      <c r="AC1072" s="31"/>
      <c r="AD1072" s="31"/>
      <c r="AE1072" s="31"/>
      <c r="AF1072" s="31"/>
      <c r="AG1072" s="31"/>
      <c r="AH1072" s="31"/>
      <c r="AI1072" s="31"/>
      <c r="AJ1072" s="31"/>
      <c r="AK1072" s="31"/>
      <c r="AL1072" s="28" t="str">
        <f>VLOOKUP($G1072,'[42]Sheet1 (2)'!$A$1:$B$1048440,2,FALSE)</f>
        <v>Sqm</v>
      </c>
      <c r="AM1072" s="32"/>
      <c r="AN1072" s="31"/>
      <c r="AO1072" s="33"/>
    </row>
    <row r="1073" spans="1:41" ht="98" x14ac:dyDescent="0.25">
      <c r="A1073" s="26">
        <v>941</v>
      </c>
      <c r="B1073" s="25" t="s">
        <v>1743</v>
      </c>
      <c r="C1073" s="22">
        <v>31.05</v>
      </c>
      <c r="D1073" s="25" t="s">
        <v>1751</v>
      </c>
      <c r="E1073" s="23" t="s">
        <v>1754</v>
      </c>
      <c r="F1073" s="24" t="s">
        <v>742</v>
      </c>
      <c r="G1073" s="202" t="s">
        <v>621</v>
      </c>
      <c r="H1073" s="26">
        <v>430</v>
      </c>
      <c r="I1073" s="26">
        <v>210</v>
      </c>
      <c r="J1073" s="181">
        <f>0.27/20</f>
        <v>1.3500000000000002E-2</v>
      </c>
      <c r="K1073" s="181"/>
      <c r="L1073" s="181"/>
      <c r="M1073" s="181"/>
      <c r="N1073" s="181"/>
      <c r="O1073" s="181"/>
      <c r="P1073" s="181">
        <v>2.8000000000000001E-2</v>
      </c>
      <c r="Q1073" s="31"/>
      <c r="R1073" s="31"/>
      <c r="S1073" s="31"/>
      <c r="T1073" s="31"/>
      <c r="U1073" s="31"/>
      <c r="V1073" s="31"/>
      <c r="W1073" s="31"/>
      <c r="X1073" s="31"/>
      <c r="Y1073" s="31"/>
      <c r="Z1073" s="31"/>
      <c r="AA1073" s="31"/>
      <c r="AB1073" s="31"/>
      <c r="AC1073" s="31"/>
      <c r="AD1073" s="31"/>
      <c r="AE1073" s="31"/>
      <c r="AF1073" s="31"/>
      <c r="AG1073" s="31"/>
      <c r="AH1073" s="31"/>
      <c r="AI1073" s="31"/>
      <c r="AJ1073" s="31"/>
      <c r="AK1073" s="31"/>
      <c r="AL1073" s="28" t="str">
        <f>VLOOKUP($G1073,'[42]Sheet1 (2)'!$A$1:$B$1048440,2,FALSE)</f>
        <v>Sqm</v>
      </c>
      <c r="AM1073" s="32" t="s">
        <v>1755</v>
      </c>
      <c r="AN1073" s="31"/>
      <c r="AO1073" s="33"/>
    </row>
    <row r="1074" spans="1:41" ht="79.5" customHeight="1" x14ac:dyDescent="0.25">
      <c r="A1074" s="26">
        <v>942</v>
      </c>
      <c r="B1074" s="25" t="s">
        <v>1743</v>
      </c>
      <c r="C1074" s="22">
        <v>31.06</v>
      </c>
      <c r="D1074" s="25" t="s">
        <v>1751</v>
      </c>
      <c r="E1074" s="23" t="s">
        <v>1756</v>
      </c>
      <c r="F1074" s="24" t="s">
        <v>742</v>
      </c>
      <c r="G1074" s="202" t="s">
        <v>621</v>
      </c>
      <c r="H1074" s="26">
        <v>387</v>
      </c>
      <c r="I1074" s="26">
        <v>238</v>
      </c>
      <c r="J1074" s="180">
        <f>0.14/20</f>
        <v>7.000000000000001E-3</v>
      </c>
      <c r="K1074" s="180"/>
      <c r="L1074" s="180"/>
      <c r="M1074" s="180"/>
      <c r="N1074" s="180"/>
      <c r="O1074" s="180"/>
      <c r="P1074" s="180">
        <v>1.4999999999999999E-2</v>
      </c>
      <c r="Q1074" s="31"/>
      <c r="R1074" s="31"/>
      <c r="S1074" s="31"/>
      <c r="T1074" s="31"/>
      <c r="U1074" s="31"/>
      <c r="V1074" s="31"/>
      <c r="W1074" s="31"/>
      <c r="X1074" s="31"/>
      <c r="Y1074" s="31"/>
      <c r="Z1074" s="31"/>
      <c r="AA1074" s="31"/>
      <c r="AB1074" s="31"/>
      <c r="AC1074" s="31"/>
      <c r="AD1074" s="31"/>
      <c r="AE1074" s="31"/>
      <c r="AF1074" s="31"/>
      <c r="AG1074" s="31"/>
      <c r="AH1074" s="31"/>
      <c r="AI1074" s="31"/>
      <c r="AJ1074" s="31"/>
      <c r="AK1074" s="31"/>
      <c r="AL1074" s="28" t="str">
        <f>VLOOKUP($G1074,'[42]Sheet1 (2)'!$A$1:$B$1048440,2,FALSE)</f>
        <v>Sqm</v>
      </c>
      <c r="AM1074" s="32" t="s">
        <v>1757</v>
      </c>
      <c r="AN1074" s="31"/>
      <c r="AO1074" s="33"/>
    </row>
    <row r="1075" spans="1:41" ht="84" x14ac:dyDescent="0.25">
      <c r="A1075" s="26">
        <v>943</v>
      </c>
      <c r="B1075" s="25" t="s">
        <v>1743</v>
      </c>
      <c r="C1075" s="22">
        <v>31.07</v>
      </c>
      <c r="D1075" s="25" t="s">
        <v>1751</v>
      </c>
      <c r="E1075" s="23" t="s">
        <v>1758</v>
      </c>
      <c r="F1075" s="24" t="s">
        <v>742</v>
      </c>
      <c r="G1075" s="202" t="s">
        <v>621</v>
      </c>
      <c r="H1075" s="26">
        <v>530</v>
      </c>
      <c r="I1075" s="26">
        <v>272</v>
      </c>
      <c r="J1075" s="180">
        <f>0.22/20</f>
        <v>1.0999999999999999E-2</v>
      </c>
      <c r="K1075" s="180"/>
      <c r="L1075" s="180"/>
      <c r="M1075" s="180"/>
      <c r="N1075" s="180"/>
      <c r="O1075" s="180"/>
      <c r="P1075" s="180">
        <v>2.4E-2</v>
      </c>
      <c r="Q1075" s="31"/>
      <c r="R1075" s="31"/>
      <c r="S1075" s="31"/>
      <c r="T1075" s="31"/>
      <c r="U1075" s="31"/>
      <c r="V1075" s="31"/>
      <c r="W1075" s="31"/>
      <c r="X1075" s="31"/>
      <c r="Y1075" s="31"/>
      <c r="Z1075" s="31"/>
      <c r="AA1075" s="31"/>
      <c r="AB1075" s="31"/>
      <c r="AC1075" s="31"/>
      <c r="AD1075" s="31"/>
      <c r="AE1075" s="31"/>
      <c r="AF1075" s="31"/>
      <c r="AG1075" s="31"/>
      <c r="AH1075" s="31"/>
      <c r="AI1075" s="31"/>
      <c r="AJ1075" s="31"/>
      <c r="AK1075" s="31"/>
      <c r="AL1075" s="28" t="str">
        <f>VLOOKUP($G1075,'[42]Sheet1 (2)'!$A$1:$B$1048440,2,FALSE)</f>
        <v>Sqm</v>
      </c>
      <c r="AM1075" s="32" t="s">
        <v>1759</v>
      </c>
      <c r="AN1075" s="31"/>
      <c r="AO1075" s="33"/>
    </row>
    <row r="1076" spans="1:41" ht="56" x14ac:dyDescent="0.25">
      <c r="A1076" s="26">
        <v>944</v>
      </c>
      <c r="B1076" s="25" t="s">
        <v>1743</v>
      </c>
      <c r="C1076" s="22">
        <v>31.08</v>
      </c>
      <c r="D1076" s="25" t="s">
        <v>1751</v>
      </c>
      <c r="E1076" s="24" t="s">
        <v>1760</v>
      </c>
      <c r="F1076" s="35" t="s">
        <v>1761</v>
      </c>
      <c r="G1076" s="202" t="s">
        <v>621</v>
      </c>
      <c r="H1076" s="26">
        <v>26</v>
      </c>
      <c r="I1076" s="26">
        <v>26</v>
      </c>
      <c r="J1076" s="31"/>
      <c r="K1076" s="31"/>
      <c r="L1076" s="31"/>
      <c r="M1076" s="31"/>
      <c r="N1076" s="31"/>
      <c r="O1076" s="31"/>
      <c r="P1076" s="31"/>
      <c r="Q1076" s="31"/>
      <c r="R1076" s="31"/>
      <c r="S1076" s="31"/>
      <c r="T1076" s="31"/>
      <c r="U1076" s="31"/>
      <c r="V1076" s="31"/>
      <c r="W1076" s="31"/>
      <c r="X1076" s="31"/>
      <c r="Y1076" s="31"/>
      <c r="Z1076" s="31"/>
      <c r="AA1076" s="31"/>
      <c r="AB1076" s="31"/>
      <c r="AC1076" s="31"/>
      <c r="AD1076" s="31"/>
      <c r="AE1076" s="31"/>
      <c r="AF1076" s="31"/>
      <c r="AG1076" s="31"/>
      <c r="AH1076" s="31"/>
      <c r="AI1076" s="31"/>
      <c r="AJ1076" s="31"/>
      <c r="AK1076" s="31"/>
      <c r="AL1076" s="28" t="str">
        <f>VLOOKUP($G1076,'[42]Sheet1 (2)'!$A$1:$B$1048440,2,FALSE)</f>
        <v>Sqm</v>
      </c>
      <c r="AM1076" s="32"/>
      <c r="AN1076" s="31"/>
      <c r="AO1076" s="33"/>
    </row>
    <row r="1077" spans="1:41" ht="98" x14ac:dyDescent="0.25">
      <c r="A1077" s="26">
        <v>945</v>
      </c>
      <c r="B1077" s="25" t="s">
        <v>1743</v>
      </c>
      <c r="C1077" s="22">
        <v>31.09</v>
      </c>
      <c r="D1077" s="25" t="s">
        <v>1751</v>
      </c>
      <c r="E1077" s="24" t="s">
        <v>1762</v>
      </c>
      <c r="F1077" s="24" t="s">
        <v>44</v>
      </c>
      <c r="G1077" s="202" t="s">
        <v>621</v>
      </c>
      <c r="H1077" s="26">
        <v>615</v>
      </c>
      <c r="I1077" s="26">
        <v>316</v>
      </c>
      <c r="J1077" s="31"/>
      <c r="K1077" s="31"/>
      <c r="L1077" s="31"/>
      <c r="M1077" s="31"/>
      <c r="N1077" s="31"/>
      <c r="O1077" s="31"/>
      <c r="P1077" s="31"/>
      <c r="Q1077" s="31"/>
      <c r="R1077" s="31"/>
      <c r="S1077" s="31"/>
      <c r="T1077" s="31"/>
      <c r="U1077" s="31"/>
      <c r="V1077" s="31"/>
      <c r="W1077" s="31"/>
      <c r="X1077" s="31"/>
      <c r="Y1077" s="31"/>
      <c r="Z1077" s="31"/>
      <c r="AA1077" s="31"/>
      <c r="AB1077" s="31"/>
      <c r="AC1077" s="31"/>
      <c r="AD1077" s="31"/>
      <c r="AE1077" s="31"/>
      <c r="AF1077" s="31"/>
      <c r="AG1077" s="31"/>
      <c r="AH1077" s="31"/>
      <c r="AI1077" s="31"/>
      <c r="AJ1077" s="31"/>
      <c r="AK1077" s="31"/>
      <c r="AL1077" s="28" t="str">
        <f>VLOOKUP($G1077,'[42]Sheet1 (2)'!$A$1:$B$1048440,2,FALSE)</f>
        <v>Sqm</v>
      </c>
      <c r="AM1077" s="32"/>
      <c r="AN1077" s="31"/>
      <c r="AO1077" s="33"/>
    </row>
    <row r="1078" spans="1:41" ht="182" x14ac:dyDescent="0.25">
      <c r="A1078" s="26">
        <v>946</v>
      </c>
      <c r="B1078" s="25" t="s">
        <v>1743</v>
      </c>
      <c r="C1078" s="22">
        <v>31.1</v>
      </c>
      <c r="D1078" s="25" t="s">
        <v>1751</v>
      </c>
      <c r="E1078" s="24" t="s">
        <v>3789</v>
      </c>
      <c r="F1078" s="24" t="s">
        <v>44</v>
      </c>
      <c r="G1078" s="202" t="s">
        <v>621</v>
      </c>
      <c r="H1078" s="26">
        <v>1098</v>
      </c>
      <c r="I1078" s="26">
        <v>234</v>
      </c>
      <c r="J1078" s="180">
        <f>0.27/20</f>
        <v>1.3500000000000002E-2</v>
      </c>
      <c r="K1078" s="31"/>
      <c r="L1078" s="31"/>
      <c r="M1078" s="31"/>
      <c r="N1078" s="31"/>
      <c r="O1078" s="31"/>
      <c r="P1078" s="180">
        <v>2.8000000000000001E-2</v>
      </c>
      <c r="Q1078" s="31"/>
      <c r="R1078" s="31"/>
      <c r="S1078" s="31"/>
      <c r="T1078" s="31"/>
      <c r="U1078" s="31"/>
      <c r="V1078" s="31"/>
      <c r="W1078" s="31"/>
      <c r="X1078" s="31"/>
      <c r="Y1078" s="31"/>
      <c r="Z1078" s="31"/>
      <c r="AA1078" s="31"/>
      <c r="AB1078" s="31"/>
      <c r="AC1078" s="31"/>
      <c r="AD1078" s="31"/>
      <c r="AE1078" s="31"/>
      <c r="AF1078" s="31"/>
      <c r="AG1078" s="31"/>
      <c r="AH1078" s="31"/>
      <c r="AI1078" s="31"/>
      <c r="AJ1078" s="31"/>
      <c r="AK1078" s="31"/>
      <c r="AL1078" s="28" t="str">
        <f>VLOOKUP($G1078,'[42]Sheet1 (2)'!$A$1:$B$1048440,2,FALSE)</f>
        <v>Sqm</v>
      </c>
      <c r="AM1078" s="32" t="s">
        <v>1763</v>
      </c>
      <c r="AN1078" s="31"/>
      <c r="AO1078" s="33"/>
    </row>
    <row r="1079" spans="1:41" ht="112" x14ac:dyDescent="0.25">
      <c r="A1079" s="26">
        <v>947</v>
      </c>
      <c r="B1079" s="25" t="s">
        <v>1743</v>
      </c>
      <c r="C1079" s="22">
        <v>31.11</v>
      </c>
      <c r="D1079" s="25" t="s">
        <v>1751</v>
      </c>
      <c r="E1079" s="24" t="s">
        <v>1764</v>
      </c>
      <c r="F1079" s="24" t="s">
        <v>44</v>
      </c>
      <c r="G1079" s="202" t="s">
        <v>621</v>
      </c>
      <c r="H1079" s="26">
        <v>1267</v>
      </c>
      <c r="I1079" s="26">
        <v>234</v>
      </c>
      <c r="J1079" s="31"/>
      <c r="K1079" s="31"/>
      <c r="L1079" s="31"/>
      <c r="M1079" s="31"/>
      <c r="N1079" s="31"/>
      <c r="O1079" s="31"/>
      <c r="P1079" s="31"/>
      <c r="Q1079" s="31"/>
      <c r="R1079" s="31"/>
      <c r="S1079" s="31"/>
      <c r="T1079" s="31"/>
      <c r="U1079" s="31"/>
      <c r="V1079" s="31"/>
      <c r="W1079" s="31"/>
      <c r="X1079" s="31"/>
      <c r="Y1079" s="31"/>
      <c r="Z1079" s="31"/>
      <c r="AA1079" s="31"/>
      <c r="AB1079" s="31"/>
      <c r="AC1079" s="31"/>
      <c r="AD1079" s="31"/>
      <c r="AE1079" s="31"/>
      <c r="AF1079" s="31"/>
      <c r="AG1079" s="31"/>
      <c r="AH1079" s="31"/>
      <c r="AI1079" s="31"/>
      <c r="AJ1079" s="31"/>
      <c r="AK1079" s="31"/>
      <c r="AL1079" s="28" t="str">
        <f>VLOOKUP($G1079,'[42]Sheet1 (2)'!$A$1:$B$1048440,2,FALSE)</f>
        <v>Sqm</v>
      </c>
      <c r="AM1079" s="32"/>
      <c r="AN1079" s="31"/>
      <c r="AO1079" s="33"/>
    </row>
    <row r="1080" spans="1:41" ht="140" x14ac:dyDescent="0.25">
      <c r="A1080" s="26">
        <v>948</v>
      </c>
      <c r="B1080" s="25" t="s">
        <v>1743</v>
      </c>
      <c r="C1080" s="22">
        <v>31.12</v>
      </c>
      <c r="D1080" s="25" t="s">
        <v>1751</v>
      </c>
      <c r="E1080" s="24" t="s">
        <v>1765</v>
      </c>
      <c r="F1080" s="21" t="s">
        <v>1746</v>
      </c>
      <c r="G1080" s="202" t="s">
        <v>621</v>
      </c>
      <c r="H1080" s="26">
        <v>1286</v>
      </c>
      <c r="I1080" s="26">
        <v>393</v>
      </c>
      <c r="J1080" s="180">
        <f>0.14/20</f>
        <v>7.000000000000001E-3</v>
      </c>
      <c r="K1080" s="180"/>
      <c r="L1080" s="31"/>
      <c r="M1080" s="31"/>
      <c r="N1080" s="31"/>
      <c r="O1080" s="31"/>
      <c r="P1080" s="180">
        <v>2.1999999999999999E-2</v>
      </c>
      <c r="Q1080" s="31"/>
      <c r="R1080" s="31"/>
      <c r="S1080" s="31"/>
      <c r="T1080" s="31"/>
      <c r="U1080" s="31"/>
      <c r="V1080" s="31"/>
      <c r="W1080" s="31"/>
      <c r="X1080" s="31"/>
      <c r="Y1080" s="31"/>
      <c r="Z1080" s="31"/>
      <c r="AA1080" s="31"/>
      <c r="AB1080" s="31"/>
      <c r="AC1080" s="31"/>
      <c r="AD1080" s="31"/>
      <c r="AE1080" s="31"/>
      <c r="AF1080" s="31"/>
      <c r="AG1080" s="31"/>
      <c r="AH1080" s="31"/>
      <c r="AI1080" s="31"/>
      <c r="AJ1080" s="31"/>
      <c r="AK1080" s="31"/>
      <c r="AL1080" s="28" t="str">
        <f>VLOOKUP($G1080,'[42]Sheet1 (2)'!$A$1:$B$1048440,2,FALSE)</f>
        <v>Sqm</v>
      </c>
      <c r="AM1080" s="32" t="s">
        <v>1766</v>
      </c>
      <c r="AN1080" s="31"/>
      <c r="AO1080" s="33"/>
    </row>
    <row r="1081" spans="1:41" ht="182" x14ac:dyDescent="0.25">
      <c r="A1081" s="26">
        <v>949</v>
      </c>
      <c r="B1081" s="25" t="s">
        <v>1743</v>
      </c>
      <c r="C1081" s="22">
        <v>31.13</v>
      </c>
      <c r="D1081" s="25" t="s">
        <v>1751</v>
      </c>
      <c r="E1081" s="24" t="s">
        <v>1767</v>
      </c>
      <c r="F1081" s="21" t="s">
        <v>1746</v>
      </c>
      <c r="G1081" s="202" t="s">
        <v>621</v>
      </c>
      <c r="H1081" s="26">
        <v>1338</v>
      </c>
      <c r="I1081" s="26">
        <v>509</v>
      </c>
      <c r="J1081" s="180">
        <f>0.14/20</f>
        <v>7.000000000000001E-3</v>
      </c>
      <c r="K1081" s="180"/>
      <c r="L1081" s="31"/>
      <c r="M1081" s="31"/>
      <c r="N1081" s="31"/>
      <c r="O1081" s="31"/>
      <c r="P1081" s="180">
        <v>2.1999999999999999E-2</v>
      </c>
      <c r="Q1081" s="31"/>
      <c r="R1081" s="31"/>
      <c r="S1081" s="31"/>
      <c r="T1081" s="31"/>
      <c r="U1081" s="31"/>
      <c r="V1081" s="31"/>
      <c r="W1081" s="31"/>
      <c r="X1081" s="31"/>
      <c r="Y1081" s="31"/>
      <c r="Z1081" s="31"/>
      <c r="AA1081" s="31"/>
      <c r="AB1081" s="31"/>
      <c r="AC1081" s="31"/>
      <c r="AD1081" s="31"/>
      <c r="AE1081" s="31"/>
      <c r="AF1081" s="31"/>
      <c r="AG1081" s="31"/>
      <c r="AH1081" s="31"/>
      <c r="AI1081" s="31"/>
      <c r="AJ1081" s="31"/>
      <c r="AK1081" s="31"/>
      <c r="AL1081" s="28" t="str">
        <f>VLOOKUP($G1081,'[42]Sheet1 (2)'!$A$1:$B$1048440,2,FALSE)</f>
        <v>Sqm</v>
      </c>
      <c r="AM1081" s="32" t="s">
        <v>1766</v>
      </c>
      <c r="AN1081" s="31"/>
      <c r="AO1081" s="33"/>
    </row>
    <row r="1082" spans="1:41" ht="56" x14ac:dyDescent="0.25">
      <c r="A1082" s="26">
        <v>950</v>
      </c>
      <c r="B1082" s="25" t="s">
        <v>1743</v>
      </c>
      <c r="C1082" s="22">
        <v>31.14</v>
      </c>
      <c r="D1082" s="25" t="s">
        <v>1751</v>
      </c>
      <c r="E1082" s="24" t="s">
        <v>1768</v>
      </c>
      <c r="F1082" s="35" t="s">
        <v>1742</v>
      </c>
      <c r="G1082" s="202" t="s">
        <v>621</v>
      </c>
      <c r="H1082" s="26">
        <v>1284</v>
      </c>
      <c r="I1082" s="26">
        <v>391</v>
      </c>
      <c r="J1082" s="31"/>
      <c r="K1082" s="31"/>
      <c r="L1082" s="31"/>
      <c r="M1082" s="31"/>
      <c r="N1082" s="31"/>
      <c r="O1082" s="31"/>
      <c r="P1082" s="31"/>
      <c r="Q1082" s="31"/>
      <c r="R1082" s="31"/>
      <c r="S1082" s="31"/>
      <c r="T1082" s="31"/>
      <c r="U1082" s="31"/>
      <c r="V1082" s="31"/>
      <c r="W1082" s="31"/>
      <c r="X1082" s="31"/>
      <c r="Y1082" s="31"/>
      <c r="Z1082" s="31"/>
      <c r="AA1082" s="31"/>
      <c r="AB1082" s="31"/>
      <c r="AC1082" s="31"/>
      <c r="AD1082" s="31"/>
      <c r="AE1082" s="31"/>
      <c r="AF1082" s="31"/>
      <c r="AG1082" s="31"/>
      <c r="AH1082" s="31"/>
      <c r="AI1082" s="31"/>
      <c r="AJ1082" s="31"/>
      <c r="AK1082" s="31"/>
      <c r="AL1082" s="28" t="str">
        <f>VLOOKUP($G1082,'[42]Sheet1 (2)'!$A$1:$B$1048440,2,FALSE)</f>
        <v>Sqm</v>
      </c>
      <c r="AM1082" s="32"/>
      <c r="AN1082" s="31"/>
      <c r="AO1082" s="33"/>
    </row>
    <row r="1083" spans="1:41" ht="70" x14ac:dyDescent="0.25">
      <c r="A1083" s="26">
        <v>951</v>
      </c>
      <c r="B1083" s="25" t="s">
        <v>1743</v>
      </c>
      <c r="C1083" s="22">
        <v>31.15</v>
      </c>
      <c r="D1083" s="25" t="s">
        <v>1751</v>
      </c>
      <c r="E1083" s="24" t="s">
        <v>1769</v>
      </c>
      <c r="F1083" s="24" t="s">
        <v>742</v>
      </c>
      <c r="G1083" s="202" t="s">
        <v>621</v>
      </c>
      <c r="H1083" s="26">
        <v>546</v>
      </c>
      <c r="I1083" s="26">
        <v>112</v>
      </c>
      <c r="J1083" s="31"/>
      <c r="K1083" s="31"/>
      <c r="L1083" s="31"/>
      <c r="M1083" s="31"/>
      <c r="N1083" s="31"/>
      <c r="O1083" s="31"/>
      <c r="P1083" s="31"/>
      <c r="Q1083" s="31"/>
      <c r="R1083" s="31"/>
      <c r="S1083" s="31"/>
      <c r="T1083" s="31"/>
      <c r="U1083" s="31"/>
      <c r="V1083" s="31"/>
      <c r="W1083" s="31"/>
      <c r="X1083" s="31"/>
      <c r="Y1083" s="31"/>
      <c r="Z1083" s="31"/>
      <c r="AA1083" s="31"/>
      <c r="AB1083" s="31"/>
      <c r="AC1083" s="31"/>
      <c r="AD1083" s="31"/>
      <c r="AE1083" s="31"/>
      <c r="AF1083" s="31"/>
      <c r="AG1083" s="31"/>
      <c r="AH1083" s="31"/>
      <c r="AI1083" s="31"/>
      <c r="AJ1083" s="31"/>
      <c r="AK1083" s="31"/>
      <c r="AL1083" s="28" t="str">
        <f>VLOOKUP($G1083,'[42]Sheet1 (2)'!$A$1:$B$1048440,2,FALSE)</f>
        <v>Sqm</v>
      </c>
      <c r="AM1083" s="32"/>
      <c r="AN1083" s="31"/>
      <c r="AO1083" s="33"/>
    </row>
    <row r="1084" spans="1:41" ht="140" x14ac:dyDescent="0.25">
      <c r="A1084" s="26">
        <v>952</v>
      </c>
      <c r="B1084" s="25" t="s">
        <v>1743</v>
      </c>
      <c r="C1084" s="22">
        <v>31.16</v>
      </c>
      <c r="D1084" s="25" t="s">
        <v>1751</v>
      </c>
      <c r="E1084" s="24" t="s">
        <v>1770</v>
      </c>
      <c r="F1084" s="24" t="s">
        <v>742</v>
      </c>
      <c r="G1084" s="202" t="s">
        <v>621</v>
      </c>
      <c r="H1084" s="26">
        <v>845</v>
      </c>
      <c r="I1084" s="26">
        <v>125</v>
      </c>
      <c r="J1084" s="31"/>
      <c r="K1084" s="31"/>
      <c r="L1084" s="31"/>
      <c r="M1084" s="31"/>
      <c r="N1084" s="31"/>
      <c r="O1084" s="31"/>
      <c r="P1084" s="31"/>
      <c r="Q1084" s="31"/>
      <c r="R1084" s="31"/>
      <c r="S1084" s="31"/>
      <c r="T1084" s="31"/>
      <c r="U1084" s="31"/>
      <c r="V1084" s="31"/>
      <c r="W1084" s="31"/>
      <c r="X1084" s="31"/>
      <c r="Y1084" s="31"/>
      <c r="Z1084" s="31"/>
      <c r="AA1084" s="31"/>
      <c r="AB1084" s="31"/>
      <c r="AC1084" s="31"/>
      <c r="AD1084" s="31"/>
      <c r="AE1084" s="31"/>
      <c r="AF1084" s="31"/>
      <c r="AG1084" s="31"/>
      <c r="AH1084" s="31"/>
      <c r="AI1084" s="31"/>
      <c r="AJ1084" s="31"/>
      <c r="AK1084" s="31"/>
      <c r="AL1084" s="28" t="str">
        <f>VLOOKUP($G1084,'[42]Sheet1 (2)'!$A$1:$B$1048440,2,FALSE)</f>
        <v>Sqm</v>
      </c>
      <c r="AM1084" s="32"/>
      <c r="AN1084" s="31"/>
      <c r="AO1084" s="33"/>
    </row>
    <row r="1085" spans="1:41" ht="196" x14ac:dyDescent="0.25">
      <c r="A1085" s="26">
        <v>953</v>
      </c>
      <c r="B1085" s="25" t="s">
        <v>1743</v>
      </c>
      <c r="C1085" s="22">
        <v>31.17</v>
      </c>
      <c r="D1085" s="23"/>
      <c r="E1085" s="24" t="s">
        <v>1771</v>
      </c>
      <c r="F1085" s="24" t="s">
        <v>44</v>
      </c>
      <c r="G1085" s="202" t="s">
        <v>621</v>
      </c>
      <c r="H1085" s="26">
        <v>617</v>
      </c>
      <c r="I1085" s="26">
        <v>217</v>
      </c>
      <c r="J1085" s="31"/>
      <c r="K1085" s="31"/>
      <c r="L1085" s="31"/>
      <c r="M1085" s="31"/>
      <c r="N1085" s="31"/>
      <c r="O1085" s="31"/>
      <c r="P1085" s="31"/>
      <c r="Q1085" s="31"/>
      <c r="R1085" s="31"/>
      <c r="S1085" s="31"/>
      <c r="T1085" s="31"/>
      <c r="U1085" s="31"/>
      <c r="V1085" s="31"/>
      <c r="W1085" s="31"/>
      <c r="X1085" s="31"/>
      <c r="Y1085" s="31"/>
      <c r="Z1085" s="31"/>
      <c r="AA1085" s="31"/>
      <c r="AB1085" s="31"/>
      <c r="AC1085" s="31"/>
      <c r="AD1085" s="31"/>
      <c r="AE1085" s="31"/>
      <c r="AF1085" s="31"/>
      <c r="AG1085" s="31"/>
      <c r="AH1085" s="31"/>
      <c r="AI1085" s="31"/>
      <c r="AJ1085" s="31"/>
      <c r="AK1085" s="31"/>
      <c r="AL1085" s="28" t="str">
        <f>VLOOKUP($G1085,'[42]Sheet1 (2)'!$A$1:$B$1048440,2,FALSE)</f>
        <v>Sqm</v>
      </c>
      <c r="AM1085" s="32"/>
      <c r="AN1085" s="31"/>
      <c r="AO1085" s="33"/>
    </row>
    <row r="1086" spans="1:41" ht="168" x14ac:dyDescent="0.25">
      <c r="A1086" s="20">
        <v>954</v>
      </c>
      <c r="B1086" s="25" t="s">
        <v>1743</v>
      </c>
      <c r="C1086" s="203">
        <v>31.26</v>
      </c>
      <c r="D1086" s="25" t="s">
        <v>1751</v>
      </c>
      <c r="E1086" s="24" t="s">
        <v>1772</v>
      </c>
      <c r="F1086" s="24" t="s">
        <v>44</v>
      </c>
      <c r="G1086" s="25" t="s">
        <v>47</v>
      </c>
      <c r="H1086" s="20">
        <v>6195</v>
      </c>
      <c r="I1086" s="20">
        <v>3352</v>
      </c>
      <c r="J1086" s="31"/>
      <c r="K1086" s="31"/>
      <c r="L1086" s="31"/>
      <c r="M1086" s="31"/>
      <c r="N1086" s="31"/>
      <c r="O1086" s="31"/>
      <c r="P1086" s="31"/>
      <c r="Q1086" s="31"/>
      <c r="R1086" s="31"/>
      <c r="S1086" s="31"/>
      <c r="T1086" s="31"/>
      <c r="U1086" s="31"/>
      <c r="V1086" s="31"/>
      <c r="W1086" s="31"/>
      <c r="X1086" s="31"/>
      <c r="Y1086" s="31"/>
      <c r="Z1086" s="31"/>
      <c r="AA1086" s="31"/>
      <c r="AB1086" s="31"/>
      <c r="AC1086" s="31"/>
      <c r="AD1086" s="31"/>
      <c r="AE1086" s="31"/>
      <c r="AF1086" s="31"/>
      <c r="AG1086" s="31"/>
      <c r="AH1086" s="31"/>
      <c r="AI1086" s="31"/>
      <c r="AJ1086" s="31"/>
      <c r="AK1086" s="31"/>
      <c r="AL1086" s="28" t="str">
        <f>VLOOKUP($G1086,'[42]Sheet1 (2)'!$A$1:$B$1048440,2,FALSE)</f>
        <v>Cum</v>
      </c>
      <c r="AM1086" s="32"/>
      <c r="AN1086" s="31"/>
      <c r="AO1086" s="33"/>
    </row>
    <row r="1087" spans="1:41" ht="32" x14ac:dyDescent="0.25">
      <c r="A1087" s="204"/>
      <c r="B1087" s="25"/>
      <c r="C1087" s="203"/>
      <c r="D1087" s="165"/>
      <c r="E1087" s="222" t="s">
        <v>1773</v>
      </c>
      <c r="F1087" s="166"/>
      <c r="G1087" s="165"/>
      <c r="H1087" s="228"/>
      <c r="I1087" s="228"/>
      <c r="J1087" s="31"/>
      <c r="K1087" s="31"/>
      <c r="L1087" s="31"/>
      <c r="M1087" s="31"/>
      <c r="N1087" s="31"/>
      <c r="O1087" s="31"/>
      <c r="P1087" s="31"/>
      <c r="Q1087" s="31"/>
      <c r="R1087" s="31"/>
      <c r="S1087" s="31"/>
      <c r="T1087" s="31"/>
      <c r="U1087" s="31"/>
      <c r="V1087" s="31"/>
      <c r="W1087" s="31"/>
      <c r="X1087" s="31"/>
      <c r="Y1087" s="31"/>
      <c r="Z1087" s="31"/>
      <c r="AA1087" s="31"/>
      <c r="AB1087" s="31"/>
      <c r="AC1087" s="31"/>
      <c r="AD1087" s="31"/>
      <c r="AE1087" s="31"/>
      <c r="AF1087" s="31"/>
      <c r="AG1087" s="31"/>
      <c r="AH1087" s="31"/>
      <c r="AI1087" s="31"/>
      <c r="AJ1087" s="31"/>
      <c r="AK1087" s="31"/>
      <c r="AL1087" s="28" t="e">
        <f>VLOOKUP($G1087,'[42]Sheet1 (2)'!$A$1:$B$1048440,2,FALSE)</f>
        <v>#N/A</v>
      </c>
      <c r="AM1087" s="32"/>
      <c r="AN1087" s="31"/>
      <c r="AO1087" s="33"/>
    </row>
    <row r="1088" spans="1:41" ht="56" x14ac:dyDescent="0.25">
      <c r="A1088" s="26">
        <v>955</v>
      </c>
      <c r="B1088" s="21" t="s">
        <v>1774</v>
      </c>
      <c r="C1088" s="22">
        <v>32.01</v>
      </c>
      <c r="D1088" s="25" t="s">
        <v>1775</v>
      </c>
      <c r="E1088" s="23" t="s">
        <v>1776</v>
      </c>
      <c r="F1088" s="21" t="s">
        <v>1777</v>
      </c>
      <c r="G1088" s="202" t="s">
        <v>621</v>
      </c>
      <c r="H1088" s="103">
        <v>203</v>
      </c>
      <c r="I1088" s="26">
        <v>166</v>
      </c>
      <c r="J1088" s="180">
        <f>0.054/20</f>
        <v>2.7000000000000001E-3</v>
      </c>
      <c r="K1088" s="31"/>
      <c r="L1088" s="31"/>
      <c r="M1088" s="31"/>
      <c r="N1088" s="31"/>
      <c r="O1088" s="31"/>
      <c r="P1088" s="180">
        <v>7.6E-3</v>
      </c>
      <c r="Q1088" s="31"/>
      <c r="R1088" s="31"/>
      <c r="S1088" s="31"/>
      <c r="T1088" s="31"/>
      <c r="U1088" s="31"/>
      <c r="V1088" s="31"/>
      <c r="W1088" s="31"/>
      <c r="X1088" s="31"/>
      <c r="Y1088" s="31"/>
      <c r="Z1088" s="31"/>
      <c r="AA1088" s="31"/>
      <c r="AB1088" s="31"/>
      <c r="AC1088" s="31"/>
      <c r="AD1088" s="31"/>
      <c r="AE1088" s="31"/>
      <c r="AF1088" s="31"/>
      <c r="AG1088" s="31"/>
      <c r="AH1088" s="31"/>
      <c r="AI1088" s="31"/>
      <c r="AJ1088" s="31"/>
      <c r="AK1088" s="31"/>
      <c r="AL1088" s="28" t="str">
        <f>VLOOKUP($G1088,'[42]Sheet1 (2)'!$A$1:$B$1048440,2,FALSE)</f>
        <v>Sqm</v>
      </c>
      <c r="AM1088" s="32" t="s">
        <v>1778</v>
      </c>
      <c r="AN1088" s="31"/>
      <c r="AO1088" s="33"/>
    </row>
    <row r="1089" spans="1:41" ht="56" x14ac:dyDescent="0.25">
      <c r="A1089" s="26">
        <v>956</v>
      </c>
      <c r="B1089" s="21" t="s">
        <v>1774</v>
      </c>
      <c r="C1089" s="22">
        <v>32.020000000000003</v>
      </c>
      <c r="D1089" s="25" t="s">
        <v>1775</v>
      </c>
      <c r="E1089" s="23" t="s">
        <v>1779</v>
      </c>
      <c r="F1089" s="21" t="s">
        <v>1777</v>
      </c>
      <c r="G1089" s="202" t="s">
        <v>621</v>
      </c>
      <c r="H1089" s="103">
        <v>209</v>
      </c>
      <c r="I1089" s="26">
        <v>166</v>
      </c>
      <c r="J1089" s="180">
        <f>0.07/20</f>
        <v>3.5000000000000005E-3</v>
      </c>
      <c r="K1089" s="229"/>
      <c r="L1089" s="229"/>
      <c r="M1089" s="229"/>
      <c r="N1089" s="229"/>
      <c r="O1089" s="229"/>
      <c r="P1089" s="180">
        <v>7.6E-3</v>
      </c>
      <c r="Q1089" s="31"/>
      <c r="R1089" s="31"/>
      <c r="S1089" s="31"/>
      <c r="T1089" s="31"/>
      <c r="U1089" s="31"/>
      <c r="V1089" s="31"/>
      <c r="W1089" s="31"/>
      <c r="X1089" s="31"/>
      <c r="Y1089" s="31"/>
      <c r="Z1089" s="31"/>
      <c r="AA1089" s="31"/>
      <c r="AB1089" s="31"/>
      <c r="AC1089" s="31"/>
      <c r="AD1089" s="31"/>
      <c r="AE1089" s="31"/>
      <c r="AF1089" s="31"/>
      <c r="AG1089" s="31"/>
      <c r="AH1089" s="31"/>
      <c r="AI1089" s="31"/>
      <c r="AJ1089" s="31"/>
      <c r="AK1089" s="31"/>
      <c r="AL1089" s="28" t="str">
        <f>VLOOKUP($G1089,'[42]Sheet1 (2)'!$A$1:$B$1048440,2,FALSE)</f>
        <v>Sqm</v>
      </c>
      <c r="AM1089" s="32" t="s">
        <v>1780</v>
      </c>
      <c r="AN1089" s="31"/>
      <c r="AO1089" s="33"/>
    </row>
    <row r="1090" spans="1:41" ht="56" x14ac:dyDescent="0.25">
      <c r="A1090" s="26">
        <v>957</v>
      </c>
      <c r="B1090" s="21" t="s">
        <v>1774</v>
      </c>
      <c r="C1090" s="22">
        <v>32.03</v>
      </c>
      <c r="D1090" s="25" t="s">
        <v>1781</v>
      </c>
      <c r="E1090" s="23" t="s">
        <v>1782</v>
      </c>
      <c r="F1090" s="24" t="s">
        <v>1783</v>
      </c>
      <c r="G1090" s="202" t="s">
        <v>621</v>
      </c>
      <c r="H1090" s="103">
        <v>271</v>
      </c>
      <c r="I1090" s="26">
        <v>204</v>
      </c>
      <c r="J1090" s="178">
        <f>0.09/20</f>
        <v>4.4999999999999997E-3</v>
      </c>
      <c r="K1090" s="178"/>
      <c r="L1090" s="178"/>
      <c r="M1090" s="178"/>
      <c r="N1090" s="178"/>
      <c r="O1090" s="178"/>
      <c r="P1090" s="178">
        <v>1.4999999999999999E-2</v>
      </c>
      <c r="Q1090" s="31"/>
      <c r="R1090" s="31"/>
      <c r="S1090" s="31"/>
      <c r="T1090" s="31"/>
      <c r="U1090" s="31"/>
      <c r="V1090" s="31"/>
      <c r="W1090" s="31"/>
      <c r="X1090" s="31"/>
      <c r="Y1090" s="31"/>
      <c r="Z1090" s="31"/>
      <c r="AA1090" s="31"/>
      <c r="AB1090" s="31"/>
      <c r="AC1090" s="31"/>
      <c r="AD1090" s="31"/>
      <c r="AE1090" s="31"/>
      <c r="AF1090" s="31"/>
      <c r="AG1090" s="31"/>
      <c r="AH1090" s="31"/>
      <c r="AI1090" s="31"/>
      <c r="AJ1090" s="31"/>
      <c r="AK1090" s="31"/>
      <c r="AL1090" s="28" t="str">
        <f>VLOOKUP($G1090,'[42]Sheet1 (2)'!$A$1:$B$1048440,2,FALSE)</f>
        <v>Sqm</v>
      </c>
      <c r="AM1090" s="32" t="s">
        <v>1784</v>
      </c>
      <c r="AN1090" s="31"/>
      <c r="AO1090" s="33"/>
    </row>
    <row r="1091" spans="1:41" ht="56" x14ac:dyDescent="0.25">
      <c r="A1091" s="26">
        <v>958</v>
      </c>
      <c r="B1091" s="21" t="s">
        <v>1774</v>
      </c>
      <c r="C1091" s="22">
        <v>32.04</v>
      </c>
      <c r="D1091" s="25" t="s">
        <v>1785</v>
      </c>
      <c r="E1091" s="23" t="s">
        <v>1786</v>
      </c>
      <c r="F1091" s="24" t="s">
        <v>1783</v>
      </c>
      <c r="G1091" s="202" t="s">
        <v>621</v>
      </c>
      <c r="H1091" s="103">
        <v>278</v>
      </c>
      <c r="I1091" s="26">
        <v>204</v>
      </c>
      <c r="J1091" s="178">
        <f>0.11/20</f>
        <v>5.4999999999999997E-3</v>
      </c>
      <c r="K1091" s="178"/>
      <c r="L1091" s="178"/>
      <c r="M1091" s="178"/>
      <c r="N1091" s="178"/>
      <c r="O1091" s="178"/>
      <c r="P1091" s="178">
        <v>1.4999999999999999E-2</v>
      </c>
      <c r="Q1091" s="31"/>
      <c r="R1091" s="31"/>
      <c r="S1091" s="31"/>
      <c r="T1091" s="31"/>
      <c r="U1091" s="31"/>
      <c r="V1091" s="31"/>
      <c r="W1091" s="31"/>
      <c r="X1091" s="31"/>
      <c r="Y1091" s="31"/>
      <c r="Z1091" s="31"/>
      <c r="AA1091" s="31"/>
      <c r="AB1091" s="31"/>
      <c r="AC1091" s="31"/>
      <c r="AD1091" s="31"/>
      <c r="AE1091" s="31"/>
      <c r="AF1091" s="31"/>
      <c r="AG1091" s="31"/>
      <c r="AH1091" s="31"/>
      <c r="AI1091" s="31"/>
      <c r="AJ1091" s="31"/>
      <c r="AK1091" s="31"/>
      <c r="AL1091" s="28" t="str">
        <f>VLOOKUP($G1091,'[42]Sheet1 (2)'!$A$1:$B$1048440,2,FALSE)</f>
        <v>Sqm</v>
      </c>
      <c r="AM1091" s="32" t="s">
        <v>1787</v>
      </c>
      <c r="AN1091" s="31"/>
      <c r="AO1091" s="33"/>
    </row>
    <row r="1092" spans="1:41" ht="56" x14ac:dyDescent="0.25">
      <c r="A1092" s="26">
        <v>959</v>
      </c>
      <c r="B1092" s="21" t="s">
        <v>1774</v>
      </c>
      <c r="C1092" s="22">
        <v>32.049999999999997</v>
      </c>
      <c r="D1092" s="25" t="s">
        <v>1788</v>
      </c>
      <c r="E1092" s="23" t="s">
        <v>1789</v>
      </c>
      <c r="F1092" s="21" t="s">
        <v>1790</v>
      </c>
      <c r="G1092" s="202" t="s">
        <v>621</v>
      </c>
      <c r="H1092" s="103">
        <v>289</v>
      </c>
      <c r="I1092" s="26">
        <v>204</v>
      </c>
      <c r="J1092" s="178">
        <f>0.14/20</f>
        <v>7.000000000000001E-3</v>
      </c>
      <c r="K1092" s="178"/>
      <c r="L1092" s="178"/>
      <c r="M1092" s="178"/>
      <c r="N1092" s="178"/>
      <c r="O1092" s="178"/>
      <c r="P1092" s="178">
        <v>1.4999999999999999E-2</v>
      </c>
      <c r="Q1092" s="31"/>
      <c r="R1092" s="31"/>
      <c r="S1092" s="31"/>
      <c r="T1092" s="31"/>
      <c r="U1092" s="31"/>
      <c r="V1092" s="31"/>
      <c r="W1092" s="31"/>
      <c r="X1092" s="31"/>
      <c r="Y1092" s="31"/>
      <c r="Z1092" s="31"/>
      <c r="AA1092" s="31"/>
      <c r="AB1092" s="31"/>
      <c r="AC1092" s="31"/>
      <c r="AD1092" s="31"/>
      <c r="AE1092" s="31"/>
      <c r="AF1092" s="31"/>
      <c r="AG1092" s="31"/>
      <c r="AH1092" s="31"/>
      <c r="AI1092" s="31"/>
      <c r="AJ1092" s="31"/>
      <c r="AK1092" s="31"/>
      <c r="AL1092" s="28" t="str">
        <f>VLOOKUP($G1092,'[42]Sheet1 (2)'!$A$1:$B$1048440,2,FALSE)</f>
        <v>Sqm</v>
      </c>
      <c r="AM1092" s="32" t="s">
        <v>1791</v>
      </c>
      <c r="AN1092" s="31"/>
      <c r="AO1092" s="33"/>
    </row>
    <row r="1093" spans="1:41" ht="56" x14ac:dyDescent="0.25">
      <c r="A1093" s="26">
        <v>960</v>
      </c>
      <c r="B1093" s="21" t="s">
        <v>1774</v>
      </c>
      <c r="C1093" s="22">
        <v>32.06</v>
      </c>
      <c r="D1093" s="25" t="s">
        <v>1792</v>
      </c>
      <c r="E1093" s="24" t="s">
        <v>3798</v>
      </c>
      <c r="F1093" s="21" t="s">
        <v>1793</v>
      </c>
      <c r="G1093" s="202" t="s">
        <v>621</v>
      </c>
      <c r="H1093" s="103">
        <v>375</v>
      </c>
      <c r="I1093" s="26">
        <v>253</v>
      </c>
      <c r="J1093" s="178">
        <f>0.14/20</f>
        <v>7.000000000000001E-3</v>
      </c>
      <c r="K1093" s="178"/>
      <c r="L1093" s="178"/>
      <c r="M1093" s="178"/>
      <c r="N1093" s="178"/>
      <c r="O1093" s="178"/>
      <c r="P1093" s="178">
        <v>2.4E-2</v>
      </c>
      <c r="Q1093" s="31"/>
      <c r="R1093" s="31"/>
      <c r="S1093" s="31"/>
      <c r="T1093" s="31"/>
      <c r="U1093" s="31"/>
      <c r="V1093" s="31"/>
      <c r="W1093" s="31"/>
      <c r="X1093" s="31"/>
      <c r="Y1093" s="31"/>
      <c r="Z1093" s="31"/>
      <c r="AA1093" s="31"/>
      <c r="AB1093" s="31"/>
      <c r="AC1093" s="31"/>
      <c r="AD1093" s="31"/>
      <c r="AE1093" s="31"/>
      <c r="AF1093" s="31"/>
      <c r="AG1093" s="31"/>
      <c r="AH1093" s="31"/>
      <c r="AI1093" s="31"/>
      <c r="AJ1093" s="31"/>
      <c r="AK1093" s="31"/>
      <c r="AL1093" s="28" t="str">
        <f>VLOOKUP($G1093,'[42]Sheet1 (2)'!$A$1:$B$1048440,2,FALSE)</f>
        <v>Sqm</v>
      </c>
      <c r="AM1093" s="32" t="s">
        <v>1794</v>
      </c>
      <c r="AN1093" s="31"/>
      <c r="AO1093" s="33"/>
    </row>
    <row r="1094" spans="1:41" ht="56" x14ac:dyDescent="0.25">
      <c r="A1094" s="26">
        <v>961</v>
      </c>
      <c r="B1094" s="21" t="s">
        <v>1774</v>
      </c>
      <c r="C1094" s="22">
        <v>32.07</v>
      </c>
      <c r="D1094" s="25" t="s">
        <v>1795</v>
      </c>
      <c r="E1094" s="23" t="s">
        <v>1796</v>
      </c>
      <c r="F1094" s="21" t="s">
        <v>1793</v>
      </c>
      <c r="G1094" s="202" t="s">
        <v>621</v>
      </c>
      <c r="H1094" s="103">
        <v>382</v>
      </c>
      <c r="I1094" s="26">
        <v>253</v>
      </c>
      <c r="J1094" s="178">
        <f>0.17/20</f>
        <v>8.5000000000000006E-3</v>
      </c>
      <c r="K1094" s="178"/>
      <c r="L1094" s="178"/>
      <c r="M1094" s="178"/>
      <c r="N1094" s="178"/>
      <c r="O1094" s="178"/>
      <c r="P1094" s="178">
        <v>2.5000000000000001E-2</v>
      </c>
      <c r="Q1094" s="31"/>
      <c r="R1094" s="31"/>
      <c r="S1094" s="31"/>
      <c r="T1094" s="31"/>
      <c r="U1094" s="31"/>
      <c r="V1094" s="31"/>
      <c r="W1094" s="31"/>
      <c r="X1094" s="31"/>
      <c r="Y1094" s="31"/>
      <c r="Z1094" s="31"/>
      <c r="AA1094" s="31"/>
      <c r="AB1094" s="31"/>
      <c r="AC1094" s="31"/>
      <c r="AD1094" s="31"/>
      <c r="AE1094" s="31"/>
      <c r="AF1094" s="31"/>
      <c r="AG1094" s="31"/>
      <c r="AH1094" s="31"/>
      <c r="AI1094" s="31"/>
      <c r="AJ1094" s="31"/>
      <c r="AK1094" s="31"/>
      <c r="AL1094" s="28" t="str">
        <f>VLOOKUP($G1094,'[42]Sheet1 (2)'!$A$1:$B$1048440,2,FALSE)</f>
        <v>Sqm</v>
      </c>
      <c r="AM1094" s="32" t="s">
        <v>1797</v>
      </c>
      <c r="AN1094" s="31"/>
      <c r="AO1094" s="33"/>
    </row>
    <row r="1095" spans="1:41" ht="56" x14ac:dyDescent="0.25">
      <c r="A1095" s="26">
        <v>962</v>
      </c>
      <c r="B1095" s="21" t="s">
        <v>1774</v>
      </c>
      <c r="C1095" s="22">
        <v>32.08</v>
      </c>
      <c r="D1095" s="25" t="s">
        <v>1798</v>
      </c>
      <c r="E1095" s="23" t="s">
        <v>1799</v>
      </c>
      <c r="F1095" s="21" t="s">
        <v>1793</v>
      </c>
      <c r="G1095" s="202" t="s">
        <v>621</v>
      </c>
      <c r="H1095" s="103">
        <v>393</v>
      </c>
      <c r="I1095" s="26">
        <v>253</v>
      </c>
      <c r="J1095" s="178">
        <f>0.228/20</f>
        <v>1.14E-2</v>
      </c>
      <c r="K1095" s="178"/>
      <c r="L1095" s="178"/>
      <c r="M1095" s="178"/>
      <c r="N1095" s="178"/>
      <c r="O1095" s="178"/>
      <c r="P1095" s="178">
        <v>2.5000000000000001E-2</v>
      </c>
      <c r="Q1095" s="31"/>
      <c r="R1095" s="31"/>
      <c r="S1095" s="31"/>
      <c r="T1095" s="31"/>
      <c r="U1095" s="31"/>
      <c r="V1095" s="31"/>
      <c r="W1095" s="31"/>
      <c r="X1095" s="31"/>
      <c r="Y1095" s="31"/>
      <c r="Z1095" s="31"/>
      <c r="AA1095" s="31"/>
      <c r="AB1095" s="31"/>
      <c r="AC1095" s="31"/>
      <c r="AD1095" s="31"/>
      <c r="AE1095" s="31"/>
      <c r="AF1095" s="31"/>
      <c r="AG1095" s="31"/>
      <c r="AH1095" s="31"/>
      <c r="AI1095" s="31"/>
      <c r="AJ1095" s="31"/>
      <c r="AK1095" s="31"/>
      <c r="AL1095" s="28" t="str">
        <f>VLOOKUP($G1095,'[42]Sheet1 (2)'!$A$1:$B$1048440,2,FALSE)</f>
        <v>Sqm</v>
      </c>
      <c r="AM1095" s="32" t="s">
        <v>1800</v>
      </c>
      <c r="AN1095" s="31"/>
      <c r="AO1095" s="33"/>
    </row>
    <row r="1096" spans="1:41" ht="126" x14ac:dyDescent="0.25">
      <c r="A1096" s="26">
        <v>963</v>
      </c>
      <c r="B1096" s="21" t="s">
        <v>1774</v>
      </c>
      <c r="C1096" s="22">
        <v>32.11</v>
      </c>
      <c r="D1096" s="25" t="s">
        <v>1801</v>
      </c>
      <c r="E1096" s="24" t="s">
        <v>1802</v>
      </c>
      <c r="F1096" s="21" t="s">
        <v>1803</v>
      </c>
      <c r="G1096" s="202" t="s">
        <v>621</v>
      </c>
      <c r="H1096" s="103">
        <v>639</v>
      </c>
      <c r="I1096" s="26">
        <v>412</v>
      </c>
      <c r="J1096" s="178">
        <f>0.25/20</f>
        <v>1.2500000000000001E-2</v>
      </c>
      <c r="K1096" s="178"/>
      <c r="L1096" s="178"/>
      <c r="M1096" s="178"/>
      <c r="N1096" s="178"/>
      <c r="O1096" s="178"/>
      <c r="P1096" s="178">
        <v>3.3000000000000002E-2</v>
      </c>
      <c r="Q1096" s="31"/>
      <c r="R1096" s="31"/>
      <c r="S1096" s="31"/>
      <c r="T1096" s="31"/>
      <c r="U1096" s="31"/>
      <c r="V1096" s="31"/>
      <c r="W1096" s="31"/>
      <c r="X1096" s="31"/>
      <c r="Y1096" s="31"/>
      <c r="Z1096" s="31"/>
      <c r="AA1096" s="31"/>
      <c r="AB1096" s="31"/>
      <c r="AC1096" s="31"/>
      <c r="AD1096" s="31"/>
      <c r="AE1096" s="31"/>
      <c r="AF1096" s="31"/>
      <c r="AG1096" s="31"/>
      <c r="AH1096" s="31"/>
      <c r="AI1096" s="31"/>
      <c r="AJ1096" s="31"/>
      <c r="AK1096" s="31"/>
      <c r="AL1096" s="28" t="str">
        <f>VLOOKUP($G1096,'[42]Sheet1 (2)'!$A$1:$B$1048440,2,FALSE)</f>
        <v>Sqm</v>
      </c>
      <c r="AM1096" s="32" t="s">
        <v>1804</v>
      </c>
      <c r="AN1096" s="31"/>
      <c r="AO1096" s="33"/>
    </row>
    <row r="1097" spans="1:41" ht="84" x14ac:dyDescent="0.25">
      <c r="A1097" s="26">
        <v>964</v>
      </c>
      <c r="B1097" s="21" t="s">
        <v>1774</v>
      </c>
      <c r="C1097" s="22">
        <v>32.119999999999997</v>
      </c>
      <c r="D1097" s="25" t="s">
        <v>1805</v>
      </c>
      <c r="E1097" s="23" t="s">
        <v>1806</v>
      </c>
      <c r="F1097" s="21" t="s">
        <v>1807</v>
      </c>
      <c r="G1097" s="202" t="s">
        <v>621</v>
      </c>
      <c r="H1097" s="103">
        <v>563</v>
      </c>
      <c r="I1097" s="26">
        <v>423</v>
      </c>
      <c r="J1097" s="178">
        <f>0.25/20</f>
        <v>1.2500000000000001E-2</v>
      </c>
      <c r="K1097" s="178"/>
      <c r="L1097" s="178"/>
      <c r="M1097" s="178"/>
      <c r="N1097" s="178"/>
      <c r="O1097" s="178"/>
      <c r="P1097" s="178">
        <f>0.021+0.012</f>
        <v>3.3000000000000002E-2</v>
      </c>
      <c r="Q1097" s="31"/>
      <c r="R1097" s="31"/>
      <c r="S1097" s="31"/>
      <c r="T1097" s="31"/>
      <c r="U1097" s="31"/>
      <c r="V1097" s="31"/>
      <c r="W1097" s="31"/>
      <c r="X1097" s="31"/>
      <c r="Y1097" s="31"/>
      <c r="Z1097" s="31"/>
      <c r="AA1097" s="31"/>
      <c r="AB1097" s="31"/>
      <c r="AC1097" s="31"/>
      <c r="AD1097" s="31"/>
      <c r="AE1097" s="31"/>
      <c r="AF1097" s="31"/>
      <c r="AG1097" s="31"/>
      <c r="AH1097" s="31"/>
      <c r="AI1097" s="31"/>
      <c r="AJ1097" s="31"/>
      <c r="AK1097" s="31"/>
      <c r="AL1097" s="28" t="str">
        <f>VLOOKUP($G1097,'[42]Sheet1 (2)'!$A$1:$B$1048440,2,FALSE)</f>
        <v>Sqm</v>
      </c>
      <c r="AM1097" s="32" t="s">
        <v>1808</v>
      </c>
      <c r="AN1097" s="31"/>
      <c r="AO1097" s="33"/>
    </row>
    <row r="1098" spans="1:41" ht="98" x14ac:dyDescent="0.25">
      <c r="A1098" s="26">
        <v>965</v>
      </c>
      <c r="B1098" s="21" t="s">
        <v>1774</v>
      </c>
      <c r="C1098" s="22">
        <v>32.130000000000003</v>
      </c>
      <c r="D1098" s="25" t="s">
        <v>1809</v>
      </c>
      <c r="E1098" s="23" t="s">
        <v>1810</v>
      </c>
      <c r="F1098" s="24" t="s">
        <v>1811</v>
      </c>
      <c r="G1098" s="202" t="s">
        <v>621</v>
      </c>
      <c r="H1098" s="26">
        <v>574</v>
      </c>
      <c r="I1098" s="26">
        <v>423</v>
      </c>
      <c r="J1098" s="178">
        <f>0.25/20</f>
        <v>1.2500000000000001E-2</v>
      </c>
      <c r="K1098" s="178"/>
      <c r="L1098" s="178"/>
      <c r="M1098" s="178"/>
      <c r="N1098" s="178"/>
      <c r="O1098" s="178"/>
      <c r="P1098" s="178">
        <f>0.021+0.012</f>
        <v>3.3000000000000002E-2</v>
      </c>
      <c r="Q1098" s="31"/>
      <c r="R1098" s="31"/>
      <c r="S1098" s="31"/>
      <c r="T1098" s="31"/>
      <c r="U1098" s="31"/>
      <c r="V1098" s="31"/>
      <c r="W1098" s="31"/>
      <c r="X1098" s="31"/>
      <c r="Y1098" s="31"/>
      <c r="Z1098" s="31"/>
      <c r="AA1098" s="31"/>
      <c r="AB1098" s="31"/>
      <c r="AC1098" s="31"/>
      <c r="AD1098" s="31"/>
      <c r="AE1098" s="31"/>
      <c r="AF1098" s="31"/>
      <c r="AG1098" s="31"/>
      <c r="AH1098" s="31"/>
      <c r="AI1098" s="31"/>
      <c r="AJ1098" s="31"/>
      <c r="AK1098" s="31"/>
      <c r="AL1098" s="28" t="str">
        <f>VLOOKUP($G1098,'[42]Sheet1 (2)'!$A$1:$B$1048440,2,FALSE)</f>
        <v>Sqm</v>
      </c>
      <c r="AM1098" s="32" t="s">
        <v>1808</v>
      </c>
      <c r="AN1098" s="31"/>
      <c r="AO1098" s="33"/>
    </row>
    <row r="1099" spans="1:41" ht="70" x14ac:dyDescent="0.25">
      <c r="A1099" s="26">
        <v>966</v>
      </c>
      <c r="B1099" s="35" t="s">
        <v>1812</v>
      </c>
      <c r="C1099" s="22">
        <v>32.15</v>
      </c>
      <c r="D1099" s="25" t="s">
        <v>1813</v>
      </c>
      <c r="E1099" s="23" t="s">
        <v>1814</v>
      </c>
      <c r="F1099" s="92" t="s">
        <v>1815</v>
      </c>
      <c r="G1099" s="202" t="s">
        <v>621</v>
      </c>
      <c r="H1099" s="26">
        <v>65</v>
      </c>
      <c r="I1099" s="26">
        <v>56</v>
      </c>
      <c r="J1099" s="178"/>
      <c r="K1099" s="178"/>
      <c r="L1099" s="178"/>
      <c r="M1099" s="178"/>
      <c r="N1099" s="178"/>
      <c r="O1099" s="178"/>
      <c r="P1099" s="178"/>
      <c r="Q1099" s="31"/>
      <c r="R1099" s="31"/>
      <c r="S1099" s="31"/>
      <c r="T1099" s="31"/>
      <c r="U1099" s="31"/>
      <c r="V1099" s="31"/>
      <c r="W1099" s="31"/>
      <c r="X1099" s="31"/>
      <c r="Y1099" s="31"/>
      <c r="Z1099" s="31"/>
      <c r="AA1099" s="31"/>
      <c r="AB1099" s="31"/>
      <c r="AC1099" s="31"/>
      <c r="AD1099" s="31"/>
      <c r="AE1099" s="31"/>
      <c r="AF1099" s="31"/>
      <c r="AG1099" s="31"/>
      <c r="AH1099" s="31"/>
      <c r="AI1099" s="31"/>
      <c r="AJ1099" s="31"/>
      <c r="AK1099" s="31"/>
      <c r="AL1099" s="28" t="str">
        <f>VLOOKUP($G1099,'[42]Sheet1 (2)'!$A$1:$B$1048440,2,FALSE)</f>
        <v>Sqm</v>
      </c>
      <c r="AM1099" s="32"/>
      <c r="AN1099" s="31"/>
      <c r="AO1099" s="33"/>
    </row>
    <row r="1100" spans="1:41" ht="70" x14ac:dyDescent="0.25">
      <c r="A1100" s="26">
        <v>967</v>
      </c>
      <c r="B1100" s="35" t="s">
        <v>1812</v>
      </c>
      <c r="C1100" s="22">
        <v>32.159999999999997</v>
      </c>
      <c r="D1100" s="25" t="s">
        <v>1816</v>
      </c>
      <c r="E1100" s="23" t="s">
        <v>1817</v>
      </c>
      <c r="F1100" s="92" t="s">
        <v>1818</v>
      </c>
      <c r="G1100" s="202" t="s">
        <v>621</v>
      </c>
      <c r="H1100" s="26">
        <v>173</v>
      </c>
      <c r="I1100" s="26">
        <v>155</v>
      </c>
      <c r="J1100" s="178">
        <f>0.03/20</f>
        <v>1.5E-3</v>
      </c>
      <c r="K1100" s="178"/>
      <c r="L1100" s="178"/>
      <c r="M1100" s="178"/>
      <c r="N1100" s="178"/>
      <c r="O1100" s="178"/>
      <c r="P1100" s="178">
        <v>3.0000000000000001E-3</v>
      </c>
      <c r="Q1100" s="31"/>
      <c r="R1100" s="31"/>
      <c r="S1100" s="31"/>
      <c r="T1100" s="31"/>
      <c r="U1100" s="31"/>
      <c r="V1100" s="31"/>
      <c r="W1100" s="31"/>
      <c r="X1100" s="31"/>
      <c r="Y1100" s="31"/>
      <c r="Z1100" s="31"/>
      <c r="AA1100" s="31"/>
      <c r="AB1100" s="31"/>
      <c r="AC1100" s="31"/>
      <c r="AD1100" s="31"/>
      <c r="AE1100" s="31"/>
      <c r="AF1100" s="31"/>
      <c r="AG1100" s="31"/>
      <c r="AH1100" s="31"/>
      <c r="AI1100" s="31"/>
      <c r="AJ1100" s="31"/>
      <c r="AK1100" s="31"/>
      <c r="AL1100" s="28" t="str">
        <f>VLOOKUP($G1100,'[42]Sheet1 (2)'!$A$1:$B$1048440,2,FALSE)</f>
        <v>Sqm</v>
      </c>
      <c r="AM1100" s="32" t="s">
        <v>1819</v>
      </c>
      <c r="AN1100" s="31"/>
      <c r="AO1100" s="33"/>
    </row>
    <row r="1101" spans="1:41" ht="70" x14ac:dyDescent="0.25">
      <c r="A1101" s="26">
        <v>968</v>
      </c>
      <c r="B1101" s="35" t="s">
        <v>1812</v>
      </c>
      <c r="C1101" s="22">
        <v>32.17</v>
      </c>
      <c r="D1101" s="25" t="s">
        <v>1820</v>
      </c>
      <c r="E1101" s="23" t="s">
        <v>1821</v>
      </c>
      <c r="F1101" s="92" t="s">
        <v>1818</v>
      </c>
      <c r="G1101" s="202" t="s">
        <v>621</v>
      </c>
      <c r="H1101" s="26">
        <v>182</v>
      </c>
      <c r="I1101" s="26">
        <v>155</v>
      </c>
      <c r="J1101" s="178">
        <f>0.025/20</f>
        <v>1.25E-3</v>
      </c>
      <c r="K1101" s="178"/>
      <c r="L1101" s="178"/>
      <c r="M1101" s="178"/>
      <c r="N1101" s="178"/>
      <c r="O1101" s="178"/>
      <c r="P1101" s="178">
        <v>3.0000000000000001E-3</v>
      </c>
      <c r="Q1101" s="31"/>
      <c r="R1101" s="31"/>
      <c r="S1101" s="31"/>
      <c r="T1101" s="31"/>
      <c r="U1101" s="31"/>
      <c r="V1101" s="31"/>
      <c r="W1101" s="31"/>
      <c r="X1101" s="31"/>
      <c r="Y1101" s="31"/>
      <c r="Z1101" s="31"/>
      <c r="AA1101" s="31"/>
      <c r="AB1101" s="31"/>
      <c r="AC1101" s="31"/>
      <c r="AD1101" s="31"/>
      <c r="AE1101" s="31"/>
      <c r="AF1101" s="31"/>
      <c r="AG1101" s="31"/>
      <c r="AH1101" s="31"/>
      <c r="AI1101" s="31"/>
      <c r="AJ1101" s="31"/>
      <c r="AK1101" s="31"/>
      <c r="AL1101" s="28" t="str">
        <f>VLOOKUP($G1101,'[42]Sheet1 (2)'!$A$1:$B$1048440,2,FALSE)</f>
        <v>Sqm</v>
      </c>
      <c r="AM1101" s="32" t="s">
        <v>1822</v>
      </c>
      <c r="AN1101" s="31"/>
      <c r="AO1101" s="33"/>
    </row>
    <row r="1102" spans="1:41" ht="70" x14ac:dyDescent="0.25">
      <c r="A1102" s="26">
        <v>969</v>
      </c>
      <c r="B1102" s="35" t="s">
        <v>1812</v>
      </c>
      <c r="C1102" s="22">
        <v>32.18</v>
      </c>
      <c r="D1102" s="25" t="s">
        <v>1823</v>
      </c>
      <c r="E1102" s="23" t="s">
        <v>1824</v>
      </c>
      <c r="F1102" s="92" t="s">
        <v>1825</v>
      </c>
      <c r="G1102" s="202" t="s">
        <v>621</v>
      </c>
      <c r="H1102" s="26">
        <v>179</v>
      </c>
      <c r="I1102" s="26">
        <v>155</v>
      </c>
      <c r="J1102" s="178">
        <f>0.05/20</f>
        <v>2.5000000000000001E-3</v>
      </c>
      <c r="K1102" s="31"/>
      <c r="L1102" s="31"/>
      <c r="M1102" s="31"/>
      <c r="N1102" s="31"/>
      <c r="O1102" s="31"/>
      <c r="P1102" s="178">
        <v>5.0000000000000001E-3</v>
      </c>
      <c r="Q1102" s="31"/>
      <c r="R1102" s="31"/>
      <c r="S1102" s="31"/>
      <c r="T1102" s="31"/>
      <c r="U1102" s="31"/>
      <c r="V1102" s="31"/>
      <c r="W1102" s="31"/>
      <c r="X1102" s="31"/>
      <c r="Y1102" s="31"/>
      <c r="Z1102" s="31"/>
      <c r="AA1102" s="31"/>
      <c r="AB1102" s="31"/>
      <c r="AC1102" s="31"/>
      <c r="AD1102" s="31"/>
      <c r="AE1102" s="31"/>
      <c r="AF1102" s="31"/>
      <c r="AG1102" s="31"/>
      <c r="AH1102" s="31"/>
      <c r="AI1102" s="31"/>
      <c r="AJ1102" s="31"/>
      <c r="AK1102" s="31"/>
      <c r="AL1102" s="28" t="str">
        <f>VLOOKUP($G1102,'[42]Sheet1 (2)'!$A$1:$B$1048440,2,FALSE)</f>
        <v>Sqm</v>
      </c>
      <c r="AM1102" s="32" t="s">
        <v>1826</v>
      </c>
      <c r="AN1102" s="31"/>
      <c r="AO1102" s="33"/>
    </row>
    <row r="1103" spans="1:41" ht="70" x14ac:dyDescent="0.25">
      <c r="A1103" s="26">
        <v>970</v>
      </c>
      <c r="B1103" s="35" t="s">
        <v>1812</v>
      </c>
      <c r="C1103" s="22">
        <v>32.19</v>
      </c>
      <c r="D1103" s="25" t="s">
        <v>1827</v>
      </c>
      <c r="E1103" s="23" t="s">
        <v>1828</v>
      </c>
      <c r="F1103" s="92" t="s">
        <v>1829</v>
      </c>
      <c r="G1103" s="202" t="s">
        <v>621</v>
      </c>
      <c r="H1103" s="26">
        <v>179</v>
      </c>
      <c r="I1103" s="26">
        <v>155</v>
      </c>
      <c r="J1103" s="178">
        <f>0.04/20</f>
        <v>2E-3</v>
      </c>
      <c r="K1103" s="178"/>
      <c r="L1103" s="178"/>
      <c r="M1103" s="178"/>
      <c r="N1103" s="178"/>
      <c r="O1103" s="178"/>
      <c r="P1103" s="178">
        <v>4.0000000000000001E-3</v>
      </c>
      <c r="Q1103" s="31"/>
      <c r="R1103" s="31"/>
      <c r="S1103" s="31"/>
      <c r="T1103" s="31"/>
      <c r="U1103" s="31"/>
      <c r="V1103" s="31"/>
      <c r="W1103" s="31"/>
      <c r="X1103" s="31"/>
      <c r="Y1103" s="31"/>
      <c r="Z1103" s="31"/>
      <c r="AA1103" s="31"/>
      <c r="AB1103" s="31"/>
      <c r="AC1103" s="31"/>
      <c r="AD1103" s="31"/>
      <c r="AE1103" s="31"/>
      <c r="AF1103" s="31"/>
      <c r="AG1103" s="31"/>
      <c r="AH1103" s="31"/>
      <c r="AI1103" s="31"/>
      <c r="AJ1103" s="31"/>
      <c r="AK1103" s="31"/>
      <c r="AL1103" s="28" t="str">
        <f>VLOOKUP($G1103,'[42]Sheet1 (2)'!$A$1:$B$1048440,2,FALSE)</f>
        <v>Sqm</v>
      </c>
      <c r="AM1103" s="32" t="s">
        <v>1830</v>
      </c>
      <c r="AN1103" s="31"/>
      <c r="AO1103" s="33"/>
    </row>
    <row r="1104" spans="1:41" ht="70" x14ac:dyDescent="0.25">
      <c r="A1104" s="26">
        <v>971</v>
      </c>
      <c r="B1104" s="35" t="s">
        <v>1812</v>
      </c>
      <c r="C1104" s="22">
        <v>32.200000000000003</v>
      </c>
      <c r="D1104" s="25" t="s">
        <v>1831</v>
      </c>
      <c r="E1104" s="23" t="s">
        <v>1832</v>
      </c>
      <c r="F1104" s="92" t="s">
        <v>1833</v>
      </c>
      <c r="G1104" s="202" t="s">
        <v>621</v>
      </c>
      <c r="H1104" s="26">
        <v>173</v>
      </c>
      <c r="I1104" s="26">
        <v>155</v>
      </c>
      <c r="J1104" s="230">
        <f>0.03/20</f>
        <v>1.5E-3</v>
      </c>
      <c r="K1104" s="31"/>
      <c r="L1104" s="31"/>
      <c r="M1104" s="31"/>
      <c r="N1104" s="31"/>
      <c r="O1104" s="31"/>
      <c r="P1104" s="230">
        <v>3.0000000000000001E-3</v>
      </c>
      <c r="Q1104" s="31"/>
      <c r="R1104" s="31"/>
      <c r="S1104" s="31"/>
      <c r="T1104" s="31"/>
      <c r="U1104" s="31"/>
      <c r="V1104" s="31"/>
      <c r="W1104" s="31"/>
      <c r="X1104" s="31"/>
      <c r="Y1104" s="31"/>
      <c r="Z1104" s="31"/>
      <c r="AA1104" s="31"/>
      <c r="AB1104" s="31"/>
      <c r="AC1104" s="31"/>
      <c r="AD1104" s="31"/>
      <c r="AE1104" s="31"/>
      <c r="AF1104" s="31"/>
      <c r="AG1104" s="31"/>
      <c r="AH1104" s="31"/>
      <c r="AI1104" s="31"/>
      <c r="AJ1104" s="31"/>
      <c r="AK1104" s="31"/>
      <c r="AL1104" s="28" t="str">
        <f>VLOOKUP($G1104,'[42]Sheet1 (2)'!$A$1:$B$1048440,2,FALSE)</f>
        <v>Sqm</v>
      </c>
      <c r="AM1104" s="32" t="s">
        <v>1834</v>
      </c>
      <c r="AN1104" s="31"/>
      <c r="AO1104" s="33"/>
    </row>
    <row r="1105" spans="1:41" ht="56" x14ac:dyDescent="0.25">
      <c r="A1105" s="26">
        <v>972</v>
      </c>
      <c r="B1105" s="21" t="s">
        <v>1774</v>
      </c>
      <c r="C1105" s="22">
        <v>32.21</v>
      </c>
      <c r="D1105" s="25" t="s">
        <v>1835</v>
      </c>
      <c r="E1105" s="24" t="s">
        <v>1836</v>
      </c>
      <c r="F1105" s="35" t="s">
        <v>1761</v>
      </c>
      <c r="G1105" s="202" t="s">
        <v>621</v>
      </c>
      <c r="H1105" s="26">
        <v>72</v>
      </c>
      <c r="I1105" s="26">
        <v>57</v>
      </c>
      <c r="J1105" s="178">
        <f>0.03/20</f>
        <v>1.5E-3</v>
      </c>
      <c r="K1105" s="178"/>
      <c r="L1105" s="178"/>
      <c r="M1105" s="178"/>
      <c r="N1105" s="178"/>
      <c r="O1105" s="178"/>
      <c r="P1105" s="178"/>
      <c r="Q1105" s="31"/>
      <c r="R1105" s="31"/>
      <c r="S1105" s="31"/>
      <c r="T1105" s="31"/>
      <c r="U1105" s="31"/>
      <c r="V1105" s="31"/>
      <c r="W1105" s="31"/>
      <c r="X1105" s="31"/>
      <c r="Y1105" s="31"/>
      <c r="Z1105" s="31"/>
      <c r="AA1105" s="31"/>
      <c r="AB1105" s="31"/>
      <c r="AC1105" s="31"/>
      <c r="AD1105" s="31"/>
      <c r="AE1105" s="31"/>
      <c r="AF1105" s="31"/>
      <c r="AG1105" s="31"/>
      <c r="AH1105" s="31"/>
      <c r="AI1105" s="31"/>
      <c r="AJ1105" s="31"/>
      <c r="AK1105" s="31"/>
      <c r="AL1105" s="28" t="str">
        <f>VLOOKUP($G1105,'[42]Sheet1 (2)'!$A$1:$B$1048440,2,FALSE)</f>
        <v>Sqm</v>
      </c>
      <c r="AM1105" s="32" t="s">
        <v>1837</v>
      </c>
      <c r="AN1105" s="31"/>
      <c r="AO1105" s="33"/>
    </row>
    <row r="1106" spans="1:41" ht="56" x14ac:dyDescent="0.25">
      <c r="A1106" s="26">
        <v>973</v>
      </c>
      <c r="B1106" s="21" t="s">
        <v>1774</v>
      </c>
      <c r="C1106" s="22">
        <v>32.22</v>
      </c>
      <c r="D1106" s="25" t="s">
        <v>1835</v>
      </c>
      <c r="E1106" s="24" t="s">
        <v>1838</v>
      </c>
      <c r="F1106" s="35" t="s">
        <v>1839</v>
      </c>
      <c r="G1106" s="21" t="s">
        <v>80</v>
      </c>
      <c r="H1106" s="26">
        <v>49</v>
      </c>
      <c r="I1106" s="26">
        <v>49</v>
      </c>
      <c r="J1106" s="178"/>
      <c r="K1106" s="178"/>
      <c r="L1106" s="178"/>
      <c r="M1106" s="178"/>
      <c r="N1106" s="178"/>
      <c r="O1106" s="178"/>
      <c r="P1106" s="178"/>
      <c r="Q1106" s="31"/>
      <c r="R1106" s="31"/>
      <c r="S1106" s="31"/>
      <c r="T1106" s="31"/>
      <c r="U1106" s="31"/>
      <c r="V1106" s="31"/>
      <c r="W1106" s="31"/>
      <c r="X1106" s="31"/>
      <c r="Y1106" s="31"/>
      <c r="Z1106" s="31"/>
      <c r="AA1106" s="31"/>
      <c r="AB1106" s="31"/>
      <c r="AC1106" s="31"/>
      <c r="AD1106" s="31"/>
      <c r="AE1106" s="31"/>
      <c r="AF1106" s="31"/>
      <c r="AG1106" s="31"/>
      <c r="AH1106" s="31"/>
      <c r="AI1106" s="31"/>
      <c r="AJ1106" s="31"/>
      <c r="AK1106" s="31"/>
      <c r="AL1106" s="28" t="str">
        <f>VLOOKUP($G1106,'[42]Sheet1 (2)'!$A$1:$B$1048440,2,FALSE)</f>
        <v>Rmt.</v>
      </c>
      <c r="AM1106" s="32"/>
      <c r="AN1106" s="31"/>
      <c r="AO1106" s="33"/>
    </row>
    <row r="1107" spans="1:41" ht="56" x14ac:dyDescent="0.25">
      <c r="A1107" s="26">
        <v>974</v>
      </c>
      <c r="B1107" s="21" t="s">
        <v>1774</v>
      </c>
      <c r="C1107" s="22">
        <v>32.229999999999997</v>
      </c>
      <c r="D1107" s="25" t="s">
        <v>1835</v>
      </c>
      <c r="E1107" s="24" t="s">
        <v>1840</v>
      </c>
      <c r="F1107" s="35" t="s">
        <v>1839</v>
      </c>
      <c r="G1107" s="21" t="s">
        <v>80</v>
      </c>
      <c r="H1107" s="26">
        <v>52</v>
      </c>
      <c r="I1107" s="26">
        <v>44</v>
      </c>
      <c r="J1107" s="230">
        <f>0.0105/20</f>
        <v>5.2500000000000008E-4</v>
      </c>
      <c r="K1107" s="230"/>
      <c r="L1107" s="230"/>
      <c r="M1107" s="230"/>
      <c r="N1107" s="230"/>
      <c r="O1107" s="230"/>
      <c r="P1107" s="230">
        <v>1.1249999999999999E-3</v>
      </c>
      <c r="Q1107" s="31"/>
      <c r="R1107" s="31"/>
      <c r="S1107" s="31"/>
      <c r="T1107" s="31"/>
      <c r="U1107" s="31"/>
      <c r="V1107" s="31"/>
      <c r="W1107" s="31"/>
      <c r="X1107" s="31"/>
      <c r="Y1107" s="31"/>
      <c r="Z1107" s="31"/>
      <c r="AA1107" s="31"/>
      <c r="AB1107" s="31"/>
      <c r="AC1107" s="31"/>
      <c r="AD1107" s="31"/>
      <c r="AE1107" s="31"/>
      <c r="AF1107" s="31"/>
      <c r="AG1107" s="31"/>
      <c r="AH1107" s="31"/>
      <c r="AI1107" s="31"/>
      <c r="AJ1107" s="31"/>
      <c r="AK1107" s="31"/>
      <c r="AL1107" s="28" t="str">
        <f>VLOOKUP($G1107,'[42]Sheet1 (2)'!$A$1:$B$1048440,2,FALSE)</f>
        <v>Rmt.</v>
      </c>
      <c r="AM1107" s="32" t="s">
        <v>1841</v>
      </c>
      <c r="AN1107" s="31"/>
      <c r="AO1107" s="33"/>
    </row>
    <row r="1108" spans="1:41" ht="56" x14ac:dyDescent="0.25">
      <c r="A1108" s="26">
        <v>975</v>
      </c>
      <c r="B1108" s="21" t="s">
        <v>1774</v>
      </c>
      <c r="C1108" s="22">
        <v>32.24</v>
      </c>
      <c r="D1108" s="25" t="s">
        <v>1835</v>
      </c>
      <c r="E1108" s="24" t="s">
        <v>1842</v>
      </c>
      <c r="F1108" s="35" t="s">
        <v>1839</v>
      </c>
      <c r="G1108" s="21" t="s">
        <v>80</v>
      </c>
      <c r="H1108" s="26">
        <v>67</v>
      </c>
      <c r="I1108" s="26">
        <v>57</v>
      </c>
      <c r="J1108" s="230">
        <f>0.014/20</f>
        <v>6.9999999999999999E-4</v>
      </c>
      <c r="K1108" s="230"/>
      <c r="L1108" s="230"/>
      <c r="M1108" s="230"/>
      <c r="N1108" s="230"/>
      <c r="O1108" s="230"/>
      <c r="P1108" s="230">
        <v>1.5E-3</v>
      </c>
      <c r="Q1108" s="31"/>
      <c r="R1108" s="31"/>
      <c r="S1108" s="31"/>
      <c r="T1108" s="31"/>
      <c r="U1108" s="31"/>
      <c r="V1108" s="31"/>
      <c r="W1108" s="31"/>
      <c r="X1108" s="31"/>
      <c r="Y1108" s="31"/>
      <c r="Z1108" s="31"/>
      <c r="AA1108" s="31"/>
      <c r="AB1108" s="31"/>
      <c r="AC1108" s="31"/>
      <c r="AD1108" s="31"/>
      <c r="AE1108" s="31"/>
      <c r="AF1108" s="31"/>
      <c r="AG1108" s="31"/>
      <c r="AH1108" s="31"/>
      <c r="AI1108" s="31"/>
      <c r="AJ1108" s="31"/>
      <c r="AK1108" s="31"/>
      <c r="AL1108" s="28" t="str">
        <f>VLOOKUP($G1108,'[42]Sheet1 (2)'!$A$1:$B$1048440,2,FALSE)</f>
        <v>Rmt.</v>
      </c>
      <c r="AM1108" s="32" t="s">
        <v>1843</v>
      </c>
      <c r="AN1108" s="31"/>
      <c r="AO1108" s="33"/>
    </row>
    <row r="1109" spans="1:41" ht="56" x14ac:dyDescent="0.25">
      <c r="A1109" s="26">
        <v>976</v>
      </c>
      <c r="B1109" s="21" t="s">
        <v>1774</v>
      </c>
      <c r="C1109" s="22">
        <v>32.25</v>
      </c>
      <c r="D1109" s="25" t="s">
        <v>1835</v>
      </c>
      <c r="E1109" s="24" t="s">
        <v>1844</v>
      </c>
      <c r="F1109" s="35" t="s">
        <v>1839</v>
      </c>
      <c r="G1109" s="21" t="s">
        <v>80</v>
      </c>
      <c r="H1109" s="26">
        <v>81</v>
      </c>
      <c r="I1109" s="26">
        <v>66</v>
      </c>
      <c r="J1109" s="230">
        <f>0.021/20</f>
        <v>1.0500000000000002E-3</v>
      </c>
      <c r="K1109" s="230"/>
      <c r="L1109" s="230"/>
      <c r="M1109" s="230"/>
      <c r="N1109" s="230"/>
      <c r="O1109" s="230"/>
      <c r="P1109" s="230">
        <v>2.2499999999999998E-3</v>
      </c>
      <c r="Q1109" s="31"/>
      <c r="R1109" s="31"/>
      <c r="S1109" s="31"/>
      <c r="T1109" s="31"/>
      <c r="U1109" s="31"/>
      <c r="V1109" s="31"/>
      <c r="W1109" s="31"/>
      <c r="X1109" s="31"/>
      <c r="Y1109" s="31"/>
      <c r="Z1109" s="31"/>
      <c r="AA1109" s="31"/>
      <c r="AB1109" s="31"/>
      <c r="AC1109" s="31"/>
      <c r="AD1109" s="31"/>
      <c r="AE1109" s="31"/>
      <c r="AF1109" s="31"/>
      <c r="AG1109" s="31"/>
      <c r="AH1109" s="31"/>
      <c r="AI1109" s="31"/>
      <c r="AJ1109" s="31"/>
      <c r="AK1109" s="31"/>
      <c r="AL1109" s="28" t="str">
        <f>VLOOKUP($G1109,'[42]Sheet1 (2)'!$A$1:$B$1048440,2,FALSE)</f>
        <v>Rmt.</v>
      </c>
      <c r="AM1109" s="32" t="s">
        <v>1845</v>
      </c>
      <c r="AN1109" s="31"/>
      <c r="AO1109" s="33"/>
    </row>
    <row r="1110" spans="1:41" ht="84" x14ac:dyDescent="0.25">
      <c r="A1110" s="26">
        <v>977</v>
      </c>
      <c r="B1110" s="21" t="s">
        <v>1774</v>
      </c>
      <c r="C1110" s="22">
        <v>32.26</v>
      </c>
      <c r="D1110" s="25" t="s">
        <v>1835</v>
      </c>
      <c r="E1110" s="23" t="s">
        <v>1846</v>
      </c>
      <c r="F1110" s="24" t="s">
        <v>1847</v>
      </c>
      <c r="G1110" s="21" t="s">
        <v>80</v>
      </c>
      <c r="H1110" s="26">
        <v>57</v>
      </c>
      <c r="I1110" s="26">
        <v>15</v>
      </c>
      <c r="J1110" s="31"/>
      <c r="K1110" s="31"/>
      <c r="L1110" s="31"/>
      <c r="M1110" s="31"/>
      <c r="N1110" s="31"/>
      <c r="O1110" s="31"/>
      <c r="P1110" s="31"/>
      <c r="Q1110" s="31"/>
      <c r="R1110" s="31"/>
      <c r="S1110" s="31"/>
      <c r="T1110" s="31"/>
      <c r="U1110" s="31"/>
      <c r="V1110" s="31"/>
      <c r="W1110" s="31"/>
      <c r="X1110" s="31"/>
      <c r="Y1110" s="31"/>
      <c r="Z1110" s="31"/>
      <c r="AA1110" s="31"/>
      <c r="AB1110" s="31"/>
      <c r="AC1110" s="31"/>
      <c r="AD1110" s="31"/>
      <c r="AE1110" s="31"/>
      <c r="AF1110" s="31"/>
      <c r="AG1110" s="31"/>
      <c r="AH1110" s="31"/>
      <c r="AI1110" s="31"/>
      <c r="AJ1110" s="31"/>
      <c r="AK1110" s="31"/>
      <c r="AL1110" s="28" t="str">
        <f>VLOOKUP($G1110,'[42]Sheet1 (2)'!$A$1:$B$1048440,2,FALSE)</f>
        <v>Rmt.</v>
      </c>
      <c r="AM1110" s="32"/>
      <c r="AN1110" s="31"/>
      <c r="AO1110" s="33"/>
    </row>
    <row r="1111" spans="1:41" ht="46.5" x14ac:dyDescent="0.25">
      <c r="A1111" s="26">
        <v>978</v>
      </c>
      <c r="B1111" s="21" t="s">
        <v>1774</v>
      </c>
      <c r="C1111" s="22">
        <v>32.270000000000003</v>
      </c>
      <c r="D1111" s="25" t="s">
        <v>1835</v>
      </c>
      <c r="E1111" s="24" t="s">
        <v>1848</v>
      </c>
      <c r="F1111" s="24" t="s">
        <v>1711</v>
      </c>
      <c r="G1111" s="202" t="s">
        <v>621</v>
      </c>
      <c r="H1111" s="26">
        <v>144</v>
      </c>
      <c r="I1111" s="26">
        <v>79</v>
      </c>
      <c r="J1111" s="31"/>
      <c r="K1111" s="31"/>
      <c r="L1111" s="31"/>
      <c r="M1111" s="31"/>
      <c r="N1111" s="31"/>
      <c r="O1111" s="31"/>
      <c r="P1111" s="31"/>
      <c r="Q1111" s="31"/>
      <c r="R1111" s="31"/>
      <c r="S1111" s="31"/>
      <c r="T1111" s="31"/>
      <c r="U1111" s="31"/>
      <c r="V1111" s="31"/>
      <c r="W1111" s="31"/>
      <c r="X1111" s="31"/>
      <c r="Y1111" s="31"/>
      <c r="Z1111" s="31"/>
      <c r="AA1111" s="31"/>
      <c r="AB1111" s="31"/>
      <c r="AC1111" s="31"/>
      <c r="AD1111" s="31"/>
      <c r="AE1111" s="31"/>
      <c r="AF1111" s="31"/>
      <c r="AG1111" s="31"/>
      <c r="AH1111" s="31"/>
      <c r="AI1111" s="31"/>
      <c r="AJ1111" s="31"/>
      <c r="AK1111" s="31"/>
      <c r="AL1111" s="28" t="str">
        <f>VLOOKUP($G1111,'[42]Sheet1 (2)'!$A$1:$B$1048440,2,FALSE)</f>
        <v>Sqm</v>
      </c>
      <c r="AM1111" s="32"/>
      <c r="AN1111" s="31"/>
      <c r="AO1111" s="33"/>
    </row>
    <row r="1112" spans="1:41" ht="126" x14ac:dyDescent="0.25">
      <c r="A1112" s="26">
        <v>979</v>
      </c>
      <c r="B1112" s="21" t="s">
        <v>1774</v>
      </c>
      <c r="C1112" s="22">
        <v>32.28</v>
      </c>
      <c r="D1112" s="25" t="s">
        <v>1835</v>
      </c>
      <c r="E1112" s="23" t="s">
        <v>1849</v>
      </c>
      <c r="F1112" s="24" t="s">
        <v>1711</v>
      </c>
      <c r="G1112" s="202" t="s">
        <v>621</v>
      </c>
      <c r="H1112" s="26">
        <v>263</v>
      </c>
      <c r="I1112" s="26">
        <v>61</v>
      </c>
      <c r="J1112" s="31"/>
      <c r="K1112" s="31"/>
      <c r="L1112" s="31"/>
      <c r="M1112" s="31"/>
      <c r="N1112" s="31"/>
      <c r="O1112" s="31"/>
      <c r="P1112" s="31"/>
      <c r="Q1112" s="31"/>
      <c r="R1112" s="31"/>
      <c r="S1112" s="31"/>
      <c r="T1112" s="31"/>
      <c r="U1112" s="31"/>
      <c r="V1112" s="31"/>
      <c r="W1112" s="31"/>
      <c r="X1112" s="31"/>
      <c r="Y1112" s="31"/>
      <c r="Z1112" s="31"/>
      <c r="AA1112" s="31"/>
      <c r="AB1112" s="31"/>
      <c r="AC1112" s="31"/>
      <c r="AD1112" s="31"/>
      <c r="AE1112" s="31"/>
      <c r="AF1112" s="31"/>
      <c r="AG1112" s="31"/>
      <c r="AH1112" s="31"/>
      <c r="AI1112" s="31"/>
      <c r="AJ1112" s="31"/>
      <c r="AK1112" s="31"/>
      <c r="AL1112" s="28" t="str">
        <f>VLOOKUP($G1112,'[42]Sheet1 (2)'!$A$1:$B$1048440,2,FALSE)</f>
        <v>Sqm</v>
      </c>
      <c r="AM1112" s="32"/>
      <c r="AN1112" s="31"/>
      <c r="AO1112" s="33"/>
    </row>
    <row r="1113" spans="1:41" ht="266" x14ac:dyDescent="0.25">
      <c r="A1113" s="26">
        <v>980</v>
      </c>
      <c r="B1113" s="21" t="s">
        <v>1774</v>
      </c>
      <c r="C1113" s="22">
        <v>32.29</v>
      </c>
      <c r="D1113" s="25" t="s">
        <v>1835</v>
      </c>
      <c r="E1113" s="24" t="s">
        <v>1850</v>
      </c>
      <c r="F1113" s="24" t="s">
        <v>1711</v>
      </c>
      <c r="G1113" s="202" t="s">
        <v>621</v>
      </c>
      <c r="H1113" s="26">
        <v>2556</v>
      </c>
      <c r="I1113" s="26">
        <v>689</v>
      </c>
      <c r="J1113" s="31"/>
      <c r="K1113" s="31"/>
      <c r="L1113" s="31"/>
      <c r="M1113" s="31"/>
      <c r="N1113" s="31"/>
      <c r="O1113" s="31"/>
      <c r="P1113" s="31"/>
      <c r="Q1113" s="31"/>
      <c r="R1113" s="31"/>
      <c r="S1113" s="31"/>
      <c r="T1113" s="31"/>
      <c r="U1113" s="31"/>
      <c r="V1113" s="31"/>
      <c r="W1113" s="31"/>
      <c r="X1113" s="31"/>
      <c r="Y1113" s="31"/>
      <c r="Z1113" s="31"/>
      <c r="AA1113" s="31"/>
      <c r="AB1113" s="31"/>
      <c r="AC1113" s="31"/>
      <c r="AD1113" s="31"/>
      <c r="AE1113" s="31"/>
      <c r="AF1113" s="31"/>
      <c r="AG1113" s="31"/>
      <c r="AH1113" s="31"/>
      <c r="AI1113" s="31"/>
      <c r="AJ1113" s="31"/>
      <c r="AK1113" s="31"/>
      <c r="AL1113" s="28" t="str">
        <f>VLOOKUP($G1113,'[42]Sheet1 (2)'!$A$1:$B$1048440,2,FALSE)</f>
        <v>Sqm</v>
      </c>
      <c r="AM1113" s="32"/>
      <c r="AN1113" s="31"/>
      <c r="AO1113" s="33"/>
    </row>
    <row r="1114" spans="1:41" ht="84" x14ac:dyDescent="0.25">
      <c r="A1114" s="26">
        <v>981</v>
      </c>
      <c r="B1114" s="21" t="s">
        <v>1774</v>
      </c>
      <c r="C1114" s="22">
        <v>32.299999999999997</v>
      </c>
      <c r="D1114" s="25" t="s">
        <v>1835</v>
      </c>
      <c r="E1114" s="24" t="s">
        <v>1851</v>
      </c>
      <c r="F1114" s="24" t="s">
        <v>742</v>
      </c>
      <c r="G1114" s="202" t="s">
        <v>621</v>
      </c>
      <c r="H1114" s="26">
        <v>572</v>
      </c>
      <c r="I1114" s="26">
        <v>193</v>
      </c>
      <c r="J1114" s="31"/>
      <c r="K1114" s="31"/>
      <c r="L1114" s="31"/>
      <c r="M1114" s="31"/>
      <c r="N1114" s="31"/>
      <c r="O1114" s="31"/>
      <c r="P1114" s="31"/>
      <c r="Q1114" s="31"/>
      <c r="R1114" s="31"/>
      <c r="S1114" s="31"/>
      <c r="T1114" s="31"/>
      <c r="U1114" s="31"/>
      <c r="V1114" s="31"/>
      <c r="W1114" s="31"/>
      <c r="X1114" s="31"/>
      <c r="Y1114" s="31"/>
      <c r="Z1114" s="31"/>
      <c r="AA1114" s="31"/>
      <c r="AB1114" s="31"/>
      <c r="AC1114" s="31"/>
      <c r="AD1114" s="31"/>
      <c r="AE1114" s="31"/>
      <c r="AF1114" s="31"/>
      <c r="AG1114" s="31"/>
      <c r="AH1114" s="31"/>
      <c r="AI1114" s="31"/>
      <c r="AJ1114" s="31"/>
      <c r="AK1114" s="31"/>
      <c r="AL1114" s="28" t="str">
        <f>VLOOKUP($G1114,'[42]Sheet1 (2)'!$A$1:$B$1048440,2,FALSE)</f>
        <v>Sqm</v>
      </c>
      <c r="AM1114" s="32"/>
      <c r="AN1114" s="31"/>
      <c r="AO1114" s="33"/>
    </row>
    <row r="1115" spans="1:41" ht="84" x14ac:dyDescent="0.25">
      <c r="A1115" s="26">
        <v>982</v>
      </c>
      <c r="B1115" s="21" t="s">
        <v>1774</v>
      </c>
      <c r="C1115" s="22">
        <v>32.31</v>
      </c>
      <c r="D1115" s="25" t="s">
        <v>1835</v>
      </c>
      <c r="E1115" s="23" t="s">
        <v>1852</v>
      </c>
      <c r="F1115" s="24" t="s">
        <v>742</v>
      </c>
      <c r="G1115" s="202" t="s">
        <v>621</v>
      </c>
      <c r="H1115" s="26">
        <v>765</v>
      </c>
      <c r="I1115" s="26">
        <v>193</v>
      </c>
      <c r="J1115" s="31"/>
      <c r="K1115" s="31"/>
      <c r="L1115" s="31"/>
      <c r="M1115" s="31"/>
      <c r="N1115" s="31"/>
      <c r="O1115" s="31"/>
      <c r="P1115" s="31"/>
      <c r="Q1115" s="31"/>
      <c r="R1115" s="31"/>
      <c r="S1115" s="31"/>
      <c r="T1115" s="31"/>
      <c r="U1115" s="31"/>
      <c r="V1115" s="31"/>
      <c r="W1115" s="31"/>
      <c r="X1115" s="31"/>
      <c r="Y1115" s="31"/>
      <c r="Z1115" s="31"/>
      <c r="AA1115" s="31"/>
      <c r="AB1115" s="31"/>
      <c r="AC1115" s="31"/>
      <c r="AD1115" s="31"/>
      <c r="AE1115" s="31"/>
      <c r="AF1115" s="31"/>
      <c r="AG1115" s="31"/>
      <c r="AH1115" s="31"/>
      <c r="AI1115" s="31"/>
      <c r="AJ1115" s="31"/>
      <c r="AK1115" s="31"/>
      <c r="AL1115" s="28" t="str">
        <f>VLOOKUP($G1115,'[42]Sheet1 (2)'!$A$1:$B$1048440,2,FALSE)</f>
        <v>Sqm</v>
      </c>
      <c r="AM1115" s="32"/>
      <c r="AN1115" s="31"/>
      <c r="AO1115" s="33"/>
    </row>
    <row r="1116" spans="1:41" ht="84" x14ac:dyDescent="0.25">
      <c r="A1116" s="26">
        <v>983</v>
      </c>
      <c r="B1116" s="21" t="s">
        <v>1774</v>
      </c>
      <c r="C1116" s="22">
        <v>32.32</v>
      </c>
      <c r="D1116" s="25" t="s">
        <v>1835</v>
      </c>
      <c r="E1116" s="24" t="s">
        <v>1853</v>
      </c>
      <c r="F1116" s="24" t="s">
        <v>742</v>
      </c>
      <c r="G1116" s="202" t="s">
        <v>621</v>
      </c>
      <c r="H1116" s="26">
        <v>628</v>
      </c>
      <c r="I1116" s="26">
        <v>112</v>
      </c>
      <c r="J1116" s="31"/>
      <c r="K1116" s="31"/>
      <c r="L1116" s="31"/>
      <c r="M1116" s="31"/>
      <c r="N1116" s="31"/>
      <c r="O1116" s="31"/>
      <c r="P1116" s="31"/>
      <c r="Q1116" s="31"/>
      <c r="R1116" s="31"/>
      <c r="S1116" s="31"/>
      <c r="T1116" s="31"/>
      <c r="U1116" s="31"/>
      <c r="V1116" s="31"/>
      <c r="W1116" s="31"/>
      <c r="X1116" s="31"/>
      <c r="Y1116" s="31"/>
      <c r="Z1116" s="31"/>
      <c r="AA1116" s="31"/>
      <c r="AB1116" s="31"/>
      <c r="AC1116" s="31"/>
      <c r="AD1116" s="31"/>
      <c r="AE1116" s="31"/>
      <c r="AF1116" s="31"/>
      <c r="AG1116" s="31"/>
      <c r="AH1116" s="31"/>
      <c r="AI1116" s="31"/>
      <c r="AJ1116" s="31"/>
      <c r="AK1116" s="31"/>
      <c r="AL1116" s="28" t="str">
        <f>VLOOKUP($G1116,'[42]Sheet1 (2)'!$A$1:$B$1048440,2,FALSE)</f>
        <v>Sqm</v>
      </c>
      <c r="AM1116" s="32"/>
      <c r="AN1116" s="31"/>
      <c r="AO1116" s="33"/>
    </row>
    <row r="1117" spans="1:41" ht="70" x14ac:dyDescent="0.25">
      <c r="A1117" s="26">
        <v>984</v>
      </c>
      <c r="B1117" s="21" t="s">
        <v>1774</v>
      </c>
      <c r="C1117" s="22">
        <v>32.33</v>
      </c>
      <c r="D1117" s="25" t="s">
        <v>1835</v>
      </c>
      <c r="E1117" s="23" t="s">
        <v>1854</v>
      </c>
      <c r="F1117" s="24" t="s">
        <v>742</v>
      </c>
      <c r="G1117" s="202" t="s">
        <v>621</v>
      </c>
      <c r="H1117" s="26">
        <v>52</v>
      </c>
      <c r="I1117" s="26">
        <v>52</v>
      </c>
      <c r="J1117" s="31"/>
      <c r="K1117" s="31"/>
      <c r="L1117" s="31"/>
      <c r="M1117" s="31"/>
      <c r="N1117" s="31"/>
      <c r="O1117" s="31"/>
      <c r="P1117" s="31"/>
      <c r="Q1117" s="31"/>
      <c r="R1117" s="31"/>
      <c r="S1117" s="31"/>
      <c r="T1117" s="31"/>
      <c r="U1117" s="31"/>
      <c r="V1117" s="31"/>
      <c r="W1117" s="31"/>
      <c r="X1117" s="31"/>
      <c r="Y1117" s="31"/>
      <c r="Z1117" s="31"/>
      <c r="AA1117" s="31"/>
      <c r="AB1117" s="31"/>
      <c r="AC1117" s="31"/>
      <c r="AD1117" s="31"/>
      <c r="AE1117" s="31"/>
      <c r="AF1117" s="31"/>
      <c r="AG1117" s="31"/>
      <c r="AH1117" s="31"/>
      <c r="AI1117" s="31"/>
      <c r="AJ1117" s="31"/>
      <c r="AK1117" s="31"/>
      <c r="AL1117" s="28" t="str">
        <f>VLOOKUP($G1117,'[42]Sheet1 (2)'!$A$1:$B$1048440,2,FALSE)</f>
        <v>Sqm</v>
      </c>
      <c r="AM1117" s="32"/>
      <c r="AN1117" s="31"/>
      <c r="AO1117" s="33"/>
    </row>
    <row r="1118" spans="1:41" ht="56" x14ac:dyDescent="0.25">
      <c r="A1118" s="26">
        <v>985</v>
      </c>
      <c r="B1118" s="21" t="s">
        <v>1774</v>
      </c>
      <c r="C1118" s="22">
        <v>32.340000000000003</v>
      </c>
      <c r="D1118" s="25" t="s">
        <v>1835</v>
      </c>
      <c r="E1118" s="24" t="s">
        <v>1855</v>
      </c>
      <c r="F1118" s="35" t="s">
        <v>1839</v>
      </c>
      <c r="G1118" s="202" t="s">
        <v>621</v>
      </c>
      <c r="H1118" s="26">
        <v>90</v>
      </c>
      <c r="I1118" s="103">
        <v>52</v>
      </c>
      <c r="J1118" s="31"/>
      <c r="K1118" s="31"/>
      <c r="L1118" s="31"/>
      <c r="M1118" s="31"/>
      <c r="N1118" s="31"/>
      <c r="O1118" s="31"/>
      <c r="P1118" s="31"/>
      <c r="Q1118" s="31"/>
      <c r="R1118" s="31"/>
      <c r="S1118" s="31"/>
      <c r="T1118" s="31"/>
      <c r="U1118" s="31"/>
      <c r="V1118" s="31"/>
      <c r="W1118" s="31"/>
      <c r="X1118" s="31"/>
      <c r="Y1118" s="31"/>
      <c r="Z1118" s="31"/>
      <c r="AA1118" s="31"/>
      <c r="AB1118" s="31"/>
      <c r="AC1118" s="31"/>
      <c r="AD1118" s="31"/>
      <c r="AE1118" s="31"/>
      <c r="AF1118" s="31"/>
      <c r="AG1118" s="31"/>
      <c r="AH1118" s="31"/>
      <c r="AI1118" s="31"/>
      <c r="AJ1118" s="31"/>
      <c r="AK1118" s="31"/>
      <c r="AL1118" s="28" t="str">
        <f>VLOOKUP($G1118,'[42]Sheet1 (2)'!$A$1:$B$1048440,2,FALSE)</f>
        <v>Sqm</v>
      </c>
      <c r="AM1118" s="32"/>
      <c r="AN1118" s="31"/>
      <c r="AO1118" s="33"/>
    </row>
    <row r="1119" spans="1:41" ht="46.5" x14ac:dyDescent="0.25">
      <c r="A1119" s="26">
        <v>986</v>
      </c>
      <c r="B1119" s="21" t="s">
        <v>1774</v>
      </c>
      <c r="C1119" s="22">
        <v>32.36</v>
      </c>
      <c r="D1119" s="25" t="s">
        <v>1835</v>
      </c>
      <c r="E1119" s="24" t="s">
        <v>1856</v>
      </c>
      <c r="F1119" s="24" t="s">
        <v>742</v>
      </c>
      <c r="G1119" s="202" t="s">
        <v>621</v>
      </c>
      <c r="H1119" s="26">
        <v>40</v>
      </c>
      <c r="I1119" s="103">
        <v>32</v>
      </c>
      <c r="J1119" s="31"/>
      <c r="K1119" s="31"/>
      <c r="L1119" s="31"/>
      <c r="M1119" s="31"/>
      <c r="N1119" s="31"/>
      <c r="O1119" s="31"/>
      <c r="P1119" s="31"/>
      <c r="Q1119" s="31"/>
      <c r="R1119" s="31"/>
      <c r="S1119" s="31"/>
      <c r="T1119" s="31"/>
      <c r="U1119" s="31"/>
      <c r="V1119" s="31"/>
      <c r="W1119" s="31"/>
      <c r="X1119" s="31"/>
      <c r="Y1119" s="31"/>
      <c r="Z1119" s="31"/>
      <c r="AA1119" s="31"/>
      <c r="AB1119" s="31"/>
      <c r="AC1119" s="31"/>
      <c r="AD1119" s="31"/>
      <c r="AE1119" s="31"/>
      <c r="AF1119" s="31"/>
      <c r="AG1119" s="31"/>
      <c r="AH1119" s="31"/>
      <c r="AI1119" s="31"/>
      <c r="AJ1119" s="31"/>
      <c r="AK1119" s="31"/>
      <c r="AL1119" s="28" t="str">
        <f>VLOOKUP($G1119,'[42]Sheet1 (2)'!$A$1:$B$1048440,2,FALSE)</f>
        <v>Sqm</v>
      </c>
      <c r="AM1119" s="32"/>
      <c r="AN1119" s="31"/>
      <c r="AO1119" s="33"/>
    </row>
    <row r="1120" spans="1:41" ht="56" x14ac:dyDescent="0.25">
      <c r="A1120" s="26">
        <v>987</v>
      </c>
      <c r="B1120" s="21" t="s">
        <v>1774</v>
      </c>
      <c r="C1120" s="22">
        <v>32.369999999999997</v>
      </c>
      <c r="D1120" s="25" t="s">
        <v>1835</v>
      </c>
      <c r="E1120" s="23" t="s">
        <v>1857</v>
      </c>
      <c r="F1120" s="24" t="s">
        <v>742</v>
      </c>
      <c r="G1120" s="21" t="s">
        <v>80</v>
      </c>
      <c r="H1120" s="26">
        <v>40</v>
      </c>
      <c r="I1120" s="103">
        <v>40</v>
      </c>
      <c r="J1120" s="31"/>
      <c r="K1120" s="31"/>
      <c r="L1120" s="31"/>
      <c r="M1120" s="31"/>
      <c r="N1120" s="31"/>
      <c r="O1120" s="31"/>
      <c r="P1120" s="31"/>
      <c r="Q1120" s="31"/>
      <c r="R1120" s="31"/>
      <c r="S1120" s="31"/>
      <c r="T1120" s="31"/>
      <c r="U1120" s="31"/>
      <c r="V1120" s="31"/>
      <c r="W1120" s="31"/>
      <c r="X1120" s="31"/>
      <c r="Y1120" s="31"/>
      <c r="Z1120" s="31"/>
      <c r="AA1120" s="31"/>
      <c r="AB1120" s="31"/>
      <c r="AC1120" s="31"/>
      <c r="AD1120" s="31"/>
      <c r="AE1120" s="31"/>
      <c r="AF1120" s="31"/>
      <c r="AG1120" s="31"/>
      <c r="AH1120" s="31"/>
      <c r="AI1120" s="31"/>
      <c r="AJ1120" s="31"/>
      <c r="AK1120" s="31"/>
      <c r="AL1120" s="28" t="str">
        <f>VLOOKUP($G1120,'[42]Sheet1 (2)'!$A$1:$B$1048440,2,FALSE)</f>
        <v>Rmt.</v>
      </c>
      <c r="AM1120" s="32"/>
      <c r="AN1120" s="31"/>
      <c r="AO1120" s="33"/>
    </row>
    <row r="1121" spans="1:41" ht="16" x14ac:dyDescent="0.25">
      <c r="A1121" s="109"/>
      <c r="B1121" s="21"/>
      <c r="C1121" s="22"/>
      <c r="D1121" s="165"/>
      <c r="E1121" s="222" t="s">
        <v>1858</v>
      </c>
      <c r="F1121" s="166"/>
      <c r="G1121" s="206"/>
      <c r="H1121" s="167"/>
      <c r="I1121" s="168"/>
      <c r="J1121" s="31"/>
      <c r="K1121" s="31"/>
      <c r="L1121" s="31"/>
      <c r="M1121" s="31"/>
      <c r="N1121" s="31"/>
      <c r="O1121" s="31"/>
      <c r="P1121" s="31"/>
      <c r="Q1121" s="31"/>
      <c r="R1121" s="31"/>
      <c r="S1121" s="31"/>
      <c r="T1121" s="31"/>
      <c r="U1121" s="31"/>
      <c r="V1121" s="31"/>
      <c r="W1121" s="31"/>
      <c r="X1121" s="31"/>
      <c r="Y1121" s="31"/>
      <c r="Z1121" s="31"/>
      <c r="AA1121" s="31"/>
      <c r="AB1121" s="31"/>
      <c r="AC1121" s="31"/>
      <c r="AD1121" s="31"/>
      <c r="AE1121" s="31"/>
      <c r="AF1121" s="31"/>
      <c r="AG1121" s="31"/>
      <c r="AH1121" s="31"/>
      <c r="AI1121" s="31"/>
      <c r="AJ1121" s="31"/>
      <c r="AK1121" s="31"/>
      <c r="AL1121" s="28" t="e">
        <f>VLOOKUP($G1121,'[42]Sheet1 (2)'!$A$1:$B$1048440,2,FALSE)</f>
        <v>#N/A</v>
      </c>
      <c r="AM1121" s="32"/>
      <c r="AN1121" s="31"/>
      <c r="AO1121" s="33"/>
    </row>
    <row r="1122" spans="1:41" ht="70" x14ac:dyDescent="0.25">
      <c r="A1122" s="26">
        <v>988</v>
      </c>
      <c r="B1122" s="24" t="s">
        <v>1858</v>
      </c>
      <c r="C1122" s="22">
        <v>33.01</v>
      </c>
      <c r="D1122" s="25" t="s">
        <v>1859</v>
      </c>
      <c r="E1122" s="24" t="s">
        <v>1860</v>
      </c>
      <c r="F1122" s="24" t="s">
        <v>1861</v>
      </c>
      <c r="G1122" s="202" t="s">
        <v>621</v>
      </c>
      <c r="H1122" s="26">
        <v>731</v>
      </c>
      <c r="I1122" s="26">
        <v>291</v>
      </c>
      <c r="J1122" s="231">
        <f>0.135/20</f>
        <v>6.7500000000000008E-3</v>
      </c>
      <c r="K1122" s="231"/>
      <c r="L1122" s="231"/>
      <c r="M1122" s="231"/>
      <c r="N1122" s="231"/>
      <c r="O1122" s="231"/>
      <c r="P1122" s="231">
        <v>2.1999999999999999E-2</v>
      </c>
      <c r="Q1122" s="232"/>
      <c r="R1122" s="232"/>
      <c r="S1122" s="232"/>
      <c r="T1122" s="232"/>
      <c r="U1122" s="232"/>
      <c r="V1122" s="232"/>
      <c r="W1122" s="232">
        <v>1</v>
      </c>
      <c r="X1122" s="232"/>
      <c r="Y1122" s="232"/>
      <c r="Z1122" s="232"/>
      <c r="AA1122" s="232"/>
      <c r="AB1122" s="232"/>
      <c r="AC1122" s="232"/>
      <c r="AD1122" s="232"/>
      <c r="AE1122" s="232"/>
      <c r="AF1122" s="232"/>
      <c r="AG1122" s="232"/>
      <c r="AH1122" s="232"/>
      <c r="AI1122" s="232"/>
      <c r="AJ1122" s="232"/>
      <c r="AK1122" s="232"/>
      <c r="AL1122" s="28" t="str">
        <f>VLOOKUP($G1122,'[42]Sheet1 (2)'!$A$1:$B$1048440,2,FALSE)</f>
        <v>Sqm</v>
      </c>
      <c r="AM1122" s="233" t="s">
        <v>1862</v>
      </c>
      <c r="AN1122" s="232"/>
      <c r="AO1122" s="234"/>
    </row>
    <row r="1123" spans="1:41" ht="84" x14ac:dyDescent="0.25">
      <c r="A1123" s="26">
        <v>989</v>
      </c>
      <c r="B1123" s="24" t="s">
        <v>1858</v>
      </c>
      <c r="C1123" s="22">
        <v>33.020000000000003</v>
      </c>
      <c r="D1123" s="25" t="s">
        <v>1863</v>
      </c>
      <c r="E1123" s="23" t="s">
        <v>1864</v>
      </c>
      <c r="F1123" s="24" t="s">
        <v>1861</v>
      </c>
      <c r="G1123" s="202" t="s">
        <v>621</v>
      </c>
      <c r="H1123" s="26">
        <v>791</v>
      </c>
      <c r="I1123" s="26">
        <v>299</v>
      </c>
      <c r="J1123" s="231">
        <f>0.14/20</f>
        <v>7.000000000000001E-3</v>
      </c>
      <c r="K1123" s="231"/>
      <c r="L1123" s="231"/>
      <c r="M1123" s="231"/>
      <c r="N1123" s="231"/>
      <c r="O1123" s="231"/>
      <c r="P1123" s="231">
        <v>2.1999999999999999E-2</v>
      </c>
      <c r="Q1123" s="232"/>
      <c r="R1123" s="232"/>
      <c r="S1123" s="232"/>
      <c r="T1123" s="232"/>
      <c r="U1123" s="232"/>
      <c r="V1123" s="232"/>
      <c r="W1123" s="232">
        <v>1</v>
      </c>
      <c r="X1123" s="232"/>
      <c r="Y1123" s="232"/>
      <c r="Z1123" s="232"/>
      <c r="AA1123" s="232"/>
      <c r="AB1123" s="232"/>
      <c r="AC1123" s="232"/>
      <c r="AD1123" s="232"/>
      <c r="AE1123" s="232"/>
      <c r="AF1123" s="232"/>
      <c r="AG1123" s="232"/>
      <c r="AH1123" s="232"/>
      <c r="AI1123" s="232"/>
      <c r="AJ1123" s="232"/>
      <c r="AK1123" s="232"/>
      <c r="AL1123" s="28" t="str">
        <f>VLOOKUP($G1123,'[42]Sheet1 (2)'!$A$1:$B$1048440,2,FALSE)</f>
        <v>Sqm</v>
      </c>
      <c r="AM1123" s="233" t="s">
        <v>1865</v>
      </c>
      <c r="AN1123" s="232"/>
      <c r="AO1123" s="234"/>
    </row>
    <row r="1124" spans="1:41" ht="70" x14ac:dyDescent="0.25">
      <c r="A1124" s="26">
        <v>990</v>
      </c>
      <c r="B1124" s="24" t="s">
        <v>1858</v>
      </c>
      <c r="C1124" s="22">
        <v>33.03</v>
      </c>
      <c r="D1124" s="25" t="s">
        <v>1866</v>
      </c>
      <c r="E1124" s="24" t="s">
        <v>1867</v>
      </c>
      <c r="F1124" s="24" t="s">
        <v>1861</v>
      </c>
      <c r="G1124" s="202" t="s">
        <v>621</v>
      </c>
      <c r="H1124" s="26">
        <v>900</v>
      </c>
      <c r="I1124" s="26">
        <v>312</v>
      </c>
      <c r="J1124" s="231">
        <f>0.15/20</f>
        <v>7.4999999999999997E-3</v>
      </c>
      <c r="K1124" s="231"/>
      <c r="L1124" s="231"/>
      <c r="M1124" s="231"/>
      <c r="N1124" s="231"/>
      <c r="O1124" s="231"/>
      <c r="P1124" s="231">
        <v>2.1999999999999999E-2</v>
      </c>
      <c r="Q1124" s="232"/>
      <c r="R1124" s="232"/>
      <c r="S1124" s="232"/>
      <c r="T1124" s="232"/>
      <c r="U1124" s="232"/>
      <c r="V1124" s="232"/>
      <c r="W1124" s="232">
        <v>1</v>
      </c>
      <c r="X1124" s="232"/>
      <c r="Y1124" s="232"/>
      <c r="Z1124" s="232"/>
      <c r="AA1124" s="232"/>
      <c r="AB1124" s="232"/>
      <c r="AC1124" s="232"/>
      <c r="AD1124" s="232"/>
      <c r="AE1124" s="232"/>
      <c r="AF1124" s="232"/>
      <c r="AG1124" s="232"/>
      <c r="AH1124" s="232"/>
      <c r="AI1124" s="232"/>
      <c r="AJ1124" s="232"/>
      <c r="AK1124" s="232"/>
      <c r="AL1124" s="28" t="str">
        <f>VLOOKUP($G1124,'[42]Sheet1 (2)'!$A$1:$B$1048440,2,FALSE)</f>
        <v>Sqm</v>
      </c>
      <c r="AM1124" s="233" t="s">
        <v>1868</v>
      </c>
      <c r="AN1124" s="232"/>
      <c r="AO1124" s="234"/>
    </row>
    <row r="1125" spans="1:41" ht="84" x14ac:dyDescent="0.25">
      <c r="A1125" s="26">
        <v>991</v>
      </c>
      <c r="B1125" s="24" t="s">
        <v>1858</v>
      </c>
      <c r="C1125" s="22">
        <v>33.04</v>
      </c>
      <c r="D1125" s="25" t="s">
        <v>1869</v>
      </c>
      <c r="E1125" s="23" t="s">
        <v>1870</v>
      </c>
      <c r="F1125" s="24" t="s">
        <v>1871</v>
      </c>
      <c r="G1125" s="202" t="s">
        <v>621</v>
      </c>
      <c r="H1125" s="26">
        <v>826</v>
      </c>
      <c r="I1125" s="26">
        <v>292</v>
      </c>
      <c r="J1125" s="231">
        <f>0.135/20</f>
        <v>6.7500000000000008E-3</v>
      </c>
      <c r="K1125" s="231"/>
      <c r="L1125" s="231"/>
      <c r="M1125" s="231"/>
      <c r="N1125" s="231"/>
      <c r="O1125" s="231"/>
      <c r="P1125" s="231">
        <v>2.1999999999999999E-2</v>
      </c>
      <c r="Q1125" s="232"/>
      <c r="R1125" s="232"/>
      <c r="S1125" s="232"/>
      <c r="T1125" s="232"/>
      <c r="U1125" s="232"/>
      <c r="V1125" s="232"/>
      <c r="W1125" s="232">
        <v>1</v>
      </c>
      <c r="X1125" s="232"/>
      <c r="Y1125" s="232"/>
      <c r="Z1125" s="232"/>
      <c r="AA1125" s="232"/>
      <c r="AB1125" s="232"/>
      <c r="AC1125" s="232"/>
      <c r="AD1125" s="232"/>
      <c r="AE1125" s="232"/>
      <c r="AF1125" s="232"/>
      <c r="AG1125" s="232"/>
      <c r="AH1125" s="232"/>
      <c r="AI1125" s="232"/>
      <c r="AJ1125" s="232"/>
      <c r="AK1125" s="232"/>
      <c r="AL1125" s="28" t="str">
        <f>VLOOKUP($G1125,'[42]Sheet1 (2)'!$A$1:$B$1048440,2,FALSE)</f>
        <v>Sqm</v>
      </c>
      <c r="AM1125" s="233" t="s">
        <v>1872</v>
      </c>
      <c r="AN1125" s="232"/>
      <c r="AO1125" s="234"/>
    </row>
    <row r="1126" spans="1:41" ht="56" x14ac:dyDescent="0.25">
      <c r="A1126" s="26">
        <v>992</v>
      </c>
      <c r="B1126" s="24" t="s">
        <v>1858</v>
      </c>
      <c r="C1126" s="22">
        <v>33.049999999999997</v>
      </c>
      <c r="D1126" s="25" t="s">
        <v>1873</v>
      </c>
      <c r="E1126" s="24" t="s">
        <v>1874</v>
      </c>
      <c r="F1126" s="24" t="s">
        <v>1871</v>
      </c>
      <c r="G1126" s="202" t="s">
        <v>621</v>
      </c>
      <c r="H1126" s="26">
        <v>1078</v>
      </c>
      <c r="I1126" s="26">
        <v>368</v>
      </c>
      <c r="J1126" s="231">
        <f>0.135/20</f>
        <v>6.7500000000000008E-3</v>
      </c>
      <c r="K1126" s="231"/>
      <c r="L1126" s="231"/>
      <c r="M1126" s="231"/>
      <c r="N1126" s="231"/>
      <c r="O1126" s="231"/>
      <c r="P1126" s="231">
        <v>2.1999999999999999E-2</v>
      </c>
      <c r="Q1126" s="232"/>
      <c r="R1126" s="232"/>
      <c r="S1126" s="232"/>
      <c r="T1126" s="232"/>
      <c r="U1126" s="232"/>
      <c r="V1126" s="232"/>
      <c r="W1126" s="232">
        <v>1</v>
      </c>
      <c r="X1126" s="232"/>
      <c r="Y1126" s="232"/>
      <c r="Z1126" s="232"/>
      <c r="AA1126" s="232"/>
      <c r="AB1126" s="232"/>
      <c r="AC1126" s="232"/>
      <c r="AD1126" s="232"/>
      <c r="AE1126" s="232"/>
      <c r="AF1126" s="232"/>
      <c r="AG1126" s="232"/>
      <c r="AH1126" s="232"/>
      <c r="AI1126" s="232"/>
      <c r="AJ1126" s="232"/>
      <c r="AK1126" s="232"/>
      <c r="AL1126" s="28" t="str">
        <f>VLOOKUP($G1126,'[42]Sheet1 (2)'!$A$1:$B$1048440,2,FALSE)</f>
        <v>Sqm</v>
      </c>
      <c r="AM1126" s="233" t="s">
        <v>1875</v>
      </c>
      <c r="AN1126" s="232"/>
      <c r="AO1126" s="234"/>
    </row>
    <row r="1127" spans="1:41" ht="69" customHeight="1" x14ac:dyDescent="0.25">
      <c r="A1127" s="26">
        <v>993</v>
      </c>
      <c r="B1127" s="24" t="s">
        <v>1858</v>
      </c>
      <c r="C1127" s="22">
        <v>33.06</v>
      </c>
      <c r="D1127" s="25" t="s">
        <v>1876</v>
      </c>
      <c r="E1127" s="23" t="s">
        <v>1877</v>
      </c>
      <c r="F1127" s="24" t="s">
        <v>1871</v>
      </c>
      <c r="G1127" s="202" t="s">
        <v>621</v>
      </c>
      <c r="H1127" s="26">
        <v>1247</v>
      </c>
      <c r="I1127" s="26">
        <v>281</v>
      </c>
      <c r="J1127" s="231">
        <f>0.135/20</f>
        <v>6.7500000000000008E-3</v>
      </c>
      <c r="K1127" s="231"/>
      <c r="L1127" s="231"/>
      <c r="M1127" s="231"/>
      <c r="N1127" s="231"/>
      <c r="O1127" s="231"/>
      <c r="P1127" s="231">
        <v>2.1999999999999999E-2</v>
      </c>
      <c r="Q1127" s="232"/>
      <c r="R1127" s="232"/>
      <c r="S1127" s="232"/>
      <c r="T1127" s="232"/>
      <c r="U1127" s="232"/>
      <c r="V1127" s="232"/>
      <c r="W1127" s="232">
        <v>1</v>
      </c>
      <c r="X1127" s="232"/>
      <c r="Y1127" s="232"/>
      <c r="Z1127" s="232"/>
      <c r="AA1127" s="232"/>
      <c r="AB1127" s="232"/>
      <c r="AC1127" s="232"/>
      <c r="AD1127" s="232"/>
      <c r="AE1127" s="232"/>
      <c r="AF1127" s="232"/>
      <c r="AG1127" s="232"/>
      <c r="AH1127" s="232"/>
      <c r="AI1127" s="232"/>
      <c r="AJ1127" s="232"/>
      <c r="AK1127" s="232"/>
      <c r="AL1127" s="28" t="str">
        <f>VLOOKUP($G1127,'[42]Sheet1 (2)'!$A$1:$B$1048440,2,FALSE)</f>
        <v>Sqm</v>
      </c>
      <c r="AM1127" s="233" t="s">
        <v>1878</v>
      </c>
      <c r="AN1127" s="232"/>
      <c r="AO1127" s="234"/>
    </row>
    <row r="1128" spans="1:41" ht="56" x14ac:dyDescent="0.25">
      <c r="A1128" s="26">
        <v>994</v>
      </c>
      <c r="B1128" s="24" t="s">
        <v>1858</v>
      </c>
      <c r="C1128" s="22">
        <v>33.07</v>
      </c>
      <c r="D1128" s="25" t="s">
        <v>1879</v>
      </c>
      <c r="E1128" s="24" t="s">
        <v>1880</v>
      </c>
      <c r="F1128" s="24" t="s">
        <v>1881</v>
      </c>
      <c r="G1128" s="202" t="s">
        <v>621</v>
      </c>
      <c r="H1128" s="26">
        <v>1225</v>
      </c>
      <c r="I1128" s="26">
        <v>281</v>
      </c>
      <c r="J1128" s="231">
        <f>0.135/20</f>
        <v>6.7500000000000008E-3</v>
      </c>
      <c r="K1128" s="231"/>
      <c r="L1128" s="231"/>
      <c r="M1128" s="231"/>
      <c r="N1128" s="231"/>
      <c r="O1128" s="231"/>
      <c r="P1128" s="231">
        <v>2.1999999999999999E-2</v>
      </c>
      <c r="Q1128" s="232"/>
      <c r="R1128" s="232"/>
      <c r="S1128" s="232"/>
      <c r="T1128" s="232"/>
      <c r="U1128" s="232"/>
      <c r="V1128" s="232"/>
      <c r="W1128" s="232">
        <v>1</v>
      </c>
      <c r="X1128" s="232"/>
      <c r="Y1128" s="232"/>
      <c r="Z1128" s="232"/>
      <c r="AA1128" s="232"/>
      <c r="AB1128" s="232"/>
      <c r="AC1128" s="232"/>
      <c r="AD1128" s="232"/>
      <c r="AE1128" s="232"/>
      <c r="AF1128" s="232"/>
      <c r="AG1128" s="232"/>
      <c r="AH1128" s="232"/>
      <c r="AI1128" s="232"/>
      <c r="AJ1128" s="232"/>
      <c r="AK1128" s="232"/>
      <c r="AL1128" s="28" t="str">
        <f>VLOOKUP($G1128,'[42]Sheet1 (2)'!$A$1:$B$1048440,2,FALSE)</f>
        <v>Sqm</v>
      </c>
      <c r="AM1128" s="233" t="s">
        <v>1882</v>
      </c>
      <c r="AN1128" s="232"/>
      <c r="AO1128" s="234"/>
    </row>
    <row r="1129" spans="1:41" ht="56" x14ac:dyDescent="0.25">
      <c r="A1129" s="26">
        <v>995</v>
      </c>
      <c r="B1129" s="24" t="s">
        <v>1858</v>
      </c>
      <c r="C1129" s="22">
        <v>33.08</v>
      </c>
      <c r="D1129" s="25" t="s">
        <v>1879</v>
      </c>
      <c r="E1129" s="24" t="s">
        <v>1883</v>
      </c>
      <c r="F1129" s="24" t="s">
        <v>1881</v>
      </c>
      <c r="G1129" s="202" t="s">
        <v>621</v>
      </c>
      <c r="H1129" s="26">
        <v>1298</v>
      </c>
      <c r="I1129" s="26">
        <v>281</v>
      </c>
      <c r="J1129" s="231">
        <f>0.135/20</f>
        <v>6.7500000000000008E-3</v>
      </c>
      <c r="K1129" s="231"/>
      <c r="L1129" s="231"/>
      <c r="M1129" s="231"/>
      <c r="N1129" s="231"/>
      <c r="O1129" s="231"/>
      <c r="P1129" s="231">
        <v>2.1999999999999999E-2</v>
      </c>
      <c r="Q1129" s="232"/>
      <c r="R1129" s="232"/>
      <c r="S1129" s="232"/>
      <c r="T1129" s="232"/>
      <c r="U1129" s="232"/>
      <c r="V1129" s="232"/>
      <c r="W1129" s="232">
        <v>1</v>
      </c>
      <c r="X1129" s="232"/>
      <c r="Y1129" s="232"/>
      <c r="Z1129" s="232"/>
      <c r="AA1129" s="232"/>
      <c r="AB1129" s="232"/>
      <c r="AC1129" s="232"/>
      <c r="AD1129" s="232"/>
      <c r="AE1129" s="232"/>
      <c r="AF1129" s="232"/>
      <c r="AG1129" s="232"/>
      <c r="AH1129" s="232"/>
      <c r="AI1129" s="232"/>
      <c r="AJ1129" s="232"/>
      <c r="AK1129" s="232"/>
      <c r="AL1129" s="28" t="str">
        <f>VLOOKUP($G1129,'[42]Sheet1 (2)'!$A$1:$B$1048440,2,FALSE)</f>
        <v>Sqm</v>
      </c>
      <c r="AM1129" s="233" t="s">
        <v>1884</v>
      </c>
      <c r="AN1129" s="232"/>
      <c r="AO1129" s="234"/>
    </row>
    <row r="1130" spans="1:41" ht="98" x14ac:dyDescent="0.25">
      <c r="A1130" s="26">
        <v>996</v>
      </c>
      <c r="B1130" s="24" t="s">
        <v>1858</v>
      </c>
      <c r="C1130" s="22">
        <v>33.090000000000003</v>
      </c>
      <c r="D1130" s="25" t="s">
        <v>1885</v>
      </c>
      <c r="E1130" s="24" t="s">
        <v>1886</v>
      </c>
      <c r="F1130" s="24" t="s">
        <v>1887</v>
      </c>
      <c r="G1130" s="202" t="s">
        <v>621</v>
      </c>
      <c r="H1130" s="26">
        <v>536</v>
      </c>
      <c r="I1130" s="26">
        <v>308</v>
      </c>
      <c r="J1130" s="231">
        <f>0.3/20</f>
        <v>1.4999999999999999E-2</v>
      </c>
      <c r="K1130" s="231"/>
      <c r="L1130" s="231">
        <f>0.027+0.008</f>
        <v>3.5000000000000003E-2</v>
      </c>
      <c r="M1130" s="231"/>
      <c r="N1130" s="231"/>
      <c r="O1130" s="231"/>
      <c r="P1130" s="231">
        <v>1.7999999999999999E-2</v>
      </c>
      <c r="Q1130" s="232"/>
      <c r="R1130" s="232"/>
      <c r="S1130" s="232"/>
      <c r="T1130" s="232"/>
      <c r="U1130" s="232"/>
      <c r="V1130" s="232"/>
      <c r="W1130" s="232"/>
      <c r="X1130" s="232"/>
      <c r="Y1130" s="232"/>
      <c r="Z1130" s="232"/>
      <c r="AA1130" s="232"/>
      <c r="AB1130" s="232"/>
      <c r="AC1130" s="232"/>
      <c r="AD1130" s="232"/>
      <c r="AE1130" s="232"/>
      <c r="AF1130" s="232"/>
      <c r="AG1130" s="232"/>
      <c r="AH1130" s="232"/>
      <c r="AI1130" s="232"/>
      <c r="AJ1130" s="232"/>
      <c r="AK1130" s="232"/>
      <c r="AL1130" s="28" t="str">
        <f>VLOOKUP($G1130,'[42]Sheet1 (2)'!$A$1:$B$1048440,2,FALSE)</f>
        <v>Sqm</v>
      </c>
      <c r="AM1130" s="233" t="s">
        <v>1888</v>
      </c>
      <c r="AN1130" s="232"/>
      <c r="AO1130" s="234"/>
    </row>
    <row r="1131" spans="1:41" ht="98" x14ac:dyDescent="0.25">
      <c r="A1131" s="20">
        <v>997</v>
      </c>
      <c r="B1131" s="24" t="s">
        <v>1858</v>
      </c>
      <c r="C1131" s="22">
        <v>33.1</v>
      </c>
      <c r="D1131" s="25" t="s">
        <v>1885</v>
      </c>
      <c r="E1131" s="23" t="s">
        <v>1889</v>
      </c>
      <c r="F1131" s="24" t="s">
        <v>1887</v>
      </c>
      <c r="G1131" s="202" t="s">
        <v>621</v>
      </c>
      <c r="H1131" s="26">
        <v>494</v>
      </c>
      <c r="I1131" s="26">
        <v>308</v>
      </c>
      <c r="J1131" s="231">
        <f>0.3/20</f>
        <v>1.4999999999999999E-2</v>
      </c>
      <c r="K1131" s="231"/>
      <c r="L1131" s="231">
        <f>0.027+0.008</f>
        <v>3.5000000000000003E-2</v>
      </c>
      <c r="M1131" s="231"/>
      <c r="N1131" s="231"/>
      <c r="O1131" s="231"/>
      <c r="P1131" s="231">
        <v>1.7999999999999999E-2</v>
      </c>
      <c r="Q1131" s="232"/>
      <c r="R1131" s="232"/>
      <c r="S1131" s="232"/>
      <c r="T1131" s="232"/>
      <c r="U1131" s="232"/>
      <c r="V1131" s="232"/>
      <c r="W1131" s="232"/>
      <c r="X1131" s="232"/>
      <c r="Y1131" s="232"/>
      <c r="Z1131" s="232"/>
      <c r="AA1131" s="232"/>
      <c r="AB1131" s="232"/>
      <c r="AC1131" s="232"/>
      <c r="AD1131" s="232"/>
      <c r="AE1131" s="232"/>
      <c r="AF1131" s="232"/>
      <c r="AG1131" s="232"/>
      <c r="AH1131" s="232"/>
      <c r="AI1131" s="232"/>
      <c r="AJ1131" s="232"/>
      <c r="AK1131" s="232"/>
      <c r="AL1131" s="28" t="str">
        <f>VLOOKUP($G1131,'[42]Sheet1 (2)'!$A$1:$B$1048440,2,FALSE)</f>
        <v>Sqm</v>
      </c>
      <c r="AM1131" s="233" t="s">
        <v>1888</v>
      </c>
      <c r="AN1131" s="232"/>
      <c r="AO1131" s="234"/>
    </row>
    <row r="1132" spans="1:41" ht="98" x14ac:dyDescent="0.25">
      <c r="A1132" s="20">
        <v>998</v>
      </c>
      <c r="B1132" s="24" t="s">
        <v>1858</v>
      </c>
      <c r="C1132" s="22">
        <v>33.11</v>
      </c>
      <c r="D1132" s="25" t="s">
        <v>1890</v>
      </c>
      <c r="E1132" s="23" t="s">
        <v>1891</v>
      </c>
      <c r="F1132" s="24" t="s">
        <v>1892</v>
      </c>
      <c r="G1132" s="202" t="s">
        <v>621</v>
      </c>
      <c r="H1132" s="26">
        <v>537</v>
      </c>
      <c r="I1132" s="26">
        <v>308</v>
      </c>
      <c r="J1132" s="231">
        <f>0.334/20</f>
        <v>1.67E-2</v>
      </c>
      <c r="K1132" s="231"/>
      <c r="L1132" s="231">
        <f>0.023+0.007</f>
        <v>0.03</v>
      </c>
      <c r="M1132" s="231"/>
      <c r="N1132" s="231"/>
      <c r="O1132" s="231"/>
      <c r="P1132" s="231">
        <v>0.02</v>
      </c>
      <c r="Q1132" s="232"/>
      <c r="R1132" s="232"/>
      <c r="S1132" s="232"/>
      <c r="T1132" s="232"/>
      <c r="U1132" s="232"/>
      <c r="V1132" s="232"/>
      <c r="W1132" s="232"/>
      <c r="X1132" s="232"/>
      <c r="Y1132" s="232"/>
      <c r="Z1132" s="232"/>
      <c r="AA1132" s="232"/>
      <c r="AB1132" s="232"/>
      <c r="AC1132" s="232"/>
      <c r="AD1132" s="232"/>
      <c r="AE1132" s="232"/>
      <c r="AF1132" s="232"/>
      <c r="AG1132" s="232"/>
      <c r="AH1132" s="232"/>
      <c r="AI1132" s="232"/>
      <c r="AJ1132" s="232"/>
      <c r="AK1132" s="232"/>
      <c r="AL1132" s="28" t="str">
        <f>VLOOKUP($G1132,'[42]Sheet1 (2)'!$A$1:$B$1048440,2,FALSE)</f>
        <v>Sqm</v>
      </c>
      <c r="AM1132" s="233" t="s">
        <v>1893</v>
      </c>
      <c r="AN1132" s="232"/>
      <c r="AO1132" s="234"/>
    </row>
    <row r="1133" spans="1:41" ht="98" x14ac:dyDescent="0.25">
      <c r="A1133" s="20">
        <v>999</v>
      </c>
      <c r="B1133" s="24" t="s">
        <v>1858</v>
      </c>
      <c r="C1133" s="22">
        <v>33.119999999999997</v>
      </c>
      <c r="D1133" s="25" t="s">
        <v>1890</v>
      </c>
      <c r="E1133" s="23" t="s">
        <v>1891</v>
      </c>
      <c r="F1133" s="24" t="s">
        <v>1892</v>
      </c>
      <c r="G1133" s="202" t="s">
        <v>621</v>
      </c>
      <c r="H1133" s="26">
        <v>534</v>
      </c>
      <c r="I1133" s="26">
        <v>308</v>
      </c>
      <c r="J1133" s="231">
        <f>0.334/20</f>
        <v>1.67E-2</v>
      </c>
      <c r="K1133" s="231"/>
      <c r="L1133" s="231">
        <f>0.023+0.007</f>
        <v>0.03</v>
      </c>
      <c r="M1133" s="231"/>
      <c r="N1133" s="231"/>
      <c r="O1133" s="231"/>
      <c r="P1133" s="231">
        <v>0.02</v>
      </c>
      <c r="Q1133" s="232"/>
      <c r="R1133" s="232"/>
      <c r="S1133" s="232"/>
      <c r="T1133" s="232"/>
      <c r="U1133" s="232"/>
      <c r="V1133" s="232"/>
      <c r="W1133" s="232"/>
      <c r="X1133" s="232"/>
      <c r="Y1133" s="232"/>
      <c r="Z1133" s="232"/>
      <c r="AA1133" s="232"/>
      <c r="AB1133" s="232"/>
      <c r="AC1133" s="232"/>
      <c r="AD1133" s="232"/>
      <c r="AE1133" s="232"/>
      <c r="AF1133" s="232"/>
      <c r="AG1133" s="232"/>
      <c r="AH1133" s="232"/>
      <c r="AI1133" s="232"/>
      <c r="AJ1133" s="232"/>
      <c r="AK1133" s="232"/>
      <c r="AL1133" s="28" t="str">
        <f>VLOOKUP($G1133,'[42]Sheet1 (2)'!$A$1:$B$1048440,2,FALSE)</f>
        <v>Sqm</v>
      </c>
      <c r="AM1133" s="233" t="s">
        <v>1893</v>
      </c>
      <c r="AN1133" s="232"/>
      <c r="AO1133" s="234"/>
    </row>
    <row r="1134" spans="1:41" ht="98" x14ac:dyDescent="0.25">
      <c r="A1134" s="20">
        <v>1000</v>
      </c>
      <c r="B1134" s="24" t="s">
        <v>1858</v>
      </c>
      <c r="C1134" s="22">
        <v>33.130000000000003</v>
      </c>
      <c r="D1134" s="25" t="s">
        <v>1894</v>
      </c>
      <c r="E1134" s="23" t="s">
        <v>1895</v>
      </c>
      <c r="F1134" s="24" t="s">
        <v>1887</v>
      </c>
      <c r="G1134" s="202" t="s">
        <v>621</v>
      </c>
      <c r="H1134" s="26">
        <v>581</v>
      </c>
      <c r="I1134" s="26">
        <v>308</v>
      </c>
      <c r="J1134" s="231">
        <f>0.365/20</f>
        <v>1.8249999999999999E-2</v>
      </c>
      <c r="K1134" s="231"/>
      <c r="L1134" s="231">
        <f>0.033+0.011</f>
        <v>4.3999999999999997E-2</v>
      </c>
      <c r="M1134" s="231"/>
      <c r="N1134" s="231"/>
      <c r="O1134" s="231"/>
      <c r="P1134" s="231">
        <v>2.1999999999999999E-2</v>
      </c>
      <c r="Q1134" s="232"/>
      <c r="R1134" s="232"/>
      <c r="S1134" s="232"/>
      <c r="T1134" s="232"/>
      <c r="U1134" s="232"/>
      <c r="V1134" s="232"/>
      <c r="W1134" s="232"/>
      <c r="X1134" s="232"/>
      <c r="Y1134" s="232"/>
      <c r="Z1134" s="232"/>
      <c r="AA1134" s="232"/>
      <c r="AB1134" s="232"/>
      <c r="AC1134" s="232"/>
      <c r="AD1134" s="232"/>
      <c r="AE1134" s="232"/>
      <c r="AF1134" s="232"/>
      <c r="AG1134" s="232"/>
      <c r="AH1134" s="232"/>
      <c r="AI1134" s="232"/>
      <c r="AJ1134" s="232"/>
      <c r="AK1134" s="232"/>
      <c r="AL1134" s="28" t="str">
        <f>VLOOKUP($G1134,'[42]Sheet1 (2)'!$A$1:$B$1048440,2,FALSE)</f>
        <v>Sqm</v>
      </c>
      <c r="AM1134" s="233" t="s">
        <v>1896</v>
      </c>
      <c r="AN1134" s="232"/>
      <c r="AO1134" s="234"/>
    </row>
    <row r="1135" spans="1:41" ht="98" x14ac:dyDescent="0.25">
      <c r="A1135" s="20">
        <v>1001</v>
      </c>
      <c r="B1135" s="24" t="s">
        <v>1858</v>
      </c>
      <c r="C1135" s="22">
        <v>33.14</v>
      </c>
      <c r="D1135" s="25" t="s">
        <v>1894</v>
      </c>
      <c r="E1135" s="23" t="s">
        <v>1897</v>
      </c>
      <c r="F1135" s="24" t="s">
        <v>1887</v>
      </c>
      <c r="G1135" s="202" t="s">
        <v>621</v>
      </c>
      <c r="H1135" s="26">
        <v>568</v>
      </c>
      <c r="I1135" s="26">
        <v>308</v>
      </c>
      <c r="J1135" s="231">
        <f>0.365/20</f>
        <v>1.8249999999999999E-2</v>
      </c>
      <c r="K1135" s="231"/>
      <c r="L1135" s="231">
        <f>0.033+0.011</f>
        <v>4.3999999999999997E-2</v>
      </c>
      <c r="M1135" s="231"/>
      <c r="N1135" s="231"/>
      <c r="O1135" s="231"/>
      <c r="P1135" s="231">
        <v>2.1999999999999999E-2</v>
      </c>
      <c r="Q1135" s="232"/>
      <c r="R1135" s="232"/>
      <c r="S1135" s="232"/>
      <c r="T1135" s="232"/>
      <c r="U1135" s="232"/>
      <c r="V1135" s="232"/>
      <c r="W1135" s="232"/>
      <c r="X1135" s="232"/>
      <c r="Y1135" s="232"/>
      <c r="Z1135" s="232"/>
      <c r="AA1135" s="232"/>
      <c r="AB1135" s="232"/>
      <c r="AC1135" s="232"/>
      <c r="AD1135" s="232"/>
      <c r="AE1135" s="232"/>
      <c r="AF1135" s="232"/>
      <c r="AG1135" s="232"/>
      <c r="AH1135" s="232"/>
      <c r="AI1135" s="232"/>
      <c r="AJ1135" s="232"/>
      <c r="AK1135" s="232"/>
      <c r="AL1135" s="28" t="str">
        <f>VLOOKUP($G1135,'[42]Sheet1 (2)'!$A$1:$B$1048440,2,FALSE)</f>
        <v>Sqm</v>
      </c>
      <c r="AM1135" s="233" t="s">
        <v>1896</v>
      </c>
      <c r="AN1135" s="232"/>
      <c r="AO1135" s="234"/>
    </row>
    <row r="1136" spans="1:41" ht="98" x14ac:dyDescent="0.25">
      <c r="A1136" s="20">
        <v>1002</v>
      </c>
      <c r="B1136" s="24" t="s">
        <v>1858</v>
      </c>
      <c r="C1136" s="22">
        <v>33.15</v>
      </c>
      <c r="D1136" s="25" t="s">
        <v>1898</v>
      </c>
      <c r="E1136" s="23" t="s">
        <v>1899</v>
      </c>
      <c r="F1136" s="24" t="s">
        <v>1892</v>
      </c>
      <c r="G1136" s="202" t="s">
        <v>621</v>
      </c>
      <c r="H1136" s="26">
        <v>594</v>
      </c>
      <c r="I1136" s="26">
        <v>308</v>
      </c>
      <c r="J1136" s="231">
        <f>0.406/20</f>
        <v>2.0300000000000002E-2</v>
      </c>
      <c r="K1136" s="231"/>
      <c r="L1136" s="231">
        <f>0.028+0.01</f>
        <v>3.7999999999999999E-2</v>
      </c>
      <c r="M1136" s="231"/>
      <c r="N1136" s="231"/>
      <c r="O1136" s="231"/>
      <c r="P1136" s="231">
        <v>2.5000000000000001E-2</v>
      </c>
      <c r="Q1136" s="232"/>
      <c r="R1136" s="232"/>
      <c r="S1136" s="232"/>
      <c r="T1136" s="232"/>
      <c r="U1136" s="232"/>
      <c r="V1136" s="232"/>
      <c r="W1136" s="232"/>
      <c r="X1136" s="232"/>
      <c r="Y1136" s="232"/>
      <c r="Z1136" s="232"/>
      <c r="AA1136" s="232"/>
      <c r="AB1136" s="232"/>
      <c r="AC1136" s="232"/>
      <c r="AD1136" s="232"/>
      <c r="AE1136" s="232"/>
      <c r="AF1136" s="232"/>
      <c r="AG1136" s="232"/>
      <c r="AH1136" s="232"/>
      <c r="AI1136" s="232"/>
      <c r="AJ1136" s="232"/>
      <c r="AK1136" s="232"/>
      <c r="AL1136" s="28" t="str">
        <f>VLOOKUP($G1136,'[42]Sheet1 (2)'!$A$1:$B$1048440,2,FALSE)</f>
        <v>Sqm</v>
      </c>
      <c r="AM1136" s="233" t="s">
        <v>1900</v>
      </c>
      <c r="AN1136" s="232"/>
      <c r="AO1136" s="234"/>
    </row>
    <row r="1137" spans="1:41" ht="98" x14ac:dyDescent="0.25">
      <c r="A1137" s="20">
        <v>1003</v>
      </c>
      <c r="B1137" s="24" t="s">
        <v>1858</v>
      </c>
      <c r="C1137" s="22">
        <v>33.159999999999997</v>
      </c>
      <c r="D1137" s="25" t="s">
        <v>1898</v>
      </c>
      <c r="E1137" s="23" t="s">
        <v>1901</v>
      </c>
      <c r="F1137" s="24" t="s">
        <v>1892</v>
      </c>
      <c r="G1137" s="202" t="s">
        <v>621</v>
      </c>
      <c r="H1137" s="26">
        <v>483</v>
      </c>
      <c r="I1137" s="26">
        <v>211</v>
      </c>
      <c r="J1137" s="231">
        <f>0.406/20</f>
        <v>2.0300000000000002E-2</v>
      </c>
      <c r="K1137" s="231"/>
      <c r="L1137" s="231">
        <f>0.028+0.01</f>
        <v>3.7999999999999999E-2</v>
      </c>
      <c r="M1137" s="231"/>
      <c r="N1137" s="231"/>
      <c r="O1137" s="231"/>
      <c r="P1137" s="231">
        <v>2.5000000000000001E-2</v>
      </c>
      <c r="Q1137" s="232"/>
      <c r="R1137" s="232"/>
      <c r="S1137" s="232"/>
      <c r="T1137" s="232"/>
      <c r="U1137" s="232"/>
      <c r="V1137" s="232"/>
      <c r="W1137" s="232"/>
      <c r="X1137" s="232"/>
      <c r="Y1137" s="232"/>
      <c r="Z1137" s="232"/>
      <c r="AA1137" s="232"/>
      <c r="AB1137" s="232"/>
      <c r="AC1137" s="232"/>
      <c r="AD1137" s="232"/>
      <c r="AE1137" s="232"/>
      <c r="AF1137" s="232"/>
      <c r="AG1137" s="232"/>
      <c r="AH1137" s="232"/>
      <c r="AI1137" s="232"/>
      <c r="AJ1137" s="232"/>
      <c r="AK1137" s="232"/>
      <c r="AL1137" s="28" t="str">
        <f>VLOOKUP($G1137,'[42]Sheet1 (2)'!$A$1:$B$1048440,2,FALSE)</f>
        <v>Sqm</v>
      </c>
      <c r="AM1137" s="233" t="s">
        <v>1900</v>
      </c>
      <c r="AN1137" s="232"/>
      <c r="AO1137" s="234"/>
    </row>
    <row r="1138" spans="1:41" ht="84" x14ac:dyDescent="0.25">
      <c r="A1138" s="20">
        <v>1004</v>
      </c>
      <c r="B1138" s="24" t="s">
        <v>1858</v>
      </c>
      <c r="C1138" s="22">
        <v>33.17</v>
      </c>
      <c r="D1138" s="25" t="s">
        <v>1902</v>
      </c>
      <c r="E1138" s="23" t="s">
        <v>1903</v>
      </c>
      <c r="F1138" s="24" t="s">
        <v>1904</v>
      </c>
      <c r="G1138" s="202" t="s">
        <v>621</v>
      </c>
      <c r="H1138" s="26">
        <v>1125</v>
      </c>
      <c r="I1138" s="26">
        <v>572</v>
      </c>
      <c r="J1138" s="231">
        <f t="shared" ref="J1138:J1143" si="6">0.185/20</f>
        <v>9.2499999999999995E-3</v>
      </c>
      <c r="K1138" s="231"/>
      <c r="L1138" s="231"/>
      <c r="M1138" s="231"/>
      <c r="N1138" s="231"/>
      <c r="O1138" s="231"/>
      <c r="P1138" s="231">
        <v>0.02</v>
      </c>
      <c r="Q1138" s="232"/>
      <c r="R1138" s="232"/>
      <c r="S1138" s="232"/>
      <c r="T1138" s="232"/>
      <c r="U1138" s="232"/>
      <c r="V1138" s="232"/>
      <c r="W1138" s="232">
        <v>1</v>
      </c>
      <c r="X1138" s="232"/>
      <c r="Y1138" s="232"/>
      <c r="Z1138" s="232"/>
      <c r="AA1138" s="232"/>
      <c r="AB1138" s="232"/>
      <c r="AC1138" s="232"/>
      <c r="AD1138" s="232"/>
      <c r="AE1138" s="232"/>
      <c r="AF1138" s="232"/>
      <c r="AG1138" s="232"/>
      <c r="AH1138" s="232"/>
      <c r="AI1138" s="232"/>
      <c r="AJ1138" s="232"/>
      <c r="AK1138" s="232"/>
      <c r="AL1138" s="28" t="str">
        <f>VLOOKUP($G1138,'[42]Sheet1 (2)'!$A$1:$B$1048440,2,FALSE)</f>
        <v>Sqm</v>
      </c>
      <c r="AM1138" s="233" t="s">
        <v>1905</v>
      </c>
      <c r="AN1138" s="232"/>
      <c r="AO1138" s="234"/>
    </row>
    <row r="1139" spans="1:41" ht="70" x14ac:dyDescent="0.25">
      <c r="A1139" s="20">
        <v>1005</v>
      </c>
      <c r="B1139" s="24" t="s">
        <v>1858</v>
      </c>
      <c r="C1139" s="22">
        <v>33.18</v>
      </c>
      <c r="D1139" s="25" t="s">
        <v>1906</v>
      </c>
      <c r="E1139" s="24" t="s">
        <v>1907</v>
      </c>
      <c r="F1139" s="24" t="s">
        <v>1904</v>
      </c>
      <c r="G1139" s="202" t="s">
        <v>621</v>
      </c>
      <c r="H1139" s="26">
        <v>1572</v>
      </c>
      <c r="I1139" s="26">
        <v>572</v>
      </c>
      <c r="J1139" s="231">
        <f t="shared" si="6"/>
        <v>9.2499999999999995E-3</v>
      </c>
      <c r="K1139" s="231"/>
      <c r="L1139" s="231"/>
      <c r="M1139" s="231"/>
      <c r="N1139" s="231"/>
      <c r="O1139" s="231"/>
      <c r="P1139" s="231">
        <v>0.02</v>
      </c>
      <c r="Q1139" s="232"/>
      <c r="R1139" s="232"/>
      <c r="S1139" s="232"/>
      <c r="T1139" s="232"/>
      <c r="U1139" s="232"/>
      <c r="V1139" s="232"/>
      <c r="W1139" s="232">
        <v>1</v>
      </c>
      <c r="X1139" s="232"/>
      <c r="Y1139" s="232"/>
      <c r="Z1139" s="232"/>
      <c r="AA1139" s="232"/>
      <c r="AB1139" s="232"/>
      <c r="AC1139" s="232"/>
      <c r="AD1139" s="232"/>
      <c r="AE1139" s="232"/>
      <c r="AF1139" s="232"/>
      <c r="AG1139" s="232"/>
      <c r="AH1139" s="232"/>
      <c r="AI1139" s="232"/>
      <c r="AJ1139" s="232"/>
      <c r="AK1139" s="232"/>
      <c r="AL1139" s="28" t="str">
        <f>VLOOKUP($G1139,'[42]Sheet1 (2)'!$A$1:$B$1048440,2,FALSE)</f>
        <v>Sqm</v>
      </c>
      <c r="AM1139" s="233" t="s">
        <v>1908</v>
      </c>
      <c r="AN1139" s="232"/>
      <c r="AO1139" s="234"/>
    </row>
    <row r="1140" spans="1:41" ht="56" x14ac:dyDescent="0.25">
      <c r="A1140" s="20">
        <v>1006</v>
      </c>
      <c r="B1140" s="35" t="s">
        <v>1909</v>
      </c>
      <c r="C1140" s="22">
        <v>33.19</v>
      </c>
      <c r="D1140" s="25" t="s">
        <v>1910</v>
      </c>
      <c r="E1140" s="23" t="s">
        <v>1911</v>
      </c>
      <c r="F1140" s="24" t="s">
        <v>1912</v>
      </c>
      <c r="G1140" s="202" t="s">
        <v>621</v>
      </c>
      <c r="H1140" s="26">
        <v>1289</v>
      </c>
      <c r="I1140" s="26">
        <v>336</v>
      </c>
      <c r="J1140" s="231">
        <f t="shared" si="6"/>
        <v>9.2499999999999995E-3</v>
      </c>
      <c r="K1140" s="231"/>
      <c r="L1140" s="231"/>
      <c r="M1140" s="231"/>
      <c r="N1140" s="231"/>
      <c r="O1140" s="231"/>
      <c r="P1140" s="231">
        <v>0.02</v>
      </c>
      <c r="Q1140" s="232"/>
      <c r="R1140" s="232"/>
      <c r="S1140" s="232"/>
      <c r="T1140" s="232"/>
      <c r="U1140" s="232"/>
      <c r="V1140" s="232"/>
      <c r="W1140" s="232">
        <v>1</v>
      </c>
      <c r="X1140" s="232"/>
      <c r="Y1140" s="232"/>
      <c r="Z1140" s="232"/>
      <c r="AA1140" s="232"/>
      <c r="AB1140" s="232"/>
      <c r="AC1140" s="232"/>
      <c r="AD1140" s="232"/>
      <c r="AE1140" s="232"/>
      <c r="AF1140" s="232"/>
      <c r="AG1140" s="232"/>
      <c r="AH1140" s="232"/>
      <c r="AI1140" s="232"/>
      <c r="AJ1140" s="232"/>
      <c r="AK1140" s="232"/>
      <c r="AL1140" s="28" t="str">
        <f>VLOOKUP($G1140,'[42]Sheet1 (2)'!$A$1:$B$1048440,2,FALSE)</f>
        <v>Sqm</v>
      </c>
      <c r="AM1140" s="233" t="s">
        <v>1913</v>
      </c>
      <c r="AN1140" s="232"/>
      <c r="AO1140" s="234"/>
    </row>
    <row r="1141" spans="1:41" ht="56" x14ac:dyDescent="0.25">
      <c r="A1141" s="20">
        <v>1007</v>
      </c>
      <c r="B1141" s="35" t="s">
        <v>1909</v>
      </c>
      <c r="C1141" s="22">
        <v>33.200000000000003</v>
      </c>
      <c r="D1141" s="25" t="s">
        <v>1914</v>
      </c>
      <c r="E1141" s="23" t="s">
        <v>1915</v>
      </c>
      <c r="F1141" s="24" t="s">
        <v>1912</v>
      </c>
      <c r="G1141" s="202" t="s">
        <v>621</v>
      </c>
      <c r="H1141" s="26">
        <v>1084</v>
      </c>
      <c r="I1141" s="26">
        <v>336</v>
      </c>
      <c r="J1141" s="231">
        <f t="shared" si="6"/>
        <v>9.2499999999999995E-3</v>
      </c>
      <c r="K1141" s="231"/>
      <c r="L1141" s="231"/>
      <c r="M1141" s="231"/>
      <c r="N1141" s="231"/>
      <c r="O1141" s="231"/>
      <c r="P1141" s="231">
        <v>0.02</v>
      </c>
      <c r="Q1141" s="232"/>
      <c r="R1141" s="232"/>
      <c r="S1141" s="232"/>
      <c r="T1141" s="232"/>
      <c r="U1141" s="232"/>
      <c r="V1141" s="232"/>
      <c r="W1141" s="232">
        <v>1</v>
      </c>
      <c r="X1141" s="232"/>
      <c r="Y1141" s="232"/>
      <c r="Z1141" s="232"/>
      <c r="AA1141" s="232"/>
      <c r="AB1141" s="232"/>
      <c r="AC1141" s="232"/>
      <c r="AD1141" s="232"/>
      <c r="AE1141" s="232"/>
      <c r="AF1141" s="232"/>
      <c r="AG1141" s="232"/>
      <c r="AH1141" s="232"/>
      <c r="AI1141" s="232"/>
      <c r="AJ1141" s="232"/>
      <c r="AK1141" s="232"/>
      <c r="AL1141" s="28" t="str">
        <f>VLOOKUP($G1141,'[42]Sheet1 (2)'!$A$1:$B$1048440,2,FALSE)</f>
        <v>Sqm</v>
      </c>
      <c r="AM1141" s="233" t="s">
        <v>1916</v>
      </c>
      <c r="AN1141" s="232"/>
      <c r="AO1141" s="234"/>
    </row>
    <row r="1142" spans="1:41" ht="70" x14ac:dyDescent="0.25">
      <c r="A1142" s="20">
        <v>1008</v>
      </c>
      <c r="B1142" s="24" t="s">
        <v>1858</v>
      </c>
      <c r="C1142" s="22">
        <v>33.21</v>
      </c>
      <c r="D1142" s="26">
        <v>0</v>
      </c>
      <c r="E1142" s="24" t="s">
        <v>1917</v>
      </c>
      <c r="F1142" s="25" t="s">
        <v>1918</v>
      </c>
      <c r="G1142" s="202" t="s">
        <v>621</v>
      </c>
      <c r="H1142" s="26">
        <v>2149</v>
      </c>
      <c r="I1142" s="26">
        <v>336</v>
      </c>
      <c r="J1142" s="231">
        <f t="shared" si="6"/>
        <v>9.2499999999999995E-3</v>
      </c>
      <c r="K1142" s="231"/>
      <c r="L1142" s="231"/>
      <c r="M1142" s="231"/>
      <c r="N1142" s="231"/>
      <c r="O1142" s="231"/>
      <c r="P1142" s="231">
        <v>0.02</v>
      </c>
      <c r="Q1142" s="232"/>
      <c r="R1142" s="232"/>
      <c r="S1142" s="232"/>
      <c r="T1142" s="232"/>
      <c r="U1142" s="232"/>
      <c r="V1142" s="232"/>
      <c r="W1142" s="232">
        <v>1</v>
      </c>
      <c r="X1142" s="232"/>
      <c r="Y1142" s="232"/>
      <c r="Z1142" s="232"/>
      <c r="AA1142" s="232"/>
      <c r="AB1142" s="232"/>
      <c r="AC1142" s="232"/>
      <c r="AD1142" s="232"/>
      <c r="AE1142" s="232"/>
      <c r="AF1142" s="232"/>
      <c r="AG1142" s="232"/>
      <c r="AH1142" s="232"/>
      <c r="AI1142" s="232"/>
      <c r="AJ1142" s="232"/>
      <c r="AK1142" s="232"/>
      <c r="AL1142" s="28" t="str">
        <f>VLOOKUP($G1142,'[42]Sheet1 (2)'!$A$1:$B$1048440,2,FALSE)</f>
        <v>Sqm</v>
      </c>
      <c r="AM1142" s="233" t="s">
        <v>1919</v>
      </c>
      <c r="AN1142" s="232"/>
      <c r="AO1142" s="234"/>
    </row>
    <row r="1143" spans="1:41" ht="70" x14ac:dyDescent="0.25">
      <c r="A1143" s="20">
        <v>1009</v>
      </c>
      <c r="B1143" s="24" t="s">
        <v>1858</v>
      </c>
      <c r="C1143" s="22">
        <v>33.22</v>
      </c>
      <c r="D1143" s="26">
        <v>0</v>
      </c>
      <c r="E1143" s="24" t="s">
        <v>1920</v>
      </c>
      <c r="F1143" s="25" t="s">
        <v>1921</v>
      </c>
      <c r="G1143" s="202" t="s">
        <v>621</v>
      </c>
      <c r="H1143" s="26">
        <v>3886</v>
      </c>
      <c r="I1143" s="26">
        <v>336</v>
      </c>
      <c r="J1143" s="231">
        <f t="shared" si="6"/>
        <v>9.2499999999999995E-3</v>
      </c>
      <c r="K1143" s="231"/>
      <c r="L1143" s="231"/>
      <c r="M1143" s="231"/>
      <c r="N1143" s="231"/>
      <c r="O1143" s="231"/>
      <c r="P1143" s="231">
        <v>0.02</v>
      </c>
      <c r="Q1143" s="232"/>
      <c r="R1143" s="232"/>
      <c r="S1143" s="232"/>
      <c r="T1143" s="232"/>
      <c r="U1143" s="232"/>
      <c r="V1143" s="232"/>
      <c r="W1143" s="232">
        <v>1</v>
      </c>
      <c r="X1143" s="232"/>
      <c r="Y1143" s="232"/>
      <c r="Z1143" s="232"/>
      <c r="AA1143" s="232"/>
      <c r="AB1143" s="232"/>
      <c r="AC1143" s="232"/>
      <c r="AD1143" s="232"/>
      <c r="AE1143" s="232"/>
      <c r="AF1143" s="232"/>
      <c r="AG1143" s="232"/>
      <c r="AH1143" s="232"/>
      <c r="AI1143" s="232"/>
      <c r="AJ1143" s="232"/>
      <c r="AK1143" s="232"/>
      <c r="AL1143" s="28" t="str">
        <f>VLOOKUP($G1143,'[42]Sheet1 (2)'!$A$1:$B$1048440,2,FALSE)</f>
        <v>Sqm</v>
      </c>
      <c r="AM1143" s="233" t="s">
        <v>1922</v>
      </c>
      <c r="AN1143" s="232"/>
      <c r="AO1143" s="234"/>
    </row>
    <row r="1144" spans="1:41" ht="84" x14ac:dyDescent="0.25">
      <c r="A1144" s="20">
        <v>1010</v>
      </c>
      <c r="B1144" s="24" t="s">
        <v>1858</v>
      </c>
      <c r="C1144" s="22">
        <v>33.229999999999997</v>
      </c>
      <c r="D1144" s="25" t="s">
        <v>1923</v>
      </c>
      <c r="E1144" s="23" t="s">
        <v>1924</v>
      </c>
      <c r="F1144" s="24" t="s">
        <v>1912</v>
      </c>
      <c r="G1144" s="202" t="s">
        <v>621</v>
      </c>
      <c r="H1144" s="26">
        <v>1221</v>
      </c>
      <c r="I1144" s="26">
        <v>381</v>
      </c>
      <c r="J1144" s="231">
        <f>0.04/20</f>
        <v>2E-3</v>
      </c>
      <c r="K1144" s="231"/>
      <c r="L1144" s="231"/>
      <c r="M1144" s="231"/>
      <c r="N1144" s="231"/>
      <c r="O1144" s="231"/>
      <c r="P1144" s="231">
        <v>0.02</v>
      </c>
      <c r="Q1144" s="232"/>
      <c r="R1144" s="232"/>
      <c r="S1144" s="232"/>
      <c r="T1144" s="232"/>
      <c r="U1144" s="232"/>
      <c r="V1144" s="232"/>
      <c r="W1144" s="232">
        <v>1</v>
      </c>
      <c r="X1144" s="232"/>
      <c r="Y1144" s="232"/>
      <c r="Z1144" s="232"/>
      <c r="AA1144" s="232"/>
      <c r="AB1144" s="232"/>
      <c r="AC1144" s="232"/>
      <c r="AD1144" s="232"/>
      <c r="AE1144" s="232"/>
      <c r="AF1144" s="232"/>
      <c r="AG1144" s="232"/>
      <c r="AH1144" s="232"/>
      <c r="AI1144" s="232"/>
      <c r="AJ1144" s="232"/>
      <c r="AK1144" s="232"/>
      <c r="AL1144" s="28" t="str">
        <f>VLOOKUP($G1144,'[42]Sheet1 (2)'!$A$1:$B$1048440,2,FALSE)</f>
        <v>Sqm</v>
      </c>
      <c r="AM1144" s="233" t="s">
        <v>1925</v>
      </c>
      <c r="AN1144" s="232"/>
      <c r="AO1144" s="234"/>
    </row>
    <row r="1145" spans="1:41" ht="84" x14ac:dyDescent="0.25">
      <c r="A1145" s="20">
        <v>1011</v>
      </c>
      <c r="B1145" s="24" t="s">
        <v>1858</v>
      </c>
      <c r="C1145" s="22">
        <v>33.24</v>
      </c>
      <c r="D1145" s="25" t="s">
        <v>1926</v>
      </c>
      <c r="E1145" s="24" t="s">
        <v>3797</v>
      </c>
      <c r="F1145" s="24" t="s">
        <v>1927</v>
      </c>
      <c r="G1145" s="202" t="s">
        <v>621</v>
      </c>
      <c r="H1145" s="26">
        <v>1182</v>
      </c>
      <c r="I1145" s="26">
        <v>355</v>
      </c>
      <c r="J1145" s="231">
        <f>0.2/20</f>
        <v>0.01</v>
      </c>
      <c r="K1145" s="231"/>
      <c r="L1145" s="231"/>
      <c r="M1145" s="231"/>
      <c r="N1145" s="231"/>
      <c r="O1145" s="231"/>
      <c r="P1145" s="231">
        <v>1.7000000000000001E-2</v>
      </c>
      <c r="Q1145" s="232"/>
      <c r="R1145" s="232"/>
      <c r="S1145" s="232"/>
      <c r="T1145" s="232"/>
      <c r="U1145" s="232"/>
      <c r="V1145" s="232"/>
      <c r="W1145" s="232">
        <v>1</v>
      </c>
      <c r="X1145" s="232"/>
      <c r="Y1145" s="232"/>
      <c r="Z1145" s="232"/>
      <c r="AA1145" s="232"/>
      <c r="AB1145" s="232"/>
      <c r="AC1145" s="232"/>
      <c r="AD1145" s="232"/>
      <c r="AE1145" s="232"/>
      <c r="AF1145" s="232"/>
      <c r="AG1145" s="232"/>
      <c r="AH1145" s="232"/>
      <c r="AI1145" s="232"/>
      <c r="AJ1145" s="232"/>
      <c r="AK1145" s="232"/>
      <c r="AL1145" s="28" t="str">
        <f>VLOOKUP($G1145,'[42]Sheet1 (2)'!$A$1:$B$1048440,2,FALSE)</f>
        <v>Sqm</v>
      </c>
      <c r="AM1145" s="233" t="s">
        <v>1928</v>
      </c>
      <c r="AN1145" s="232"/>
      <c r="AO1145" s="234"/>
    </row>
    <row r="1146" spans="1:41" ht="84" x14ac:dyDescent="0.25">
      <c r="A1146" s="20">
        <v>1012</v>
      </c>
      <c r="B1146" s="24" t="s">
        <v>1858</v>
      </c>
      <c r="C1146" s="22">
        <v>33.25</v>
      </c>
      <c r="D1146" s="25" t="s">
        <v>1929</v>
      </c>
      <c r="E1146" s="24" t="s">
        <v>1930</v>
      </c>
      <c r="F1146" s="24" t="s">
        <v>1931</v>
      </c>
      <c r="G1146" s="202" t="s">
        <v>621</v>
      </c>
      <c r="H1146" s="26">
        <v>1255</v>
      </c>
      <c r="I1146" s="26">
        <v>434</v>
      </c>
      <c r="J1146" s="231">
        <f>0.2/20</f>
        <v>0.01</v>
      </c>
      <c r="K1146" s="231"/>
      <c r="L1146" s="231"/>
      <c r="M1146" s="231"/>
      <c r="N1146" s="231"/>
      <c r="O1146" s="231"/>
      <c r="P1146" s="231">
        <v>1.7000000000000001E-2</v>
      </c>
      <c r="Q1146" s="232"/>
      <c r="R1146" s="232"/>
      <c r="S1146" s="232"/>
      <c r="T1146" s="232"/>
      <c r="U1146" s="232"/>
      <c r="V1146" s="232"/>
      <c r="W1146" s="232">
        <v>1</v>
      </c>
      <c r="X1146" s="232"/>
      <c r="Y1146" s="232"/>
      <c r="Z1146" s="232"/>
      <c r="AA1146" s="232"/>
      <c r="AB1146" s="232"/>
      <c r="AC1146" s="232"/>
      <c r="AD1146" s="232"/>
      <c r="AE1146" s="232"/>
      <c r="AF1146" s="232"/>
      <c r="AG1146" s="232"/>
      <c r="AH1146" s="232"/>
      <c r="AI1146" s="232"/>
      <c r="AJ1146" s="232"/>
      <c r="AK1146" s="232"/>
      <c r="AL1146" s="28" t="str">
        <f>VLOOKUP($G1146,'[42]Sheet1 (2)'!$A$1:$B$1048440,2,FALSE)</f>
        <v>Sqm</v>
      </c>
      <c r="AM1146" s="233" t="s">
        <v>1932</v>
      </c>
      <c r="AN1146" s="232"/>
      <c r="AO1146" s="234"/>
    </row>
    <row r="1147" spans="1:41" ht="84" x14ac:dyDescent="0.25">
      <c r="A1147" s="20">
        <v>1013</v>
      </c>
      <c r="B1147" s="24" t="s">
        <v>1858</v>
      </c>
      <c r="C1147" s="22">
        <v>33.26</v>
      </c>
      <c r="D1147" s="25" t="s">
        <v>1929</v>
      </c>
      <c r="E1147" s="23" t="s">
        <v>1933</v>
      </c>
      <c r="F1147" s="24" t="s">
        <v>1931</v>
      </c>
      <c r="G1147" s="202" t="s">
        <v>621</v>
      </c>
      <c r="H1147" s="26">
        <v>1278</v>
      </c>
      <c r="I1147" s="26">
        <v>431</v>
      </c>
      <c r="J1147" s="231">
        <f>0.2/20</f>
        <v>0.01</v>
      </c>
      <c r="K1147" s="231"/>
      <c r="L1147" s="231"/>
      <c r="M1147" s="231"/>
      <c r="N1147" s="231"/>
      <c r="O1147" s="231"/>
      <c r="P1147" s="231">
        <v>1.7000000000000001E-2</v>
      </c>
      <c r="Q1147" s="232"/>
      <c r="R1147" s="232"/>
      <c r="S1147" s="232"/>
      <c r="T1147" s="232"/>
      <c r="U1147" s="232"/>
      <c r="V1147" s="232"/>
      <c r="W1147" s="232">
        <v>1</v>
      </c>
      <c r="X1147" s="232"/>
      <c r="Y1147" s="232"/>
      <c r="Z1147" s="232"/>
      <c r="AA1147" s="232"/>
      <c r="AB1147" s="232"/>
      <c r="AC1147" s="232"/>
      <c r="AD1147" s="232"/>
      <c r="AE1147" s="232"/>
      <c r="AF1147" s="232"/>
      <c r="AG1147" s="232"/>
      <c r="AH1147" s="232"/>
      <c r="AI1147" s="232"/>
      <c r="AJ1147" s="232"/>
      <c r="AK1147" s="232"/>
      <c r="AL1147" s="28" t="str">
        <f>VLOOKUP($G1147,'[42]Sheet1 (2)'!$A$1:$B$1048440,2,FALSE)</f>
        <v>Sqm</v>
      </c>
      <c r="AM1147" s="233" t="s">
        <v>1934</v>
      </c>
      <c r="AN1147" s="232"/>
      <c r="AO1147" s="234"/>
    </row>
    <row r="1148" spans="1:41" ht="84" x14ac:dyDescent="0.25">
      <c r="A1148" s="20">
        <v>1014</v>
      </c>
      <c r="B1148" s="24" t="s">
        <v>1858</v>
      </c>
      <c r="C1148" s="22">
        <v>33.270000000000003</v>
      </c>
      <c r="D1148" s="25" t="s">
        <v>1929</v>
      </c>
      <c r="E1148" s="23" t="s">
        <v>1935</v>
      </c>
      <c r="F1148" s="24" t="s">
        <v>1931</v>
      </c>
      <c r="G1148" s="202" t="s">
        <v>621</v>
      </c>
      <c r="H1148" s="26">
        <v>1392</v>
      </c>
      <c r="I1148" s="26">
        <v>434</v>
      </c>
      <c r="J1148" s="231">
        <f>0.2/20</f>
        <v>0.01</v>
      </c>
      <c r="K1148" s="231"/>
      <c r="L1148" s="231"/>
      <c r="M1148" s="231"/>
      <c r="N1148" s="231"/>
      <c r="O1148" s="231"/>
      <c r="P1148" s="231">
        <v>1.7000000000000001E-2</v>
      </c>
      <c r="Q1148" s="232"/>
      <c r="R1148" s="232"/>
      <c r="S1148" s="232"/>
      <c r="T1148" s="232"/>
      <c r="U1148" s="232"/>
      <c r="V1148" s="232"/>
      <c r="W1148" s="232">
        <v>1</v>
      </c>
      <c r="X1148" s="232"/>
      <c r="Y1148" s="232"/>
      <c r="Z1148" s="232"/>
      <c r="AA1148" s="232"/>
      <c r="AB1148" s="232"/>
      <c r="AC1148" s="232"/>
      <c r="AD1148" s="232"/>
      <c r="AE1148" s="232"/>
      <c r="AF1148" s="232"/>
      <c r="AG1148" s="232"/>
      <c r="AH1148" s="232"/>
      <c r="AI1148" s="232"/>
      <c r="AJ1148" s="232"/>
      <c r="AK1148" s="232"/>
      <c r="AL1148" s="28" t="str">
        <f>VLOOKUP($G1148,'[42]Sheet1 (2)'!$A$1:$B$1048440,2,FALSE)</f>
        <v>Sqm</v>
      </c>
      <c r="AM1148" s="233" t="s">
        <v>1936</v>
      </c>
      <c r="AN1148" s="232"/>
      <c r="AO1148" s="234"/>
    </row>
    <row r="1149" spans="1:41" ht="46.5" x14ac:dyDescent="0.25">
      <c r="A1149" s="20">
        <v>1015</v>
      </c>
      <c r="B1149" s="24" t="s">
        <v>1858</v>
      </c>
      <c r="C1149" s="22">
        <v>33.28</v>
      </c>
      <c r="D1149" s="25" t="s">
        <v>1879</v>
      </c>
      <c r="E1149" s="24" t="s">
        <v>1937</v>
      </c>
      <c r="F1149" s="24" t="s">
        <v>742</v>
      </c>
      <c r="G1149" s="202" t="s">
        <v>621</v>
      </c>
      <c r="H1149" s="26">
        <v>149</v>
      </c>
      <c r="I1149" s="26">
        <v>36</v>
      </c>
      <c r="J1149" s="231"/>
      <c r="K1149" s="231"/>
      <c r="L1149" s="231"/>
      <c r="M1149" s="231"/>
      <c r="N1149" s="231"/>
      <c r="O1149" s="231"/>
      <c r="P1149" s="231"/>
      <c r="Q1149" s="232"/>
      <c r="R1149" s="232"/>
      <c r="S1149" s="232"/>
      <c r="T1149" s="232"/>
      <c r="U1149" s="232"/>
      <c r="V1149" s="232"/>
      <c r="W1149" s="232"/>
      <c r="X1149" s="232"/>
      <c r="Y1149" s="232"/>
      <c r="Z1149" s="232"/>
      <c r="AA1149" s="232"/>
      <c r="AB1149" s="232"/>
      <c r="AC1149" s="232"/>
      <c r="AD1149" s="232"/>
      <c r="AE1149" s="232"/>
      <c r="AF1149" s="232"/>
      <c r="AG1149" s="232"/>
      <c r="AH1149" s="232"/>
      <c r="AI1149" s="232"/>
      <c r="AJ1149" s="232"/>
      <c r="AK1149" s="232"/>
      <c r="AL1149" s="28" t="str">
        <f>VLOOKUP($G1149,'[42]Sheet1 (2)'!$A$1:$B$1048440,2,FALSE)</f>
        <v>Sqm</v>
      </c>
      <c r="AM1149" s="233"/>
      <c r="AN1149" s="232"/>
      <c r="AO1149" s="234"/>
    </row>
    <row r="1150" spans="1:41" ht="56" x14ac:dyDescent="0.25">
      <c r="A1150" s="20">
        <v>1016</v>
      </c>
      <c r="B1150" s="35" t="s">
        <v>1909</v>
      </c>
      <c r="C1150" s="22">
        <v>33.29</v>
      </c>
      <c r="D1150" s="25" t="s">
        <v>1879</v>
      </c>
      <c r="E1150" s="24" t="s">
        <v>1938</v>
      </c>
      <c r="F1150" s="35" t="s">
        <v>1761</v>
      </c>
      <c r="G1150" s="21" t="s">
        <v>80</v>
      </c>
      <c r="H1150" s="26">
        <v>79</v>
      </c>
      <c r="I1150" s="26">
        <v>36</v>
      </c>
      <c r="J1150" s="231"/>
      <c r="K1150" s="231"/>
      <c r="L1150" s="231"/>
      <c r="M1150" s="231"/>
      <c r="N1150" s="231"/>
      <c r="O1150" s="231"/>
      <c r="P1150" s="231"/>
      <c r="Q1150" s="232"/>
      <c r="R1150" s="232"/>
      <c r="S1150" s="232"/>
      <c r="T1150" s="232"/>
      <c r="U1150" s="232"/>
      <c r="V1150" s="232"/>
      <c r="W1150" s="232"/>
      <c r="X1150" s="232"/>
      <c r="Y1150" s="232"/>
      <c r="Z1150" s="232"/>
      <c r="AA1150" s="232"/>
      <c r="AB1150" s="232"/>
      <c r="AC1150" s="232"/>
      <c r="AD1150" s="232"/>
      <c r="AE1150" s="232"/>
      <c r="AF1150" s="232"/>
      <c r="AG1150" s="232"/>
      <c r="AH1150" s="232"/>
      <c r="AI1150" s="232"/>
      <c r="AJ1150" s="232"/>
      <c r="AK1150" s="232"/>
      <c r="AL1150" s="28" t="str">
        <f>VLOOKUP($G1150,'[42]Sheet1 (2)'!$A$1:$B$1048440,2,FALSE)</f>
        <v>Rmt.</v>
      </c>
      <c r="AM1150" s="233"/>
      <c r="AN1150" s="232"/>
      <c r="AO1150" s="234"/>
    </row>
    <row r="1151" spans="1:41" ht="56" x14ac:dyDescent="0.25">
      <c r="A1151" s="20">
        <v>1017</v>
      </c>
      <c r="B1151" s="35" t="s">
        <v>1909</v>
      </c>
      <c r="C1151" s="22">
        <v>33.299999999999997</v>
      </c>
      <c r="D1151" s="25" t="s">
        <v>1879</v>
      </c>
      <c r="E1151" s="23" t="s">
        <v>1939</v>
      </c>
      <c r="F1151" s="35" t="s">
        <v>1742</v>
      </c>
      <c r="G1151" s="202" t="s">
        <v>621</v>
      </c>
      <c r="H1151" s="26">
        <v>796</v>
      </c>
      <c r="I1151" s="26">
        <v>191</v>
      </c>
      <c r="J1151" s="231">
        <f>0.1*7/20</f>
        <v>3.5000000000000003E-2</v>
      </c>
      <c r="K1151" s="231"/>
      <c r="L1151" s="231">
        <f>0.1*0.85</f>
        <v>8.5000000000000006E-2</v>
      </c>
      <c r="M1151" s="231"/>
      <c r="N1151" s="231"/>
      <c r="O1151" s="231"/>
      <c r="P1151" s="231">
        <f>0.1*0.45</f>
        <v>4.5000000000000005E-2</v>
      </c>
      <c r="Q1151" s="232"/>
      <c r="R1151" s="232"/>
      <c r="S1151" s="232"/>
      <c r="T1151" s="232"/>
      <c r="U1151" s="232"/>
      <c r="V1151" s="232"/>
      <c r="W1151" s="232"/>
      <c r="X1151" s="232"/>
      <c r="Y1151" s="232"/>
      <c r="Z1151" s="232"/>
      <c r="AA1151" s="232"/>
      <c r="AB1151" s="232"/>
      <c r="AC1151" s="232"/>
      <c r="AD1151" s="232"/>
      <c r="AE1151" s="232"/>
      <c r="AF1151" s="232"/>
      <c r="AG1151" s="232"/>
      <c r="AH1151" s="232"/>
      <c r="AI1151" s="232"/>
      <c r="AJ1151" s="232"/>
      <c r="AK1151" s="232"/>
      <c r="AL1151" s="28" t="str">
        <f>VLOOKUP($G1151,'[42]Sheet1 (2)'!$A$1:$B$1048440,2,FALSE)</f>
        <v>Sqm</v>
      </c>
      <c r="AM1151" s="233" t="s">
        <v>1940</v>
      </c>
      <c r="AN1151" s="232"/>
      <c r="AO1151" s="234"/>
    </row>
    <row r="1152" spans="1:41" ht="56" x14ac:dyDescent="0.25">
      <c r="A1152" s="20">
        <v>1018</v>
      </c>
      <c r="B1152" s="35" t="s">
        <v>1909</v>
      </c>
      <c r="C1152" s="22">
        <v>33.31</v>
      </c>
      <c r="D1152" s="25" t="s">
        <v>1879</v>
      </c>
      <c r="E1152" s="23" t="s">
        <v>1941</v>
      </c>
      <c r="F1152" s="35" t="s">
        <v>1742</v>
      </c>
      <c r="G1152" s="202" t="s">
        <v>621</v>
      </c>
      <c r="H1152" s="26">
        <v>1464</v>
      </c>
      <c r="I1152" s="26">
        <v>346</v>
      </c>
      <c r="J1152" s="235">
        <f>0.2*8/20</f>
        <v>0.08</v>
      </c>
      <c r="K1152" s="231"/>
      <c r="L1152" s="231">
        <f>0.2*0.85</f>
        <v>0.17</v>
      </c>
      <c r="M1152" s="231"/>
      <c r="N1152" s="231"/>
      <c r="O1152" s="231"/>
      <c r="P1152" s="231">
        <f>0.2*0.425</f>
        <v>8.5000000000000006E-2</v>
      </c>
      <c r="Q1152" s="232"/>
      <c r="R1152" s="232"/>
      <c r="S1152" s="232"/>
      <c r="T1152" s="232"/>
      <c r="U1152" s="232"/>
      <c r="V1152" s="232"/>
      <c r="W1152" s="232"/>
      <c r="X1152" s="232"/>
      <c r="Y1152" s="232"/>
      <c r="Z1152" s="232"/>
      <c r="AA1152" s="232"/>
      <c r="AB1152" s="232"/>
      <c r="AC1152" s="232"/>
      <c r="AD1152" s="232"/>
      <c r="AE1152" s="232"/>
      <c r="AF1152" s="232"/>
      <c r="AG1152" s="232"/>
      <c r="AH1152" s="232"/>
      <c r="AI1152" s="232"/>
      <c r="AJ1152" s="232"/>
      <c r="AK1152" s="232"/>
      <c r="AL1152" s="28" t="str">
        <f>VLOOKUP($G1152,'[42]Sheet1 (2)'!$A$1:$B$1048440,2,FALSE)</f>
        <v>Sqm</v>
      </c>
      <c r="AM1152" s="233" t="s">
        <v>1942</v>
      </c>
      <c r="AN1152" s="232"/>
      <c r="AO1152" s="234"/>
    </row>
    <row r="1153" spans="1:41" ht="56" x14ac:dyDescent="0.25">
      <c r="A1153" s="20">
        <v>1019</v>
      </c>
      <c r="B1153" s="24" t="s">
        <v>1858</v>
      </c>
      <c r="C1153" s="22">
        <v>33.32</v>
      </c>
      <c r="D1153" s="25" t="s">
        <v>1943</v>
      </c>
      <c r="E1153" s="23" t="s">
        <v>1944</v>
      </c>
      <c r="F1153" s="35" t="s">
        <v>1945</v>
      </c>
      <c r="G1153" s="202" t="s">
        <v>621</v>
      </c>
      <c r="H1153" s="26">
        <v>988</v>
      </c>
      <c r="I1153" s="26">
        <v>332</v>
      </c>
      <c r="J1153" s="231">
        <f>0.05/20</f>
        <v>2.5000000000000001E-3</v>
      </c>
      <c r="K1153" s="231"/>
      <c r="L1153" s="231"/>
      <c r="M1153" s="231"/>
      <c r="N1153" s="231"/>
      <c r="O1153" s="231"/>
      <c r="P1153" s="231">
        <v>5.0000000000000001E-3</v>
      </c>
      <c r="Q1153" s="232"/>
      <c r="R1153" s="232"/>
      <c r="S1153" s="232"/>
      <c r="T1153" s="232"/>
      <c r="U1153" s="232"/>
      <c r="V1153" s="232"/>
      <c r="W1153" s="232">
        <v>1</v>
      </c>
      <c r="X1153" s="232"/>
      <c r="Y1153" s="232"/>
      <c r="Z1153" s="232"/>
      <c r="AA1153" s="232"/>
      <c r="AB1153" s="232"/>
      <c r="AC1153" s="232"/>
      <c r="AD1153" s="232"/>
      <c r="AE1153" s="232"/>
      <c r="AF1153" s="232"/>
      <c r="AG1153" s="232"/>
      <c r="AH1153" s="232"/>
      <c r="AI1153" s="232"/>
      <c r="AJ1153" s="232"/>
      <c r="AK1153" s="232"/>
      <c r="AL1153" s="28" t="str">
        <f>VLOOKUP($G1153,'[42]Sheet1 (2)'!$A$1:$B$1048440,2,FALSE)</f>
        <v>Sqm</v>
      </c>
      <c r="AM1153" s="233" t="s">
        <v>1946</v>
      </c>
      <c r="AN1153" s="232"/>
      <c r="AO1153" s="234"/>
    </row>
    <row r="1154" spans="1:41" ht="70" x14ac:dyDescent="0.25">
      <c r="A1154" s="20">
        <v>1020</v>
      </c>
      <c r="B1154" s="24" t="s">
        <v>1858</v>
      </c>
      <c r="C1154" s="22">
        <v>33.33</v>
      </c>
      <c r="D1154" s="25" t="s">
        <v>1943</v>
      </c>
      <c r="E1154" s="23" t="s">
        <v>1947</v>
      </c>
      <c r="F1154" s="35" t="s">
        <v>1945</v>
      </c>
      <c r="G1154" s="202" t="s">
        <v>621</v>
      </c>
      <c r="H1154" s="26">
        <v>1159</v>
      </c>
      <c r="I1154" s="26">
        <v>332</v>
      </c>
      <c r="J1154" s="231">
        <f>0.05/20</f>
        <v>2.5000000000000001E-3</v>
      </c>
      <c r="K1154" s="231"/>
      <c r="L1154" s="231"/>
      <c r="M1154" s="231"/>
      <c r="N1154" s="231"/>
      <c r="O1154" s="231"/>
      <c r="P1154" s="231">
        <v>5.0000000000000001E-3</v>
      </c>
      <c r="Q1154" s="232"/>
      <c r="R1154" s="232"/>
      <c r="S1154" s="232"/>
      <c r="T1154" s="232"/>
      <c r="U1154" s="232"/>
      <c r="V1154" s="232"/>
      <c r="W1154" s="232">
        <v>1</v>
      </c>
      <c r="X1154" s="232"/>
      <c r="Y1154" s="232"/>
      <c r="Z1154" s="232"/>
      <c r="AA1154" s="232"/>
      <c r="AB1154" s="232"/>
      <c r="AC1154" s="232"/>
      <c r="AD1154" s="232"/>
      <c r="AE1154" s="232"/>
      <c r="AF1154" s="232"/>
      <c r="AG1154" s="232"/>
      <c r="AH1154" s="232"/>
      <c r="AI1154" s="232"/>
      <c r="AJ1154" s="232"/>
      <c r="AK1154" s="232"/>
      <c r="AL1154" s="28" t="str">
        <f>VLOOKUP($G1154,'[42]Sheet1 (2)'!$A$1:$B$1048440,2,FALSE)</f>
        <v>Sqm</v>
      </c>
      <c r="AM1154" s="233" t="s">
        <v>1948</v>
      </c>
      <c r="AN1154" s="232"/>
      <c r="AO1154" s="234"/>
    </row>
    <row r="1155" spans="1:41" ht="84" x14ac:dyDescent="0.25">
      <c r="A1155" s="20">
        <v>1021</v>
      </c>
      <c r="B1155" s="24" t="s">
        <v>1858</v>
      </c>
      <c r="C1155" s="22">
        <v>33.340000000000003</v>
      </c>
      <c r="D1155" s="25" t="s">
        <v>1869</v>
      </c>
      <c r="E1155" s="23" t="s">
        <v>1949</v>
      </c>
      <c r="F1155" s="92" t="s">
        <v>1950</v>
      </c>
      <c r="G1155" s="202" t="s">
        <v>621</v>
      </c>
      <c r="H1155" s="26">
        <v>4024</v>
      </c>
      <c r="I1155" s="26">
        <v>332</v>
      </c>
      <c r="J1155" s="231">
        <f>0.185/20</f>
        <v>9.2499999999999995E-3</v>
      </c>
      <c r="K1155" s="231"/>
      <c r="L1155" s="231"/>
      <c r="M1155" s="231"/>
      <c r="N1155" s="231"/>
      <c r="O1155" s="231"/>
      <c r="P1155" s="231">
        <v>0.02</v>
      </c>
      <c r="Q1155" s="232"/>
      <c r="R1155" s="232"/>
      <c r="S1155" s="232"/>
      <c r="T1155" s="232"/>
      <c r="U1155" s="232"/>
      <c r="V1155" s="232"/>
      <c r="W1155" s="232">
        <v>1</v>
      </c>
      <c r="X1155" s="232"/>
      <c r="Y1155" s="232"/>
      <c r="Z1155" s="232"/>
      <c r="AA1155" s="232"/>
      <c r="AB1155" s="232"/>
      <c r="AC1155" s="232"/>
      <c r="AD1155" s="232"/>
      <c r="AE1155" s="232"/>
      <c r="AF1155" s="232"/>
      <c r="AG1155" s="232"/>
      <c r="AH1155" s="232"/>
      <c r="AI1155" s="232"/>
      <c r="AJ1155" s="232"/>
      <c r="AK1155" s="232"/>
      <c r="AL1155" s="28" t="str">
        <f>VLOOKUP($G1155,'[42]Sheet1 (2)'!$A$1:$B$1048440,2,FALSE)</f>
        <v>Sqm</v>
      </c>
      <c r="AM1155" s="233" t="s">
        <v>1951</v>
      </c>
      <c r="AN1155" s="232"/>
      <c r="AO1155" s="234"/>
    </row>
    <row r="1156" spans="1:41" ht="100" x14ac:dyDescent="0.25">
      <c r="A1156" s="20">
        <v>1022</v>
      </c>
      <c r="B1156" s="24" t="s">
        <v>1858</v>
      </c>
      <c r="C1156" s="22">
        <v>33.35</v>
      </c>
      <c r="D1156" s="25" t="s">
        <v>1902</v>
      </c>
      <c r="E1156" s="24" t="s">
        <v>1952</v>
      </c>
      <c r="F1156" s="35" t="s">
        <v>1953</v>
      </c>
      <c r="G1156" s="202" t="s">
        <v>621</v>
      </c>
      <c r="H1156" s="26">
        <v>4172</v>
      </c>
      <c r="I1156" s="26">
        <v>438</v>
      </c>
      <c r="J1156" s="236">
        <f>0.2/20</f>
        <v>0.01</v>
      </c>
      <c r="K1156" s="231"/>
      <c r="L1156" s="231"/>
      <c r="M1156" s="231"/>
      <c r="N1156" s="231"/>
      <c r="O1156" s="231"/>
      <c r="P1156" s="231">
        <v>0.02</v>
      </c>
      <c r="Q1156" s="232"/>
      <c r="R1156" s="232"/>
      <c r="S1156" s="232"/>
      <c r="T1156" s="232"/>
      <c r="U1156" s="232"/>
      <c r="V1156" s="232"/>
      <c r="W1156" s="232">
        <v>1</v>
      </c>
      <c r="X1156" s="232"/>
      <c r="Y1156" s="232"/>
      <c r="Z1156" s="232"/>
      <c r="AA1156" s="232"/>
      <c r="AB1156" s="232"/>
      <c r="AC1156" s="232"/>
      <c r="AD1156" s="232"/>
      <c r="AE1156" s="232"/>
      <c r="AF1156" s="232"/>
      <c r="AG1156" s="232"/>
      <c r="AH1156" s="232"/>
      <c r="AI1156" s="232"/>
      <c r="AJ1156" s="232"/>
      <c r="AK1156" s="232"/>
      <c r="AL1156" s="28" t="str">
        <f>VLOOKUP($G1156,'[42]Sheet1 (2)'!$A$1:$B$1048440,2,FALSE)</f>
        <v>Sqm</v>
      </c>
      <c r="AM1156" s="233" t="s">
        <v>1954</v>
      </c>
      <c r="AN1156" s="232"/>
      <c r="AO1156" s="234"/>
    </row>
    <row r="1157" spans="1:41" ht="70" x14ac:dyDescent="0.25">
      <c r="A1157" s="20">
        <v>1023</v>
      </c>
      <c r="B1157" s="24" t="s">
        <v>1858</v>
      </c>
      <c r="C1157" s="22">
        <v>33.36</v>
      </c>
      <c r="D1157" s="25" t="s">
        <v>1943</v>
      </c>
      <c r="E1157" s="24" t="s">
        <v>1955</v>
      </c>
      <c r="F1157" s="21" t="s">
        <v>1956</v>
      </c>
      <c r="G1157" s="202" t="s">
        <v>621</v>
      </c>
      <c r="H1157" s="26">
        <v>4019</v>
      </c>
      <c r="I1157" s="26">
        <v>332</v>
      </c>
      <c r="J1157" s="236">
        <f t="shared" ref="J1157:J1158" si="7">0.2/20</f>
        <v>0.01</v>
      </c>
      <c r="K1157" s="231"/>
      <c r="L1157" s="231"/>
      <c r="M1157" s="231"/>
      <c r="N1157" s="231"/>
      <c r="O1157" s="231"/>
      <c r="P1157" s="231">
        <v>0.02</v>
      </c>
      <c r="Q1157" s="232"/>
      <c r="R1157" s="232"/>
      <c r="S1157" s="232"/>
      <c r="T1157" s="232"/>
      <c r="U1157" s="232"/>
      <c r="V1157" s="232"/>
      <c r="W1157" s="232">
        <v>1</v>
      </c>
      <c r="X1157" s="232"/>
      <c r="Y1157" s="232"/>
      <c r="Z1157" s="232"/>
      <c r="AA1157" s="232"/>
      <c r="AB1157" s="232"/>
      <c r="AC1157" s="232"/>
      <c r="AD1157" s="232"/>
      <c r="AE1157" s="232"/>
      <c r="AF1157" s="232"/>
      <c r="AG1157" s="232"/>
      <c r="AH1157" s="232"/>
      <c r="AI1157" s="232"/>
      <c r="AJ1157" s="232"/>
      <c r="AK1157" s="232"/>
      <c r="AL1157" s="28" t="str">
        <f>VLOOKUP($G1157,'[42]Sheet1 (2)'!$A$1:$B$1048440,2,FALSE)</f>
        <v>Sqm</v>
      </c>
      <c r="AM1157" s="233" t="s">
        <v>1957</v>
      </c>
      <c r="AN1157" s="232"/>
      <c r="AO1157" s="234"/>
    </row>
    <row r="1158" spans="1:41" ht="70" x14ac:dyDescent="0.25">
      <c r="A1158" s="20">
        <v>1024</v>
      </c>
      <c r="B1158" s="24" t="s">
        <v>1858</v>
      </c>
      <c r="C1158" s="22">
        <v>33.369999999999997</v>
      </c>
      <c r="D1158" s="25" t="s">
        <v>1943</v>
      </c>
      <c r="E1158" s="23" t="s">
        <v>1958</v>
      </c>
      <c r="F1158" s="21" t="s">
        <v>1956</v>
      </c>
      <c r="G1158" s="202" t="s">
        <v>621</v>
      </c>
      <c r="H1158" s="26">
        <v>4010</v>
      </c>
      <c r="I1158" s="26">
        <v>332</v>
      </c>
      <c r="J1158" s="236">
        <f t="shared" si="7"/>
        <v>0.01</v>
      </c>
      <c r="K1158" s="231"/>
      <c r="L1158" s="231"/>
      <c r="M1158" s="231"/>
      <c r="N1158" s="231"/>
      <c r="O1158" s="231"/>
      <c r="P1158" s="231">
        <v>0.02</v>
      </c>
      <c r="Q1158" s="232"/>
      <c r="R1158" s="232"/>
      <c r="S1158" s="232"/>
      <c r="T1158" s="232"/>
      <c r="U1158" s="232"/>
      <c r="V1158" s="232"/>
      <c r="W1158" s="232">
        <v>1</v>
      </c>
      <c r="X1158" s="232"/>
      <c r="Y1158" s="232"/>
      <c r="Z1158" s="232"/>
      <c r="AA1158" s="232"/>
      <c r="AB1158" s="232"/>
      <c r="AC1158" s="232"/>
      <c r="AD1158" s="232"/>
      <c r="AE1158" s="232"/>
      <c r="AF1158" s="232"/>
      <c r="AG1158" s="232"/>
      <c r="AH1158" s="232"/>
      <c r="AI1158" s="232"/>
      <c r="AJ1158" s="232"/>
      <c r="AK1158" s="232"/>
      <c r="AL1158" s="28" t="str">
        <f>VLOOKUP($G1158,'[42]Sheet1 (2)'!$A$1:$B$1048440,2,FALSE)</f>
        <v>Sqm</v>
      </c>
      <c r="AM1158" s="233" t="s">
        <v>1959</v>
      </c>
      <c r="AN1158" s="232"/>
      <c r="AO1158" s="234"/>
    </row>
    <row r="1159" spans="1:41" ht="98" x14ac:dyDescent="0.25">
      <c r="A1159" s="20">
        <v>1025</v>
      </c>
      <c r="B1159" s="24" t="s">
        <v>1858</v>
      </c>
      <c r="C1159" s="22">
        <v>33.380000000000003</v>
      </c>
      <c r="D1159" s="25" t="s">
        <v>1943</v>
      </c>
      <c r="E1159" s="24" t="s">
        <v>1960</v>
      </c>
      <c r="F1159" s="35" t="s">
        <v>1961</v>
      </c>
      <c r="G1159" s="202" t="s">
        <v>621</v>
      </c>
      <c r="H1159" s="26">
        <v>2812</v>
      </c>
      <c r="I1159" s="26">
        <v>395</v>
      </c>
      <c r="J1159" s="231">
        <f>0.05/20</f>
        <v>2.5000000000000001E-3</v>
      </c>
      <c r="K1159" s="231"/>
      <c r="L1159" s="231"/>
      <c r="M1159" s="231"/>
      <c r="N1159" s="231"/>
      <c r="O1159" s="231"/>
      <c r="P1159" s="231">
        <v>5.0000000000000001E-3</v>
      </c>
      <c r="Q1159" s="232"/>
      <c r="R1159" s="232"/>
      <c r="S1159" s="232"/>
      <c r="T1159" s="232"/>
      <c r="U1159" s="232"/>
      <c r="V1159" s="232"/>
      <c r="W1159" s="232">
        <v>1</v>
      </c>
      <c r="X1159" s="232"/>
      <c r="Y1159" s="232"/>
      <c r="Z1159" s="232"/>
      <c r="AA1159" s="232"/>
      <c r="AB1159" s="232"/>
      <c r="AC1159" s="232"/>
      <c r="AD1159" s="232"/>
      <c r="AE1159" s="232"/>
      <c r="AF1159" s="232"/>
      <c r="AG1159" s="232"/>
      <c r="AH1159" s="232"/>
      <c r="AI1159" s="232"/>
      <c r="AJ1159" s="232"/>
      <c r="AK1159" s="232"/>
      <c r="AL1159" s="28" t="str">
        <f>VLOOKUP($G1159,'[42]Sheet1 (2)'!$A$1:$B$1048440,2,FALSE)</f>
        <v>Sqm</v>
      </c>
      <c r="AM1159" s="233" t="s">
        <v>1962</v>
      </c>
      <c r="AN1159" s="232"/>
      <c r="AO1159" s="234"/>
    </row>
    <row r="1160" spans="1:41" ht="56" x14ac:dyDescent="0.25">
      <c r="A1160" s="20">
        <v>1026</v>
      </c>
      <c r="B1160" s="35" t="s">
        <v>1909</v>
      </c>
      <c r="C1160" s="22">
        <v>33.39</v>
      </c>
      <c r="D1160" s="25" t="s">
        <v>1943</v>
      </c>
      <c r="E1160" s="23" t="s">
        <v>1963</v>
      </c>
      <c r="F1160" s="35" t="s">
        <v>1961</v>
      </c>
      <c r="G1160" s="202" t="s">
        <v>621</v>
      </c>
      <c r="H1160" s="26">
        <v>641</v>
      </c>
      <c r="I1160" s="26">
        <v>166</v>
      </c>
      <c r="J1160" s="231"/>
      <c r="K1160" s="231"/>
      <c r="L1160" s="231"/>
      <c r="M1160" s="231"/>
      <c r="N1160" s="231"/>
      <c r="O1160" s="231"/>
      <c r="P1160" s="231"/>
      <c r="Q1160" s="232"/>
      <c r="R1160" s="232"/>
      <c r="S1160" s="232"/>
      <c r="T1160" s="232"/>
      <c r="U1160" s="232"/>
      <c r="V1160" s="232"/>
      <c r="W1160" s="232"/>
      <c r="X1160" s="232"/>
      <c r="Y1160" s="232"/>
      <c r="Z1160" s="232"/>
      <c r="AA1160" s="232"/>
      <c r="AB1160" s="232"/>
      <c r="AC1160" s="232"/>
      <c r="AD1160" s="232"/>
      <c r="AE1160" s="232"/>
      <c r="AF1160" s="232"/>
      <c r="AG1160" s="232"/>
      <c r="AH1160" s="232"/>
      <c r="AI1160" s="232"/>
      <c r="AJ1160" s="232"/>
      <c r="AK1160" s="232"/>
      <c r="AL1160" s="28" t="str">
        <f>VLOOKUP($G1160,'[42]Sheet1 (2)'!$A$1:$B$1048440,2,FALSE)</f>
        <v>Sqm</v>
      </c>
      <c r="AM1160" s="233"/>
      <c r="AN1160" s="232"/>
      <c r="AO1160" s="234"/>
    </row>
    <row r="1161" spans="1:41" ht="98" x14ac:dyDescent="0.25">
      <c r="A1161" s="20">
        <v>1027</v>
      </c>
      <c r="B1161" s="24" t="s">
        <v>1858</v>
      </c>
      <c r="C1161" s="22">
        <v>33.4</v>
      </c>
      <c r="D1161" s="25" t="s">
        <v>1926</v>
      </c>
      <c r="E1161" s="24" t="s">
        <v>1964</v>
      </c>
      <c r="F1161" s="24" t="s">
        <v>1965</v>
      </c>
      <c r="G1161" s="202" t="s">
        <v>621</v>
      </c>
      <c r="H1161" s="26">
        <v>1177</v>
      </c>
      <c r="I1161" s="26">
        <v>273</v>
      </c>
      <c r="J1161" s="230">
        <f>0.2/20</f>
        <v>0.01</v>
      </c>
      <c r="K1161" s="231"/>
      <c r="L1161" s="231"/>
      <c r="M1161" s="231"/>
      <c r="N1161" s="231"/>
      <c r="O1161" s="231"/>
      <c r="P1161" s="231">
        <v>1.7000000000000001E-2</v>
      </c>
      <c r="Q1161" s="232"/>
      <c r="R1161" s="232"/>
      <c r="S1161" s="232"/>
      <c r="T1161" s="232"/>
      <c r="U1161" s="232"/>
      <c r="V1161" s="232"/>
      <c r="W1161" s="232">
        <v>1</v>
      </c>
      <c r="X1161" s="232"/>
      <c r="Y1161" s="232"/>
      <c r="Z1161" s="232"/>
      <c r="AA1161" s="232"/>
      <c r="AB1161" s="232"/>
      <c r="AC1161" s="232"/>
      <c r="AD1161" s="232"/>
      <c r="AE1161" s="232"/>
      <c r="AF1161" s="232"/>
      <c r="AG1161" s="232"/>
      <c r="AH1161" s="232"/>
      <c r="AI1161" s="232"/>
      <c r="AJ1161" s="232"/>
      <c r="AK1161" s="232"/>
      <c r="AL1161" s="28" t="str">
        <f>VLOOKUP($G1161,'[42]Sheet1 (2)'!$A$1:$B$1048440,2,FALSE)</f>
        <v>Sqm</v>
      </c>
      <c r="AM1161" s="233" t="s">
        <v>1966</v>
      </c>
      <c r="AN1161" s="232"/>
      <c r="AO1161" s="234"/>
    </row>
    <row r="1162" spans="1:41" ht="98" x14ac:dyDescent="0.25">
      <c r="A1162" s="20">
        <v>1028</v>
      </c>
      <c r="B1162" s="24" t="s">
        <v>1858</v>
      </c>
      <c r="C1162" s="22">
        <v>33.409999999999997</v>
      </c>
      <c r="D1162" s="25" t="s">
        <v>1926</v>
      </c>
      <c r="E1162" s="23" t="s">
        <v>1967</v>
      </c>
      <c r="F1162" s="24" t="s">
        <v>1965</v>
      </c>
      <c r="G1162" s="202" t="s">
        <v>621</v>
      </c>
      <c r="H1162" s="26">
        <v>1252</v>
      </c>
      <c r="I1162" s="26">
        <v>352</v>
      </c>
      <c r="J1162" s="230">
        <f>0.2/20</f>
        <v>0.01</v>
      </c>
      <c r="K1162" s="231"/>
      <c r="L1162" s="231"/>
      <c r="M1162" s="231"/>
      <c r="N1162" s="231"/>
      <c r="O1162" s="231"/>
      <c r="P1162" s="231">
        <v>1.7000000000000001E-2</v>
      </c>
      <c r="Q1162" s="232"/>
      <c r="R1162" s="232"/>
      <c r="S1162" s="232"/>
      <c r="T1162" s="232"/>
      <c r="U1162" s="232"/>
      <c r="V1162" s="232"/>
      <c r="W1162" s="232">
        <v>1</v>
      </c>
      <c r="X1162" s="232"/>
      <c r="Y1162" s="232"/>
      <c r="Z1162" s="232"/>
      <c r="AA1162" s="232"/>
      <c r="AB1162" s="232"/>
      <c r="AC1162" s="232"/>
      <c r="AD1162" s="232"/>
      <c r="AE1162" s="232"/>
      <c r="AF1162" s="232"/>
      <c r="AG1162" s="232"/>
      <c r="AH1162" s="232"/>
      <c r="AI1162" s="232"/>
      <c r="AJ1162" s="232"/>
      <c r="AK1162" s="232"/>
      <c r="AL1162" s="28" t="str">
        <f>VLOOKUP($G1162,'[42]Sheet1 (2)'!$A$1:$B$1048440,2,FALSE)</f>
        <v>Sqm</v>
      </c>
      <c r="AM1162" s="233" t="s">
        <v>1968</v>
      </c>
      <c r="AN1162" s="232"/>
      <c r="AO1162" s="234"/>
    </row>
    <row r="1163" spans="1:41" ht="98" x14ac:dyDescent="0.25">
      <c r="A1163" s="20">
        <v>1029</v>
      </c>
      <c r="B1163" s="24" t="s">
        <v>1858</v>
      </c>
      <c r="C1163" s="22">
        <v>33.42</v>
      </c>
      <c r="D1163" s="25" t="s">
        <v>1926</v>
      </c>
      <c r="E1163" s="23" t="s">
        <v>1969</v>
      </c>
      <c r="F1163" s="24" t="s">
        <v>1970</v>
      </c>
      <c r="G1163" s="202" t="s">
        <v>621</v>
      </c>
      <c r="H1163" s="26">
        <v>1600</v>
      </c>
      <c r="I1163" s="26">
        <v>273</v>
      </c>
      <c r="J1163" s="230">
        <f t="shared" ref="J1163:J1169" si="8">0.2/20</f>
        <v>0.01</v>
      </c>
      <c r="K1163" s="231"/>
      <c r="L1163" s="231"/>
      <c r="M1163" s="231"/>
      <c r="N1163" s="231"/>
      <c r="O1163" s="231"/>
      <c r="P1163" s="231">
        <v>1.7000000000000001E-2</v>
      </c>
      <c r="Q1163" s="232"/>
      <c r="R1163" s="232"/>
      <c r="S1163" s="232"/>
      <c r="T1163" s="232"/>
      <c r="U1163" s="232"/>
      <c r="V1163" s="232"/>
      <c r="W1163" s="232">
        <v>1</v>
      </c>
      <c r="X1163" s="232"/>
      <c r="Y1163" s="232"/>
      <c r="Z1163" s="232"/>
      <c r="AA1163" s="232"/>
      <c r="AB1163" s="232"/>
      <c r="AC1163" s="232"/>
      <c r="AD1163" s="232"/>
      <c r="AE1163" s="232"/>
      <c r="AF1163" s="232"/>
      <c r="AG1163" s="232"/>
      <c r="AH1163" s="232"/>
      <c r="AI1163" s="232"/>
      <c r="AJ1163" s="232"/>
      <c r="AK1163" s="232"/>
      <c r="AL1163" s="28" t="str">
        <f>VLOOKUP($G1163,'[42]Sheet1 (2)'!$A$1:$B$1048440,2,FALSE)</f>
        <v>Sqm</v>
      </c>
      <c r="AM1163" s="233" t="s">
        <v>1971</v>
      </c>
      <c r="AN1163" s="232"/>
      <c r="AO1163" s="234"/>
    </row>
    <row r="1164" spans="1:41" ht="98" x14ac:dyDescent="0.25">
      <c r="A1164" s="20">
        <v>1030</v>
      </c>
      <c r="B1164" s="24" t="s">
        <v>1858</v>
      </c>
      <c r="C1164" s="22">
        <v>33.43</v>
      </c>
      <c r="D1164" s="25" t="s">
        <v>1926</v>
      </c>
      <c r="E1164" s="23" t="s">
        <v>1972</v>
      </c>
      <c r="F1164" s="24" t="s">
        <v>1970</v>
      </c>
      <c r="G1164" s="202" t="s">
        <v>621</v>
      </c>
      <c r="H1164" s="26">
        <v>1675</v>
      </c>
      <c r="I1164" s="26">
        <v>352</v>
      </c>
      <c r="J1164" s="230">
        <f t="shared" si="8"/>
        <v>0.01</v>
      </c>
      <c r="K1164" s="231"/>
      <c r="L1164" s="231"/>
      <c r="M1164" s="231"/>
      <c r="N1164" s="231"/>
      <c r="O1164" s="231"/>
      <c r="P1164" s="231">
        <v>1.7000000000000001E-2</v>
      </c>
      <c r="Q1164" s="232"/>
      <c r="R1164" s="232"/>
      <c r="S1164" s="232"/>
      <c r="T1164" s="232"/>
      <c r="U1164" s="232"/>
      <c r="V1164" s="232"/>
      <c r="W1164" s="232">
        <v>1</v>
      </c>
      <c r="X1164" s="232"/>
      <c r="Y1164" s="232"/>
      <c r="Z1164" s="232"/>
      <c r="AA1164" s="232"/>
      <c r="AB1164" s="232"/>
      <c r="AC1164" s="232"/>
      <c r="AD1164" s="232"/>
      <c r="AE1164" s="232"/>
      <c r="AF1164" s="232"/>
      <c r="AG1164" s="232"/>
      <c r="AH1164" s="232"/>
      <c r="AI1164" s="232"/>
      <c r="AJ1164" s="232"/>
      <c r="AK1164" s="232"/>
      <c r="AL1164" s="28" t="str">
        <f>VLOOKUP($G1164,'[42]Sheet1 (2)'!$A$1:$B$1048440,2,FALSE)</f>
        <v>Sqm</v>
      </c>
      <c r="AM1164" s="233" t="s">
        <v>1973</v>
      </c>
      <c r="AN1164" s="232"/>
      <c r="AO1164" s="234"/>
    </row>
    <row r="1165" spans="1:41" ht="98" x14ac:dyDescent="0.25">
      <c r="A1165" s="20">
        <v>1031</v>
      </c>
      <c r="B1165" s="24" t="s">
        <v>1858</v>
      </c>
      <c r="C1165" s="22">
        <v>33.44</v>
      </c>
      <c r="D1165" s="25" t="s">
        <v>1926</v>
      </c>
      <c r="E1165" s="23" t="s">
        <v>1974</v>
      </c>
      <c r="F1165" s="24" t="s">
        <v>1970</v>
      </c>
      <c r="G1165" s="202" t="s">
        <v>621</v>
      </c>
      <c r="H1165" s="26">
        <v>1769</v>
      </c>
      <c r="I1165" s="26">
        <v>355</v>
      </c>
      <c r="J1165" s="230">
        <f t="shared" si="8"/>
        <v>0.01</v>
      </c>
      <c r="K1165" s="231"/>
      <c r="L1165" s="231"/>
      <c r="M1165" s="231"/>
      <c r="N1165" s="231"/>
      <c r="O1165" s="231"/>
      <c r="P1165" s="231">
        <v>1.7000000000000001E-2</v>
      </c>
      <c r="Q1165" s="232"/>
      <c r="R1165" s="232"/>
      <c r="S1165" s="232"/>
      <c r="T1165" s="232"/>
      <c r="U1165" s="232"/>
      <c r="V1165" s="232"/>
      <c r="W1165" s="232">
        <v>1</v>
      </c>
      <c r="X1165" s="232"/>
      <c r="Y1165" s="232"/>
      <c r="Z1165" s="232"/>
      <c r="AA1165" s="232"/>
      <c r="AB1165" s="232"/>
      <c r="AC1165" s="232"/>
      <c r="AD1165" s="232"/>
      <c r="AE1165" s="232"/>
      <c r="AF1165" s="232"/>
      <c r="AG1165" s="232"/>
      <c r="AH1165" s="232"/>
      <c r="AI1165" s="232"/>
      <c r="AJ1165" s="232"/>
      <c r="AK1165" s="232"/>
      <c r="AL1165" s="28" t="str">
        <f>VLOOKUP($G1165,'[42]Sheet1 (2)'!$A$1:$B$1048440,2,FALSE)</f>
        <v>Sqm</v>
      </c>
      <c r="AM1165" s="233" t="s">
        <v>1975</v>
      </c>
      <c r="AN1165" s="232"/>
      <c r="AO1165" s="234"/>
    </row>
    <row r="1166" spans="1:41" ht="98" x14ac:dyDescent="0.25">
      <c r="A1166" s="20">
        <v>1032</v>
      </c>
      <c r="B1166" s="24" t="s">
        <v>1858</v>
      </c>
      <c r="C1166" s="22">
        <v>33.450000000000003</v>
      </c>
      <c r="D1166" s="25" t="s">
        <v>1926</v>
      </c>
      <c r="E1166" s="23" t="s">
        <v>1976</v>
      </c>
      <c r="F1166" s="24" t="s">
        <v>1970</v>
      </c>
      <c r="G1166" s="202" t="s">
        <v>621</v>
      </c>
      <c r="H1166" s="26">
        <v>1844</v>
      </c>
      <c r="I1166" s="26">
        <v>434</v>
      </c>
      <c r="J1166" s="230">
        <f t="shared" si="8"/>
        <v>0.01</v>
      </c>
      <c r="K1166" s="231"/>
      <c r="L1166" s="231"/>
      <c r="M1166" s="231"/>
      <c r="N1166" s="231"/>
      <c r="O1166" s="231"/>
      <c r="P1166" s="231">
        <v>1.7000000000000001E-2</v>
      </c>
      <c r="Q1166" s="232"/>
      <c r="R1166" s="232"/>
      <c r="S1166" s="232"/>
      <c r="T1166" s="232"/>
      <c r="U1166" s="232"/>
      <c r="V1166" s="232"/>
      <c r="W1166" s="232">
        <v>1</v>
      </c>
      <c r="X1166" s="232"/>
      <c r="Y1166" s="232"/>
      <c r="Z1166" s="232"/>
      <c r="AA1166" s="232"/>
      <c r="AB1166" s="232"/>
      <c r="AC1166" s="232"/>
      <c r="AD1166" s="232"/>
      <c r="AE1166" s="232"/>
      <c r="AF1166" s="232"/>
      <c r="AG1166" s="232"/>
      <c r="AH1166" s="232"/>
      <c r="AI1166" s="232"/>
      <c r="AJ1166" s="232"/>
      <c r="AK1166" s="232"/>
      <c r="AL1166" s="28" t="str">
        <f>VLOOKUP($G1166,'[42]Sheet1 (2)'!$A$1:$B$1048440,2,FALSE)</f>
        <v>Sqm</v>
      </c>
      <c r="AM1166" s="233" t="s">
        <v>1977</v>
      </c>
      <c r="AN1166" s="232"/>
      <c r="AO1166" s="234"/>
    </row>
    <row r="1167" spans="1:41" ht="98" x14ac:dyDescent="0.25">
      <c r="A1167" s="20">
        <v>1033</v>
      </c>
      <c r="B1167" s="24" t="s">
        <v>1858</v>
      </c>
      <c r="C1167" s="22">
        <v>33.46</v>
      </c>
      <c r="D1167" s="25" t="s">
        <v>1926</v>
      </c>
      <c r="E1167" s="24" t="s">
        <v>1978</v>
      </c>
      <c r="F1167" s="92" t="s">
        <v>1979</v>
      </c>
      <c r="G1167" s="202" t="s">
        <v>621</v>
      </c>
      <c r="H1167" s="26">
        <v>1769</v>
      </c>
      <c r="I1167" s="26">
        <v>355</v>
      </c>
      <c r="J1167" s="230">
        <f t="shared" si="8"/>
        <v>0.01</v>
      </c>
      <c r="K1167" s="231"/>
      <c r="L1167" s="231"/>
      <c r="M1167" s="231"/>
      <c r="N1167" s="231"/>
      <c r="O1167" s="231"/>
      <c r="P1167" s="231">
        <v>1.7000000000000001E-2</v>
      </c>
      <c r="Q1167" s="232"/>
      <c r="R1167" s="232"/>
      <c r="S1167" s="232"/>
      <c r="T1167" s="232"/>
      <c r="U1167" s="232"/>
      <c r="V1167" s="232"/>
      <c r="W1167" s="232">
        <v>1</v>
      </c>
      <c r="X1167" s="232"/>
      <c r="Y1167" s="232"/>
      <c r="Z1167" s="232"/>
      <c r="AA1167" s="232"/>
      <c r="AB1167" s="232"/>
      <c r="AC1167" s="232"/>
      <c r="AD1167" s="232"/>
      <c r="AE1167" s="232"/>
      <c r="AF1167" s="232"/>
      <c r="AG1167" s="232"/>
      <c r="AH1167" s="232"/>
      <c r="AI1167" s="232"/>
      <c r="AJ1167" s="232"/>
      <c r="AK1167" s="232"/>
      <c r="AL1167" s="28" t="str">
        <f>VLOOKUP($G1167,'[42]Sheet1 (2)'!$A$1:$B$1048440,2,FALSE)</f>
        <v>Sqm</v>
      </c>
      <c r="AM1167" s="233" t="s">
        <v>1980</v>
      </c>
      <c r="AN1167" s="232"/>
      <c r="AO1167" s="234"/>
    </row>
    <row r="1168" spans="1:41" ht="98" x14ac:dyDescent="0.25">
      <c r="A1168" s="20">
        <v>1034</v>
      </c>
      <c r="B1168" s="24" t="s">
        <v>1858</v>
      </c>
      <c r="C1168" s="22">
        <v>33.47</v>
      </c>
      <c r="D1168" s="25" t="s">
        <v>1926</v>
      </c>
      <c r="E1168" s="24" t="s">
        <v>1981</v>
      </c>
      <c r="F1168" s="92" t="s">
        <v>1979</v>
      </c>
      <c r="G1168" s="202" t="s">
        <v>621</v>
      </c>
      <c r="H1168" s="26">
        <v>1844</v>
      </c>
      <c r="I1168" s="26">
        <v>434</v>
      </c>
      <c r="J1168" s="230">
        <f t="shared" si="8"/>
        <v>0.01</v>
      </c>
      <c r="K1168" s="231"/>
      <c r="L1168" s="231"/>
      <c r="M1168" s="231"/>
      <c r="N1168" s="231"/>
      <c r="O1168" s="231"/>
      <c r="P1168" s="231">
        <v>1.7000000000000001E-2</v>
      </c>
      <c r="Q1168" s="232"/>
      <c r="R1168" s="232"/>
      <c r="S1168" s="232"/>
      <c r="T1168" s="232"/>
      <c r="U1168" s="232"/>
      <c r="V1168" s="232"/>
      <c r="W1168" s="232">
        <v>1</v>
      </c>
      <c r="X1168" s="232"/>
      <c r="Y1168" s="232"/>
      <c r="Z1168" s="232"/>
      <c r="AA1168" s="232"/>
      <c r="AB1168" s="232"/>
      <c r="AC1168" s="232"/>
      <c r="AD1168" s="232"/>
      <c r="AE1168" s="232"/>
      <c r="AF1168" s="232"/>
      <c r="AG1168" s="232"/>
      <c r="AH1168" s="232"/>
      <c r="AI1168" s="232"/>
      <c r="AJ1168" s="232"/>
      <c r="AK1168" s="232"/>
      <c r="AL1168" s="28" t="str">
        <f>VLOOKUP($G1168,'[42]Sheet1 (2)'!$A$1:$B$1048440,2,FALSE)</f>
        <v>Sqm</v>
      </c>
      <c r="AM1168" s="233" t="s">
        <v>1982</v>
      </c>
      <c r="AN1168" s="232"/>
      <c r="AO1168" s="234"/>
    </row>
    <row r="1169" spans="1:41" ht="56" x14ac:dyDescent="0.25">
      <c r="A1169" s="20">
        <v>1035</v>
      </c>
      <c r="B1169" s="24" t="s">
        <v>1858</v>
      </c>
      <c r="C1169" s="22">
        <v>33.479999999999997</v>
      </c>
      <c r="D1169" s="25" t="s">
        <v>1926</v>
      </c>
      <c r="E1169" s="24" t="s">
        <v>1983</v>
      </c>
      <c r="F1169" s="39" t="s">
        <v>1984</v>
      </c>
      <c r="G1169" s="202" t="s">
        <v>621</v>
      </c>
      <c r="H1169" s="26">
        <v>2367</v>
      </c>
      <c r="I1169" s="26">
        <v>318</v>
      </c>
      <c r="J1169" s="230">
        <f t="shared" si="8"/>
        <v>0.01</v>
      </c>
      <c r="K1169" s="231"/>
      <c r="L1169" s="231"/>
      <c r="M1169" s="231"/>
      <c r="N1169" s="231"/>
      <c r="O1169" s="231"/>
      <c r="P1169" s="231">
        <v>1.7000000000000001E-2</v>
      </c>
      <c r="Q1169" s="232"/>
      <c r="R1169" s="232"/>
      <c r="S1169" s="232"/>
      <c r="T1169" s="232"/>
      <c r="U1169" s="232"/>
      <c r="V1169" s="232"/>
      <c r="W1169" s="232">
        <v>1</v>
      </c>
      <c r="X1169" s="232"/>
      <c r="Y1169" s="232"/>
      <c r="Z1169" s="232"/>
      <c r="AA1169" s="232"/>
      <c r="AB1169" s="232"/>
      <c r="AC1169" s="232"/>
      <c r="AD1169" s="232"/>
      <c r="AE1169" s="232"/>
      <c r="AF1169" s="232"/>
      <c r="AG1169" s="232"/>
      <c r="AH1169" s="232"/>
      <c r="AI1169" s="232"/>
      <c r="AJ1169" s="232"/>
      <c r="AK1169" s="232"/>
      <c r="AL1169" s="28" t="str">
        <f>VLOOKUP($G1169,'[42]Sheet1 (2)'!$A$1:$B$1048440,2,FALSE)</f>
        <v>Sqm</v>
      </c>
      <c r="AM1169" s="233" t="s">
        <v>1985</v>
      </c>
      <c r="AN1169" s="232"/>
      <c r="AO1169" s="234"/>
    </row>
    <row r="1170" spans="1:41" ht="84" x14ac:dyDescent="0.25">
      <c r="A1170" s="20">
        <v>1036</v>
      </c>
      <c r="B1170" s="24" t="s">
        <v>1858</v>
      </c>
      <c r="C1170" s="22">
        <v>33.49</v>
      </c>
      <c r="D1170" s="25" t="s">
        <v>1879</v>
      </c>
      <c r="E1170" s="23" t="s">
        <v>1986</v>
      </c>
      <c r="F1170" s="24" t="s">
        <v>1987</v>
      </c>
      <c r="G1170" s="202" t="s">
        <v>621</v>
      </c>
      <c r="H1170" s="26">
        <v>840</v>
      </c>
      <c r="I1170" s="26">
        <v>100</v>
      </c>
      <c r="J1170" s="231"/>
      <c r="K1170" s="231"/>
      <c r="L1170" s="231"/>
      <c r="M1170" s="231"/>
      <c r="N1170" s="231"/>
      <c r="O1170" s="231"/>
      <c r="P1170" s="231"/>
      <c r="Q1170" s="232"/>
      <c r="R1170" s="232"/>
      <c r="S1170" s="231">
        <v>0.03</v>
      </c>
      <c r="T1170" s="232"/>
      <c r="U1170" s="232"/>
      <c r="V1170" s="232"/>
      <c r="W1170" s="232"/>
      <c r="X1170" s="237">
        <v>1</v>
      </c>
      <c r="Y1170" s="232"/>
      <c r="Z1170" s="232"/>
      <c r="AA1170" s="232"/>
      <c r="AB1170" s="232"/>
      <c r="AC1170" s="232"/>
      <c r="AD1170" s="232"/>
      <c r="AE1170" s="232"/>
      <c r="AF1170" s="232"/>
      <c r="AG1170" s="232"/>
      <c r="AH1170" s="232"/>
      <c r="AI1170" s="232"/>
      <c r="AJ1170" s="232"/>
      <c r="AK1170" s="232"/>
      <c r="AL1170" s="28" t="str">
        <f>VLOOKUP($G1170,'[42]Sheet1 (2)'!$A$1:$B$1048440,2,FALSE)</f>
        <v>Sqm</v>
      </c>
      <c r="AM1170" s="233" t="s">
        <v>1988</v>
      </c>
      <c r="AN1170" s="232"/>
      <c r="AO1170" s="234"/>
    </row>
    <row r="1171" spans="1:41" ht="84" x14ac:dyDescent="0.25">
      <c r="A1171" s="20">
        <v>1037</v>
      </c>
      <c r="B1171" s="24" t="s">
        <v>1858</v>
      </c>
      <c r="C1171" s="22">
        <v>33.5</v>
      </c>
      <c r="D1171" s="25" t="s">
        <v>1879</v>
      </c>
      <c r="E1171" s="23" t="s">
        <v>1989</v>
      </c>
      <c r="F1171" s="24" t="s">
        <v>1987</v>
      </c>
      <c r="G1171" s="202" t="s">
        <v>621</v>
      </c>
      <c r="H1171" s="26">
        <v>1032</v>
      </c>
      <c r="I1171" s="26">
        <v>100</v>
      </c>
      <c r="J1171" s="231"/>
      <c r="K1171" s="231"/>
      <c r="L1171" s="231"/>
      <c r="M1171" s="231"/>
      <c r="N1171" s="231"/>
      <c r="O1171" s="231"/>
      <c r="P1171" s="231"/>
      <c r="Q1171" s="232"/>
      <c r="R1171" s="232"/>
      <c r="S1171" s="231">
        <v>0.03</v>
      </c>
      <c r="T1171" s="232"/>
      <c r="U1171" s="232"/>
      <c r="V1171" s="232"/>
      <c r="W1171" s="232"/>
      <c r="X1171" s="237">
        <v>1</v>
      </c>
      <c r="Y1171" s="232"/>
      <c r="Z1171" s="232"/>
      <c r="AA1171" s="232"/>
      <c r="AB1171" s="232"/>
      <c r="AC1171" s="232"/>
      <c r="AD1171" s="232"/>
      <c r="AE1171" s="232"/>
      <c r="AF1171" s="232"/>
      <c r="AG1171" s="232"/>
      <c r="AH1171" s="232"/>
      <c r="AI1171" s="232"/>
      <c r="AJ1171" s="232"/>
      <c r="AK1171" s="232"/>
      <c r="AL1171" s="28" t="str">
        <f>VLOOKUP($G1171,'[42]Sheet1 (2)'!$A$1:$B$1048440,2,FALSE)</f>
        <v>Sqm</v>
      </c>
      <c r="AM1171" s="233" t="s">
        <v>1990</v>
      </c>
      <c r="AN1171" s="232"/>
      <c r="AO1171" s="234"/>
    </row>
    <row r="1172" spans="1:41" ht="84" x14ac:dyDescent="0.25">
      <c r="A1172" s="20">
        <v>1038</v>
      </c>
      <c r="B1172" s="24" t="s">
        <v>1858</v>
      </c>
      <c r="C1172" s="22">
        <v>33.51</v>
      </c>
      <c r="D1172" s="25" t="s">
        <v>1879</v>
      </c>
      <c r="E1172" s="23" t="s">
        <v>1991</v>
      </c>
      <c r="F1172" s="24" t="s">
        <v>1987</v>
      </c>
      <c r="G1172" s="202" t="s">
        <v>621</v>
      </c>
      <c r="H1172" s="26">
        <v>919</v>
      </c>
      <c r="I1172" s="26">
        <v>100</v>
      </c>
      <c r="J1172" s="231"/>
      <c r="K1172" s="231"/>
      <c r="L1172" s="231"/>
      <c r="M1172" s="231"/>
      <c r="N1172" s="231"/>
      <c r="O1172" s="231"/>
      <c r="P1172" s="231"/>
      <c r="Q1172" s="232"/>
      <c r="R1172" s="232"/>
      <c r="S1172" s="231">
        <v>0.03</v>
      </c>
      <c r="T1172" s="232"/>
      <c r="U1172" s="232"/>
      <c r="V1172" s="232"/>
      <c r="W1172" s="232"/>
      <c r="X1172" s="237">
        <v>1</v>
      </c>
      <c r="Y1172" s="232"/>
      <c r="Z1172" s="232"/>
      <c r="AA1172" s="232"/>
      <c r="AB1172" s="232"/>
      <c r="AC1172" s="232"/>
      <c r="AD1172" s="232"/>
      <c r="AE1172" s="232"/>
      <c r="AF1172" s="232"/>
      <c r="AG1172" s="232"/>
      <c r="AH1172" s="232"/>
      <c r="AI1172" s="232"/>
      <c r="AJ1172" s="232"/>
      <c r="AK1172" s="232"/>
      <c r="AL1172" s="28" t="str">
        <f>VLOOKUP($G1172,'[42]Sheet1 (2)'!$A$1:$B$1048440,2,FALSE)</f>
        <v>Sqm</v>
      </c>
      <c r="AM1172" s="233" t="s">
        <v>1992</v>
      </c>
      <c r="AN1172" s="232"/>
      <c r="AO1172" s="234"/>
    </row>
    <row r="1173" spans="1:41" ht="84" x14ac:dyDescent="0.25">
      <c r="A1173" s="20">
        <v>1039</v>
      </c>
      <c r="B1173" s="24" t="s">
        <v>1858</v>
      </c>
      <c r="C1173" s="22">
        <v>33.520000000000003</v>
      </c>
      <c r="D1173" s="25" t="s">
        <v>1879</v>
      </c>
      <c r="E1173" s="23" t="s">
        <v>1993</v>
      </c>
      <c r="F1173" s="24" t="s">
        <v>44</v>
      </c>
      <c r="G1173" s="202" t="s">
        <v>621</v>
      </c>
      <c r="H1173" s="26">
        <v>1166</v>
      </c>
      <c r="I1173" s="26">
        <v>100</v>
      </c>
      <c r="J1173" s="231"/>
      <c r="K1173" s="231"/>
      <c r="L1173" s="231"/>
      <c r="M1173" s="231"/>
      <c r="N1173" s="231"/>
      <c r="O1173" s="231"/>
      <c r="P1173" s="231"/>
      <c r="Q1173" s="232"/>
      <c r="R1173" s="232"/>
      <c r="S1173" s="231">
        <v>0.03</v>
      </c>
      <c r="T1173" s="232"/>
      <c r="U1173" s="232"/>
      <c r="V1173" s="232"/>
      <c r="W1173" s="232"/>
      <c r="X1173" s="237">
        <v>1</v>
      </c>
      <c r="Y1173" s="232"/>
      <c r="Z1173" s="232"/>
      <c r="AA1173" s="232"/>
      <c r="AB1173" s="232"/>
      <c r="AC1173" s="232"/>
      <c r="AD1173" s="232"/>
      <c r="AE1173" s="232"/>
      <c r="AF1173" s="232"/>
      <c r="AG1173" s="232"/>
      <c r="AH1173" s="232"/>
      <c r="AI1173" s="232"/>
      <c r="AJ1173" s="232"/>
      <c r="AK1173" s="232"/>
      <c r="AL1173" s="28" t="str">
        <f>VLOOKUP($G1173,'[42]Sheet1 (2)'!$A$1:$B$1048440,2,FALSE)</f>
        <v>Sqm</v>
      </c>
      <c r="AM1173" s="233" t="s">
        <v>1994</v>
      </c>
      <c r="AN1173" s="232"/>
      <c r="AO1173" s="234"/>
    </row>
    <row r="1174" spans="1:41" ht="98" x14ac:dyDescent="0.25">
      <c r="A1174" s="20">
        <v>1040</v>
      </c>
      <c r="B1174" s="24" t="s">
        <v>1858</v>
      </c>
      <c r="C1174" s="22">
        <v>33.53</v>
      </c>
      <c r="D1174" s="25" t="s">
        <v>1926</v>
      </c>
      <c r="E1174" s="23" t="s">
        <v>1995</v>
      </c>
      <c r="F1174" s="24" t="s">
        <v>1996</v>
      </c>
      <c r="G1174" s="202" t="s">
        <v>621</v>
      </c>
      <c r="H1174" s="26">
        <v>1096</v>
      </c>
      <c r="I1174" s="26">
        <v>100</v>
      </c>
      <c r="J1174" s="231"/>
      <c r="K1174" s="231"/>
      <c r="L1174" s="231"/>
      <c r="M1174" s="231"/>
      <c r="N1174" s="231"/>
      <c r="O1174" s="231"/>
      <c r="P1174" s="231"/>
      <c r="Q1174" s="232"/>
      <c r="R1174" s="232"/>
      <c r="S1174" s="231">
        <v>0.03</v>
      </c>
      <c r="T1174" s="232"/>
      <c r="U1174" s="232"/>
      <c r="V1174" s="232"/>
      <c r="W1174" s="232"/>
      <c r="X1174" s="237">
        <v>1</v>
      </c>
      <c r="Y1174" s="232"/>
      <c r="Z1174" s="232"/>
      <c r="AA1174" s="232"/>
      <c r="AB1174" s="232"/>
      <c r="AC1174" s="232"/>
      <c r="AD1174" s="232"/>
      <c r="AE1174" s="232"/>
      <c r="AF1174" s="232"/>
      <c r="AG1174" s="232"/>
      <c r="AH1174" s="232"/>
      <c r="AI1174" s="232"/>
      <c r="AJ1174" s="232"/>
      <c r="AK1174" s="232"/>
      <c r="AL1174" s="28" t="str">
        <f>VLOOKUP($G1174,'[42]Sheet1 (2)'!$A$1:$B$1048440,2,FALSE)</f>
        <v>Sqm</v>
      </c>
      <c r="AM1174" s="233" t="s">
        <v>1997</v>
      </c>
      <c r="AN1174" s="232"/>
      <c r="AO1174" s="234"/>
    </row>
    <row r="1175" spans="1:41" ht="84" x14ac:dyDescent="0.25">
      <c r="A1175" s="20">
        <v>1041</v>
      </c>
      <c r="B1175" s="24" t="s">
        <v>1858</v>
      </c>
      <c r="C1175" s="22">
        <v>33.54</v>
      </c>
      <c r="D1175" s="25" t="s">
        <v>1879</v>
      </c>
      <c r="E1175" s="23" t="s">
        <v>1998</v>
      </c>
      <c r="F1175" s="25" t="s">
        <v>1999</v>
      </c>
      <c r="G1175" s="202" t="s">
        <v>621</v>
      </c>
      <c r="H1175" s="26">
        <v>1401</v>
      </c>
      <c r="I1175" s="26">
        <v>100</v>
      </c>
      <c r="J1175" s="231"/>
      <c r="K1175" s="231"/>
      <c r="L1175" s="231"/>
      <c r="M1175" s="231"/>
      <c r="N1175" s="231"/>
      <c r="O1175" s="231"/>
      <c r="P1175" s="231"/>
      <c r="Q1175" s="232"/>
      <c r="R1175" s="232"/>
      <c r="S1175" s="231">
        <v>0.03</v>
      </c>
      <c r="T1175" s="232"/>
      <c r="U1175" s="232"/>
      <c r="V1175" s="232"/>
      <c r="W1175" s="232"/>
      <c r="X1175" s="237">
        <v>1</v>
      </c>
      <c r="Y1175" s="232"/>
      <c r="Z1175" s="232"/>
      <c r="AA1175" s="232"/>
      <c r="AB1175" s="232"/>
      <c r="AC1175" s="232"/>
      <c r="AD1175" s="232"/>
      <c r="AE1175" s="232"/>
      <c r="AF1175" s="232"/>
      <c r="AG1175" s="232"/>
      <c r="AH1175" s="232"/>
      <c r="AI1175" s="232"/>
      <c r="AJ1175" s="232"/>
      <c r="AK1175" s="232"/>
      <c r="AL1175" s="28" t="str">
        <f>VLOOKUP($G1175,'[42]Sheet1 (2)'!$A$1:$B$1048440,2,FALSE)</f>
        <v>Sqm</v>
      </c>
      <c r="AM1175" s="233" t="s">
        <v>2000</v>
      </c>
      <c r="AN1175" s="232"/>
      <c r="AO1175" s="234"/>
    </row>
    <row r="1176" spans="1:41" ht="84" x14ac:dyDescent="0.25">
      <c r="A1176" s="20">
        <v>1042</v>
      </c>
      <c r="B1176" s="24" t="s">
        <v>1858</v>
      </c>
      <c r="C1176" s="22">
        <v>33.549999999999997</v>
      </c>
      <c r="D1176" s="25" t="s">
        <v>1879</v>
      </c>
      <c r="E1176" s="23" t="s">
        <v>2001</v>
      </c>
      <c r="F1176" s="24" t="s">
        <v>44</v>
      </c>
      <c r="G1176" s="202" t="s">
        <v>621</v>
      </c>
      <c r="H1176" s="26">
        <v>842</v>
      </c>
      <c r="I1176" s="26">
        <v>100</v>
      </c>
      <c r="J1176" s="231"/>
      <c r="K1176" s="231"/>
      <c r="L1176" s="231"/>
      <c r="M1176" s="231"/>
      <c r="N1176" s="231"/>
      <c r="O1176" s="231"/>
      <c r="P1176" s="231"/>
      <c r="Q1176" s="232"/>
      <c r="R1176" s="232"/>
      <c r="S1176" s="231">
        <v>0.03</v>
      </c>
      <c r="T1176" s="232"/>
      <c r="U1176" s="232"/>
      <c r="V1176" s="232"/>
      <c r="W1176" s="232"/>
      <c r="X1176" s="237">
        <v>1</v>
      </c>
      <c r="Y1176" s="232"/>
      <c r="Z1176" s="232"/>
      <c r="AA1176" s="232"/>
      <c r="AB1176" s="232"/>
      <c r="AC1176" s="232"/>
      <c r="AD1176" s="232"/>
      <c r="AE1176" s="232"/>
      <c r="AF1176" s="232"/>
      <c r="AG1176" s="232"/>
      <c r="AH1176" s="232"/>
      <c r="AI1176" s="232"/>
      <c r="AJ1176" s="232"/>
      <c r="AK1176" s="232"/>
      <c r="AL1176" s="28" t="str">
        <f>VLOOKUP($G1176,'[42]Sheet1 (2)'!$A$1:$B$1048440,2,FALSE)</f>
        <v>Sqm</v>
      </c>
      <c r="AM1176" s="233" t="s">
        <v>2002</v>
      </c>
      <c r="AN1176" s="232"/>
      <c r="AO1176" s="234"/>
    </row>
    <row r="1177" spans="1:41" ht="84" x14ac:dyDescent="0.25">
      <c r="A1177" s="20">
        <v>1043</v>
      </c>
      <c r="B1177" s="24" t="s">
        <v>1858</v>
      </c>
      <c r="C1177" s="22">
        <v>33.56</v>
      </c>
      <c r="D1177" s="25" t="s">
        <v>1879</v>
      </c>
      <c r="E1177" s="23" t="s">
        <v>2003</v>
      </c>
      <c r="F1177" s="24" t="s">
        <v>44</v>
      </c>
      <c r="G1177" s="202" t="s">
        <v>621</v>
      </c>
      <c r="H1177" s="26">
        <v>720</v>
      </c>
      <c r="I1177" s="26">
        <v>158</v>
      </c>
      <c r="J1177" s="231"/>
      <c r="K1177" s="231"/>
      <c r="L1177" s="231"/>
      <c r="M1177" s="231"/>
      <c r="N1177" s="231"/>
      <c r="O1177" s="231"/>
      <c r="P1177" s="231"/>
      <c r="Q1177" s="232"/>
      <c r="R1177" s="232"/>
      <c r="S1177" s="232"/>
      <c r="T1177" s="232"/>
      <c r="U1177" s="232"/>
      <c r="V1177" s="232"/>
      <c r="W1177" s="232">
        <v>1</v>
      </c>
      <c r="X1177" s="232"/>
      <c r="Y1177" s="232"/>
      <c r="Z1177" s="232"/>
      <c r="AA1177" s="232"/>
      <c r="AB1177" s="232"/>
      <c r="AC1177" s="232"/>
      <c r="AD1177" s="232"/>
      <c r="AE1177" s="232"/>
      <c r="AF1177" s="232"/>
      <c r="AG1177" s="232"/>
      <c r="AH1177" s="232"/>
      <c r="AI1177" s="232"/>
      <c r="AJ1177" s="232"/>
      <c r="AK1177" s="232"/>
      <c r="AL1177" s="28" t="str">
        <f>VLOOKUP($G1177,'[42]Sheet1 (2)'!$A$1:$B$1048440,2,FALSE)</f>
        <v>Sqm</v>
      </c>
      <c r="AM1177" s="233"/>
      <c r="AN1177" s="232"/>
      <c r="AO1177" s="234"/>
    </row>
    <row r="1178" spans="1:41" ht="84" x14ac:dyDescent="0.25">
      <c r="A1178" s="20">
        <v>1044</v>
      </c>
      <c r="B1178" s="24" t="s">
        <v>1858</v>
      </c>
      <c r="C1178" s="22">
        <v>33.57</v>
      </c>
      <c r="D1178" s="25" t="s">
        <v>1879</v>
      </c>
      <c r="E1178" s="24" t="s">
        <v>2004</v>
      </c>
      <c r="F1178" s="24" t="s">
        <v>44</v>
      </c>
      <c r="G1178" s="202" t="s">
        <v>621</v>
      </c>
      <c r="H1178" s="26">
        <v>608</v>
      </c>
      <c r="I1178" s="26">
        <v>158</v>
      </c>
      <c r="J1178" s="231"/>
      <c r="K1178" s="231"/>
      <c r="L1178" s="231"/>
      <c r="M1178" s="231"/>
      <c r="N1178" s="231"/>
      <c r="O1178" s="231"/>
      <c r="P1178" s="231"/>
      <c r="Q1178" s="232"/>
      <c r="R1178" s="232"/>
      <c r="S1178" s="232"/>
      <c r="T1178" s="232"/>
      <c r="U1178" s="232"/>
      <c r="V1178" s="232"/>
      <c r="W1178" s="232">
        <v>1</v>
      </c>
      <c r="X1178" s="232"/>
      <c r="Y1178" s="232"/>
      <c r="Z1178" s="232"/>
      <c r="AA1178" s="232"/>
      <c r="AB1178" s="232"/>
      <c r="AC1178" s="232"/>
      <c r="AD1178" s="232"/>
      <c r="AE1178" s="232"/>
      <c r="AF1178" s="232"/>
      <c r="AG1178" s="232"/>
      <c r="AH1178" s="232"/>
      <c r="AI1178" s="232"/>
      <c r="AJ1178" s="232"/>
      <c r="AK1178" s="232"/>
      <c r="AL1178" s="28" t="str">
        <f>VLOOKUP($G1178,'[42]Sheet1 (2)'!$A$1:$B$1048440,2,FALSE)</f>
        <v>Sqm</v>
      </c>
      <c r="AM1178" s="233"/>
      <c r="AN1178" s="232"/>
      <c r="AO1178" s="234"/>
    </row>
    <row r="1179" spans="1:41" ht="98" x14ac:dyDescent="0.25">
      <c r="A1179" s="20">
        <v>1045</v>
      </c>
      <c r="B1179" s="24" t="s">
        <v>1858</v>
      </c>
      <c r="C1179" s="22">
        <v>33.58</v>
      </c>
      <c r="D1179" s="25" t="s">
        <v>1926</v>
      </c>
      <c r="E1179" s="24" t="s">
        <v>2005</v>
      </c>
      <c r="F1179" s="24" t="s">
        <v>1996</v>
      </c>
      <c r="G1179" s="202" t="s">
        <v>621</v>
      </c>
      <c r="H1179" s="26">
        <v>1217</v>
      </c>
      <c r="I1179" s="26">
        <v>156</v>
      </c>
      <c r="J1179" s="230">
        <f t="shared" ref="J1179:J1183" si="9">0.2/20</f>
        <v>0.01</v>
      </c>
      <c r="K1179" s="231"/>
      <c r="L1179" s="231"/>
      <c r="M1179" s="231"/>
      <c r="N1179" s="231"/>
      <c r="O1179" s="231"/>
      <c r="P1179" s="231">
        <v>1.7000000000000001E-2</v>
      </c>
      <c r="Q1179" s="232"/>
      <c r="R1179" s="232"/>
      <c r="S1179" s="232"/>
      <c r="T1179" s="232"/>
      <c r="U1179" s="232"/>
      <c r="V1179" s="232"/>
      <c r="W1179" s="232">
        <v>1</v>
      </c>
      <c r="X1179" s="232"/>
      <c r="Y1179" s="232"/>
      <c r="Z1179" s="232"/>
      <c r="AA1179" s="232"/>
      <c r="AB1179" s="232"/>
      <c r="AC1179" s="232"/>
      <c r="AD1179" s="232"/>
      <c r="AE1179" s="232"/>
      <c r="AF1179" s="232"/>
      <c r="AG1179" s="232"/>
      <c r="AH1179" s="232"/>
      <c r="AI1179" s="232"/>
      <c r="AJ1179" s="232"/>
      <c r="AK1179" s="232"/>
      <c r="AL1179" s="28" t="str">
        <f>VLOOKUP($G1179,'[42]Sheet1 (2)'!$A$1:$B$1048440,2,FALSE)</f>
        <v>Sqm</v>
      </c>
      <c r="AM1179" s="233" t="s">
        <v>1982</v>
      </c>
      <c r="AN1179" s="232"/>
      <c r="AO1179" s="234"/>
    </row>
    <row r="1180" spans="1:41" ht="98" x14ac:dyDescent="0.25">
      <c r="A1180" s="20">
        <v>1046</v>
      </c>
      <c r="B1180" s="24" t="s">
        <v>1858</v>
      </c>
      <c r="C1180" s="22">
        <v>33.590000000000003</v>
      </c>
      <c r="D1180" s="25" t="s">
        <v>1926</v>
      </c>
      <c r="E1180" s="24" t="s">
        <v>2006</v>
      </c>
      <c r="F1180" s="24" t="s">
        <v>2007</v>
      </c>
      <c r="G1180" s="202" t="s">
        <v>621</v>
      </c>
      <c r="H1180" s="26">
        <v>1636</v>
      </c>
      <c r="I1180" s="26">
        <v>156</v>
      </c>
      <c r="J1180" s="230">
        <f t="shared" si="9"/>
        <v>0.01</v>
      </c>
      <c r="K1180" s="231"/>
      <c r="L1180" s="231"/>
      <c r="M1180" s="231"/>
      <c r="N1180" s="231"/>
      <c r="O1180" s="231"/>
      <c r="P1180" s="231">
        <v>1.7000000000000001E-2</v>
      </c>
      <c r="Q1180" s="232"/>
      <c r="R1180" s="232"/>
      <c r="S1180" s="232"/>
      <c r="T1180" s="232"/>
      <c r="U1180" s="232"/>
      <c r="V1180" s="232"/>
      <c r="W1180" s="232">
        <v>1</v>
      </c>
      <c r="X1180" s="232"/>
      <c r="Y1180" s="232"/>
      <c r="Z1180" s="232"/>
      <c r="AA1180" s="232"/>
      <c r="AB1180" s="232"/>
      <c r="AC1180" s="232"/>
      <c r="AD1180" s="232"/>
      <c r="AE1180" s="232"/>
      <c r="AF1180" s="232"/>
      <c r="AG1180" s="232"/>
      <c r="AH1180" s="232"/>
      <c r="AI1180" s="232"/>
      <c r="AJ1180" s="232"/>
      <c r="AK1180" s="232"/>
      <c r="AL1180" s="28" t="str">
        <f>VLOOKUP($G1180,'[42]Sheet1 (2)'!$A$1:$B$1048440,2,FALSE)</f>
        <v>Sqm</v>
      </c>
      <c r="AM1180" s="233" t="s">
        <v>1982</v>
      </c>
      <c r="AN1180" s="232"/>
      <c r="AO1180" s="234"/>
    </row>
    <row r="1181" spans="1:41" ht="98" x14ac:dyDescent="0.25">
      <c r="A1181" s="20">
        <v>1047</v>
      </c>
      <c r="B1181" s="24" t="s">
        <v>1858</v>
      </c>
      <c r="C1181" s="22">
        <v>33.61</v>
      </c>
      <c r="D1181" s="25" t="s">
        <v>1926</v>
      </c>
      <c r="E1181" s="24" t="s">
        <v>2008</v>
      </c>
      <c r="F1181" s="24" t="s">
        <v>2009</v>
      </c>
      <c r="G1181" s="202" t="s">
        <v>621</v>
      </c>
      <c r="H1181" s="26">
        <v>2223</v>
      </c>
      <c r="I1181" s="26">
        <v>156</v>
      </c>
      <c r="J1181" s="230">
        <f t="shared" si="9"/>
        <v>0.01</v>
      </c>
      <c r="K1181" s="231"/>
      <c r="L1181" s="231"/>
      <c r="M1181" s="231"/>
      <c r="N1181" s="231"/>
      <c r="O1181" s="231"/>
      <c r="P1181" s="231">
        <v>1.7000000000000001E-2</v>
      </c>
      <c r="Q1181" s="232"/>
      <c r="R1181" s="232"/>
      <c r="S1181" s="232"/>
      <c r="T1181" s="232"/>
      <c r="U1181" s="232"/>
      <c r="V1181" s="232"/>
      <c r="W1181" s="232">
        <v>1</v>
      </c>
      <c r="X1181" s="232"/>
      <c r="Y1181" s="232"/>
      <c r="Z1181" s="232"/>
      <c r="AA1181" s="232"/>
      <c r="AB1181" s="232"/>
      <c r="AC1181" s="232"/>
      <c r="AD1181" s="232"/>
      <c r="AE1181" s="232"/>
      <c r="AF1181" s="232"/>
      <c r="AG1181" s="232"/>
      <c r="AH1181" s="232"/>
      <c r="AI1181" s="232"/>
      <c r="AJ1181" s="232"/>
      <c r="AK1181" s="232"/>
      <c r="AL1181" s="28" t="str">
        <f>VLOOKUP($G1181,'[42]Sheet1 (2)'!$A$1:$B$1048440,2,FALSE)</f>
        <v>Sqm</v>
      </c>
      <c r="AM1181" s="233" t="s">
        <v>1982</v>
      </c>
      <c r="AN1181" s="232"/>
      <c r="AO1181" s="234"/>
    </row>
    <row r="1182" spans="1:41" ht="98" x14ac:dyDescent="0.25">
      <c r="A1182" s="20">
        <v>1048</v>
      </c>
      <c r="B1182" s="24" t="s">
        <v>1858</v>
      </c>
      <c r="C1182" s="22">
        <v>33.619999999999997</v>
      </c>
      <c r="D1182" s="25" t="s">
        <v>1926</v>
      </c>
      <c r="E1182" s="24" t="s">
        <v>2010</v>
      </c>
      <c r="F1182" s="24" t="s">
        <v>2007</v>
      </c>
      <c r="G1182" s="202" t="s">
        <v>621</v>
      </c>
      <c r="H1182" s="26">
        <v>1761</v>
      </c>
      <c r="I1182" s="26">
        <v>195</v>
      </c>
      <c r="J1182" s="230">
        <f t="shared" si="9"/>
        <v>0.01</v>
      </c>
      <c r="K1182" s="231"/>
      <c r="L1182" s="231"/>
      <c r="M1182" s="231"/>
      <c r="N1182" s="231"/>
      <c r="O1182" s="231"/>
      <c r="P1182" s="231">
        <v>1.7000000000000001E-2</v>
      </c>
      <c r="Q1182" s="232"/>
      <c r="R1182" s="232"/>
      <c r="S1182" s="232"/>
      <c r="T1182" s="232"/>
      <c r="U1182" s="232"/>
      <c r="V1182" s="232"/>
      <c r="W1182" s="232">
        <v>1</v>
      </c>
      <c r="X1182" s="232"/>
      <c r="Y1182" s="232"/>
      <c r="Z1182" s="232"/>
      <c r="AA1182" s="232"/>
      <c r="AB1182" s="232"/>
      <c r="AC1182" s="232"/>
      <c r="AD1182" s="232"/>
      <c r="AE1182" s="232"/>
      <c r="AF1182" s="232"/>
      <c r="AG1182" s="232"/>
      <c r="AH1182" s="232"/>
      <c r="AI1182" s="232"/>
      <c r="AJ1182" s="232"/>
      <c r="AK1182" s="232"/>
      <c r="AL1182" s="28" t="str">
        <f>VLOOKUP($G1182,'[42]Sheet1 (2)'!$A$1:$B$1048440,2,FALSE)</f>
        <v>Sqm</v>
      </c>
      <c r="AM1182" s="233" t="s">
        <v>1982</v>
      </c>
      <c r="AN1182" s="232"/>
      <c r="AO1182" s="234"/>
    </row>
    <row r="1183" spans="1:41" ht="112" x14ac:dyDescent="0.25">
      <c r="A1183" s="20">
        <v>1049</v>
      </c>
      <c r="B1183" s="24" t="s">
        <v>1858</v>
      </c>
      <c r="C1183" s="22">
        <v>33.65</v>
      </c>
      <c r="D1183" s="25" t="s">
        <v>1926</v>
      </c>
      <c r="E1183" s="24" t="s">
        <v>2011</v>
      </c>
      <c r="F1183" s="24" t="s">
        <v>1996</v>
      </c>
      <c r="G1183" s="202" t="s">
        <v>621</v>
      </c>
      <c r="H1183" s="26">
        <v>1805</v>
      </c>
      <c r="I1183" s="26">
        <v>195</v>
      </c>
      <c r="J1183" s="230">
        <f t="shared" si="9"/>
        <v>0.01</v>
      </c>
      <c r="K1183" s="231"/>
      <c r="L1183" s="231"/>
      <c r="M1183" s="231"/>
      <c r="N1183" s="231"/>
      <c r="O1183" s="231"/>
      <c r="P1183" s="231">
        <v>1.7000000000000001E-2</v>
      </c>
      <c r="Q1183" s="232"/>
      <c r="R1183" s="232"/>
      <c r="S1183" s="232"/>
      <c r="T1183" s="232"/>
      <c r="U1183" s="232"/>
      <c r="V1183" s="232"/>
      <c r="W1183" s="232">
        <v>1</v>
      </c>
      <c r="X1183" s="232"/>
      <c r="Y1183" s="232"/>
      <c r="Z1183" s="232"/>
      <c r="AA1183" s="232"/>
      <c r="AB1183" s="232"/>
      <c r="AC1183" s="232"/>
      <c r="AD1183" s="232"/>
      <c r="AE1183" s="232"/>
      <c r="AF1183" s="232"/>
      <c r="AG1183" s="232"/>
      <c r="AH1183" s="232"/>
      <c r="AI1183" s="232"/>
      <c r="AJ1183" s="232"/>
      <c r="AK1183" s="232"/>
      <c r="AL1183" s="28" t="str">
        <f>VLOOKUP($G1183,'[42]Sheet1 (2)'!$A$1:$B$1048440,2,FALSE)</f>
        <v>Sqm</v>
      </c>
      <c r="AM1183" s="233" t="s">
        <v>1982</v>
      </c>
      <c r="AN1183" s="232"/>
      <c r="AO1183" s="234"/>
    </row>
    <row r="1184" spans="1:41" ht="84" x14ac:dyDescent="0.25">
      <c r="A1184" s="20">
        <v>1050</v>
      </c>
      <c r="B1184" s="24" t="s">
        <v>1858</v>
      </c>
      <c r="C1184" s="22">
        <v>33.659999999999997</v>
      </c>
      <c r="D1184" s="25" t="s">
        <v>1879</v>
      </c>
      <c r="E1184" s="23" t="s">
        <v>2012</v>
      </c>
      <c r="F1184" s="24" t="s">
        <v>1996</v>
      </c>
      <c r="G1184" s="202" t="s">
        <v>621</v>
      </c>
      <c r="H1184" s="26">
        <v>735</v>
      </c>
      <c r="I1184" s="26">
        <v>197</v>
      </c>
      <c r="J1184" s="231">
        <f>0.16/20</f>
        <v>8.0000000000000002E-3</v>
      </c>
      <c r="K1184" s="231"/>
      <c r="L1184" s="231"/>
      <c r="M1184" s="231"/>
      <c r="N1184" s="231"/>
      <c r="O1184" s="231"/>
      <c r="P1184" s="231">
        <v>0.02</v>
      </c>
      <c r="Q1184" s="232"/>
      <c r="R1184" s="232"/>
      <c r="S1184" s="232"/>
      <c r="T1184" s="232"/>
      <c r="U1184" s="232"/>
      <c r="V1184" s="232"/>
      <c r="W1184" s="232">
        <v>1</v>
      </c>
      <c r="X1184" s="232"/>
      <c r="Y1184" s="232"/>
      <c r="Z1184" s="232"/>
      <c r="AA1184" s="232"/>
      <c r="AB1184" s="232"/>
      <c r="AC1184" s="232"/>
      <c r="AD1184" s="232"/>
      <c r="AE1184" s="232"/>
      <c r="AF1184" s="232"/>
      <c r="AG1184" s="232"/>
      <c r="AH1184" s="232"/>
      <c r="AI1184" s="232"/>
      <c r="AJ1184" s="232"/>
      <c r="AK1184" s="232"/>
      <c r="AL1184" s="28" t="str">
        <f>VLOOKUP($G1184,'[42]Sheet1 (2)'!$A$1:$B$1048440,2,FALSE)</f>
        <v>Sqm</v>
      </c>
      <c r="AM1184" s="233" t="s">
        <v>2013</v>
      </c>
      <c r="AN1184" s="232"/>
      <c r="AO1184" s="234"/>
    </row>
    <row r="1185" spans="1:41" ht="84" x14ac:dyDescent="0.25">
      <c r="A1185" s="20">
        <v>1051</v>
      </c>
      <c r="B1185" s="24" t="s">
        <v>1858</v>
      </c>
      <c r="C1185" s="22">
        <v>33.67</v>
      </c>
      <c r="D1185" s="25" t="s">
        <v>1879</v>
      </c>
      <c r="E1185" s="23" t="s">
        <v>2014</v>
      </c>
      <c r="F1185" s="24" t="s">
        <v>1996</v>
      </c>
      <c r="G1185" s="202" t="s">
        <v>621</v>
      </c>
      <c r="H1185" s="26">
        <v>1200</v>
      </c>
      <c r="I1185" s="26">
        <v>355</v>
      </c>
      <c r="J1185" s="231">
        <f>0.2/20</f>
        <v>0.01</v>
      </c>
      <c r="K1185" s="231"/>
      <c r="L1185" s="231"/>
      <c r="M1185" s="231"/>
      <c r="N1185" s="231"/>
      <c r="O1185" s="231"/>
      <c r="P1185" s="231">
        <v>1.7000000000000001E-2</v>
      </c>
      <c r="Q1185" s="232"/>
      <c r="R1185" s="232"/>
      <c r="S1185" s="232"/>
      <c r="T1185" s="232"/>
      <c r="U1185" s="232"/>
      <c r="V1185" s="232"/>
      <c r="W1185" s="232">
        <v>1</v>
      </c>
      <c r="X1185" s="232"/>
      <c r="Y1185" s="232"/>
      <c r="Z1185" s="232"/>
      <c r="AA1185" s="232"/>
      <c r="AB1185" s="232"/>
      <c r="AC1185" s="232"/>
      <c r="AD1185" s="232"/>
      <c r="AE1185" s="232"/>
      <c r="AF1185" s="232"/>
      <c r="AG1185" s="232"/>
      <c r="AH1185" s="232"/>
      <c r="AI1185" s="232"/>
      <c r="AJ1185" s="232"/>
      <c r="AK1185" s="232"/>
      <c r="AL1185" s="28" t="str">
        <f>VLOOKUP($G1185,'[42]Sheet1 (2)'!$A$1:$B$1048440,2,FALSE)</f>
        <v>Sqm</v>
      </c>
      <c r="AM1185" s="233" t="s">
        <v>2015</v>
      </c>
      <c r="AN1185" s="232"/>
      <c r="AO1185" s="234"/>
    </row>
    <row r="1186" spans="1:41" ht="84" x14ac:dyDescent="0.25">
      <c r="A1186" s="20">
        <v>1052</v>
      </c>
      <c r="B1186" s="24" t="s">
        <v>1858</v>
      </c>
      <c r="C1186" s="22">
        <v>33.68</v>
      </c>
      <c r="D1186" s="25" t="s">
        <v>1879</v>
      </c>
      <c r="E1186" s="24" t="s">
        <v>2016</v>
      </c>
      <c r="F1186" s="24" t="s">
        <v>2017</v>
      </c>
      <c r="G1186" s="202" t="s">
        <v>621</v>
      </c>
      <c r="H1186" s="26">
        <v>4386</v>
      </c>
      <c r="I1186" s="26">
        <v>679</v>
      </c>
      <c r="J1186" s="231">
        <f>0.135/20</f>
        <v>6.7500000000000008E-3</v>
      </c>
      <c r="K1186" s="231"/>
      <c r="L1186" s="231"/>
      <c r="M1186" s="231"/>
      <c r="N1186" s="231"/>
      <c r="O1186" s="231"/>
      <c r="P1186" s="231">
        <v>0.02</v>
      </c>
      <c r="Q1186" s="232"/>
      <c r="R1186" s="232"/>
      <c r="S1186" s="232"/>
      <c r="T1186" s="232"/>
      <c r="U1186" s="232"/>
      <c r="V1186" s="232"/>
      <c r="W1186" s="232">
        <v>1</v>
      </c>
      <c r="X1186" s="232"/>
      <c r="Y1186" s="232"/>
      <c r="Z1186" s="232"/>
      <c r="AA1186" s="232"/>
      <c r="AB1186" s="232"/>
      <c r="AC1186" s="232"/>
      <c r="AD1186" s="232"/>
      <c r="AE1186" s="232"/>
      <c r="AF1186" s="232"/>
      <c r="AG1186" s="232"/>
      <c r="AH1186" s="232"/>
      <c r="AI1186" s="232"/>
      <c r="AJ1186" s="232"/>
      <c r="AK1186" s="232"/>
      <c r="AL1186" s="28" t="str">
        <f>VLOOKUP($G1186,'[42]Sheet1 (2)'!$A$1:$B$1048440,2,FALSE)</f>
        <v>Sqm</v>
      </c>
      <c r="AM1186" s="233" t="s">
        <v>2018</v>
      </c>
      <c r="AN1186" s="232"/>
      <c r="AO1186" s="234"/>
    </row>
    <row r="1187" spans="1:41" ht="126" x14ac:dyDescent="0.25">
      <c r="A1187" s="20">
        <v>1053</v>
      </c>
      <c r="B1187" s="24" t="s">
        <v>1858</v>
      </c>
      <c r="C1187" s="22">
        <v>33.75</v>
      </c>
      <c r="D1187" s="25" t="s">
        <v>1879</v>
      </c>
      <c r="E1187" s="23" t="s">
        <v>2019</v>
      </c>
      <c r="F1187" s="24" t="s">
        <v>2020</v>
      </c>
      <c r="G1187" s="202" t="s">
        <v>621</v>
      </c>
      <c r="H1187" s="26">
        <v>1583</v>
      </c>
      <c r="I1187" s="26">
        <v>479</v>
      </c>
      <c r="J1187" s="231">
        <f>0.135/20</f>
        <v>6.7500000000000008E-3</v>
      </c>
      <c r="K1187" s="231"/>
      <c r="L1187" s="231"/>
      <c r="M1187" s="231"/>
      <c r="N1187" s="231"/>
      <c r="O1187" s="231"/>
      <c r="P1187" s="231">
        <v>2.1999999999999999E-2</v>
      </c>
      <c r="Q1187" s="232"/>
      <c r="R1187" s="232"/>
      <c r="S1187" s="232"/>
      <c r="T1187" s="232"/>
      <c r="U1187" s="232"/>
      <c r="V1187" s="232"/>
      <c r="W1187" s="232">
        <v>1</v>
      </c>
      <c r="X1187" s="232"/>
      <c r="Y1187" s="232"/>
      <c r="Z1187" s="232"/>
      <c r="AA1187" s="232"/>
      <c r="AB1187" s="232"/>
      <c r="AC1187" s="232"/>
      <c r="AD1187" s="232"/>
      <c r="AE1187" s="232"/>
      <c r="AF1187" s="232"/>
      <c r="AG1187" s="232"/>
      <c r="AH1187" s="232"/>
      <c r="AI1187" s="232"/>
      <c r="AJ1187" s="232"/>
      <c r="AK1187" s="232"/>
      <c r="AL1187" s="28" t="str">
        <f>VLOOKUP($G1187,'[42]Sheet1 (2)'!$A$1:$B$1048440,2,FALSE)</f>
        <v>Sqm</v>
      </c>
      <c r="AM1187" s="233" t="s">
        <v>2021</v>
      </c>
      <c r="AN1187" s="232"/>
      <c r="AO1187" s="234"/>
    </row>
    <row r="1188" spans="1:41" ht="182" x14ac:dyDescent="0.25">
      <c r="A1188" s="20">
        <v>1054</v>
      </c>
      <c r="B1188" s="24" t="s">
        <v>1858</v>
      </c>
      <c r="C1188" s="22">
        <v>33.76</v>
      </c>
      <c r="D1188" s="25" t="s">
        <v>1879</v>
      </c>
      <c r="E1188" s="23" t="s">
        <v>2022</v>
      </c>
      <c r="F1188" s="21" t="s">
        <v>2023</v>
      </c>
      <c r="G1188" s="202" t="s">
        <v>621</v>
      </c>
      <c r="H1188" s="26">
        <v>1102</v>
      </c>
      <c r="I1188" s="26">
        <v>355</v>
      </c>
      <c r="J1188" s="231">
        <f>0.185/20</f>
        <v>9.2499999999999995E-3</v>
      </c>
      <c r="K1188" s="231"/>
      <c r="L1188" s="231"/>
      <c r="M1188" s="231"/>
      <c r="N1188" s="231"/>
      <c r="O1188" s="231"/>
      <c r="P1188" s="231">
        <v>0.02</v>
      </c>
      <c r="Q1188" s="232"/>
      <c r="R1188" s="232"/>
      <c r="S1188" s="232"/>
      <c r="T1188" s="232"/>
      <c r="U1188" s="232"/>
      <c r="V1188" s="232"/>
      <c r="W1188" s="232">
        <v>1</v>
      </c>
      <c r="X1188" s="232"/>
      <c r="Y1188" s="232"/>
      <c r="Z1188" s="232"/>
      <c r="AA1188" s="232"/>
      <c r="AB1188" s="232"/>
      <c r="AC1188" s="232"/>
      <c r="AD1188" s="232"/>
      <c r="AE1188" s="232"/>
      <c r="AF1188" s="232"/>
      <c r="AG1188" s="232"/>
      <c r="AH1188" s="232"/>
      <c r="AI1188" s="232"/>
      <c r="AJ1188" s="232"/>
      <c r="AK1188" s="232"/>
      <c r="AL1188" s="28" t="str">
        <f>VLOOKUP($G1188,'[42]Sheet1 (2)'!$A$1:$B$1048440,2,FALSE)</f>
        <v>Sqm</v>
      </c>
      <c r="AM1188" s="233" t="s">
        <v>2024</v>
      </c>
      <c r="AN1188" s="232"/>
      <c r="AO1188" s="234"/>
    </row>
    <row r="1189" spans="1:41" ht="168" x14ac:dyDescent="0.25">
      <c r="A1189" s="20">
        <v>1055</v>
      </c>
      <c r="B1189" s="24" t="s">
        <v>1858</v>
      </c>
      <c r="C1189" s="22">
        <v>33.770000000000003</v>
      </c>
      <c r="D1189" s="25" t="s">
        <v>1879</v>
      </c>
      <c r="E1189" s="23" t="s">
        <v>2025</v>
      </c>
      <c r="F1189" s="21" t="s">
        <v>2023</v>
      </c>
      <c r="G1189" s="202" t="s">
        <v>621</v>
      </c>
      <c r="H1189" s="26">
        <v>1175</v>
      </c>
      <c r="I1189" s="26">
        <v>434</v>
      </c>
      <c r="J1189" s="231">
        <f>0.185/20</f>
        <v>9.2499999999999995E-3</v>
      </c>
      <c r="K1189" s="231"/>
      <c r="L1189" s="231"/>
      <c r="M1189" s="231"/>
      <c r="N1189" s="231"/>
      <c r="O1189" s="231"/>
      <c r="P1189" s="231">
        <v>0.02</v>
      </c>
      <c r="Q1189" s="232"/>
      <c r="R1189" s="232"/>
      <c r="S1189" s="232"/>
      <c r="T1189" s="232"/>
      <c r="U1189" s="232"/>
      <c r="V1189" s="232"/>
      <c r="W1189" s="232">
        <v>1</v>
      </c>
      <c r="X1189" s="232"/>
      <c r="Y1189" s="232"/>
      <c r="Z1189" s="232"/>
      <c r="AA1189" s="232"/>
      <c r="AB1189" s="232"/>
      <c r="AC1189" s="232"/>
      <c r="AD1189" s="232"/>
      <c r="AE1189" s="232"/>
      <c r="AF1189" s="232"/>
      <c r="AG1189" s="232"/>
      <c r="AH1189" s="232"/>
      <c r="AI1189" s="232"/>
      <c r="AJ1189" s="232"/>
      <c r="AK1189" s="232"/>
      <c r="AL1189" s="28" t="str">
        <f>VLOOKUP($G1189,'[42]Sheet1 (2)'!$A$1:$B$1048440,2,FALSE)</f>
        <v>Sqm</v>
      </c>
      <c r="AM1189" s="233" t="s">
        <v>2026</v>
      </c>
      <c r="AN1189" s="232"/>
      <c r="AO1189" s="234"/>
    </row>
    <row r="1190" spans="1:41" ht="56" x14ac:dyDescent="0.25">
      <c r="A1190" s="20">
        <v>1056</v>
      </c>
      <c r="B1190" s="35" t="s">
        <v>1909</v>
      </c>
      <c r="C1190" s="22">
        <v>33.78</v>
      </c>
      <c r="D1190" s="25" t="s">
        <v>1879</v>
      </c>
      <c r="E1190" s="24" t="s">
        <v>2027</v>
      </c>
      <c r="F1190" s="35" t="s">
        <v>2028</v>
      </c>
      <c r="G1190" s="202" t="s">
        <v>621</v>
      </c>
      <c r="H1190" s="26">
        <v>177</v>
      </c>
      <c r="I1190" s="26">
        <v>149</v>
      </c>
      <c r="J1190" s="231"/>
      <c r="K1190" s="231"/>
      <c r="L1190" s="231"/>
      <c r="M1190" s="231"/>
      <c r="N1190" s="231"/>
      <c r="O1190" s="231"/>
      <c r="P1190" s="231"/>
      <c r="Q1190" s="232"/>
      <c r="R1190" s="232"/>
      <c r="S1190" s="232"/>
      <c r="T1190" s="232"/>
      <c r="U1190" s="232"/>
      <c r="V1190" s="232"/>
      <c r="W1190" s="232"/>
      <c r="X1190" s="232"/>
      <c r="Y1190" s="232"/>
      <c r="Z1190" s="232"/>
      <c r="AA1190" s="232"/>
      <c r="AB1190" s="232"/>
      <c r="AC1190" s="232"/>
      <c r="AD1190" s="232"/>
      <c r="AE1190" s="232"/>
      <c r="AF1190" s="232"/>
      <c r="AG1190" s="232"/>
      <c r="AH1190" s="232"/>
      <c r="AI1190" s="232"/>
      <c r="AJ1190" s="232"/>
      <c r="AK1190" s="232"/>
      <c r="AL1190" s="28" t="str">
        <f>VLOOKUP($G1190,'[42]Sheet1 (2)'!$A$1:$B$1048440,2,FALSE)</f>
        <v>Sqm</v>
      </c>
      <c r="AM1190" s="233"/>
      <c r="AN1190" s="232"/>
      <c r="AO1190" s="234"/>
    </row>
    <row r="1191" spans="1:41" ht="56" x14ac:dyDescent="0.25">
      <c r="A1191" s="20">
        <v>1057</v>
      </c>
      <c r="B1191" s="35" t="s">
        <v>1909</v>
      </c>
      <c r="C1191" s="22">
        <v>33.79</v>
      </c>
      <c r="D1191" s="25" t="s">
        <v>1879</v>
      </c>
      <c r="E1191" s="24" t="s">
        <v>2029</v>
      </c>
      <c r="F1191" s="35" t="s">
        <v>1240</v>
      </c>
      <c r="G1191" s="202" t="s">
        <v>621</v>
      </c>
      <c r="H1191" s="26">
        <v>79</v>
      </c>
      <c r="I1191" s="26">
        <v>74</v>
      </c>
      <c r="J1191" s="231"/>
      <c r="K1191" s="231"/>
      <c r="L1191" s="231"/>
      <c r="M1191" s="231"/>
      <c r="N1191" s="231"/>
      <c r="O1191" s="231"/>
      <c r="P1191" s="231"/>
      <c r="Q1191" s="232"/>
      <c r="R1191" s="232"/>
      <c r="S1191" s="232"/>
      <c r="T1191" s="232"/>
      <c r="U1191" s="232"/>
      <c r="V1191" s="232"/>
      <c r="W1191" s="232"/>
      <c r="X1191" s="232"/>
      <c r="Y1191" s="232"/>
      <c r="Z1191" s="232"/>
      <c r="AA1191" s="232"/>
      <c r="AB1191" s="232"/>
      <c r="AC1191" s="232"/>
      <c r="AD1191" s="232"/>
      <c r="AE1191" s="232"/>
      <c r="AF1191" s="232"/>
      <c r="AG1191" s="232"/>
      <c r="AH1191" s="232"/>
      <c r="AI1191" s="232"/>
      <c r="AJ1191" s="232"/>
      <c r="AK1191" s="232"/>
      <c r="AL1191" s="28" t="str">
        <f>VLOOKUP($G1191,'[42]Sheet1 (2)'!$A$1:$B$1048440,2,FALSE)</f>
        <v>Sqm</v>
      </c>
      <c r="AM1191" s="233"/>
      <c r="AN1191" s="232"/>
      <c r="AO1191" s="234"/>
    </row>
    <row r="1192" spans="1:41" ht="56" x14ac:dyDescent="0.25">
      <c r="A1192" s="20">
        <v>1058</v>
      </c>
      <c r="B1192" s="35" t="s">
        <v>1909</v>
      </c>
      <c r="C1192" s="22">
        <v>33.799999999999997</v>
      </c>
      <c r="D1192" s="25" t="s">
        <v>1879</v>
      </c>
      <c r="E1192" s="24" t="s">
        <v>2030</v>
      </c>
      <c r="F1192" s="35" t="s">
        <v>2028</v>
      </c>
      <c r="G1192" s="202" t="s">
        <v>621</v>
      </c>
      <c r="H1192" s="26">
        <v>441</v>
      </c>
      <c r="I1192" s="26">
        <v>223</v>
      </c>
      <c r="J1192" s="231"/>
      <c r="K1192" s="231"/>
      <c r="L1192" s="231"/>
      <c r="M1192" s="231"/>
      <c r="N1192" s="231"/>
      <c r="O1192" s="231"/>
      <c r="P1192" s="231"/>
      <c r="Q1192" s="232"/>
      <c r="R1192" s="232"/>
      <c r="S1192" s="232"/>
      <c r="T1192" s="232"/>
      <c r="U1192" s="232"/>
      <c r="V1192" s="232"/>
      <c r="W1192" s="232"/>
      <c r="X1192" s="232"/>
      <c r="Y1192" s="232"/>
      <c r="Z1192" s="232"/>
      <c r="AA1192" s="232"/>
      <c r="AB1192" s="232"/>
      <c r="AC1192" s="232"/>
      <c r="AD1192" s="232"/>
      <c r="AE1192" s="232"/>
      <c r="AF1192" s="232"/>
      <c r="AG1192" s="232"/>
      <c r="AH1192" s="232"/>
      <c r="AI1192" s="232"/>
      <c r="AJ1192" s="232"/>
      <c r="AK1192" s="232"/>
      <c r="AL1192" s="28" t="str">
        <f>VLOOKUP($G1192,'[42]Sheet1 (2)'!$A$1:$B$1048440,2,FALSE)</f>
        <v>Sqm</v>
      </c>
      <c r="AM1192" s="233"/>
      <c r="AN1192" s="232"/>
      <c r="AO1192" s="234"/>
    </row>
    <row r="1193" spans="1:41" ht="84" x14ac:dyDescent="0.25">
      <c r="A1193" s="20">
        <v>1059</v>
      </c>
      <c r="B1193" s="24" t="s">
        <v>1858</v>
      </c>
      <c r="C1193" s="22">
        <v>33.81</v>
      </c>
      <c r="D1193" s="25" t="s">
        <v>1879</v>
      </c>
      <c r="E1193" s="23" t="s">
        <v>2031</v>
      </c>
      <c r="F1193" s="24" t="s">
        <v>1233</v>
      </c>
      <c r="G1193" s="202" t="s">
        <v>621</v>
      </c>
      <c r="H1193" s="26">
        <v>1344</v>
      </c>
      <c r="I1193" s="26">
        <v>366</v>
      </c>
      <c r="J1193" s="231">
        <f>0.185/20</f>
        <v>9.2499999999999995E-3</v>
      </c>
      <c r="K1193" s="231"/>
      <c r="L1193" s="231"/>
      <c r="M1193" s="231"/>
      <c r="N1193" s="231"/>
      <c r="O1193" s="231"/>
      <c r="P1193" s="231">
        <v>2.1999999999999999E-2</v>
      </c>
      <c r="Q1193" s="232"/>
      <c r="R1193" s="232"/>
      <c r="S1193" s="232"/>
      <c r="T1193" s="232"/>
      <c r="U1193" s="232"/>
      <c r="V1193" s="232"/>
      <c r="W1193" s="232">
        <v>1</v>
      </c>
      <c r="X1193" s="232"/>
      <c r="Y1193" s="232"/>
      <c r="Z1193" s="232"/>
      <c r="AA1193" s="232"/>
      <c r="AB1193" s="232"/>
      <c r="AC1193" s="232"/>
      <c r="AD1193" s="232"/>
      <c r="AE1193" s="232"/>
      <c r="AF1193" s="232"/>
      <c r="AG1193" s="232"/>
      <c r="AH1193" s="232"/>
      <c r="AI1193" s="232"/>
      <c r="AJ1193" s="232"/>
      <c r="AK1193" s="232"/>
      <c r="AL1193" s="28" t="str">
        <f>VLOOKUP($G1193,'[42]Sheet1 (2)'!$A$1:$B$1048440,2,FALSE)</f>
        <v>Sqm</v>
      </c>
      <c r="AM1193" s="233" t="s">
        <v>2032</v>
      </c>
      <c r="AN1193" s="232"/>
      <c r="AO1193" s="234"/>
    </row>
    <row r="1194" spans="1:41" ht="46.5" x14ac:dyDescent="0.25">
      <c r="A1194" s="204"/>
      <c r="B1194" s="24"/>
      <c r="C1194" s="22"/>
      <c r="D1194" s="165"/>
      <c r="E1194" s="222" t="s">
        <v>2033</v>
      </c>
      <c r="F1194" s="166"/>
      <c r="G1194" s="202" t="s">
        <v>621</v>
      </c>
      <c r="H1194" s="167"/>
      <c r="I1194" s="167"/>
      <c r="J1194" s="231"/>
      <c r="K1194" s="231"/>
      <c r="L1194" s="231"/>
      <c r="M1194" s="231"/>
      <c r="N1194" s="231"/>
      <c r="O1194" s="231"/>
      <c r="P1194" s="231"/>
      <c r="Q1194" s="232"/>
      <c r="R1194" s="232"/>
      <c r="S1194" s="232"/>
      <c r="T1194" s="232"/>
      <c r="U1194" s="232"/>
      <c r="V1194" s="232"/>
      <c r="W1194" s="232"/>
      <c r="X1194" s="232"/>
      <c r="Y1194" s="232"/>
      <c r="Z1194" s="232"/>
      <c r="AA1194" s="232"/>
      <c r="AB1194" s="232"/>
      <c r="AC1194" s="232"/>
      <c r="AD1194" s="232"/>
      <c r="AE1194" s="232"/>
      <c r="AF1194" s="232"/>
      <c r="AG1194" s="232"/>
      <c r="AH1194" s="232"/>
      <c r="AI1194" s="232"/>
      <c r="AJ1194" s="232"/>
      <c r="AK1194" s="232"/>
      <c r="AL1194" s="28" t="str">
        <f>VLOOKUP($G1194,'[42]Sheet1 (2)'!$A$1:$B$1048440,2,FALSE)</f>
        <v>Sqm</v>
      </c>
      <c r="AM1194" s="233"/>
      <c r="AN1194" s="232"/>
      <c r="AO1194" s="234"/>
    </row>
    <row r="1195" spans="1:41" ht="70" x14ac:dyDescent="0.25">
      <c r="A1195" s="20">
        <v>1060</v>
      </c>
      <c r="B1195" s="25" t="s">
        <v>2033</v>
      </c>
      <c r="C1195" s="22">
        <v>34.01</v>
      </c>
      <c r="D1195" s="25" t="s">
        <v>2034</v>
      </c>
      <c r="E1195" s="24" t="s">
        <v>2035</v>
      </c>
      <c r="F1195" s="92" t="s">
        <v>2036</v>
      </c>
      <c r="G1195" s="202" t="s">
        <v>621</v>
      </c>
      <c r="H1195" s="26">
        <v>27</v>
      </c>
      <c r="I1195" s="26">
        <v>17</v>
      </c>
      <c r="J1195" s="31"/>
      <c r="K1195" s="31"/>
      <c r="L1195" s="31"/>
      <c r="M1195" s="31"/>
      <c r="N1195" s="31"/>
      <c r="O1195" s="31"/>
      <c r="P1195" s="31"/>
      <c r="Q1195" s="31"/>
      <c r="R1195" s="31"/>
      <c r="S1195" s="31"/>
      <c r="T1195" s="31"/>
      <c r="U1195" s="31"/>
      <c r="V1195" s="31"/>
      <c r="W1195" s="31"/>
      <c r="X1195" s="31"/>
      <c r="Y1195" s="31"/>
      <c r="Z1195" s="31"/>
      <c r="AA1195" s="31"/>
      <c r="AB1195" s="31"/>
      <c r="AC1195" s="31"/>
      <c r="AD1195" s="31"/>
      <c r="AE1195" s="31"/>
      <c r="AF1195" s="31"/>
      <c r="AG1195" s="31"/>
      <c r="AH1195" s="31"/>
      <c r="AI1195" s="31"/>
      <c r="AJ1195" s="31"/>
      <c r="AK1195" s="31"/>
      <c r="AL1195" s="28" t="str">
        <f>VLOOKUP($G1195,'[42]Sheet1 (2)'!$A$1:$B$1048440,2,FALSE)</f>
        <v>Sqm</v>
      </c>
      <c r="AM1195" s="233"/>
      <c r="AN1195" s="31"/>
      <c r="AO1195" s="33"/>
    </row>
    <row r="1196" spans="1:41" ht="46.5" x14ac:dyDescent="0.25">
      <c r="A1196" s="20">
        <v>1061</v>
      </c>
      <c r="B1196" s="25" t="s">
        <v>2033</v>
      </c>
      <c r="C1196" s="22">
        <v>34.020000000000003</v>
      </c>
      <c r="D1196" s="25" t="s">
        <v>2034</v>
      </c>
      <c r="E1196" s="24" t="s">
        <v>2037</v>
      </c>
      <c r="F1196" s="24" t="s">
        <v>2038</v>
      </c>
      <c r="G1196" s="202" t="s">
        <v>621</v>
      </c>
      <c r="H1196" s="26">
        <v>44</v>
      </c>
      <c r="I1196" s="26">
        <v>31</v>
      </c>
      <c r="J1196" s="31"/>
      <c r="K1196" s="31"/>
      <c r="L1196" s="31"/>
      <c r="M1196" s="31"/>
      <c r="N1196" s="31"/>
      <c r="O1196" s="31"/>
      <c r="P1196" s="31"/>
      <c r="Q1196" s="31"/>
      <c r="R1196" s="31"/>
      <c r="S1196" s="31"/>
      <c r="T1196" s="31"/>
      <c r="U1196" s="31"/>
      <c r="V1196" s="31"/>
      <c r="W1196" s="31"/>
      <c r="X1196" s="31"/>
      <c r="Y1196" s="31"/>
      <c r="Z1196" s="31"/>
      <c r="AA1196" s="31"/>
      <c r="AB1196" s="31"/>
      <c r="AC1196" s="31"/>
      <c r="AD1196" s="31"/>
      <c r="AE1196" s="31"/>
      <c r="AF1196" s="31"/>
      <c r="AG1196" s="31"/>
      <c r="AH1196" s="31"/>
      <c r="AI1196" s="31"/>
      <c r="AJ1196" s="31"/>
      <c r="AK1196" s="31"/>
      <c r="AL1196" s="28" t="str">
        <f>VLOOKUP($G1196,'[42]Sheet1 (2)'!$A$1:$B$1048440,2,FALSE)</f>
        <v>Sqm</v>
      </c>
      <c r="AM1196" s="233"/>
      <c r="AN1196" s="31"/>
      <c r="AO1196" s="33"/>
    </row>
    <row r="1197" spans="1:41" ht="70" x14ac:dyDescent="0.25">
      <c r="A1197" s="20">
        <v>1062</v>
      </c>
      <c r="B1197" s="25" t="s">
        <v>2033</v>
      </c>
      <c r="C1197" s="22">
        <v>34.03</v>
      </c>
      <c r="D1197" s="25" t="s">
        <v>2039</v>
      </c>
      <c r="E1197" s="23" t="s">
        <v>2040</v>
      </c>
      <c r="F1197" s="92" t="s">
        <v>2041</v>
      </c>
      <c r="G1197" s="202" t="s">
        <v>621</v>
      </c>
      <c r="H1197" s="26">
        <v>56</v>
      </c>
      <c r="I1197" s="26">
        <v>47</v>
      </c>
      <c r="J1197" s="31"/>
      <c r="K1197" s="31"/>
      <c r="L1197" s="31"/>
      <c r="M1197" s="31"/>
      <c r="N1197" s="31"/>
      <c r="O1197" s="31"/>
      <c r="P1197" s="31"/>
      <c r="Q1197" s="31"/>
      <c r="R1197" s="31"/>
      <c r="S1197" s="31"/>
      <c r="T1197" s="31"/>
      <c r="U1197" s="31"/>
      <c r="V1197" s="31"/>
      <c r="W1197" s="31"/>
      <c r="X1197" s="31"/>
      <c r="Y1197" s="31"/>
      <c r="Z1197" s="31"/>
      <c r="AA1197" s="31"/>
      <c r="AB1197" s="31"/>
      <c r="AC1197" s="31"/>
      <c r="AD1197" s="31"/>
      <c r="AE1197" s="31"/>
      <c r="AF1197" s="31"/>
      <c r="AG1197" s="31"/>
      <c r="AH1197" s="31"/>
      <c r="AI1197" s="31"/>
      <c r="AJ1197" s="31"/>
      <c r="AK1197" s="31"/>
      <c r="AL1197" s="28" t="str">
        <f>VLOOKUP($G1197,'[42]Sheet1 (2)'!$A$1:$B$1048440,2,FALSE)</f>
        <v>Sqm</v>
      </c>
      <c r="AM1197" s="233"/>
      <c r="AN1197" s="31"/>
      <c r="AO1197" s="33"/>
    </row>
    <row r="1198" spans="1:41" ht="46.5" x14ac:dyDescent="0.25">
      <c r="A1198" s="20">
        <v>1063</v>
      </c>
      <c r="B1198" s="25" t="s">
        <v>2033</v>
      </c>
      <c r="C1198" s="22">
        <v>34.04</v>
      </c>
      <c r="D1198" s="25" t="s">
        <v>2039</v>
      </c>
      <c r="E1198" s="23" t="s">
        <v>2042</v>
      </c>
      <c r="F1198" s="35" t="s">
        <v>2043</v>
      </c>
      <c r="G1198" s="202" t="s">
        <v>621</v>
      </c>
      <c r="H1198" s="26">
        <v>45</v>
      </c>
      <c r="I1198" s="26">
        <v>31</v>
      </c>
      <c r="J1198" s="31"/>
      <c r="K1198" s="31"/>
      <c r="L1198" s="31"/>
      <c r="M1198" s="31"/>
      <c r="N1198" s="31"/>
      <c r="O1198" s="31"/>
      <c r="P1198" s="31"/>
      <c r="Q1198" s="31"/>
      <c r="R1198" s="31"/>
      <c r="S1198" s="31"/>
      <c r="T1198" s="31"/>
      <c r="U1198" s="31"/>
      <c r="V1198" s="31"/>
      <c r="W1198" s="31"/>
      <c r="X1198" s="31"/>
      <c r="Y1198" s="31"/>
      <c r="Z1198" s="31"/>
      <c r="AA1198" s="31"/>
      <c r="AB1198" s="31"/>
      <c r="AC1198" s="31"/>
      <c r="AD1198" s="31"/>
      <c r="AE1198" s="31"/>
      <c r="AF1198" s="31"/>
      <c r="AG1198" s="31"/>
      <c r="AH1198" s="31"/>
      <c r="AI1198" s="31"/>
      <c r="AJ1198" s="31"/>
      <c r="AK1198" s="31"/>
      <c r="AL1198" s="28" t="str">
        <f>VLOOKUP($G1198,'[42]Sheet1 (2)'!$A$1:$B$1048440,2,FALSE)</f>
        <v>Sqm</v>
      </c>
      <c r="AM1198" s="233"/>
      <c r="AN1198" s="31"/>
      <c r="AO1198" s="33"/>
    </row>
    <row r="1199" spans="1:41" ht="46.5" x14ac:dyDescent="0.25">
      <c r="A1199" s="20">
        <v>1064</v>
      </c>
      <c r="B1199" s="25" t="s">
        <v>2033</v>
      </c>
      <c r="C1199" s="22">
        <v>34.049999999999997</v>
      </c>
      <c r="D1199" s="25" t="s">
        <v>2044</v>
      </c>
      <c r="E1199" s="24" t="s">
        <v>2045</v>
      </c>
      <c r="F1199" s="24" t="s">
        <v>2046</v>
      </c>
      <c r="G1199" s="202" t="s">
        <v>621</v>
      </c>
      <c r="H1199" s="26">
        <v>123</v>
      </c>
      <c r="I1199" s="26">
        <v>89</v>
      </c>
      <c r="J1199" s="31"/>
      <c r="K1199" s="31"/>
      <c r="L1199" s="31"/>
      <c r="M1199" s="31"/>
      <c r="N1199" s="31"/>
      <c r="O1199" s="31"/>
      <c r="P1199" s="31"/>
      <c r="Q1199" s="31"/>
      <c r="R1199" s="31"/>
      <c r="S1199" s="31"/>
      <c r="T1199" s="31"/>
      <c r="U1199" s="31"/>
      <c r="V1199" s="31"/>
      <c r="W1199" s="31"/>
      <c r="X1199" s="31"/>
      <c r="Y1199" s="31"/>
      <c r="Z1199" s="31"/>
      <c r="AA1199" s="31"/>
      <c r="AB1199" s="31"/>
      <c r="AC1199" s="31"/>
      <c r="AD1199" s="31"/>
      <c r="AE1199" s="31"/>
      <c r="AF1199" s="31"/>
      <c r="AG1199" s="31"/>
      <c r="AH1199" s="31"/>
      <c r="AI1199" s="31"/>
      <c r="AJ1199" s="31"/>
      <c r="AK1199" s="31"/>
      <c r="AL1199" s="28" t="str">
        <f>VLOOKUP($G1199,'[42]Sheet1 (2)'!$A$1:$B$1048440,2,FALSE)</f>
        <v>Sqm</v>
      </c>
      <c r="AM1199" s="233"/>
      <c r="AN1199" s="31"/>
      <c r="AO1199" s="33"/>
    </row>
    <row r="1200" spans="1:41" ht="46.5" x14ac:dyDescent="0.25">
      <c r="A1200" s="20">
        <v>1065</v>
      </c>
      <c r="B1200" s="25" t="s">
        <v>2033</v>
      </c>
      <c r="C1200" s="22">
        <v>34.06</v>
      </c>
      <c r="D1200" s="25" t="s">
        <v>2044</v>
      </c>
      <c r="E1200" s="24" t="s">
        <v>2047</v>
      </c>
      <c r="F1200" s="24" t="s">
        <v>2046</v>
      </c>
      <c r="G1200" s="202" t="s">
        <v>621</v>
      </c>
      <c r="H1200" s="26">
        <v>241</v>
      </c>
      <c r="I1200" s="26">
        <v>192</v>
      </c>
      <c r="J1200" s="31"/>
      <c r="K1200" s="31"/>
      <c r="L1200" s="31"/>
      <c r="M1200" s="31"/>
      <c r="N1200" s="31"/>
      <c r="O1200" s="31"/>
      <c r="P1200" s="31"/>
      <c r="Q1200" s="31"/>
      <c r="R1200" s="31"/>
      <c r="S1200" s="31"/>
      <c r="T1200" s="31"/>
      <c r="U1200" s="31"/>
      <c r="V1200" s="31"/>
      <c r="W1200" s="31"/>
      <c r="X1200" s="31"/>
      <c r="Y1200" s="31"/>
      <c r="Z1200" s="31"/>
      <c r="AA1200" s="31"/>
      <c r="AB1200" s="31"/>
      <c r="AC1200" s="31"/>
      <c r="AD1200" s="31"/>
      <c r="AE1200" s="31"/>
      <c r="AF1200" s="31"/>
      <c r="AG1200" s="31"/>
      <c r="AH1200" s="31"/>
      <c r="AI1200" s="31"/>
      <c r="AJ1200" s="31"/>
      <c r="AK1200" s="31"/>
      <c r="AL1200" s="28" t="str">
        <f>VLOOKUP($G1200,'[42]Sheet1 (2)'!$A$1:$B$1048440,2,FALSE)</f>
        <v>Sqm</v>
      </c>
      <c r="AM1200" s="233"/>
      <c r="AN1200" s="31"/>
      <c r="AO1200" s="33"/>
    </row>
    <row r="1201" spans="1:41" ht="46.5" x14ac:dyDescent="0.25">
      <c r="A1201" s="20">
        <v>1066</v>
      </c>
      <c r="B1201" s="25" t="s">
        <v>2033</v>
      </c>
      <c r="C1201" s="22">
        <v>34.07</v>
      </c>
      <c r="D1201" s="25" t="s">
        <v>2048</v>
      </c>
      <c r="E1201" s="24" t="s">
        <v>2049</v>
      </c>
      <c r="F1201" s="24" t="s">
        <v>2050</v>
      </c>
      <c r="G1201" s="202" t="s">
        <v>621</v>
      </c>
      <c r="H1201" s="26">
        <v>41</v>
      </c>
      <c r="I1201" s="26">
        <v>22</v>
      </c>
      <c r="J1201" s="31"/>
      <c r="K1201" s="31"/>
      <c r="L1201" s="31"/>
      <c r="M1201" s="31"/>
      <c r="N1201" s="31"/>
      <c r="O1201" s="31"/>
      <c r="P1201" s="31"/>
      <c r="Q1201" s="31"/>
      <c r="R1201" s="31"/>
      <c r="S1201" s="31"/>
      <c r="T1201" s="31"/>
      <c r="U1201" s="31"/>
      <c r="V1201" s="31"/>
      <c r="W1201" s="31"/>
      <c r="X1201" s="31"/>
      <c r="Y1201" s="31"/>
      <c r="Z1201" s="31"/>
      <c r="AA1201" s="31"/>
      <c r="AB1201" s="31"/>
      <c r="AC1201" s="31"/>
      <c r="AD1201" s="31"/>
      <c r="AE1201" s="31"/>
      <c r="AF1201" s="31"/>
      <c r="AG1201" s="31"/>
      <c r="AH1201" s="31"/>
      <c r="AI1201" s="31"/>
      <c r="AJ1201" s="31"/>
      <c r="AK1201" s="31"/>
      <c r="AL1201" s="28" t="str">
        <f>VLOOKUP($G1201,'[42]Sheet1 (2)'!$A$1:$B$1048440,2,FALSE)</f>
        <v>Sqm</v>
      </c>
      <c r="AM1201" s="233"/>
      <c r="AN1201" s="31"/>
      <c r="AO1201" s="33"/>
    </row>
    <row r="1202" spans="1:41" ht="70" x14ac:dyDescent="0.25">
      <c r="A1202" s="20">
        <v>1067</v>
      </c>
      <c r="B1202" s="25" t="s">
        <v>2033</v>
      </c>
      <c r="C1202" s="22">
        <v>34.08</v>
      </c>
      <c r="D1202" s="25" t="s">
        <v>2048</v>
      </c>
      <c r="E1202" s="23" t="s">
        <v>2051</v>
      </c>
      <c r="F1202" s="92" t="s">
        <v>2052</v>
      </c>
      <c r="G1202" s="202" t="s">
        <v>621</v>
      </c>
      <c r="H1202" s="26">
        <v>64</v>
      </c>
      <c r="I1202" s="26">
        <v>31</v>
      </c>
      <c r="J1202" s="31"/>
      <c r="K1202" s="31"/>
      <c r="L1202" s="31"/>
      <c r="M1202" s="31"/>
      <c r="N1202" s="31"/>
      <c r="O1202" s="31"/>
      <c r="P1202" s="31"/>
      <c r="Q1202" s="31"/>
      <c r="R1202" s="31"/>
      <c r="S1202" s="31"/>
      <c r="T1202" s="31"/>
      <c r="U1202" s="31"/>
      <c r="V1202" s="31"/>
      <c r="W1202" s="31"/>
      <c r="X1202" s="31"/>
      <c r="Y1202" s="31"/>
      <c r="Z1202" s="31"/>
      <c r="AA1202" s="31"/>
      <c r="AB1202" s="31"/>
      <c r="AC1202" s="31"/>
      <c r="AD1202" s="31"/>
      <c r="AE1202" s="31"/>
      <c r="AF1202" s="31"/>
      <c r="AG1202" s="31"/>
      <c r="AH1202" s="31"/>
      <c r="AI1202" s="31"/>
      <c r="AJ1202" s="31"/>
      <c r="AK1202" s="31"/>
      <c r="AL1202" s="28" t="str">
        <f>VLOOKUP($G1202,'[42]Sheet1 (2)'!$A$1:$B$1048440,2,FALSE)</f>
        <v>Sqm</v>
      </c>
      <c r="AM1202" s="233"/>
      <c r="AN1202" s="31"/>
      <c r="AO1202" s="33"/>
    </row>
    <row r="1203" spans="1:41" ht="98" x14ac:dyDescent="0.25">
      <c r="A1203" s="20">
        <v>1068</v>
      </c>
      <c r="B1203" s="25" t="s">
        <v>2033</v>
      </c>
      <c r="C1203" s="22">
        <v>34.090000000000003</v>
      </c>
      <c r="D1203" s="25" t="s">
        <v>2053</v>
      </c>
      <c r="E1203" s="23" t="s">
        <v>2054</v>
      </c>
      <c r="F1203" s="24" t="s">
        <v>2055</v>
      </c>
      <c r="G1203" s="202" t="s">
        <v>621</v>
      </c>
      <c r="H1203" s="26">
        <v>829</v>
      </c>
      <c r="I1203" s="26">
        <v>546</v>
      </c>
      <c r="J1203" s="31"/>
      <c r="K1203" s="31"/>
      <c r="L1203" s="31"/>
      <c r="M1203" s="31"/>
      <c r="N1203" s="31"/>
      <c r="O1203" s="31"/>
      <c r="P1203" s="31"/>
      <c r="Q1203" s="31"/>
      <c r="R1203" s="31"/>
      <c r="S1203" s="31"/>
      <c r="T1203" s="31"/>
      <c r="U1203" s="31"/>
      <c r="V1203" s="31"/>
      <c r="W1203" s="31"/>
      <c r="X1203" s="31"/>
      <c r="Y1203" s="31"/>
      <c r="Z1203" s="31"/>
      <c r="AA1203" s="31"/>
      <c r="AB1203" s="31"/>
      <c r="AC1203" s="31"/>
      <c r="AD1203" s="31"/>
      <c r="AE1203" s="31"/>
      <c r="AF1203" s="31"/>
      <c r="AG1203" s="31"/>
      <c r="AH1203" s="31"/>
      <c r="AI1203" s="31"/>
      <c r="AJ1203" s="31"/>
      <c r="AK1203" s="31"/>
      <c r="AL1203" s="28" t="str">
        <f>VLOOKUP($G1203,'[42]Sheet1 (2)'!$A$1:$B$1048440,2,FALSE)</f>
        <v>Sqm</v>
      </c>
      <c r="AM1203" s="233"/>
      <c r="AN1203" s="31"/>
      <c r="AO1203" s="33"/>
    </row>
    <row r="1204" spans="1:41" ht="56" x14ac:dyDescent="0.25">
      <c r="A1204" s="20">
        <v>1069</v>
      </c>
      <c r="B1204" s="25" t="s">
        <v>2033</v>
      </c>
      <c r="C1204" s="22">
        <v>34.1</v>
      </c>
      <c r="D1204" s="25" t="s">
        <v>2053</v>
      </c>
      <c r="E1204" s="23" t="s">
        <v>2056</v>
      </c>
      <c r="F1204" s="24" t="s">
        <v>2055</v>
      </c>
      <c r="G1204" s="202" t="s">
        <v>621</v>
      </c>
      <c r="H1204" s="26">
        <v>67</v>
      </c>
      <c r="I1204" s="26">
        <v>38</v>
      </c>
      <c r="J1204" s="31"/>
      <c r="K1204" s="31"/>
      <c r="L1204" s="31"/>
      <c r="M1204" s="31"/>
      <c r="N1204" s="31"/>
      <c r="O1204" s="31"/>
      <c r="P1204" s="31"/>
      <c r="Q1204" s="31"/>
      <c r="R1204" s="31"/>
      <c r="S1204" s="31"/>
      <c r="T1204" s="31"/>
      <c r="U1204" s="31"/>
      <c r="V1204" s="31"/>
      <c r="W1204" s="31"/>
      <c r="X1204" s="31"/>
      <c r="Y1204" s="31"/>
      <c r="Z1204" s="31"/>
      <c r="AA1204" s="31"/>
      <c r="AB1204" s="31"/>
      <c r="AC1204" s="31"/>
      <c r="AD1204" s="31"/>
      <c r="AE1204" s="31"/>
      <c r="AF1204" s="31"/>
      <c r="AG1204" s="31"/>
      <c r="AH1204" s="31"/>
      <c r="AI1204" s="31"/>
      <c r="AJ1204" s="31"/>
      <c r="AK1204" s="31"/>
      <c r="AL1204" s="28" t="str">
        <f>VLOOKUP($G1204,'[42]Sheet1 (2)'!$A$1:$B$1048440,2,FALSE)</f>
        <v>Sqm</v>
      </c>
      <c r="AM1204" s="233"/>
      <c r="AN1204" s="31"/>
      <c r="AO1204" s="33"/>
    </row>
    <row r="1205" spans="1:41" ht="56" x14ac:dyDescent="0.25">
      <c r="A1205" s="20">
        <v>1070</v>
      </c>
      <c r="B1205" s="25" t="s">
        <v>2033</v>
      </c>
      <c r="C1205" s="22">
        <v>34.11</v>
      </c>
      <c r="D1205" s="25" t="s">
        <v>2053</v>
      </c>
      <c r="E1205" s="23" t="s">
        <v>2057</v>
      </c>
      <c r="F1205" s="35" t="s">
        <v>2058</v>
      </c>
      <c r="G1205" s="202" t="s">
        <v>621</v>
      </c>
      <c r="H1205" s="26">
        <v>105</v>
      </c>
      <c r="I1205" s="26">
        <v>56</v>
      </c>
      <c r="J1205" s="31"/>
      <c r="K1205" s="31"/>
      <c r="L1205" s="31"/>
      <c r="M1205" s="31"/>
      <c r="N1205" s="31"/>
      <c r="O1205" s="31"/>
      <c r="P1205" s="31"/>
      <c r="Q1205" s="31"/>
      <c r="R1205" s="31"/>
      <c r="S1205" s="31"/>
      <c r="T1205" s="31"/>
      <c r="U1205" s="31"/>
      <c r="V1205" s="31"/>
      <c r="W1205" s="31"/>
      <c r="X1205" s="31"/>
      <c r="Y1205" s="31"/>
      <c r="Z1205" s="31"/>
      <c r="AA1205" s="31"/>
      <c r="AB1205" s="31"/>
      <c r="AC1205" s="31"/>
      <c r="AD1205" s="31"/>
      <c r="AE1205" s="31"/>
      <c r="AF1205" s="31"/>
      <c r="AG1205" s="31"/>
      <c r="AH1205" s="31"/>
      <c r="AI1205" s="31"/>
      <c r="AJ1205" s="31"/>
      <c r="AK1205" s="31"/>
      <c r="AL1205" s="28" t="str">
        <f>VLOOKUP($G1205,'[42]Sheet1 (2)'!$A$1:$B$1048440,2,FALSE)</f>
        <v>Sqm</v>
      </c>
      <c r="AM1205" s="233"/>
      <c r="AN1205" s="31"/>
      <c r="AO1205" s="33"/>
    </row>
    <row r="1206" spans="1:41" x14ac:dyDescent="0.25">
      <c r="A1206" s="333" t="s">
        <v>2059</v>
      </c>
      <c r="B1206" s="334"/>
      <c r="C1206" s="334"/>
      <c r="D1206" s="334"/>
      <c r="E1206" s="334"/>
      <c r="F1206" s="334"/>
      <c r="G1206" s="334"/>
      <c r="H1206" s="334"/>
      <c r="I1206" s="335"/>
      <c r="J1206" s="31"/>
      <c r="K1206" s="31"/>
      <c r="L1206" s="31"/>
      <c r="M1206" s="31"/>
      <c r="N1206" s="31"/>
      <c r="O1206" s="31"/>
      <c r="P1206" s="31"/>
      <c r="Q1206" s="31"/>
      <c r="R1206" s="31"/>
      <c r="S1206" s="31"/>
      <c r="T1206" s="31"/>
      <c r="U1206" s="31"/>
      <c r="V1206" s="31"/>
      <c r="W1206" s="31"/>
      <c r="X1206" s="31"/>
      <c r="Y1206" s="31"/>
      <c r="Z1206" s="31"/>
      <c r="AA1206" s="31"/>
      <c r="AB1206" s="31"/>
      <c r="AC1206" s="31"/>
      <c r="AD1206" s="31"/>
      <c r="AE1206" s="31"/>
      <c r="AF1206" s="31"/>
      <c r="AG1206" s="31"/>
      <c r="AH1206" s="31"/>
      <c r="AI1206" s="31"/>
      <c r="AJ1206" s="31"/>
      <c r="AK1206" s="31"/>
      <c r="AL1206" s="28" t="e">
        <f>VLOOKUP($G1206,'[42]Sheet1 (2)'!$A$1:$B$1048440,2,FALSE)</f>
        <v>#N/A</v>
      </c>
      <c r="AM1206" s="233"/>
      <c r="AN1206" s="31"/>
      <c r="AO1206" s="33"/>
    </row>
    <row r="1207" spans="1:41" ht="70" x14ac:dyDescent="0.25">
      <c r="A1207" s="20">
        <v>1071</v>
      </c>
      <c r="B1207" s="25" t="s">
        <v>2060</v>
      </c>
      <c r="C1207" s="22">
        <v>35.01</v>
      </c>
      <c r="D1207" s="25" t="s">
        <v>2061</v>
      </c>
      <c r="E1207" s="24" t="s">
        <v>2062</v>
      </c>
      <c r="F1207" s="35" t="s">
        <v>2063</v>
      </c>
      <c r="G1207" s="202" t="s">
        <v>621</v>
      </c>
      <c r="H1207" s="26">
        <v>89</v>
      </c>
      <c r="I1207" s="103">
        <v>32</v>
      </c>
      <c r="J1207" s="31"/>
      <c r="K1207" s="31"/>
      <c r="L1207" s="31"/>
      <c r="M1207" s="31"/>
      <c r="N1207" s="31"/>
      <c r="O1207" s="31"/>
      <c r="P1207" s="31"/>
      <c r="Q1207" s="31"/>
      <c r="R1207" s="31"/>
      <c r="S1207" s="31"/>
      <c r="T1207" s="31"/>
      <c r="U1207" s="31"/>
      <c r="V1207" s="31"/>
      <c r="W1207" s="31"/>
      <c r="X1207" s="31"/>
      <c r="Y1207" s="31"/>
      <c r="Z1207" s="31"/>
      <c r="AA1207" s="31"/>
      <c r="AB1207" s="31"/>
      <c r="AC1207" s="31"/>
      <c r="AD1207" s="31"/>
      <c r="AE1207" s="31"/>
      <c r="AF1207" s="31"/>
      <c r="AG1207" s="31"/>
      <c r="AH1207" s="31"/>
      <c r="AI1207" s="31"/>
      <c r="AJ1207" s="31"/>
      <c r="AK1207" s="31"/>
      <c r="AL1207" s="28" t="str">
        <f>VLOOKUP($G1207,'[42]Sheet1 (2)'!$A$1:$B$1048440,2,FALSE)</f>
        <v>Sqm</v>
      </c>
      <c r="AM1207" s="233"/>
      <c r="AN1207" s="31"/>
      <c r="AO1207" s="33"/>
    </row>
    <row r="1208" spans="1:41" ht="70" x14ac:dyDescent="0.25">
      <c r="A1208" s="20">
        <v>1072</v>
      </c>
      <c r="B1208" s="25" t="s">
        <v>2060</v>
      </c>
      <c r="C1208" s="22">
        <v>35.020000000000003</v>
      </c>
      <c r="D1208" s="25" t="s">
        <v>2064</v>
      </c>
      <c r="E1208" s="24" t="s">
        <v>2065</v>
      </c>
      <c r="F1208" s="21" t="s">
        <v>2066</v>
      </c>
      <c r="G1208" s="202" t="s">
        <v>621</v>
      </c>
      <c r="H1208" s="26">
        <v>46</v>
      </c>
      <c r="I1208" s="103">
        <v>16</v>
      </c>
      <c r="J1208" s="31"/>
      <c r="K1208" s="31"/>
      <c r="L1208" s="31"/>
      <c r="M1208" s="31"/>
      <c r="N1208" s="31"/>
      <c r="O1208" s="31"/>
      <c r="P1208" s="31"/>
      <c r="Q1208" s="31"/>
      <c r="R1208" s="31"/>
      <c r="S1208" s="31"/>
      <c r="T1208" s="31"/>
      <c r="U1208" s="31"/>
      <c r="V1208" s="31"/>
      <c r="W1208" s="31"/>
      <c r="X1208" s="31"/>
      <c r="Y1208" s="31"/>
      <c r="Z1208" s="31"/>
      <c r="AA1208" s="31"/>
      <c r="AB1208" s="31"/>
      <c r="AC1208" s="31"/>
      <c r="AD1208" s="31"/>
      <c r="AE1208" s="31"/>
      <c r="AF1208" s="31"/>
      <c r="AG1208" s="31"/>
      <c r="AH1208" s="31"/>
      <c r="AI1208" s="31"/>
      <c r="AJ1208" s="31"/>
      <c r="AK1208" s="31"/>
      <c r="AL1208" s="28" t="str">
        <f>VLOOKUP($G1208,'[42]Sheet1 (2)'!$A$1:$B$1048440,2,FALSE)</f>
        <v>Sqm</v>
      </c>
      <c r="AM1208" s="233"/>
      <c r="AN1208" s="31"/>
      <c r="AO1208" s="33"/>
    </row>
    <row r="1209" spans="1:41" ht="84" x14ac:dyDescent="0.25">
      <c r="A1209" s="20">
        <v>1073</v>
      </c>
      <c r="B1209" s="25" t="s">
        <v>2060</v>
      </c>
      <c r="C1209" s="22">
        <v>35.03</v>
      </c>
      <c r="D1209" s="25" t="s">
        <v>2067</v>
      </c>
      <c r="E1209" s="23" t="s">
        <v>2068</v>
      </c>
      <c r="F1209" s="21" t="s">
        <v>2066</v>
      </c>
      <c r="G1209" s="202" t="s">
        <v>621</v>
      </c>
      <c r="H1209" s="26">
        <v>72</v>
      </c>
      <c r="I1209" s="103">
        <v>32</v>
      </c>
      <c r="J1209" s="31"/>
      <c r="K1209" s="31"/>
      <c r="L1209" s="31"/>
      <c r="M1209" s="31"/>
      <c r="N1209" s="31"/>
      <c r="O1209" s="31"/>
      <c r="P1209" s="31"/>
      <c r="Q1209" s="31"/>
      <c r="R1209" s="31"/>
      <c r="S1209" s="31"/>
      <c r="T1209" s="31"/>
      <c r="U1209" s="31"/>
      <c r="V1209" s="31"/>
      <c r="W1209" s="31"/>
      <c r="X1209" s="31"/>
      <c r="Y1209" s="31"/>
      <c r="Z1209" s="31"/>
      <c r="AA1209" s="31"/>
      <c r="AB1209" s="31"/>
      <c r="AC1209" s="31"/>
      <c r="AD1209" s="31"/>
      <c r="AE1209" s="31"/>
      <c r="AF1209" s="31"/>
      <c r="AG1209" s="31"/>
      <c r="AH1209" s="31"/>
      <c r="AI1209" s="31"/>
      <c r="AJ1209" s="31"/>
      <c r="AK1209" s="31"/>
      <c r="AL1209" s="28" t="str">
        <f>VLOOKUP($G1209,'[42]Sheet1 (2)'!$A$1:$B$1048440,2,FALSE)</f>
        <v>Sqm</v>
      </c>
      <c r="AM1209" s="233"/>
      <c r="AN1209" s="31"/>
      <c r="AO1209" s="33"/>
    </row>
    <row r="1210" spans="1:41" ht="84" x14ac:dyDescent="0.25">
      <c r="A1210" s="20">
        <v>1074</v>
      </c>
      <c r="B1210" s="25" t="s">
        <v>2060</v>
      </c>
      <c r="C1210" s="22">
        <v>35.04</v>
      </c>
      <c r="D1210" s="25" t="s">
        <v>2069</v>
      </c>
      <c r="E1210" s="23" t="s">
        <v>2070</v>
      </c>
      <c r="F1210" s="21" t="s">
        <v>2071</v>
      </c>
      <c r="G1210" s="202" t="s">
        <v>621</v>
      </c>
      <c r="H1210" s="26">
        <v>89</v>
      </c>
      <c r="I1210" s="103">
        <v>35</v>
      </c>
      <c r="J1210" s="31"/>
      <c r="K1210" s="31"/>
      <c r="L1210" s="31"/>
      <c r="M1210" s="31"/>
      <c r="N1210" s="31"/>
      <c r="O1210" s="31"/>
      <c r="P1210" s="31"/>
      <c r="Q1210" s="31"/>
      <c r="R1210" s="31"/>
      <c r="S1210" s="31"/>
      <c r="T1210" s="31"/>
      <c r="U1210" s="31"/>
      <c r="V1210" s="31"/>
      <c r="W1210" s="31"/>
      <c r="X1210" s="31"/>
      <c r="Y1210" s="31"/>
      <c r="Z1210" s="31"/>
      <c r="AA1210" s="31"/>
      <c r="AB1210" s="31"/>
      <c r="AC1210" s="31"/>
      <c r="AD1210" s="31"/>
      <c r="AE1210" s="31"/>
      <c r="AF1210" s="31"/>
      <c r="AG1210" s="31"/>
      <c r="AH1210" s="31"/>
      <c r="AI1210" s="31"/>
      <c r="AJ1210" s="31"/>
      <c r="AK1210" s="31"/>
      <c r="AL1210" s="28" t="str">
        <f>VLOOKUP($G1210,'[42]Sheet1 (2)'!$A$1:$B$1048440,2,FALSE)</f>
        <v>Sqm</v>
      </c>
      <c r="AM1210" s="233"/>
      <c r="AN1210" s="31"/>
      <c r="AO1210" s="33"/>
    </row>
    <row r="1211" spans="1:41" ht="56" x14ac:dyDescent="0.25">
      <c r="A1211" s="20">
        <v>1075</v>
      </c>
      <c r="B1211" s="25" t="s">
        <v>2060</v>
      </c>
      <c r="C1211" s="22">
        <v>35.049999999999997</v>
      </c>
      <c r="D1211" s="25" t="s">
        <v>2072</v>
      </c>
      <c r="E1211" s="24" t="s">
        <v>2073</v>
      </c>
      <c r="F1211" s="21" t="s">
        <v>2074</v>
      </c>
      <c r="G1211" s="202" t="s">
        <v>621</v>
      </c>
      <c r="H1211" s="26">
        <v>86</v>
      </c>
      <c r="I1211" s="103">
        <v>27</v>
      </c>
      <c r="J1211" s="31"/>
      <c r="K1211" s="31"/>
      <c r="L1211" s="31"/>
      <c r="M1211" s="31"/>
      <c r="N1211" s="31"/>
      <c r="O1211" s="31"/>
      <c r="P1211" s="31"/>
      <c r="Q1211" s="31"/>
      <c r="R1211" s="31"/>
      <c r="S1211" s="31"/>
      <c r="T1211" s="31"/>
      <c r="U1211" s="31"/>
      <c r="V1211" s="31"/>
      <c r="W1211" s="31"/>
      <c r="X1211" s="31"/>
      <c r="Y1211" s="31"/>
      <c r="Z1211" s="31"/>
      <c r="AA1211" s="31"/>
      <c r="AB1211" s="31"/>
      <c r="AC1211" s="31"/>
      <c r="AD1211" s="31"/>
      <c r="AE1211" s="31"/>
      <c r="AF1211" s="31"/>
      <c r="AG1211" s="31"/>
      <c r="AH1211" s="31"/>
      <c r="AI1211" s="31"/>
      <c r="AJ1211" s="31"/>
      <c r="AK1211" s="31"/>
      <c r="AL1211" s="28" t="str">
        <f>VLOOKUP($G1211,'[42]Sheet1 (2)'!$A$1:$B$1048440,2,FALSE)</f>
        <v>Sqm</v>
      </c>
      <c r="AM1211" s="233"/>
      <c r="AN1211" s="31"/>
      <c r="AO1211" s="33"/>
    </row>
    <row r="1212" spans="1:41" ht="56" x14ac:dyDescent="0.25">
      <c r="A1212" s="20">
        <v>1076</v>
      </c>
      <c r="B1212" s="25" t="s">
        <v>2060</v>
      </c>
      <c r="C1212" s="22">
        <v>35.06</v>
      </c>
      <c r="D1212" s="25" t="s">
        <v>2075</v>
      </c>
      <c r="E1212" s="24" t="s">
        <v>2076</v>
      </c>
      <c r="F1212" s="21" t="s">
        <v>2077</v>
      </c>
      <c r="G1212" s="202" t="s">
        <v>621</v>
      </c>
      <c r="H1212" s="26">
        <v>128</v>
      </c>
      <c r="I1212" s="103">
        <v>47</v>
      </c>
      <c r="J1212" s="31"/>
      <c r="K1212" s="31"/>
      <c r="L1212" s="31"/>
      <c r="M1212" s="31"/>
      <c r="N1212" s="31"/>
      <c r="O1212" s="31"/>
      <c r="P1212" s="31"/>
      <c r="Q1212" s="31"/>
      <c r="R1212" s="31"/>
      <c r="S1212" s="31"/>
      <c r="T1212" s="31"/>
      <c r="U1212" s="31"/>
      <c r="V1212" s="31"/>
      <c r="W1212" s="31"/>
      <c r="X1212" s="31"/>
      <c r="Y1212" s="31"/>
      <c r="Z1212" s="31"/>
      <c r="AA1212" s="31"/>
      <c r="AB1212" s="31"/>
      <c r="AC1212" s="31"/>
      <c r="AD1212" s="31"/>
      <c r="AE1212" s="31"/>
      <c r="AF1212" s="31"/>
      <c r="AG1212" s="31"/>
      <c r="AH1212" s="31"/>
      <c r="AI1212" s="31"/>
      <c r="AJ1212" s="31"/>
      <c r="AK1212" s="31"/>
      <c r="AL1212" s="28" t="str">
        <f>VLOOKUP($G1212,'[42]Sheet1 (2)'!$A$1:$B$1048440,2,FALSE)</f>
        <v>Sqm</v>
      </c>
      <c r="AM1212" s="233"/>
      <c r="AN1212" s="31"/>
      <c r="AO1212" s="33"/>
    </row>
    <row r="1213" spans="1:41" ht="70" x14ac:dyDescent="0.25">
      <c r="A1213" s="20">
        <v>1077</v>
      </c>
      <c r="B1213" s="25" t="s">
        <v>2060</v>
      </c>
      <c r="C1213" s="22">
        <v>35.07</v>
      </c>
      <c r="D1213" s="25" t="s">
        <v>2078</v>
      </c>
      <c r="E1213" s="24" t="s">
        <v>3795</v>
      </c>
      <c r="F1213" s="21" t="s">
        <v>2079</v>
      </c>
      <c r="G1213" s="202" t="s">
        <v>621</v>
      </c>
      <c r="H1213" s="26">
        <v>96</v>
      </c>
      <c r="I1213" s="103">
        <v>47</v>
      </c>
      <c r="J1213" s="31"/>
      <c r="K1213" s="31"/>
      <c r="L1213" s="31"/>
      <c r="M1213" s="31"/>
      <c r="N1213" s="31"/>
      <c r="O1213" s="31"/>
      <c r="P1213" s="31"/>
      <c r="Q1213" s="31"/>
      <c r="R1213" s="31"/>
      <c r="S1213" s="31"/>
      <c r="T1213" s="31"/>
      <c r="U1213" s="31"/>
      <c r="V1213" s="31"/>
      <c r="W1213" s="31"/>
      <c r="X1213" s="31"/>
      <c r="Y1213" s="31"/>
      <c r="Z1213" s="31"/>
      <c r="AA1213" s="31"/>
      <c r="AB1213" s="31"/>
      <c r="AC1213" s="31"/>
      <c r="AD1213" s="31"/>
      <c r="AE1213" s="31"/>
      <c r="AF1213" s="31"/>
      <c r="AG1213" s="31"/>
      <c r="AH1213" s="31"/>
      <c r="AI1213" s="31"/>
      <c r="AJ1213" s="31"/>
      <c r="AK1213" s="31"/>
      <c r="AL1213" s="28" t="str">
        <f>VLOOKUP($G1213,'[42]Sheet1 (2)'!$A$1:$B$1048440,2,FALSE)</f>
        <v>Sqm</v>
      </c>
      <c r="AM1213" s="233"/>
      <c r="AN1213" s="31"/>
      <c r="AO1213" s="33"/>
    </row>
    <row r="1214" spans="1:41" ht="70" x14ac:dyDescent="0.25">
      <c r="A1214" s="20">
        <v>1078</v>
      </c>
      <c r="B1214" s="25" t="s">
        <v>2060</v>
      </c>
      <c r="C1214" s="22">
        <v>35.08</v>
      </c>
      <c r="D1214" s="25" t="s">
        <v>2080</v>
      </c>
      <c r="E1214" s="24" t="s">
        <v>2081</v>
      </c>
      <c r="F1214" s="21" t="s">
        <v>2082</v>
      </c>
      <c r="G1214" s="202" t="s">
        <v>621</v>
      </c>
      <c r="H1214" s="26">
        <v>57</v>
      </c>
      <c r="I1214" s="103">
        <v>25</v>
      </c>
      <c r="J1214" s="31"/>
      <c r="K1214" s="31"/>
      <c r="L1214" s="31"/>
      <c r="M1214" s="31"/>
      <c r="N1214" s="31"/>
      <c r="O1214" s="31"/>
      <c r="P1214" s="31"/>
      <c r="Q1214" s="31"/>
      <c r="R1214" s="31"/>
      <c r="S1214" s="31"/>
      <c r="T1214" s="31"/>
      <c r="U1214" s="31"/>
      <c r="V1214" s="31"/>
      <c r="W1214" s="31"/>
      <c r="X1214" s="31"/>
      <c r="Y1214" s="31"/>
      <c r="Z1214" s="31"/>
      <c r="AA1214" s="31"/>
      <c r="AB1214" s="31"/>
      <c r="AC1214" s="31"/>
      <c r="AD1214" s="31"/>
      <c r="AE1214" s="31"/>
      <c r="AF1214" s="31"/>
      <c r="AG1214" s="31"/>
      <c r="AH1214" s="31"/>
      <c r="AI1214" s="31"/>
      <c r="AJ1214" s="31"/>
      <c r="AK1214" s="31"/>
      <c r="AL1214" s="28" t="str">
        <f>VLOOKUP($G1214,'[42]Sheet1 (2)'!$A$1:$B$1048440,2,FALSE)</f>
        <v>Sqm</v>
      </c>
      <c r="AM1214" s="233"/>
      <c r="AN1214" s="31"/>
      <c r="AO1214" s="33"/>
    </row>
    <row r="1215" spans="1:41" ht="70" x14ac:dyDescent="0.25">
      <c r="A1215" s="20">
        <v>1079</v>
      </c>
      <c r="B1215" s="25" t="s">
        <v>2060</v>
      </c>
      <c r="C1215" s="22">
        <v>35.090000000000003</v>
      </c>
      <c r="D1215" s="25" t="s">
        <v>2083</v>
      </c>
      <c r="E1215" s="24" t="s">
        <v>2084</v>
      </c>
      <c r="F1215" s="21" t="s">
        <v>2082</v>
      </c>
      <c r="G1215" s="202" t="s">
        <v>621</v>
      </c>
      <c r="H1215" s="26">
        <v>85</v>
      </c>
      <c r="I1215" s="103">
        <v>47</v>
      </c>
      <c r="J1215" s="31"/>
      <c r="K1215" s="31"/>
      <c r="L1215" s="31"/>
      <c r="M1215" s="31"/>
      <c r="N1215" s="31"/>
      <c r="O1215" s="31"/>
      <c r="P1215" s="31"/>
      <c r="Q1215" s="31"/>
      <c r="R1215" s="31"/>
      <c r="S1215" s="31"/>
      <c r="T1215" s="31"/>
      <c r="U1215" s="31"/>
      <c r="V1215" s="31"/>
      <c r="W1215" s="31"/>
      <c r="X1215" s="31"/>
      <c r="Y1215" s="31"/>
      <c r="Z1215" s="31"/>
      <c r="AA1215" s="31"/>
      <c r="AB1215" s="31"/>
      <c r="AC1215" s="31"/>
      <c r="AD1215" s="31"/>
      <c r="AE1215" s="31"/>
      <c r="AF1215" s="31"/>
      <c r="AG1215" s="31"/>
      <c r="AH1215" s="31"/>
      <c r="AI1215" s="31"/>
      <c r="AJ1215" s="31"/>
      <c r="AK1215" s="31"/>
      <c r="AL1215" s="28" t="str">
        <f>VLOOKUP($G1215,'[42]Sheet1 (2)'!$A$1:$B$1048440,2,FALSE)</f>
        <v>Sqm</v>
      </c>
      <c r="AM1215" s="233"/>
      <c r="AN1215" s="31"/>
      <c r="AO1215" s="33"/>
    </row>
    <row r="1216" spans="1:41" ht="56" x14ac:dyDescent="0.25">
      <c r="A1216" s="20">
        <v>1080</v>
      </c>
      <c r="B1216" s="25" t="s">
        <v>2060</v>
      </c>
      <c r="C1216" s="22">
        <v>35.1</v>
      </c>
      <c r="D1216" s="25" t="s">
        <v>2085</v>
      </c>
      <c r="E1216" s="23" t="s">
        <v>2086</v>
      </c>
      <c r="F1216" s="21" t="s">
        <v>2087</v>
      </c>
      <c r="G1216" s="202" t="s">
        <v>621</v>
      </c>
      <c r="H1216" s="26">
        <v>53</v>
      </c>
      <c r="I1216" s="103">
        <v>25</v>
      </c>
      <c r="J1216" s="31"/>
      <c r="K1216" s="31"/>
      <c r="L1216" s="31"/>
      <c r="M1216" s="31"/>
      <c r="N1216" s="31"/>
      <c r="O1216" s="31"/>
      <c r="P1216" s="31"/>
      <c r="Q1216" s="31"/>
      <c r="R1216" s="31"/>
      <c r="S1216" s="31"/>
      <c r="T1216" s="31"/>
      <c r="U1216" s="31"/>
      <c r="V1216" s="31"/>
      <c r="W1216" s="31"/>
      <c r="X1216" s="31"/>
      <c r="Y1216" s="31"/>
      <c r="Z1216" s="31"/>
      <c r="AA1216" s="31"/>
      <c r="AB1216" s="31"/>
      <c r="AC1216" s="31"/>
      <c r="AD1216" s="31"/>
      <c r="AE1216" s="31"/>
      <c r="AF1216" s="31"/>
      <c r="AG1216" s="31"/>
      <c r="AH1216" s="31"/>
      <c r="AI1216" s="31"/>
      <c r="AJ1216" s="31"/>
      <c r="AK1216" s="31"/>
      <c r="AL1216" s="28" t="str">
        <f>VLOOKUP($G1216,'[42]Sheet1 (2)'!$A$1:$B$1048440,2,FALSE)</f>
        <v>Sqm</v>
      </c>
      <c r="AM1216" s="233"/>
      <c r="AN1216" s="31"/>
      <c r="AO1216" s="33"/>
    </row>
    <row r="1217" spans="1:41" ht="84" x14ac:dyDescent="0.25">
      <c r="A1217" s="20">
        <v>1081</v>
      </c>
      <c r="B1217" s="25" t="s">
        <v>2060</v>
      </c>
      <c r="C1217" s="22">
        <v>35.11</v>
      </c>
      <c r="D1217" s="25" t="s">
        <v>2088</v>
      </c>
      <c r="E1217" s="23" t="s">
        <v>2089</v>
      </c>
      <c r="F1217" s="24" t="s">
        <v>2090</v>
      </c>
      <c r="G1217" s="202" t="s">
        <v>621</v>
      </c>
      <c r="H1217" s="26">
        <v>88</v>
      </c>
      <c r="I1217" s="103">
        <v>44</v>
      </c>
      <c r="J1217" s="31"/>
      <c r="K1217" s="31"/>
      <c r="L1217" s="31"/>
      <c r="M1217" s="31"/>
      <c r="N1217" s="31"/>
      <c r="O1217" s="31"/>
      <c r="P1217" s="31"/>
      <c r="Q1217" s="31"/>
      <c r="R1217" s="31"/>
      <c r="S1217" s="31"/>
      <c r="T1217" s="31"/>
      <c r="U1217" s="31"/>
      <c r="V1217" s="31"/>
      <c r="W1217" s="31"/>
      <c r="X1217" s="31"/>
      <c r="Y1217" s="31"/>
      <c r="Z1217" s="31"/>
      <c r="AA1217" s="31"/>
      <c r="AB1217" s="31"/>
      <c r="AC1217" s="31"/>
      <c r="AD1217" s="31"/>
      <c r="AE1217" s="31"/>
      <c r="AF1217" s="31"/>
      <c r="AG1217" s="31"/>
      <c r="AH1217" s="31"/>
      <c r="AI1217" s="31"/>
      <c r="AJ1217" s="31"/>
      <c r="AK1217" s="31"/>
      <c r="AL1217" s="28" t="str">
        <f>VLOOKUP($G1217,'[42]Sheet1 (2)'!$A$1:$B$1048440,2,FALSE)</f>
        <v>Sqm</v>
      </c>
      <c r="AM1217" s="233"/>
      <c r="AN1217" s="31"/>
      <c r="AO1217" s="33"/>
    </row>
    <row r="1218" spans="1:41" ht="70" x14ac:dyDescent="0.25">
      <c r="A1218" s="20">
        <v>1082</v>
      </c>
      <c r="B1218" s="25" t="s">
        <v>2060</v>
      </c>
      <c r="C1218" s="22">
        <v>35.119999999999997</v>
      </c>
      <c r="D1218" s="25" t="s">
        <v>2091</v>
      </c>
      <c r="E1218" s="23" t="s">
        <v>2092</v>
      </c>
      <c r="F1218" s="21" t="s">
        <v>2093</v>
      </c>
      <c r="G1218" s="202" t="s">
        <v>621</v>
      </c>
      <c r="H1218" s="26">
        <v>101</v>
      </c>
      <c r="I1218" s="103">
        <v>44</v>
      </c>
      <c r="J1218" s="31"/>
      <c r="K1218" s="31"/>
      <c r="L1218" s="31"/>
      <c r="M1218" s="31"/>
      <c r="N1218" s="31"/>
      <c r="O1218" s="31"/>
      <c r="P1218" s="31"/>
      <c r="Q1218" s="31"/>
      <c r="R1218" s="31"/>
      <c r="S1218" s="31"/>
      <c r="T1218" s="31"/>
      <c r="U1218" s="31"/>
      <c r="V1218" s="31"/>
      <c r="W1218" s="31"/>
      <c r="X1218" s="31"/>
      <c r="Y1218" s="31"/>
      <c r="Z1218" s="31"/>
      <c r="AA1218" s="31"/>
      <c r="AB1218" s="31"/>
      <c r="AC1218" s="31"/>
      <c r="AD1218" s="31"/>
      <c r="AE1218" s="31"/>
      <c r="AF1218" s="31"/>
      <c r="AG1218" s="31"/>
      <c r="AH1218" s="31"/>
      <c r="AI1218" s="31"/>
      <c r="AJ1218" s="31"/>
      <c r="AK1218" s="31"/>
      <c r="AL1218" s="28" t="str">
        <f>VLOOKUP($G1218,'[42]Sheet1 (2)'!$A$1:$B$1048440,2,FALSE)</f>
        <v>Sqm</v>
      </c>
      <c r="AM1218" s="233"/>
      <c r="AN1218" s="31"/>
      <c r="AO1218" s="33"/>
    </row>
    <row r="1219" spans="1:41" ht="56" x14ac:dyDescent="0.25">
      <c r="A1219" s="20">
        <v>1083</v>
      </c>
      <c r="B1219" s="25" t="s">
        <v>2060</v>
      </c>
      <c r="C1219" s="22">
        <v>35.130000000000003</v>
      </c>
      <c r="D1219" s="25" t="s">
        <v>2094</v>
      </c>
      <c r="E1219" s="24" t="s">
        <v>2095</v>
      </c>
      <c r="F1219" s="21" t="s">
        <v>2096</v>
      </c>
      <c r="G1219" s="202" t="s">
        <v>621</v>
      </c>
      <c r="H1219" s="26">
        <v>79</v>
      </c>
      <c r="I1219" s="103">
        <v>51</v>
      </c>
      <c r="J1219" s="31"/>
      <c r="K1219" s="31"/>
      <c r="L1219" s="31"/>
      <c r="M1219" s="31"/>
      <c r="N1219" s="31"/>
      <c r="O1219" s="31"/>
      <c r="P1219" s="31"/>
      <c r="Q1219" s="31"/>
      <c r="R1219" s="31"/>
      <c r="S1219" s="31"/>
      <c r="T1219" s="31"/>
      <c r="U1219" s="31"/>
      <c r="V1219" s="31"/>
      <c r="W1219" s="31"/>
      <c r="X1219" s="31"/>
      <c r="Y1219" s="31"/>
      <c r="Z1219" s="31"/>
      <c r="AA1219" s="31"/>
      <c r="AB1219" s="31"/>
      <c r="AC1219" s="31"/>
      <c r="AD1219" s="31"/>
      <c r="AE1219" s="31"/>
      <c r="AF1219" s="31"/>
      <c r="AG1219" s="31"/>
      <c r="AH1219" s="31"/>
      <c r="AI1219" s="31"/>
      <c r="AJ1219" s="31"/>
      <c r="AK1219" s="31"/>
      <c r="AL1219" s="28" t="str">
        <f>VLOOKUP($G1219,'[42]Sheet1 (2)'!$A$1:$B$1048440,2,FALSE)</f>
        <v>Sqm</v>
      </c>
      <c r="AM1219" s="233"/>
      <c r="AN1219" s="31"/>
      <c r="AO1219" s="33"/>
    </row>
    <row r="1220" spans="1:41" ht="56" x14ac:dyDescent="0.25">
      <c r="A1220" s="20">
        <v>1084</v>
      </c>
      <c r="B1220" s="25" t="s">
        <v>2060</v>
      </c>
      <c r="C1220" s="22">
        <v>35.14</v>
      </c>
      <c r="D1220" s="25" t="s">
        <v>2088</v>
      </c>
      <c r="E1220" s="24" t="s">
        <v>2097</v>
      </c>
      <c r="F1220" s="24" t="s">
        <v>2090</v>
      </c>
      <c r="G1220" s="202" t="s">
        <v>621</v>
      </c>
      <c r="H1220" s="26">
        <v>78</v>
      </c>
      <c r="I1220" s="103">
        <v>50</v>
      </c>
      <c r="J1220" s="31"/>
      <c r="K1220" s="31"/>
      <c r="L1220" s="31"/>
      <c r="M1220" s="31"/>
      <c r="N1220" s="31"/>
      <c r="O1220" s="31"/>
      <c r="P1220" s="31"/>
      <c r="Q1220" s="31"/>
      <c r="R1220" s="31"/>
      <c r="S1220" s="31"/>
      <c r="T1220" s="31"/>
      <c r="U1220" s="31"/>
      <c r="V1220" s="31"/>
      <c r="W1220" s="31"/>
      <c r="X1220" s="31"/>
      <c r="Y1220" s="31"/>
      <c r="Z1220" s="31"/>
      <c r="AA1220" s="31"/>
      <c r="AB1220" s="31"/>
      <c r="AC1220" s="31"/>
      <c r="AD1220" s="31"/>
      <c r="AE1220" s="31"/>
      <c r="AF1220" s="31"/>
      <c r="AG1220" s="31"/>
      <c r="AH1220" s="31"/>
      <c r="AI1220" s="31"/>
      <c r="AJ1220" s="31"/>
      <c r="AK1220" s="31"/>
      <c r="AL1220" s="28" t="str">
        <f>VLOOKUP($G1220,'[42]Sheet1 (2)'!$A$1:$B$1048440,2,FALSE)</f>
        <v>Sqm</v>
      </c>
      <c r="AM1220" s="233"/>
      <c r="AN1220" s="31"/>
      <c r="AO1220" s="33"/>
    </row>
    <row r="1221" spans="1:41" ht="70" x14ac:dyDescent="0.25">
      <c r="A1221" s="20">
        <v>1085</v>
      </c>
      <c r="B1221" s="25" t="s">
        <v>2060</v>
      </c>
      <c r="C1221" s="22">
        <v>35.15</v>
      </c>
      <c r="D1221" s="25" t="s">
        <v>2088</v>
      </c>
      <c r="E1221" s="24" t="s">
        <v>2098</v>
      </c>
      <c r="F1221" s="25" t="s">
        <v>2099</v>
      </c>
      <c r="G1221" s="202" t="s">
        <v>621</v>
      </c>
      <c r="H1221" s="26">
        <v>104</v>
      </c>
      <c r="I1221" s="103">
        <v>67</v>
      </c>
      <c r="J1221" s="31"/>
      <c r="K1221" s="31"/>
      <c r="L1221" s="31"/>
      <c r="M1221" s="31"/>
      <c r="N1221" s="31"/>
      <c r="O1221" s="31"/>
      <c r="P1221" s="31"/>
      <c r="Q1221" s="31"/>
      <c r="R1221" s="31"/>
      <c r="S1221" s="31"/>
      <c r="T1221" s="31"/>
      <c r="U1221" s="31"/>
      <c r="V1221" s="31"/>
      <c r="W1221" s="31"/>
      <c r="X1221" s="31"/>
      <c r="Y1221" s="31"/>
      <c r="Z1221" s="31"/>
      <c r="AA1221" s="31"/>
      <c r="AB1221" s="31"/>
      <c r="AC1221" s="31"/>
      <c r="AD1221" s="31"/>
      <c r="AE1221" s="31"/>
      <c r="AF1221" s="31"/>
      <c r="AG1221" s="31"/>
      <c r="AH1221" s="31"/>
      <c r="AI1221" s="31"/>
      <c r="AJ1221" s="31"/>
      <c r="AK1221" s="31"/>
      <c r="AL1221" s="28" t="str">
        <f>VLOOKUP($G1221,'[42]Sheet1 (2)'!$A$1:$B$1048440,2,FALSE)</f>
        <v>Sqm</v>
      </c>
      <c r="AM1221" s="233"/>
      <c r="AN1221" s="31"/>
      <c r="AO1221" s="33"/>
    </row>
    <row r="1222" spans="1:41" ht="70" x14ac:dyDescent="0.25">
      <c r="A1222" s="20">
        <v>1086</v>
      </c>
      <c r="B1222" s="25" t="s">
        <v>2060</v>
      </c>
      <c r="C1222" s="22">
        <v>35.159999999999997</v>
      </c>
      <c r="D1222" s="25" t="s">
        <v>2088</v>
      </c>
      <c r="E1222" s="24" t="s">
        <v>2100</v>
      </c>
      <c r="F1222" s="25" t="s">
        <v>2099</v>
      </c>
      <c r="G1222" s="202" t="s">
        <v>621</v>
      </c>
      <c r="H1222" s="26">
        <v>97</v>
      </c>
      <c r="I1222" s="103">
        <v>67</v>
      </c>
      <c r="J1222" s="31"/>
      <c r="K1222" s="31"/>
      <c r="L1222" s="31"/>
      <c r="M1222" s="31"/>
      <c r="N1222" s="31"/>
      <c r="O1222" s="31"/>
      <c r="P1222" s="31"/>
      <c r="Q1222" s="31"/>
      <c r="R1222" s="31"/>
      <c r="S1222" s="31"/>
      <c r="T1222" s="31"/>
      <c r="U1222" s="31"/>
      <c r="V1222" s="31"/>
      <c r="W1222" s="31"/>
      <c r="X1222" s="31"/>
      <c r="Y1222" s="31"/>
      <c r="Z1222" s="31"/>
      <c r="AA1222" s="31"/>
      <c r="AB1222" s="31"/>
      <c r="AC1222" s="31"/>
      <c r="AD1222" s="31"/>
      <c r="AE1222" s="31"/>
      <c r="AF1222" s="31"/>
      <c r="AG1222" s="31"/>
      <c r="AH1222" s="31"/>
      <c r="AI1222" s="31"/>
      <c r="AJ1222" s="31"/>
      <c r="AK1222" s="31"/>
      <c r="AL1222" s="28" t="str">
        <f>VLOOKUP($G1222,'[42]Sheet1 (2)'!$A$1:$B$1048440,2,FALSE)</f>
        <v>Sqm</v>
      </c>
      <c r="AM1222" s="233"/>
      <c r="AN1222" s="31"/>
      <c r="AO1222" s="33"/>
    </row>
    <row r="1223" spans="1:41" ht="56" x14ac:dyDescent="0.25">
      <c r="A1223" s="20">
        <v>1087</v>
      </c>
      <c r="B1223" s="25" t="s">
        <v>2060</v>
      </c>
      <c r="C1223" s="22">
        <v>35.18</v>
      </c>
      <c r="D1223" s="25" t="s">
        <v>2101</v>
      </c>
      <c r="E1223" s="24" t="s">
        <v>2102</v>
      </c>
      <c r="F1223" s="35" t="s">
        <v>1839</v>
      </c>
      <c r="G1223" s="202" t="s">
        <v>621</v>
      </c>
      <c r="H1223" s="26">
        <v>17</v>
      </c>
      <c r="I1223" s="103">
        <v>17</v>
      </c>
      <c r="J1223" s="31"/>
      <c r="K1223" s="31"/>
      <c r="L1223" s="31"/>
      <c r="M1223" s="31"/>
      <c r="N1223" s="31"/>
      <c r="O1223" s="31"/>
      <c r="P1223" s="31"/>
      <c r="Q1223" s="31"/>
      <c r="R1223" s="31"/>
      <c r="S1223" s="31"/>
      <c r="T1223" s="31"/>
      <c r="U1223" s="31"/>
      <c r="V1223" s="31"/>
      <c r="W1223" s="31"/>
      <c r="X1223" s="31"/>
      <c r="Y1223" s="31"/>
      <c r="Z1223" s="31"/>
      <c r="AA1223" s="31"/>
      <c r="AB1223" s="31"/>
      <c r="AC1223" s="31"/>
      <c r="AD1223" s="31"/>
      <c r="AE1223" s="31"/>
      <c r="AF1223" s="31"/>
      <c r="AG1223" s="31"/>
      <c r="AH1223" s="31"/>
      <c r="AI1223" s="31"/>
      <c r="AJ1223" s="31"/>
      <c r="AK1223" s="31"/>
      <c r="AL1223" s="28" t="str">
        <f>VLOOKUP($G1223,'[42]Sheet1 (2)'!$A$1:$B$1048440,2,FALSE)</f>
        <v>Sqm</v>
      </c>
      <c r="AM1223" s="233"/>
      <c r="AN1223" s="31"/>
      <c r="AO1223" s="33"/>
    </row>
    <row r="1224" spans="1:41" ht="56" x14ac:dyDescent="0.25">
      <c r="A1224" s="20">
        <v>1088</v>
      </c>
      <c r="B1224" s="25" t="s">
        <v>2060</v>
      </c>
      <c r="C1224" s="22">
        <v>35.19</v>
      </c>
      <c r="D1224" s="25" t="s">
        <v>2103</v>
      </c>
      <c r="E1224" s="24" t="s">
        <v>2104</v>
      </c>
      <c r="F1224" s="24" t="s">
        <v>742</v>
      </c>
      <c r="G1224" s="202" t="s">
        <v>621</v>
      </c>
      <c r="H1224" s="26">
        <v>34</v>
      </c>
      <c r="I1224" s="103">
        <v>13</v>
      </c>
      <c r="J1224" s="31"/>
      <c r="K1224" s="31"/>
      <c r="L1224" s="31"/>
      <c r="M1224" s="31"/>
      <c r="N1224" s="31"/>
      <c r="O1224" s="31"/>
      <c r="P1224" s="31"/>
      <c r="Q1224" s="31"/>
      <c r="R1224" s="31"/>
      <c r="S1224" s="31"/>
      <c r="T1224" s="31"/>
      <c r="U1224" s="31"/>
      <c r="V1224" s="31"/>
      <c r="W1224" s="31"/>
      <c r="X1224" s="31"/>
      <c r="Y1224" s="31"/>
      <c r="Z1224" s="31"/>
      <c r="AA1224" s="31"/>
      <c r="AB1224" s="31"/>
      <c r="AC1224" s="31"/>
      <c r="AD1224" s="31"/>
      <c r="AE1224" s="31"/>
      <c r="AF1224" s="31"/>
      <c r="AG1224" s="31"/>
      <c r="AH1224" s="31"/>
      <c r="AI1224" s="31"/>
      <c r="AJ1224" s="31"/>
      <c r="AK1224" s="31"/>
      <c r="AL1224" s="28" t="str">
        <f>VLOOKUP($G1224,'[42]Sheet1 (2)'!$A$1:$B$1048440,2,FALSE)</f>
        <v>Sqm</v>
      </c>
      <c r="AM1224" s="233"/>
      <c r="AN1224" s="31"/>
      <c r="AO1224" s="33"/>
    </row>
    <row r="1225" spans="1:41" ht="84" x14ac:dyDescent="0.25">
      <c r="A1225" s="20">
        <v>1089</v>
      </c>
      <c r="B1225" s="25" t="s">
        <v>2060</v>
      </c>
      <c r="C1225" s="22">
        <v>35.200000000000003</v>
      </c>
      <c r="D1225" s="25" t="s">
        <v>2105</v>
      </c>
      <c r="E1225" s="23" t="s">
        <v>2106</v>
      </c>
      <c r="F1225" s="24" t="s">
        <v>2107</v>
      </c>
      <c r="G1225" s="202" t="s">
        <v>621</v>
      </c>
      <c r="H1225" s="26">
        <v>37</v>
      </c>
      <c r="I1225" s="103">
        <v>19</v>
      </c>
      <c r="J1225" s="31"/>
      <c r="K1225" s="31"/>
      <c r="L1225" s="31"/>
      <c r="M1225" s="31"/>
      <c r="N1225" s="31"/>
      <c r="O1225" s="31"/>
      <c r="P1225" s="31"/>
      <c r="Q1225" s="31"/>
      <c r="R1225" s="31"/>
      <c r="S1225" s="31"/>
      <c r="T1225" s="31"/>
      <c r="U1225" s="31"/>
      <c r="V1225" s="31"/>
      <c r="W1225" s="31"/>
      <c r="X1225" s="31"/>
      <c r="Y1225" s="31"/>
      <c r="Z1225" s="31"/>
      <c r="AA1225" s="31"/>
      <c r="AB1225" s="31"/>
      <c r="AC1225" s="31"/>
      <c r="AD1225" s="31"/>
      <c r="AE1225" s="31"/>
      <c r="AF1225" s="31"/>
      <c r="AG1225" s="31"/>
      <c r="AH1225" s="31"/>
      <c r="AI1225" s="31"/>
      <c r="AJ1225" s="31"/>
      <c r="AK1225" s="31"/>
      <c r="AL1225" s="28" t="str">
        <f>VLOOKUP($G1225,'[42]Sheet1 (2)'!$A$1:$B$1048440,2,FALSE)</f>
        <v>Sqm</v>
      </c>
      <c r="AM1225" s="233"/>
      <c r="AN1225" s="31"/>
      <c r="AO1225" s="33"/>
    </row>
    <row r="1226" spans="1:41" ht="84" x14ac:dyDescent="0.25">
      <c r="A1226" s="20">
        <v>1090</v>
      </c>
      <c r="B1226" s="25" t="s">
        <v>2060</v>
      </c>
      <c r="C1226" s="22">
        <v>35.21</v>
      </c>
      <c r="D1226" s="25" t="s">
        <v>2108</v>
      </c>
      <c r="E1226" s="23" t="s">
        <v>2109</v>
      </c>
      <c r="F1226" s="24" t="s">
        <v>742</v>
      </c>
      <c r="G1226" s="202" t="s">
        <v>621</v>
      </c>
      <c r="H1226" s="26">
        <v>36</v>
      </c>
      <c r="I1226" s="26">
        <v>12</v>
      </c>
      <c r="J1226" s="31"/>
      <c r="K1226" s="31"/>
      <c r="L1226" s="31"/>
      <c r="M1226" s="31"/>
      <c r="N1226" s="31"/>
      <c r="O1226" s="31"/>
      <c r="P1226" s="31"/>
      <c r="Q1226" s="31"/>
      <c r="R1226" s="31"/>
      <c r="S1226" s="31"/>
      <c r="T1226" s="31"/>
      <c r="U1226" s="31"/>
      <c r="V1226" s="31"/>
      <c r="W1226" s="31"/>
      <c r="X1226" s="31"/>
      <c r="Y1226" s="31"/>
      <c r="Z1226" s="31"/>
      <c r="AA1226" s="31"/>
      <c r="AB1226" s="31"/>
      <c r="AC1226" s="31"/>
      <c r="AD1226" s="31"/>
      <c r="AE1226" s="31"/>
      <c r="AF1226" s="31"/>
      <c r="AG1226" s="31"/>
      <c r="AH1226" s="31"/>
      <c r="AI1226" s="31"/>
      <c r="AJ1226" s="31"/>
      <c r="AK1226" s="31"/>
      <c r="AL1226" s="28" t="str">
        <f>VLOOKUP($G1226,'[42]Sheet1 (2)'!$A$1:$B$1048440,2,FALSE)</f>
        <v>Sqm</v>
      </c>
      <c r="AM1226" s="233"/>
      <c r="AN1226" s="31"/>
      <c r="AO1226" s="33"/>
    </row>
    <row r="1227" spans="1:41" ht="56" x14ac:dyDescent="0.25">
      <c r="A1227" s="20">
        <v>1091</v>
      </c>
      <c r="B1227" s="25" t="s">
        <v>2060</v>
      </c>
      <c r="C1227" s="22">
        <v>35.22</v>
      </c>
      <c r="D1227" s="25" t="s">
        <v>2110</v>
      </c>
      <c r="E1227" s="24" t="s">
        <v>2111</v>
      </c>
      <c r="F1227" s="24" t="s">
        <v>742</v>
      </c>
      <c r="G1227" s="202" t="s">
        <v>621</v>
      </c>
      <c r="H1227" s="26">
        <v>22</v>
      </c>
      <c r="I1227" s="26">
        <v>16</v>
      </c>
      <c r="J1227" s="31"/>
      <c r="K1227" s="31"/>
      <c r="L1227" s="31"/>
      <c r="M1227" s="31"/>
      <c r="N1227" s="31"/>
      <c r="O1227" s="31"/>
      <c r="P1227" s="31"/>
      <c r="Q1227" s="31"/>
      <c r="R1227" s="31"/>
      <c r="S1227" s="31"/>
      <c r="T1227" s="31"/>
      <c r="U1227" s="31"/>
      <c r="V1227" s="31"/>
      <c r="W1227" s="31"/>
      <c r="X1227" s="31"/>
      <c r="Y1227" s="31"/>
      <c r="Z1227" s="31"/>
      <c r="AA1227" s="31"/>
      <c r="AB1227" s="31"/>
      <c r="AC1227" s="31"/>
      <c r="AD1227" s="31"/>
      <c r="AE1227" s="31"/>
      <c r="AF1227" s="31"/>
      <c r="AG1227" s="31"/>
      <c r="AH1227" s="31"/>
      <c r="AI1227" s="31"/>
      <c r="AJ1227" s="31"/>
      <c r="AK1227" s="31"/>
      <c r="AL1227" s="28" t="str">
        <f>VLOOKUP($G1227,'[42]Sheet1 (2)'!$A$1:$B$1048440,2,FALSE)</f>
        <v>Sqm</v>
      </c>
      <c r="AM1227" s="233"/>
      <c r="AN1227" s="31"/>
      <c r="AO1227" s="33"/>
    </row>
    <row r="1228" spans="1:41" ht="70" x14ac:dyDescent="0.25">
      <c r="A1228" s="20">
        <v>1092</v>
      </c>
      <c r="B1228" s="25" t="s">
        <v>2060</v>
      </c>
      <c r="C1228" s="22">
        <v>35.229999999999997</v>
      </c>
      <c r="D1228" s="25" t="s">
        <v>2088</v>
      </c>
      <c r="E1228" s="23" t="s">
        <v>2112</v>
      </c>
      <c r="F1228" s="25" t="s">
        <v>742</v>
      </c>
      <c r="G1228" s="202" t="s">
        <v>621</v>
      </c>
      <c r="H1228" s="26">
        <v>216</v>
      </c>
      <c r="I1228" s="26">
        <v>69</v>
      </c>
      <c r="J1228" s="31"/>
      <c r="K1228" s="31"/>
      <c r="L1228" s="31"/>
      <c r="M1228" s="31"/>
      <c r="N1228" s="31"/>
      <c r="O1228" s="31"/>
      <c r="P1228" s="31"/>
      <c r="Q1228" s="31"/>
      <c r="R1228" s="31"/>
      <c r="S1228" s="31"/>
      <c r="T1228" s="31"/>
      <c r="U1228" s="31"/>
      <c r="V1228" s="31"/>
      <c r="W1228" s="31"/>
      <c r="X1228" s="31"/>
      <c r="Y1228" s="31"/>
      <c r="Z1228" s="31"/>
      <c r="AA1228" s="31"/>
      <c r="AB1228" s="31"/>
      <c r="AC1228" s="31"/>
      <c r="AD1228" s="31"/>
      <c r="AE1228" s="31"/>
      <c r="AF1228" s="31"/>
      <c r="AG1228" s="31"/>
      <c r="AH1228" s="31"/>
      <c r="AI1228" s="31"/>
      <c r="AJ1228" s="31"/>
      <c r="AK1228" s="31"/>
      <c r="AL1228" s="28" t="str">
        <f>VLOOKUP($G1228,'[42]Sheet1 (2)'!$A$1:$B$1048440,2,FALSE)</f>
        <v>Sqm</v>
      </c>
      <c r="AM1228" s="233"/>
      <c r="AN1228" s="31"/>
      <c r="AO1228" s="33"/>
    </row>
    <row r="1229" spans="1:41" ht="84" x14ac:dyDescent="0.25">
      <c r="A1229" s="20">
        <v>1093</v>
      </c>
      <c r="B1229" s="25" t="s">
        <v>2060</v>
      </c>
      <c r="C1229" s="22">
        <v>35.24</v>
      </c>
      <c r="D1229" s="25" t="s">
        <v>2088</v>
      </c>
      <c r="E1229" s="23" t="s">
        <v>2113</v>
      </c>
      <c r="F1229" s="24" t="s">
        <v>742</v>
      </c>
      <c r="G1229" s="202" t="s">
        <v>621</v>
      </c>
      <c r="H1229" s="26">
        <v>163</v>
      </c>
      <c r="I1229" s="26">
        <v>28</v>
      </c>
      <c r="J1229" s="31"/>
      <c r="K1229" s="31"/>
      <c r="L1229" s="31"/>
      <c r="M1229" s="31"/>
      <c r="N1229" s="31"/>
      <c r="O1229" s="31"/>
      <c r="P1229" s="31"/>
      <c r="Q1229" s="31"/>
      <c r="R1229" s="31"/>
      <c r="S1229" s="31"/>
      <c r="T1229" s="31"/>
      <c r="U1229" s="31"/>
      <c r="V1229" s="31"/>
      <c r="W1229" s="31"/>
      <c r="X1229" s="31"/>
      <c r="Y1229" s="31"/>
      <c r="Z1229" s="31"/>
      <c r="AA1229" s="31"/>
      <c r="AB1229" s="31"/>
      <c r="AC1229" s="31"/>
      <c r="AD1229" s="31"/>
      <c r="AE1229" s="31"/>
      <c r="AF1229" s="31"/>
      <c r="AG1229" s="31"/>
      <c r="AH1229" s="31"/>
      <c r="AI1229" s="31"/>
      <c r="AJ1229" s="31"/>
      <c r="AK1229" s="31"/>
      <c r="AL1229" s="28" t="str">
        <f>VLOOKUP($G1229,'[42]Sheet1 (2)'!$A$1:$B$1048440,2,FALSE)</f>
        <v>Sqm</v>
      </c>
      <c r="AM1229" s="233"/>
      <c r="AN1229" s="31"/>
      <c r="AO1229" s="33"/>
    </row>
    <row r="1230" spans="1:41" ht="98" x14ac:dyDescent="0.25">
      <c r="A1230" s="20">
        <v>1094</v>
      </c>
      <c r="B1230" s="25" t="s">
        <v>2060</v>
      </c>
      <c r="C1230" s="22">
        <v>35.25</v>
      </c>
      <c r="D1230" s="25" t="s">
        <v>2088</v>
      </c>
      <c r="E1230" s="23" t="s">
        <v>2114</v>
      </c>
      <c r="F1230" s="24" t="s">
        <v>742</v>
      </c>
      <c r="G1230" s="202" t="s">
        <v>621</v>
      </c>
      <c r="H1230" s="26">
        <v>261</v>
      </c>
      <c r="I1230" s="26">
        <v>172</v>
      </c>
      <c r="J1230" s="31"/>
      <c r="K1230" s="31"/>
      <c r="L1230" s="31"/>
      <c r="M1230" s="31"/>
      <c r="N1230" s="31"/>
      <c r="O1230" s="31"/>
      <c r="P1230" s="31"/>
      <c r="Q1230" s="31"/>
      <c r="R1230" s="31"/>
      <c r="S1230" s="31"/>
      <c r="T1230" s="31"/>
      <c r="U1230" s="31"/>
      <c r="V1230" s="31"/>
      <c r="W1230" s="31"/>
      <c r="X1230" s="31"/>
      <c r="Y1230" s="31"/>
      <c r="Z1230" s="31"/>
      <c r="AA1230" s="31"/>
      <c r="AB1230" s="31"/>
      <c r="AC1230" s="31"/>
      <c r="AD1230" s="31"/>
      <c r="AE1230" s="31"/>
      <c r="AF1230" s="31"/>
      <c r="AG1230" s="31"/>
      <c r="AH1230" s="31"/>
      <c r="AI1230" s="31"/>
      <c r="AJ1230" s="31"/>
      <c r="AK1230" s="31"/>
      <c r="AL1230" s="28" t="str">
        <f>VLOOKUP($G1230,'[42]Sheet1 (2)'!$A$1:$B$1048440,2,FALSE)</f>
        <v>Sqm</v>
      </c>
      <c r="AM1230" s="233"/>
      <c r="AN1230" s="31"/>
      <c r="AO1230" s="33"/>
    </row>
    <row r="1231" spans="1:41" ht="112" x14ac:dyDescent="0.25">
      <c r="A1231" s="20">
        <v>1095</v>
      </c>
      <c r="B1231" s="25" t="s">
        <v>2060</v>
      </c>
      <c r="C1231" s="22">
        <v>35.26</v>
      </c>
      <c r="D1231" s="25" t="s">
        <v>2088</v>
      </c>
      <c r="E1231" s="24" t="s">
        <v>3788</v>
      </c>
      <c r="F1231" s="24" t="s">
        <v>742</v>
      </c>
      <c r="G1231" s="202" t="s">
        <v>621</v>
      </c>
      <c r="H1231" s="26">
        <v>295</v>
      </c>
      <c r="I1231" s="26">
        <v>172</v>
      </c>
      <c r="J1231" s="31"/>
      <c r="K1231" s="31"/>
      <c r="L1231" s="31"/>
      <c r="M1231" s="31"/>
      <c r="N1231" s="31"/>
      <c r="O1231" s="31"/>
      <c r="P1231" s="31"/>
      <c r="Q1231" s="31"/>
      <c r="R1231" s="31"/>
      <c r="S1231" s="31"/>
      <c r="T1231" s="31"/>
      <c r="U1231" s="31"/>
      <c r="V1231" s="31"/>
      <c r="W1231" s="31"/>
      <c r="X1231" s="31"/>
      <c r="Y1231" s="31"/>
      <c r="Z1231" s="31"/>
      <c r="AA1231" s="31"/>
      <c r="AB1231" s="31"/>
      <c r="AC1231" s="31"/>
      <c r="AD1231" s="31"/>
      <c r="AE1231" s="31"/>
      <c r="AF1231" s="31"/>
      <c r="AG1231" s="31"/>
      <c r="AH1231" s="31"/>
      <c r="AI1231" s="31"/>
      <c r="AJ1231" s="31"/>
      <c r="AK1231" s="31"/>
      <c r="AL1231" s="28" t="str">
        <f>VLOOKUP($G1231,'[42]Sheet1 (2)'!$A$1:$B$1048440,2,FALSE)</f>
        <v>Sqm</v>
      </c>
      <c r="AM1231" s="233"/>
      <c r="AN1231" s="31"/>
      <c r="AO1231" s="33"/>
    </row>
    <row r="1232" spans="1:41" ht="238" x14ac:dyDescent="0.25">
      <c r="A1232" s="20">
        <v>1096</v>
      </c>
      <c r="B1232" s="25" t="s">
        <v>2060</v>
      </c>
      <c r="C1232" s="203">
        <v>35.29</v>
      </c>
      <c r="D1232" s="25" t="s">
        <v>2088</v>
      </c>
      <c r="E1232" s="24" t="s">
        <v>2115</v>
      </c>
      <c r="F1232" s="24" t="s">
        <v>742</v>
      </c>
      <c r="G1232" s="202" t="s">
        <v>621</v>
      </c>
      <c r="H1232" s="26">
        <v>259</v>
      </c>
      <c r="I1232" s="26">
        <v>31</v>
      </c>
      <c r="J1232" s="31"/>
      <c r="K1232" s="31"/>
      <c r="L1232" s="31"/>
      <c r="M1232" s="31"/>
      <c r="N1232" s="31"/>
      <c r="O1232" s="31"/>
      <c r="P1232" s="31"/>
      <c r="Q1232" s="31"/>
      <c r="R1232" s="31"/>
      <c r="S1232" s="31"/>
      <c r="T1232" s="31"/>
      <c r="U1232" s="31"/>
      <c r="V1232" s="31"/>
      <c r="W1232" s="31"/>
      <c r="X1232" s="31"/>
      <c r="Y1232" s="31"/>
      <c r="Z1232" s="31"/>
      <c r="AA1232" s="31"/>
      <c r="AB1232" s="31"/>
      <c r="AC1232" s="31"/>
      <c r="AD1232" s="31"/>
      <c r="AE1232" s="31"/>
      <c r="AF1232" s="31"/>
      <c r="AG1232" s="31"/>
      <c r="AH1232" s="31"/>
      <c r="AI1232" s="31"/>
      <c r="AJ1232" s="31"/>
      <c r="AK1232" s="31"/>
      <c r="AL1232" s="28" t="str">
        <f>VLOOKUP($G1232,'[42]Sheet1 (2)'!$A$1:$B$1048440,2,FALSE)</f>
        <v>Sqm</v>
      </c>
      <c r="AM1232" s="233"/>
      <c r="AN1232" s="31"/>
      <c r="AO1232" s="33"/>
    </row>
    <row r="1233" spans="1:41" ht="56" x14ac:dyDescent="0.25">
      <c r="A1233" s="20">
        <v>1097</v>
      </c>
      <c r="B1233" s="25" t="s">
        <v>2116</v>
      </c>
      <c r="C1233" s="22">
        <v>36.020000000000003</v>
      </c>
      <c r="D1233" s="25" t="s">
        <v>2117</v>
      </c>
      <c r="E1233" s="23" t="s">
        <v>2118</v>
      </c>
      <c r="F1233" s="21" t="s">
        <v>2119</v>
      </c>
      <c r="G1233" s="202" t="s">
        <v>621</v>
      </c>
      <c r="H1233" s="26">
        <v>8</v>
      </c>
      <c r="I1233" s="26">
        <v>6</v>
      </c>
      <c r="J1233" s="31"/>
      <c r="K1233" s="31"/>
      <c r="L1233" s="31"/>
      <c r="M1233" s="31"/>
      <c r="N1233" s="31"/>
      <c r="O1233" s="31"/>
      <c r="P1233" s="31"/>
      <c r="Q1233" s="31"/>
      <c r="R1233" s="31"/>
      <c r="S1233" s="31"/>
      <c r="T1233" s="31"/>
      <c r="U1233" s="31"/>
      <c r="V1233" s="31"/>
      <c r="W1233" s="31"/>
      <c r="X1233" s="31"/>
      <c r="Y1233" s="31"/>
      <c r="Z1233" s="31"/>
      <c r="AA1233" s="31"/>
      <c r="AB1233" s="31"/>
      <c r="AC1233" s="31"/>
      <c r="AD1233" s="31"/>
      <c r="AE1233" s="31"/>
      <c r="AF1233" s="31"/>
      <c r="AG1233" s="31"/>
      <c r="AH1233" s="31"/>
      <c r="AI1233" s="31"/>
      <c r="AJ1233" s="31"/>
      <c r="AK1233" s="31"/>
      <c r="AL1233" s="28" t="str">
        <f>VLOOKUP($G1233,'[42]Sheet1 (2)'!$A$1:$B$1048440,2,FALSE)</f>
        <v>Sqm</v>
      </c>
      <c r="AM1233" s="233"/>
      <c r="AN1233" s="31"/>
      <c r="AO1233" s="33"/>
    </row>
    <row r="1234" spans="1:41" ht="56" x14ac:dyDescent="0.25">
      <c r="A1234" s="20">
        <v>1098</v>
      </c>
      <c r="B1234" s="25" t="s">
        <v>2116</v>
      </c>
      <c r="C1234" s="22">
        <v>36.03</v>
      </c>
      <c r="D1234" s="25" t="s">
        <v>2120</v>
      </c>
      <c r="E1234" s="23" t="s">
        <v>2121</v>
      </c>
      <c r="F1234" s="24" t="s">
        <v>2122</v>
      </c>
      <c r="G1234" s="202" t="s">
        <v>621</v>
      </c>
      <c r="H1234" s="26">
        <v>12</v>
      </c>
      <c r="I1234" s="26">
        <v>8</v>
      </c>
      <c r="J1234" s="31"/>
      <c r="K1234" s="31"/>
      <c r="L1234" s="31"/>
      <c r="M1234" s="31"/>
      <c r="N1234" s="31"/>
      <c r="O1234" s="31"/>
      <c r="P1234" s="31"/>
      <c r="Q1234" s="31"/>
      <c r="R1234" s="31"/>
      <c r="S1234" s="31"/>
      <c r="T1234" s="31"/>
      <c r="U1234" s="31"/>
      <c r="V1234" s="31"/>
      <c r="W1234" s="31"/>
      <c r="X1234" s="31"/>
      <c r="Y1234" s="31"/>
      <c r="Z1234" s="31"/>
      <c r="AA1234" s="31"/>
      <c r="AB1234" s="31"/>
      <c r="AC1234" s="31"/>
      <c r="AD1234" s="31"/>
      <c r="AE1234" s="31"/>
      <c r="AF1234" s="31"/>
      <c r="AG1234" s="31"/>
      <c r="AH1234" s="31"/>
      <c r="AI1234" s="31"/>
      <c r="AJ1234" s="31"/>
      <c r="AK1234" s="31"/>
      <c r="AL1234" s="28" t="str">
        <f>VLOOKUP($G1234,'[42]Sheet1 (2)'!$A$1:$B$1048440,2,FALSE)</f>
        <v>Sqm</v>
      </c>
      <c r="AM1234" s="233"/>
      <c r="AN1234" s="31"/>
      <c r="AO1234" s="33"/>
    </row>
    <row r="1235" spans="1:41" ht="56" x14ac:dyDescent="0.25">
      <c r="A1235" s="20">
        <v>1099</v>
      </c>
      <c r="B1235" s="25" t="s">
        <v>2116</v>
      </c>
      <c r="C1235" s="22">
        <v>36.04</v>
      </c>
      <c r="D1235" s="25" t="s">
        <v>2123</v>
      </c>
      <c r="E1235" s="23" t="s">
        <v>2124</v>
      </c>
      <c r="F1235" s="21" t="s">
        <v>2125</v>
      </c>
      <c r="G1235" s="202" t="s">
        <v>621</v>
      </c>
      <c r="H1235" s="26">
        <v>10</v>
      </c>
      <c r="I1235" s="26">
        <v>7</v>
      </c>
      <c r="J1235" s="31"/>
      <c r="K1235" s="31"/>
      <c r="L1235" s="31"/>
      <c r="M1235" s="31"/>
      <c r="N1235" s="31"/>
      <c r="O1235" s="31"/>
      <c r="P1235" s="31"/>
      <c r="Q1235" s="31"/>
      <c r="R1235" s="31"/>
      <c r="S1235" s="31"/>
      <c r="T1235" s="31"/>
      <c r="U1235" s="31"/>
      <c r="V1235" s="31"/>
      <c r="W1235" s="31"/>
      <c r="X1235" s="31"/>
      <c r="Y1235" s="31"/>
      <c r="Z1235" s="31"/>
      <c r="AA1235" s="31"/>
      <c r="AB1235" s="31"/>
      <c r="AC1235" s="31"/>
      <c r="AD1235" s="31"/>
      <c r="AE1235" s="31"/>
      <c r="AF1235" s="31"/>
      <c r="AG1235" s="31"/>
      <c r="AH1235" s="31"/>
      <c r="AI1235" s="31"/>
      <c r="AJ1235" s="31"/>
      <c r="AK1235" s="31"/>
      <c r="AL1235" s="28" t="str">
        <f>VLOOKUP($G1235,'[42]Sheet1 (2)'!$A$1:$B$1048440,2,FALSE)</f>
        <v>Sqm</v>
      </c>
      <c r="AM1235" s="233"/>
      <c r="AN1235" s="31"/>
      <c r="AO1235" s="33"/>
    </row>
    <row r="1236" spans="1:41" ht="56" x14ac:dyDescent="0.25">
      <c r="A1236" s="20">
        <v>1100</v>
      </c>
      <c r="B1236" s="25" t="s">
        <v>2116</v>
      </c>
      <c r="C1236" s="22">
        <v>36.049999999999997</v>
      </c>
      <c r="D1236" s="25" t="s">
        <v>2126</v>
      </c>
      <c r="E1236" s="23" t="s">
        <v>2127</v>
      </c>
      <c r="F1236" s="21" t="s">
        <v>2128</v>
      </c>
      <c r="G1236" s="202" t="s">
        <v>621</v>
      </c>
      <c r="H1236" s="26">
        <v>19</v>
      </c>
      <c r="I1236" s="26">
        <v>11</v>
      </c>
      <c r="J1236" s="31"/>
      <c r="K1236" s="31"/>
      <c r="L1236" s="31"/>
      <c r="M1236" s="31"/>
      <c r="N1236" s="31"/>
      <c r="O1236" s="31"/>
      <c r="P1236" s="31"/>
      <c r="Q1236" s="31"/>
      <c r="R1236" s="31"/>
      <c r="S1236" s="31"/>
      <c r="T1236" s="31"/>
      <c r="U1236" s="31"/>
      <c r="V1236" s="31"/>
      <c r="W1236" s="31"/>
      <c r="X1236" s="31"/>
      <c r="Y1236" s="31"/>
      <c r="Z1236" s="31"/>
      <c r="AA1236" s="31"/>
      <c r="AB1236" s="31"/>
      <c r="AC1236" s="31"/>
      <c r="AD1236" s="31"/>
      <c r="AE1236" s="31"/>
      <c r="AF1236" s="31"/>
      <c r="AG1236" s="31"/>
      <c r="AH1236" s="31"/>
      <c r="AI1236" s="31"/>
      <c r="AJ1236" s="31"/>
      <c r="AK1236" s="31"/>
      <c r="AL1236" s="28" t="str">
        <f>VLOOKUP($G1236,'[42]Sheet1 (2)'!$A$1:$B$1048440,2,FALSE)</f>
        <v>Sqm</v>
      </c>
      <c r="AM1236" s="233"/>
      <c r="AN1236" s="31"/>
      <c r="AO1236" s="33"/>
    </row>
    <row r="1237" spans="1:41" ht="56" x14ac:dyDescent="0.25">
      <c r="A1237" s="20">
        <v>1101</v>
      </c>
      <c r="B1237" s="25" t="s">
        <v>2116</v>
      </c>
      <c r="C1237" s="22">
        <v>36.06</v>
      </c>
      <c r="D1237" s="25" t="s">
        <v>2129</v>
      </c>
      <c r="E1237" s="23" t="s">
        <v>2130</v>
      </c>
      <c r="F1237" s="21" t="s">
        <v>2131</v>
      </c>
      <c r="G1237" s="202" t="s">
        <v>621</v>
      </c>
      <c r="H1237" s="26">
        <v>8</v>
      </c>
      <c r="I1237" s="26">
        <v>5</v>
      </c>
      <c r="J1237" s="31"/>
      <c r="K1237" s="31"/>
      <c r="L1237" s="31"/>
      <c r="M1237" s="31"/>
      <c r="N1237" s="31"/>
      <c r="O1237" s="31"/>
      <c r="P1237" s="31"/>
      <c r="Q1237" s="31"/>
      <c r="R1237" s="31"/>
      <c r="S1237" s="31"/>
      <c r="T1237" s="31"/>
      <c r="U1237" s="31"/>
      <c r="V1237" s="31"/>
      <c r="W1237" s="31"/>
      <c r="X1237" s="31"/>
      <c r="Y1237" s="31"/>
      <c r="Z1237" s="31"/>
      <c r="AA1237" s="31"/>
      <c r="AB1237" s="31"/>
      <c r="AC1237" s="31"/>
      <c r="AD1237" s="31"/>
      <c r="AE1237" s="31"/>
      <c r="AF1237" s="31"/>
      <c r="AG1237" s="31"/>
      <c r="AH1237" s="31"/>
      <c r="AI1237" s="31"/>
      <c r="AJ1237" s="31"/>
      <c r="AK1237" s="31"/>
      <c r="AL1237" s="28" t="str">
        <f>VLOOKUP($G1237,'[42]Sheet1 (2)'!$A$1:$B$1048440,2,FALSE)</f>
        <v>Sqm</v>
      </c>
      <c r="AM1237" s="233"/>
      <c r="AN1237" s="31"/>
      <c r="AO1237" s="33"/>
    </row>
    <row r="1238" spans="1:41" ht="56" x14ac:dyDescent="0.25">
      <c r="A1238" s="20">
        <v>1102</v>
      </c>
      <c r="B1238" s="25" t="s">
        <v>2116</v>
      </c>
      <c r="C1238" s="22">
        <v>36.07</v>
      </c>
      <c r="D1238" s="25" t="s">
        <v>2132</v>
      </c>
      <c r="E1238" s="24" t="s">
        <v>2133</v>
      </c>
      <c r="F1238" s="21" t="s">
        <v>2131</v>
      </c>
      <c r="G1238" s="202" t="s">
        <v>621</v>
      </c>
      <c r="H1238" s="26">
        <v>16</v>
      </c>
      <c r="I1238" s="26">
        <v>11</v>
      </c>
      <c r="J1238" s="31"/>
      <c r="K1238" s="31"/>
      <c r="L1238" s="31"/>
      <c r="M1238" s="31"/>
      <c r="N1238" s="31"/>
      <c r="O1238" s="31"/>
      <c r="P1238" s="31"/>
      <c r="Q1238" s="31"/>
      <c r="R1238" s="31"/>
      <c r="S1238" s="31"/>
      <c r="T1238" s="31"/>
      <c r="U1238" s="31"/>
      <c r="V1238" s="31"/>
      <c r="W1238" s="31"/>
      <c r="X1238" s="31"/>
      <c r="Y1238" s="31"/>
      <c r="Z1238" s="31"/>
      <c r="AA1238" s="31"/>
      <c r="AB1238" s="31"/>
      <c r="AC1238" s="31"/>
      <c r="AD1238" s="31"/>
      <c r="AE1238" s="31"/>
      <c r="AF1238" s="31"/>
      <c r="AG1238" s="31"/>
      <c r="AH1238" s="31"/>
      <c r="AI1238" s="31"/>
      <c r="AJ1238" s="31"/>
      <c r="AK1238" s="31"/>
      <c r="AL1238" s="28" t="str">
        <f>VLOOKUP($G1238,'[42]Sheet1 (2)'!$A$1:$B$1048440,2,FALSE)</f>
        <v>Sqm</v>
      </c>
      <c r="AM1238" s="233"/>
      <c r="AN1238" s="31"/>
      <c r="AO1238" s="33"/>
    </row>
    <row r="1239" spans="1:41" ht="56" x14ac:dyDescent="0.25">
      <c r="A1239" s="20">
        <v>1103</v>
      </c>
      <c r="B1239" s="25" t="s">
        <v>2116</v>
      </c>
      <c r="C1239" s="22">
        <v>36.08</v>
      </c>
      <c r="D1239" s="25" t="s">
        <v>2134</v>
      </c>
      <c r="E1239" s="23" t="s">
        <v>2135</v>
      </c>
      <c r="F1239" s="21" t="s">
        <v>2136</v>
      </c>
      <c r="G1239" s="202" t="s">
        <v>621</v>
      </c>
      <c r="H1239" s="26">
        <v>19</v>
      </c>
      <c r="I1239" s="26">
        <v>6</v>
      </c>
      <c r="J1239" s="31"/>
      <c r="K1239" s="31"/>
      <c r="L1239" s="31"/>
      <c r="M1239" s="31"/>
      <c r="N1239" s="31"/>
      <c r="O1239" s="31"/>
      <c r="P1239" s="31"/>
      <c r="Q1239" s="31"/>
      <c r="R1239" s="31"/>
      <c r="S1239" s="31"/>
      <c r="T1239" s="31"/>
      <c r="U1239" s="31"/>
      <c r="V1239" s="31"/>
      <c r="W1239" s="31"/>
      <c r="X1239" s="31"/>
      <c r="Y1239" s="31"/>
      <c r="Z1239" s="31"/>
      <c r="AA1239" s="31"/>
      <c r="AB1239" s="31"/>
      <c r="AC1239" s="31"/>
      <c r="AD1239" s="31"/>
      <c r="AE1239" s="31"/>
      <c r="AF1239" s="31"/>
      <c r="AG1239" s="31"/>
      <c r="AH1239" s="31"/>
      <c r="AI1239" s="31"/>
      <c r="AJ1239" s="31"/>
      <c r="AK1239" s="31"/>
      <c r="AL1239" s="28" t="str">
        <f>VLOOKUP($G1239,'[42]Sheet1 (2)'!$A$1:$B$1048440,2,FALSE)</f>
        <v>Sqm</v>
      </c>
      <c r="AM1239" s="233"/>
      <c r="AN1239" s="31"/>
      <c r="AO1239" s="33"/>
    </row>
    <row r="1240" spans="1:41" ht="56" x14ac:dyDescent="0.25">
      <c r="A1240" s="20">
        <v>1104</v>
      </c>
      <c r="B1240" s="25" t="s">
        <v>2116</v>
      </c>
      <c r="C1240" s="22">
        <v>36.090000000000003</v>
      </c>
      <c r="D1240" s="25" t="s">
        <v>2137</v>
      </c>
      <c r="E1240" s="23" t="s">
        <v>2138</v>
      </c>
      <c r="F1240" s="21" t="s">
        <v>2139</v>
      </c>
      <c r="G1240" s="202" t="s">
        <v>621</v>
      </c>
      <c r="H1240" s="26">
        <v>29</v>
      </c>
      <c r="I1240" s="26">
        <v>13</v>
      </c>
      <c r="J1240" s="31"/>
      <c r="K1240" s="31"/>
      <c r="L1240" s="31"/>
      <c r="M1240" s="31"/>
      <c r="N1240" s="31"/>
      <c r="O1240" s="31"/>
      <c r="P1240" s="31"/>
      <c r="Q1240" s="31"/>
      <c r="R1240" s="31"/>
      <c r="S1240" s="31"/>
      <c r="T1240" s="31"/>
      <c r="U1240" s="31"/>
      <c r="V1240" s="31"/>
      <c r="W1240" s="31"/>
      <c r="X1240" s="31"/>
      <c r="Y1240" s="31"/>
      <c r="Z1240" s="31"/>
      <c r="AA1240" s="31"/>
      <c r="AB1240" s="31"/>
      <c r="AC1240" s="31"/>
      <c r="AD1240" s="31"/>
      <c r="AE1240" s="31"/>
      <c r="AF1240" s="31"/>
      <c r="AG1240" s="31"/>
      <c r="AH1240" s="31"/>
      <c r="AI1240" s="31"/>
      <c r="AJ1240" s="31"/>
      <c r="AK1240" s="31"/>
      <c r="AL1240" s="28" t="str">
        <f>VLOOKUP($G1240,'[42]Sheet1 (2)'!$A$1:$B$1048440,2,FALSE)</f>
        <v>Sqm</v>
      </c>
      <c r="AM1240" s="233"/>
      <c r="AN1240" s="31"/>
      <c r="AO1240" s="33"/>
    </row>
    <row r="1241" spans="1:41" ht="56" x14ac:dyDescent="0.25">
      <c r="A1241" s="20">
        <v>1105</v>
      </c>
      <c r="B1241" s="25" t="s">
        <v>2116</v>
      </c>
      <c r="C1241" s="22">
        <v>36.1</v>
      </c>
      <c r="D1241" s="25" t="s">
        <v>2140</v>
      </c>
      <c r="E1241" s="23" t="s">
        <v>2141</v>
      </c>
      <c r="F1241" s="21" t="s">
        <v>2142</v>
      </c>
      <c r="G1241" s="202" t="s">
        <v>621</v>
      </c>
      <c r="H1241" s="26">
        <v>32</v>
      </c>
      <c r="I1241" s="26">
        <v>14</v>
      </c>
      <c r="J1241" s="31"/>
      <c r="K1241" s="31"/>
      <c r="L1241" s="31"/>
      <c r="M1241" s="31"/>
      <c r="N1241" s="31"/>
      <c r="O1241" s="31"/>
      <c r="P1241" s="31"/>
      <c r="Q1241" s="31"/>
      <c r="R1241" s="31"/>
      <c r="S1241" s="31"/>
      <c r="T1241" s="31"/>
      <c r="U1241" s="31"/>
      <c r="V1241" s="31"/>
      <c r="W1241" s="31"/>
      <c r="X1241" s="31"/>
      <c r="Y1241" s="31"/>
      <c r="Z1241" s="31"/>
      <c r="AA1241" s="31"/>
      <c r="AB1241" s="31"/>
      <c r="AC1241" s="31"/>
      <c r="AD1241" s="31"/>
      <c r="AE1241" s="31"/>
      <c r="AF1241" s="31"/>
      <c r="AG1241" s="31"/>
      <c r="AH1241" s="31"/>
      <c r="AI1241" s="31"/>
      <c r="AJ1241" s="31"/>
      <c r="AK1241" s="31"/>
      <c r="AL1241" s="28" t="str">
        <f>VLOOKUP($G1241,'[42]Sheet1 (2)'!$A$1:$B$1048440,2,FALSE)</f>
        <v>Sqm</v>
      </c>
      <c r="AM1241" s="233"/>
      <c r="AN1241" s="31"/>
      <c r="AO1241" s="33"/>
    </row>
    <row r="1242" spans="1:41" ht="56" x14ac:dyDescent="0.25">
      <c r="A1242" s="20">
        <v>1106</v>
      </c>
      <c r="B1242" s="25" t="s">
        <v>2116</v>
      </c>
      <c r="C1242" s="22">
        <v>36.11</v>
      </c>
      <c r="D1242" s="25" t="s">
        <v>2143</v>
      </c>
      <c r="E1242" s="23" t="s">
        <v>2144</v>
      </c>
      <c r="F1242" s="21" t="s">
        <v>2145</v>
      </c>
      <c r="G1242" s="202" t="s">
        <v>621</v>
      </c>
      <c r="H1242" s="26">
        <v>48</v>
      </c>
      <c r="I1242" s="26">
        <v>19</v>
      </c>
      <c r="J1242" s="31"/>
      <c r="K1242" s="31"/>
      <c r="L1242" s="31"/>
      <c r="M1242" s="31"/>
      <c r="N1242" s="31"/>
      <c r="O1242" s="31"/>
      <c r="P1242" s="31"/>
      <c r="Q1242" s="31"/>
      <c r="R1242" s="31"/>
      <c r="S1242" s="31"/>
      <c r="T1242" s="31"/>
      <c r="U1242" s="31"/>
      <c r="V1242" s="31"/>
      <c r="W1242" s="31"/>
      <c r="X1242" s="31"/>
      <c r="Y1242" s="31"/>
      <c r="Z1242" s="31"/>
      <c r="AA1242" s="31"/>
      <c r="AB1242" s="31"/>
      <c r="AC1242" s="31"/>
      <c r="AD1242" s="31"/>
      <c r="AE1242" s="31"/>
      <c r="AF1242" s="31"/>
      <c r="AG1242" s="31"/>
      <c r="AH1242" s="31"/>
      <c r="AI1242" s="31"/>
      <c r="AJ1242" s="31"/>
      <c r="AK1242" s="31"/>
      <c r="AL1242" s="28" t="str">
        <f>VLOOKUP($G1242,'[42]Sheet1 (2)'!$A$1:$B$1048440,2,FALSE)</f>
        <v>Sqm</v>
      </c>
      <c r="AM1242" s="233"/>
      <c r="AN1242" s="31"/>
      <c r="AO1242" s="33"/>
    </row>
    <row r="1243" spans="1:41" ht="68.25" customHeight="1" x14ac:dyDescent="0.25">
      <c r="A1243" s="20">
        <v>1107</v>
      </c>
      <c r="B1243" s="25" t="s">
        <v>2116</v>
      </c>
      <c r="C1243" s="22">
        <v>36.119999999999997</v>
      </c>
      <c r="D1243" s="25" t="s">
        <v>2146</v>
      </c>
      <c r="E1243" s="23" t="s">
        <v>2147</v>
      </c>
      <c r="F1243" s="21" t="s">
        <v>2148</v>
      </c>
      <c r="G1243" s="202" t="s">
        <v>621</v>
      </c>
      <c r="H1243" s="26">
        <v>80</v>
      </c>
      <c r="I1243" s="26">
        <v>24</v>
      </c>
      <c r="J1243" s="31"/>
      <c r="K1243" s="31"/>
      <c r="L1243" s="31"/>
      <c r="M1243" s="31"/>
      <c r="N1243" s="31"/>
      <c r="O1243" s="31"/>
      <c r="P1243" s="31"/>
      <c r="Q1243" s="31"/>
      <c r="R1243" s="31"/>
      <c r="S1243" s="31"/>
      <c r="T1243" s="31"/>
      <c r="U1243" s="31"/>
      <c r="V1243" s="31"/>
      <c r="W1243" s="31"/>
      <c r="X1243" s="31"/>
      <c r="Y1243" s="31"/>
      <c r="Z1243" s="31"/>
      <c r="AA1243" s="31"/>
      <c r="AB1243" s="31"/>
      <c r="AC1243" s="31"/>
      <c r="AD1243" s="31"/>
      <c r="AE1243" s="31"/>
      <c r="AF1243" s="31"/>
      <c r="AG1243" s="31"/>
      <c r="AH1243" s="31"/>
      <c r="AI1243" s="31"/>
      <c r="AJ1243" s="31"/>
      <c r="AK1243" s="31"/>
      <c r="AL1243" s="28" t="str">
        <f>VLOOKUP($G1243,'[42]Sheet1 (2)'!$A$1:$B$1048440,2,FALSE)</f>
        <v>Sqm</v>
      </c>
      <c r="AM1243" s="233"/>
      <c r="AN1243" s="31"/>
      <c r="AO1243" s="33"/>
    </row>
    <row r="1244" spans="1:41" ht="112" x14ac:dyDescent="0.25">
      <c r="A1244" s="20">
        <v>1108</v>
      </c>
      <c r="B1244" s="25" t="s">
        <v>2116</v>
      </c>
      <c r="C1244" s="22">
        <v>36.130000000000003</v>
      </c>
      <c r="D1244" s="25" t="s">
        <v>2149</v>
      </c>
      <c r="E1244" s="24" t="s">
        <v>2150</v>
      </c>
      <c r="F1244" s="35" t="s">
        <v>2151</v>
      </c>
      <c r="G1244" s="202" t="s">
        <v>621</v>
      </c>
      <c r="H1244" s="26">
        <v>100</v>
      </c>
      <c r="I1244" s="26">
        <v>28</v>
      </c>
      <c r="J1244" s="31"/>
      <c r="K1244" s="31"/>
      <c r="L1244" s="31"/>
      <c r="M1244" s="31"/>
      <c r="N1244" s="31"/>
      <c r="O1244" s="31"/>
      <c r="P1244" s="31"/>
      <c r="Q1244" s="31"/>
      <c r="R1244" s="31"/>
      <c r="S1244" s="31"/>
      <c r="T1244" s="31"/>
      <c r="U1244" s="31"/>
      <c r="V1244" s="31"/>
      <c r="W1244" s="31"/>
      <c r="X1244" s="31"/>
      <c r="Y1244" s="31"/>
      <c r="Z1244" s="31"/>
      <c r="AA1244" s="31"/>
      <c r="AB1244" s="31"/>
      <c r="AC1244" s="31"/>
      <c r="AD1244" s="31"/>
      <c r="AE1244" s="31"/>
      <c r="AF1244" s="31"/>
      <c r="AG1244" s="31"/>
      <c r="AH1244" s="31"/>
      <c r="AI1244" s="31"/>
      <c r="AJ1244" s="31"/>
      <c r="AK1244" s="31"/>
      <c r="AL1244" s="28" t="str">
        <f>VLOOKUP($G1244,'[42]Sheet1 (2)'!$A$1:$B$1048440,2,FALSE)</f>
        <v>Sqm</v>
      </c>
      <c r="AM1244" s="233"/>
      <c r="AN1244" s="31"/>
      <c r="AO1244" s="33"/>
    </row>
    <row r="1245" spans="1:41" ht="112" x14ac:dyDescent="0.25">
      <c r="A1245" s="20">
        <v>1109</v>
      </c>
      <c r="B1245" s="25" t="s">
        <v>2116</v>
      </c>
      <c r="C1245" s="22">
        <v>36.14</v>
      </c>
      <c r="D1245" s="25" t="s">
        <v>2149</v>
      </c>
      <c r="E1245" s="24" t="s">
        <v>2152</v>
      </c>
      <c r="F1245" s="35" t="s">
        <v>2151</v>
      </c>
      <c r="G1245" s="202" t="s">
        <v>621</v>
      </c>
      <c r="H1245" s="26">
        <v>135</v>
      </c>
      <c r="I1245" s="26">
        <v>41</v>
      </c>
      <c r="J1245" s="31"/>
      <c r="K1245" s="31"/>
      <c r="L1245" s="31"/>
      <c r="M1245" s="31"/>
      <c r="N1245" s="31"/>
      <c r="O1245" s="31"/>
      <c r="P1245" s="31"/>
      <c r="Q1245" s="31"/>
      <c r="R1245" s="31"/>
      <c r="S1245" s="31"/>
      <c r="T1245" s="31"/>
      <c r="U1245" s="31"/>
      <c r="V1245" s="31"/>
      <c r="W1245" s="31"/>
      <c r="X1245" s="31"/>
      <c r="Y1245" s="31"/>
      <c r="Z1245" s="31"/>
      <c r="AA1245" s="31"/>
      <c r="AB1245" s="31"/>
      <c r="AC1245" s="31"/>
      <c r="AD1245" s="31"/>
      <c r="AE1245" s="31"/>
      <c r="AF1245" s="31"/>
      <c r="AG1245" s="31"/>
      <c r="AH1245" s="31"/>
      <c r="AI1245" s="31"/>
      <c r="AJ1245" s="31"/>
      <c r="AK1245" s="31"/>
      <c r="AL1245" s="28" t="str">
        <f>VLOOKUP($G1245,'[42]Sheet1 (2)'!$A$1:$B$1048440,2,FALSE)</f>
        <v>Sqm</v>
      </c>
      <c r="AM1245" s="233"/>
      <c r="AN1245" s="31"/>
      <c r="AO1245" s="33"/>
    </row>
    <row r="1246" spans="1:41" ht="56" x14ac:dyDescent="0.25">
      <c r="A1246" s="20">
        <v>1110</v>
      </c>
      <c r="B1246" s="25" t="s">
        <v>2116</v>
      </c>
      <c r="C1246" s="22">
        <v>36.15</v>
      </c>
      <c r="D1246" s="25" t="s">
        <v>2153</v>
      </c>
      <c r="E1246" s="24" t="s">
        <v>2154</v>
      </c>
      <c r="F1246" s="35" t="s">
        <v>1839</v>
      </c>
      <c r="G1246" s="202" t="s">
        <v>621</v>
      </c>
      <c r="H1246" s="26">
        <v>3</v>
      </c>
      <c r="I1246" s="26">
        <v>3</v>
      </c>
      <c r="J1246" s="31"/>
      <c r="K1246" s="31"/>
      <c r="L1246" s="31"/>
      <c r="M1246" s="31"/>
      <c r="N1246" s="31"/>
      <c r="O1246" s="31"/>
      <c r="P1246" s="31"/>
      <c r="Q1246" s="31"/>
      <c r="R1246" s="31"/>
      <c r="S1246" s="31"/>
      <c r="T1246" s="31"/>
      <c r="U1246" s="31"/>
      <c r="V1246" s="31"/>
      <c r="W1246" s="31"/>
      <c r="X1246" s="31"/>
      <c r="Y1246" s="31"/>
      <c r="Z1246" s="31"/>
      <c r="AA1246" s="31"/>
      <c r="AB1246" s="31"/>
      <c r="AC1246" s="31"/>
      <c r="AD1246" s="31"/>
      <c r="AE1246" s="31"/>
      <c r="AF1246" s="31"/>
      <c r="AG1246" s="31"/>
      <c r="AH1246" s="31"/>
      <c r="AI1246" s="31"/>
      <c r="AJ1246" s="31"/>
      <c r="AK1246" s="31"/>
      <c r="AL1246" s="28" t="str">
        <f>VLOOKUP($G1246,'[42]Sheet1 (2)'!$A$1:$B$1048440,2,FALSE)</f>
        <v>Sqm</v>
      </c>
      <c r="AM1246" s="233"/>
      <c r="AN1246" s="31"/>
      <c r="AO1246" s="33"/>
    </row>
    <row r="1247" spans="1:41" ht="56" x14ac:dyDescent="0.25">
      <c r="A1247" s="20">
        <v>1111</v>
      </c>
      <c r="B1247" s="25" t="s">
        <v>2116</v>
      </c>
      <c r="C1247" s="22">
        <v>36.159999999999997</v>
      </c>
      <c r="D1247" s="25" t="s">
        <v>2153</v>
      </c>
      <c r="E1247" s="23" t="s">
        <v>2155</v>
      </c>
      <c r="F1247" s="21" t="s">
        <v>2148</v>
      </c>
      <c r="G1247" s="202" t="s">
        <v>621</v>
      </c>
      <c r="H1247" s="26">
        <v>57</v>
      </c>
      <c r="I1247" s="26">
        <v>14</v>
      </c>
      <c r="J1247" s="31"/>
      <c r="K1247" s="31"/>
      <c r="L1247" s="31"/>
      <c r="M1247" s="31"/>
      <c r="N1247" s="31"/>
      <c r="O1247" s="31"/>
      <c r="P1247" s="31"/>
      <c r="Q1247" s="31"/>
      <c r="R1247" s="31"/>
      <c r="S1247" s="31"/>
      <c r="T1247" s="31"/>
      <c r="U1247" s="31"/>
      <c r="V1247" s="31"/>
      <c r="W1247" s="31"/>
      <c r="X1247" s="31"/>
      <c r="Y1247" s="31"/>
      <c r="Z1247" s="31"/>
      <c r="AA1247" s="31"/>
      <c r="AB1247" s="31"/>
      <c r="AC1247" s="31"/>
      <c r="AD1247" s="31"/>
      <c r="AE1247" s="31"/>
      <c r="AF1247" s="31"/>
      <c r="AG1247" s="31"/>
      <c r="AH1247" s="31"/>
      <c r="AI1247" s="31"/>
      <c r="AJ1247" s="31"/>
      <c r="AK1247" s="31"/>
      <c r="AL1247" s="28" t="str">
        <f>VLOOKUP($G1247,'[42]Sheet1 (2)'!$A$1:$B$1048440,2,FALSE)</f>
        <v>Sqm</v>
      </c>
      <c r="AM1247" s="233"/>
      <c r="AN1247" s="31"/>
      <c r="AO1247" s="33"/>
    </row>
    <row r="1248" spans="1:41" ht="56" x14ac:dyDescent="0.25">
      <c r="A1248" s="20">
        <v>1112</v>
      </c>
      <c r="B1248" s="25" t="s">
        <v>2116</v>
      </c>
      <c r="C1248" s="22">
        <v>36.19</v>
      </c>
      <c r="D1248" s="25" t="s">
        <v>2153</v>
      </c>
      <c r="E1248" s="23" t="s">
        <v>2156</v>
      </c>
      <c r="F1248" s="24" t="s">
        <v>742</v>
      </c>
      <c r="G1248" s="202" t="s">
        <v>621</v>
      </c>
      <c r="H1248" s="26">
        <v>36</v>
      </c>
      <c r="I1248" s="26">
        <v>32</v>
      </c>
      <c r="J1248" s="31"/>
      <c r="K1248" s="31"/>
      <c r="L1248" s="31"/>
      <c r="M1248" s="31"/>
      <c r="N1248" s="31"/>
      <c r="O1248" s="31"/>
      <c r="P1248" s="31"/>
      <c r="Q1248" s="31"/>
      <c r="R1248" s="31"/>
      <c r="S1248" s="31"/>
      <c r="T1248" s="31"/>
      <c r="U1248" s="31"/>
      <c r="V1248" s="31"/>
      <c r="W1248" s="31"/>
      <c r="X1248" s="31"/>
      <c r="Y1248" s="31"/>
      <c r="Z1248" s="31"/>
      <c r="AA1248" s="31"/>
      <c r="AB1248" s="31"/>
      <c r="AC1248" s="31"/>
      <c r="AD1248" s="31"/>
      <c r="AE1248" s="31"/>
      <c r="AF1248" s="31"/>
      <c r="AG1248" s="31"/>
      <c r="AH1248" s="31"/>
      <c r="AI1248" s="31"/>
      <c r="AJ1248" s="31"/>
      <c r="AK1248" s="31"/>
      <c r="AL1248" s="28" t="str">
        <f>VLOOKUP($G1248,'[42]Sheet1 (2)'!$A$1:$B$1048440,2,FALSE)</f>
        <v>Sqm</v>
      </c>
      <c r="AM1248" s="32"/>
      <c r="AN1248" s="31"/>
      <c r="AO1248" s="33"/>
    </row>
    <row r="1249" spans="1:41" ht="224" x14ac:dyDescent="0.25">
      <c r="A1249" s="20">
        <v>1113</v>
      </c>
      <c r="B1249" s="25" t="s">
        <v>2116</v>
      </c>
      <c r="C1249" s="22">
        <v>36.200000000000003</v>
      </c>
      <c r="D1249" s="25" t="s">
        <v>2153</v>
      </c>
      <c r="E1249" s="24" t="s">
        <v>2157</v>
      </c>
      <c r="F1249" s="24" t="s">
        <v>742</v>
      </c>
      <c r="G1249" s="202" t="s">
        <v>621</v>
      </c>
      <c r="H1249" s="26">
        <v>238</v>
      </c>
      <c r="I1249" s="26">
        <v>132</v>
      </c>
      <c r="J1249" s="31"/>
      <c r="K1249" s="31"/>
      <c r="L1249" s="31"/>
      <c r="M1249" s="31"/>
      <c r="N1249" s="31"/>
      <c r="O1249" s="31"/>
      <c r="P1249" s="31"/>
      <c r="Q1249" s="31"/>
      <c r="R1249" s="31"/>
      <c r="S1249" s="31"/>
      <c r="T1249" s="31"/>
      <c r="U1249" s="31"/>
      <c r="V1249" s="31"/>
      <c r="W1249" s="31"/>
      <c r="X1249" s="31"/>
      <c r="Y1249" s="31"/>
      <c r="Z1249" s="31"/>
      <c r="AA1249" s="31"/>
      <c r="AB1249" s="31"/>
      <c r="AC1249" s="31"/>
      <c r="AD1249" s="31"/>
      <c r="AE1249" s="31"/>
      <c r="AF1249" s="31"/>
      <c r="AG1249" s="31"/>
      <c r="AH1249" s="31"/>
      <c r="AI1249" s="31"/>
      <c r="AJ1249" s="31"/>
      <c r="AK1249" s="31"/>
      <c r="AL1249" s="28" t="str">
        <f>VLOOKUP($G1249,'[42]Sheet1 (2)'!$A$1:$B$1048440,2,FALSE)</f>
        <v>Sqm</v>
      </c>
      <c r="AM1249" s="32"/>
      <c r="AN1249" s="31"/>
      <c r="AO1249" s="33"/>
    </row>
    <row r="1250" spans="1:41" ht="182" x14ac:dyDescent="0.25">
      <c r="A1250" s="20">
        <v>1114</v>
      </c>
      <c r="B1250" s="25" t="s">
        <v>2116</v>
      </c>
      <c r="C1250" s="203">
        <v>36.21</v>
      </c>
      <c r="D1250" s="25" t="s">
        <v>2153</v>
      </c>
      <c r="E1250" s="24" t="s">
        <v>2158</v>
      </c>
      <c r="F1250" s="24" t="s">
        <v>742</v>
      </c>
      <c r="G1250" s="202" t="s">
        <v>621</v>
      </c>
      <c r="H1250" s="26">
        <v>275</v>
      </c>
      <c r="I1250" s="26">
        <v>136</v>
      </c>
      <c r="J1250" s="31"/>
      <c r="K1250" s="31"/>
      <c r="L1250" s="31"/>
      <c r="M1250" s="31"/>
      <c r="N1250" s="31"/>
      <c r="O1250" s="31"/>
      <c r="P1250" s="31"/>
      <c r="Q1250" s="31"/>
      <c r="R1250" s="31"/>
      <c r="S1250" s="31"/>
      <c r="T1250" s="31"/>
      <c r="U1250" s="31"/>
      <c r="V1250" s="31"/>
      <c r="W1250" s="31"/>
      <c r="X1250" s="31"/>
      <c r="Y1250" s="31"/>
      <c r="Z1250" s="31"/>
      <c r="AA1250" s="31"/>
      <c r="AB1250" s="31"/>
      <c r="AC1250" s="31"/>
      <c r="AD1250" s="31"/>
      <c r="AE1250" s="31"/>
      <c r="AF1250" s="31"/>
      <c r="AG1250" s="31"/>
      <c r="AH1250" s="31"/>
      <c r="AI1250" s="31"/>
      <c r="AJ1250" s="31"/>
      <c r="AK1250" s="31"/>
      <c r="AL1250" s="28" t="str">
        <f>VLOOKUP($G1250,'[42]Sheet1 (2)'!$A$1:$B$1048440,2,FALSE)</f>
        <v>Sqm</v>
      </c>
      <c r="AM1250" s="32"/>
      <c r="AN1250" s="31"/>
      <c r="AO1250" s="33"/>
    </row>
    <row r="1251" spans="1:41" ht="46.5" x14ac:dyDescent="0.25">
      <c r="A1251" s="20"/>
      <c r="B1251" s="25"/>
      <c r="C1251" s="203"/>
      <c r="D1251" s="25"/>
      <c r="E1251" s="147" t="s">
        <v>2159</v>
      </c>
      <c r="F1251" s="24"/>
      <c r="G1251" s="202" t="s">
        <v>621</v>
      </c>
      <c r="H1251" s="26"/>
      <c r="I1251" s="26"/>
      <c r="J1251" s="31"/>
      <c r="K1251" s="31"/>
      <c r="L1251" s="31"/>
      <c r="M1251" s="31"/>
      <c r="N1251" s="31"/>
      <c r="O1251" s="31"/>
      <c r="P1251" s="31"/>
      <c r="Q1251" s="31"/>
      <c r="R1251" s="31"/>
      <c r="S1251" s="31"/>
      <c r="T1251" s="31"/>
      <c r="U1251" s="31"/>
      <c r="V1251" s="31"/>
      <c r="W1251" s="31"/>
      <c r="X1251" s="31"/>
      <c r="Y1251" s="31"/>
      <c r="Z1251" s="31"/>
      <c r="AA1251" s="31"/>
      <c r="AB1251" s="31"/>
      <c r="AC1251" s="31"/>
      <c r="AD1251" s="31"/>
      <c r="AE1251" s="31"/>
      <c r="AF1251" s="31"/>
      <c r="AG1251" s="31"/>
      <c r="AH1251" s="31"/>
      <c r="AI1251" s="31"/>
      <c r="AJ1251" s="31"/>
      <c r="AK1251" s="31"/>
      <c r="AL1251" s="28" t="str">
        <f>VLOOKUP($G1251,'[42]Sheet1 (2)'!$A$1:$B$1048440,2,FALSE)</f>
        <v>Sqm</v>
      </c>
      <c r="AM1251" s="32"/>
      <c r="AN1251" s="31"/>
      <c r="AO1251" s="33"/>
    </row>
    <row r="1252" spans="1:41" ht="56" x14ac:dyDescent="0.25">
      <c r="A1252" s="20">
        <v>1115</v>
      </c>
      <c r="B1252" s="25" t="s">
        <v>2159</v>
      </c>
      <c r="C1252" s="22">
        <v>37.01</v>
      </c>
      <c r="D1252" s="25" t="s">
        <v>2160</v>
      </c>
      <c r="E1252" s="23" t="s">
        <v>2161</v>
      </c>
      <c r="F1252" s="35" t="s">
        <v>2162</v>
      </c>
      <c r="G1252" s="202" t="s">
        <v>621</v>
      </c>
      <c r="H1252" s="26">
        <v>3289</v>
      </c>
      <c r="I1252" s="103">
        <v>156</v>
      </c>
      <c r="J1252" s="31"/>
      <c r="K1252" s="31"/>
      <c r="L1252" s="31"/>
      <c r="M1252" s="31"/>
      <c r="N1252" s="31"/>
      <c r="O1252" s="31"/>
      <c r="P1252" s="31"/>
      <c r="Q1252" s="31"/>
      <c r="R1252" s="31"/>
      <c r="S1252" s="31"/>
      <c r="T1252" s="31"/>
      <c r="U1252" s="31"/>
      <c r="V1252" s="31"/>
      <c r="W1252" s="31"/>
      <c r="X1252" s="31"/>
      <c r="Y1252" s="31"/>
      <c r="Z1252" s="31"/>
      <c r="AA1252" s="31"/>
      <c r="AB1252" s="31"/>
      <c r="AC1252" s="31"/>
      <c r="AD1252" s="31"/>
      <c r="AE1252" s="31"/>
      <c r="AF1252" s="31"/>
      <c r="AG1252" s="31"/>
      <c r="AH1252" s="31"/>
      <c r="AI1252" s="31"/>
      <c r="AJ1252" s="31"/>
      <c r="AK1252" s="31"/>
      <c r="AL1252" s="28" t="str">
        <f>VLOOKUP($G1252,'[42]Sheet1 (2)'!$A$1:$B$1048440,2,FALSE)</f>
        <v>Sqm</v>
      </c>
      <c r="AM1252" s="32"/>
      <c r="AN1252" s="31"/>
      <c r="AO1252" s="33"/>
    </row>
    <row r="1253" spans="1:41" ht="56" x14ac:dyDescent="0.25">
      <c r="A1253" s="20">
        <v>1116</v>
      </c>
      <c r="B1253" s="25" t="s">
        <v>2159</v>
      </c>
      <c r="C1253" s="22">
        <v>37.020000000000003</v>
      </c>
      <c r="D1253" s="25" t="s">
        <v>2163</v>
      </c>
      <c r="E1253" s="23" t="s">
        <v>2164</v>
      </c>
      <c r="F1253" s="21" t="s">
        <v>2165</v>
      </c>
      <c r="G1253" s="202" t="s">
        <v>621</v>
      </c>
      <c r="H1253" s="26">
        <v>6462</v>
      </c>
      <c r="I1253" s="103">
        <v>156</v>
      </c>
      <c r="J1253" s="31"/>
      <c r="K1253" s="31"/>
      <c r="L1253" s="31"/>
      <c r="M1253" s="31"/>
      <c r="N1253" s="31"/>
      <c r="O1253" s="31"/>
      <c r="P1253" s="31"/>
      <c r="Q1253" s="31"/>
      <c r="R1253" s="31"/>
      <c r="S1253" s="31"/>
      <c r="T1253" s="31"/>
      <c r="U1253" s="31"/>
      <c r="V1253" s="31"/>
      <c r="W1253" s="31"/>
      <c r="X1253" s="31"/>
      <c r="Y1253" s="31"/>
      <c r="Z1253" s="31"/>
      <c r="AA1253" s="31"/>
      <c r="AB1253" s="31"/>
      <c r="AC1253" s="31"/>
      <c r="AD1253" s="31"/>
      <c r="AE1253" s="31"/>
      <c r="AF1253" s="31"/>
      <c r="AG1253" s="31"/>
      <c r="AH1253" s="31"/>
      <c r="AI1253" s="31"/>
      <c r="AJ1253" s="31"/>
      <c r="AK1253" s="31"/>
      <c r="AL1253" s="28" t="str">
        <f>VLOOKUP($G1253,'[42]Sheet1 (2)'!$A$1:$B$1048440,2,FALSE)</f>
        <v>Sqm</v>
      </c>
      <c r="AM1253" s="32"/>
      <c r="AN1253" s="31"/>
      <c r="AO1253" s="33"/>
    </row>
    <row r="1254" spans="1:41" ht="56" x14ac:dyDescent="0.25">
      <c r="A1254" s="20">
        <v>1117</v>
      </c>
      <c r="B1254" s="25" t="s">
        <v>2159</v>
      </c>
      <c r="C1254" s="22">
        <v>37.03</v>
      </c>
      <c r="D1254" s="25" t="s">
        <v>2166</v>
      </c>
      <c r="E1254" s="23" t="s">
        <v>2167</v>
      </c>
      <c r="F1254" s="21" t="s">
        <v>2168</v>
      </c>
      <c r="G1254" s="25" t="s">
        <v>47</v>
      </c>
      <c r="H1254" s="26">
        <v>121421</v>
      </c>
      <c r="I1254" s="121">
        <v>1571</v>
      </c>
      <c r="J1254" s="31"/>
      <c r="K1254" s="31"/>
      <c r="L1254" s="31"/>
      <c r="M1254" s="31"/>
      <c r="N1254" s="31"/>
      <c r="O1254" s="31"/>
      <c r="P1254" s="31"/>
      <c r="Q1254" s="31"/>
      <c r="R1254" s="31"/>
      <c r="S1254" s="31"/>
      <c r="T1254" s="31"/>
      <c r="U1254" s="31"/>
      <c r="V1254" s="31"/>
      <c r="W1254" s="31"/>
      <c r="X1254" s="31"/>
      <c r="Y1254" s="31"/>
      <c r="Z1254" s="31"/>
      <c r="AA1254" s="31"/>
      <c r="AB1254" s="31"/>
      <c r="AC1254" s="31"/>
      <c r="AD1254" s="31"/>
      <c r="AE1254" s="31"/>
      <c r="AF1254" s="31"/>
      <c r="AG1254" s="31"/>
      <c r="AH1254" s="31"/>
      <c r="AI1254" s="31"/>
      <c r="AJ1254" s="31"/>
      <c r="AK1254" s="31"/>
      <c r="AL1254" s="28" t="str">
        <f>VLOOKUP($G1254,'[42]Sheet1 (2)'!$A$1:$B$1048440,2,FALSE)</f>
        <v>Cum</v>
      </c>
      <c r="AM1254" s="32"/>
      <c r="AN1254" s="31"/>
      <c r="AO1254" s="33"/>
    </row>
    <row r="1255" spans="1:41" ht="56" x14ac:dyDescent="0.25">
      <c r="A1255" s="20">
        <v>1118</v>
      </c>
      <c r="B1255" s="25" t="s">
        <v>2159</v>
      </c>
      <c r="C1255" s="22">
        <v>37.04</v>
      </c>
      <c r="D1255" s="25" t="s">
        <v>2169</v>
      </c>
      <c r="E1255" s="23" t="s">
        <v>2170</v>
      </c>
      <c r="F1255" s="21" t="s">
        <v>2168</v>
      </c>
      <c r="G1255" s="25" t="s">
        <v>47</v>
      </c>
      <c r="H1255" s="26">
        <v>64243</v>
      </c>
      <c r="I1255" s="121">
        <v>5290</v>
      </c>
      <c r="J1255" s="31"/>
      <c r="K1255" s="31"/>
      <c r="L1255" s="31"/>
      <c r="M1255" s="31"/>
      <c r="N1255" s="31"/>
      <c r="O1255" s="31"/>
      <c r="P1255" s="31"/>
      <c r="Q1255" s="31"/>
      <c r="R1255" s="31"/>
      <c r="S1255" s="183"/>
      <c r="T1255" s="31"/>
      <c r="U1255" s="31"/>
      <c r="V1255" s="31"/>
      <c r="W1255" s="31"/>
      <c r="X1255" s="31"/>
      <c r="Y1255" s="31"/>
      <c r="Z1255" s="31"/>
      <c r="AA1255" s="31"/>
      <c r="AB1255" s="31"/>
      <c r="AC1255" s="31"/>
      <c r="AD1255" s="31"/>
      <c r="AE1255" s="31"/>
      <c r="AF1255" s="31"/>
      <c r="AG1255" s="31"/>
      <c r="AH1255" s="31"/>
      <c r="AI1255" s="31"/>
      <c r="AJ1255" s="31"/>
      <c r="AK1255" s="31"/>
      <c r="AL1255" s="28" t="str">
        <f>VLOOKUP($G1255,'[42]Sheet1 (2)'!$A$1:$B$1048440,2,FALSE)</f>
        <v>Cum</v>
      </c>
      <c r="AM1255" s="32"/>
      <c r="AN1255" s="31"/>
      <c r="AO1255" s="33"/>
    </row>
    <row r="1256" spans="1:41" ht="70" x14ac:dyDescent="0.25">
      <c r="A1256" s="20">
        <v>1119</v>
      </c>
      <c r="B1256" s="25" t="s">
        <v>2159</v>
      </c>
      <c r="C1256" s="22">
        <v>37.049999999999997</v>
      </c>
      <c r="D1256" s="25" t="s">
        <v>2171</v>
      </c>
      <c r="E1256" s="24" t="s">
        <v>2172</v>
      </c>
      <c r="F1256" s="21" t="s">
        <v>2173</v>
      </c>
      <c r="G1256" s="202" t="s">
        <v>621</v>
      </c>
      <c r="H1256" s="26">
        <v>2802</v>
      </c>
      <c r="I1256" s="103">
        <v>236</v>
      </c>
      <c r="J1256" s="31"/>
      <c r="K1256" s="31"/>
      <c r="L1256" s="31"/>
      <c r="M1256" s="31"/>
      <c r="N1256" s="31"/>
      <c r="O1256" s="31"/>
      <c r="P1256" s="31"/>
      <c r="Q1256" s="31"/>
      <c r="R1256" s="31"/>
      <c r="S1256" s="183"/>
      <c r="T1256" s="31"/>
      <c r="U1256" s="31"/>
      <c r="V1256" s="31"/>
      <c r="W1256" s="31"/>
      <c r="X1256" s="31"/>
      <c r="Y1256" s="31"/>
      <c r="Z1256" s="31"/>
      <c r="AA1256" s="31"/>
      <c r="AB1256" s="31"/>
      <c r="AC1256" s="31"/>
      <c r="AD1256" s="31"/>
      <c r="AE1256" s="31"/>
      <c r="AF1256" s="31"/>
      <c r="AG1256" s="31"/>
      <c r="AH1256" s="31"/>
      <c r="AI1256" s="31"/>
      <c r="AJ1256" s="31"/>
      <c r="AK1256" s="31"/>
      <c r="AL1256" s="28" t="str">
        <f>VLOOKUP($G1256,'[42]Sheet1 (2)'!$A$1:$B$1048440,2,FALSE)</f>
        <v>Sqm</v>
      </c>
      <c r="AM1256" s="32"/>
      <c r="AN1256" s="31"/>
      <c r="AO1256" s="33"/>
    </row>
    <row r="1257" spans="1:41" ht="56" x14ac:dyDescent="0.25">
      <c r="A1257" s="20">
        <v>1120</v>
      </c>
      <c r="B1257" s="25" t="s">
        <v>2159</v>
      </c>
      <c r="C1257" s="22">
        <v>37.06</v>
      </c>
      <c r="D1257" s="25" t="s">
        <v>2174</v>
      </c>
      <c r="E1257" s="23" t="s">
        <v>2175</v>
      </c>
      <c r="F1257" s="24" t="s">
        <v>2176</v>
      </c>
      <c r="G1257" s="25" t="s">
        <v>47</v>
      </c>
      <c r="H1257" s="26">
        <v>163386</v>
      </c>
      <c r="I1257" s="121">
        <v>36667</v>
      </c>
      <c r="J1257" s="31"/>
      <c r="K1257" s="31"/>
      <c r="L1257" s="31"/>
      <c r="M1257" s="31"/>
      <c r="N1257" s="31"/>
      <c r="O1257" s="31"/>
      <c r="P1257" s="31"/>
      <c r="Q1257" s="31"/>
      <c r="R1257" s="31"/>
      <c r="S1257" s="183"/>
      <c r="T1257" s="31"/>
      <c r="U1257" s="31"/>
      <c r="V1257" s="31"/>
      <c r="W1257" s="31"/>
      <c r="X1257" s="31"/>
      <c r="Y1257" s="31"/>
      <c r="Z1257" s="31"/>
      <c r="AA1257" s="31"/>
      <c r="AB1257" s="31"/>
      <c r="AC1257" s="31"/>
      <c r="AD1257" s="31"/>
      <c r="AE1257" s="31"/>
      <c r="AF1257" s="31"/>
      <c r="AG1257" s="31"/>
      <c r="AH1257" s="31"/>
      <c r="AI1257" s="31"/>
      <c r="AJ1257" s="31"/>
      <c r="AK1257" s="31"/>
      <c r="AL1257" s="28" t="str">
        <f>VLOOKUP($G1257,'[42]Sheet1 (2)'!$A$1:$B$1048440,2,FALSE)</f>
        <v>Cum</v>
      </c>
      <c r="AM1257" s="32"/>
      <c r="AN1257" s="31"/>
      <c r="AO1257" s="33"/>
    </row>
    <row r="1258" spans="1:41" ht="42" x14ac:dyDescent="0.25">
      <c r="A1258" s="20">
        <v>1121</v>
      </c>
      <c r="B1258" s="25" t="s">
        <v>2159</v>
      </c>
      <c r="C1258" s="22">
        <v>37.07</v>
      </c>
      <c r="D1258" s="25" t="s">
        <v>2177</v>
      </c>
      <c r="E1258" s="24" t="s">
        <v>2178</v>
      </c>
      <c r="F1258" s="24" t="s">
        <v>2176</v>
      </c>
      <c r="G1258" s="25" t="s">
        <v>47</v>
      </c>
      <c r="H1258" s="26">
        <v>92901</v>
      </c>
      <c r="I1258" s="121">
        <v>36667</v>
      </c>
      <c r="J1258" s="31"/>
      <c r="K1258" s="31"/>
      <c r="L1258" s="31"/>
      <c r="M1258" s="31"/>
      <c r="N1258" s="31"/>
      <c r="O1258" s="31"/>
      <c r="P1258" s="31"/>
      <c r="Q1258" s="31"/>
      <c r="R1258" s="31"/>
      <c r="S1258" s="31"/>
      <c r="T1258" s="31"/>
      <c r="U1258" s="31"/>
      <c r="V1258" s="31"/>
      <c r="W1258" s="31"/>
      <c r="X1258" s="31"/>
      <c r="Y1258" s="31"/>
      <c r="Z1258" s="31"/>
      <c r="AA1258" s="31"/>
      <c r="AB1258" s="31"/>
      <c r="AC1258" s="31"/>
      <c r="AD1258" s="31"/>
      <c r="AE1258" s="31"/>
      <c r="AF1258" s="31"/>
      <c r="AG1258" s="31"/>
      <c r="AH1258" s="31"/>
      <c r="AI1258" s="31"/>
      <c r="AJ1258" s="31"/>
      <c r="AK1258" s="31"/>
      <c r="AL1258" s="28" t="str">
        <f>VLOOKUP($G1258,'[42]Sheet1 (2)'!$A$1:$B$1048440,2,FALSE)</f>
        <v>Cum</v>
      </c>
      <c r="AM1258" s="32"/>
      <c r="AN1258" s="31"/>
      <c r="AO1258" s="33"/>
    </row>
    <row r="1259" spans="1:41" ht="70" x14ac:dyDescent="0.25">
      <c r="A1259" s="20">
        <v>1122</v>
      </c>
      <c r="B1259" s="25" t="s">
        <v>2159</v>
      </c>
      <c r="C1259" s="22">
        <v>37.08</v>
      </c>
      <c r="D1259" s="25" t="s">
        <v>2179</v>
      </c>
      <c r="E1259" s="24" t="s">
        <v>2180</v>
      </c>
      <c r="F1259" s="24" t="s">
        <v>2181</v>
      </c>
      <c r="G1259" s="25" t="s">
        <v>47</v>
      </c>
      <c r="H1259" s="26">
        <v>147080</v>
      </c>
      <c r="I1259" s="121">
        <v>15711</v>
      </c>
      <c r="J1259" s="31"/>
      <c r="K1259" s="31"/>
      <c r="L1259" s="31"/>
      <c r="M1259" s="31"/>
      <c r="N1259" s="31"/>
      <c r="O1259" s="31"/>
      <c r="P1259" s="31"/>
      <c r="Q1259" s="31"/>
      <c r="R1259" s="31"/>
      <c r="S1259" s="31"/>
      <c r="T1259" s="31"/>
      <c r="U1259" s="31"/>
      <c r="V1259" s="31"/>
      <c r="W1259" s="31"/>
      <c r="X1259" s="31"/>
      <c r="Y1259" s="31"/>
      <c r="Z1259" s="31"/>
      <c r="AA1259" s="31"/>
      <c r="AB1259" s="31"/>
      <c r="AC1259" s="31"/>
      <c r="AD1259" s="31"/>
      <c r="AE1259" s="31"/>
      <c r="AF1259" s="31"/>
      <c r="AG1259" s="31"/>
      <c r="AH1259" s="31"/>
      <c r="AI1259" s="31"/>
      <c r="AJ1259" s="31"/>
      <c r="AK1259" s="31"/>
      <c r="AL1259" s="28" t="str">
        <f>VLOOKUP($G1259,'[42]Sheet1 (2)'!$A$1:$B$1048440,2,FALSE)</f>
        <v>Cum</v>
      </c>
      <c r="AM1259" s="32"/>
      <c r="AN1259" s="31"/>
      <c r="AO1259" s="33"/>
    </row>
    <row r="1260" spans="1:41" ht="70" x14ac:dyDescent="0.25">
      <c r="A1260" s="20">
        <v>1123</v>
      </c>
      <c r="B1260" s="25" t="s">
        <v>2159</v>
      </c>
      <c r="C1260" s="22">
        <v>37.090000000000003</v>
      </c>
      <c r="D1260" s="25" t="s">
        <v>2182</v>
      </c>
      <c r="E1260" s="24" t="s">
        <v>2183</v>
      </c>
      <c r="F1260" s="24" t="s">
        <v>2181</v>
      </c>
      <c r="G1260" s="25" t="s">
        <v>47</v>
      </c>
      <c r="H1260" s="26">
        <v>75542</v>
      </c>
      <c r="I1260" s="121">
        <v>15711</v>
      </c>
      <c r="J1260" s="31"/>
      <c r="K1260" s="31"/>
      <c r="L1260" s="31"/>
      <c r="M1260" s="31"/>
      <c r="N1260" s="31"/>
      <c r="O1260" s="31"/>
      <c r="P1260" s="31"/>
      <c r="Q1260" s="31"/>
      <c r="R1260" s="31"/>
      <c r="S1260" s="31"/>
      <c r="T1260" s="31"/>
      <c r="U1260" s="31"/>
      <c r="V1260" s="31"/>
      <c r="W1260" s="31"/>
      <c r="X1260" s="31"/>
      <c r="Y1260" s="31"/>
      <c r="Z1260" s="31"/>
      <c r="AA1260" s="31"/>
      <c r="AB1260" s="31"/>
      <c r="AC1260" s="31"/>
      <c r="AD1260" s="31"/>
      <c r="AE1260" s="31"/>
      <c r="AF1260" s="31"/>
      <c r="AG1260" s="31"/>
      <c r="AH1260" s="31"/>
      <c r="AI1260" s="31"/>
      <c r="AJ1260" s="31"/>
      <c r="AK1260" s="31"/>
      <c r="AL1260" s="28" t="str">
        <f>VLOOKUP($G1260,'[42]Sheet1 (2)'!$A$1:$B$1048440,2,FALSE)</f>
        <v>Cum</v>
      </c>
      <c r="AM1260" s="32"/>
      <c r="AN1260" s="31"/>
      <c r="AO1260" s="33"/>
    </row>
    <row r="1261" spans="1:41" ht="70" x14ac:dyDescent="0.25">
      <c r="A1261" s="20">
        <v>1124</v>
      </c>
      <c r="B1261" s="25" t="s">
        <v>2159</v>
      </c>
      <c r="C1261" s="22">
        <v>37.1</v>
      </c>
      <c r="D1261" s="25" t="s">
        <v>2184</v>
      </c>
      <c r="E1261" s="23" t="s">
        <v>2185</v>
      </c>
      <c r="F1261" s="24" t="s">
        <v>2186</v>
      </c>
      <c r="G1261" s="21" t="s">
        <v>80</v>
      </c>
      <c r="H1261" s="26">
        <v>1254</v>
      </c>
      <c r="I1261" s="103">
        <v>471</v>
      </c>
      <c r="J1261" s="31"/>
      <c r="K1261" s="31"/>
      <c r="L1261" s="31"/>
      <c r="M1261" s="31"/>
      <c r="N1261" s="31"/>
      <c r="O1261" s="31"/>
      <c r="P1261" s="31"/>
      <c r="Q1261" s="31"/>
      <c r="R1261" s="31"/>
      <c r="S1261" s="31"/>
      <c r="T1261" s="31"/>
      <c r="U1261" s="31"/>
      <c r="V1261" s="31"/>
      <c r="W1261" s="31"/>
      <c r="X1261" s="31"/>
      <c r="Y1261" s="31"/>
      <c r="Z1261" s="31"/>
      <c r="AA1261" s="31"/>
      <c r="AB1261" s="31"/>
      <c r="AC1261" s="31"/>
      <c r="AD1261" s="31"/>
      <c r="AE1261" s="31"/>
      <c r="AF1261" s="31"/>
      <c r="AG1261" s="31"/>
      <c r="AH1261" s="31"/>
      <c r="AI1261" s="31"/>
      <c r="AJ1261" s="31"/>
      <c r="AK1261" s="31"/>
      <c r="AL1261" s="28" t="str">
        <f>VLOOKUP($G1261,'[42]Sheet1 (2)'!$A$1:$B$1048440,2,FALSE)</f>
        <v>Rmt.</v>
      </c>
      <c r="AM1261" s="32"/>
      <c r="AN1261" s="31"/>
      <c r="AO1261" s="33"/>
    </row>
    <row r="1262" spans="1:41" ht="70" x14ac:dyDescent="0.25">
      <c r="A1262" s="20">
        <v>1125</v>
      </c>
      <c r="B1262" s="25" t="s">
        <v>2159</v>
      </c>
      <c r="C1262" s="22">
        <v>37.11</v>
      </c>
      <c r="D1262" s="25" t="s">
        <v>2187</v>
      </c>
      <c r="E1262" s="23" t="s">
        <v>2188</v>
      </c>
      <c r="F1262" s="21" t="s">
        <v>2189</v>
      </c>
      <c r="G1262" s="202" t="s">
        <v>621</v>
      </c>
      <c r="H1262" s="26">
        <v>2042</v>
      </c>
      <c r="I1262" s="103">
        <v>157</v>
      </c>
      <c r="J1262" s="31"/>
      <c r="K1262" s="31"/>
      <c r="L1262" s="31"/>
      <c r="M1262" s="31"/>
      <c r="N1262" s="31"/>
      <c r="O1262" s="31"/>
      <c r="P1262" s="31"/>
      <c r="Q1262" s="31"/>
      <c r="R1262" s="31"/>
      <c r="S1262" s="31"/>
      <c r="T1262" s="31"/>
      <c r="U1262" s="31"/>
      <c r="V1262" s="31"/>
      <c r="W1262" s="31"/>
      <c r="X1262" s="31"/>
      <c r="Y1262" s="31"/>
      <c r="Z1262" s="31"/>
      <c r="AA1262" s="31"/>
      <c r="AB1262" s="31"/>
      <c r="AC1262" s="31"/>
      <c r="AD1262" s="31"/>
      <c r="AE1262" s="31"/>
      <c r="AF1262" s="31"/>
      <c r="AG1262" s="31"/>
      <c r="AH1262" s="31"/>
      <c r="AI1262" s="31"/>
      <c r="AJ1262" s="31"/>
      <c r="AK1262" s="31"/>
      <c r="AL1262" s="28" t="str">
        <f>VLOOKUP($G1262,'[42]Sheet1 (2)'!$A$1:$B$1048440,2,FALSE)</f>
        <v>Sqm</v>
      </c>
      <c r="AM1262" s="32"/>
      <c r="AN1262" s="31"/>
      <c r="AO1262" s="33"/>
    </row>
    <row r="1263" spans="1:41" ht="70" x14ac:dyDescent="0.25">
      <c r="A1263" s="20">
        <v>1126</v>
      </c>
      <c r="B1263" s="25" t="s">
        <v>2159</v>
      </c>
      <c r="C1263" s="22">
        <v>37.119999999999997</v>
      </c>
      <c r="D1263" s="25" t="s">
        <v>2187</v>
      </c>
      <c r="E1263" s="24" t="s">
        <v>2190</v>
      </c>
      <c r="F1263" s="21" t="s">
        <v>2191</v>
      </c>
      <c r="G1263" s="202" t="s">
        <v>621</v>
      </c>
      <c r="H1263" s="26">
        <v>929</v>
      </c>
      <c r="I1263" s="26">
        <v>157</v>
      </c>
      <c r="J1263" s="31"/>
      <c r="K1263" s="31"/>
      <c r="L1263" s="31"/>
      <c r="M1263" s="31"/>
      <c r="N1263" s="31"/>
      <c r="O1263" s="31"/>
      <c r="P1263" s="31"/>
      <c r="Q1263" s="31"/>
      <c r="R1263" s="31"/>
      <c r="S1263" s="31"/>
      <c r="T1263" s="31"/>
      <c r="U1263" s="31"/>
      <c r="V1263" s="31"/>
      <c r="W1263" s="31"/>
      <c r="X1263" s="31"/>
      <c r="Y1263" s="31"/>
      <c r="Z1263" s="31"/>
      <c r="AA1263" s="31"/>
      <c r="AB1263" s="31"/>
      <c r="AC1263" s="31"/>
      <c r="AD1263" s="31"/>
      <c r="AE1263" s="31"/>
      <c r="AF1263" s="31"/>
      <c r="AG1263" s="31"/>
      <c r="AH1263" s="31"/>
      <c r="AI1263" s="31"/>
      <c r="AJ1263" s="31"/>
      <c r="AK1263" s="31"/>
      <c r="AL1263" s="28" t="str">
        <f>VLOOKUP($G1263,'[42]Sheet1 (2)'!$A$1:$B$1048440,2,FALSE)</f>
        <v>Sqm</v>
      </c>
      <c r="AM1263" s="32"/>
      <c r="AN1263" s="31"/>
      <c r="AO1263" s="33"/>
    </row>
    <row r="1264" spans="1:41" ht="98" x14ac:dyDescent="0.25">
      <c r="A1264" s="20">
        <v>1127</v>
      </c>
      <c r="B1264" s="25" t="s">
        <v>2159</v>
      </c>
      <c r="C1264" s="22">
        <v>37.130000000000003</v>
      </c>
      <c r="D1264" s="25" t="s">
        <v>2192</v>
      </c>
      <c r="E1264" s="23" t="s">
        <v>2193</v>
      </c>
      <c r="F1264" s="92" t="s">
        <v>2194</v>
      </c>
      <c r="G1264" s="202" t="s">
        <v>621</v>
      </c>
      <c r="H1264" s="26">
        <v>1328</v>
      </c>
      <c r="I1264" s="26">
        <v>338</v>
      </c>
      <c r="J1264" s="31"/>
      <c r="K1264" s="31"/>
      <c r="L1264" s="31"/>
      <c r="M1264" s="31"/>
      <c r="N1264" s="31"/>
      <c r="O1264" s="31"/>
      <c r="P1264" s="31"/>
      <c r="Q1264" s="31"/>
      <c r="R1264" s="31"/>
      <c r="S1264" s="31"/>
      <c r="T1264" s="31"/>
      <c r="U1264" s="31"/>
      <c r="V1264" s="31"/>
      <c r="W1264" s="31"/>
      <c r="X1264" s="31"/>
      <c r="Y1264" s="31"/>
      <c r="Z1264" s="31"/>
      <c r="AA1264" s="31"/>
      <c r="AB1264" s="31"/>
      <c r="AC1264" s="31"/>
      <c r="AD1264" s="31"/>
      <c r="AE1264" s="31"/>
      <c r="AF1264" s="31"/>
      <c r="AG1264" s="31"/>
      <c r="AH1264" s="31"/>
      <c r="AI1264" s="31"/>
      <c r="AJ1264" s="31"/>
      <c r="AK1264" s="31"/>
      <c r="AL1264" s="28" t="str">
        <f>VLOOKUP($G1264,'[42]Sheet1 (2)'!$A$1:$B$1048440,2,FALSE)</f>
        <v>Sqm</v>
      </c>
      <c r="AM1264" s="32"/>
      <c r="AN1264" s="31"/>
      <c r="AO1264" s="33"/>
    </row>
    <row r="1265" spans="1:41" ht="56" x14ac:dyDescent="0.25">
      <c r="A1265" s="20">
        <v>1128</v>
      </c>
      <c r="B1265" s="25" t="s">
        <v>2159</v>
      </c>
      <c r="C1265" s="22">
        <v>37.14</v>
      </c>
      <c r="D1265" s="25" t="s">
        <v>2195</v>
      </c>
      <c r="E1265" s="24" t="s">
        <v>2196</v>
      </c>
      <c r="F1265" s="24" t="s">
        <v>2090</v>
      </c>
      <c r="G1265" s="202" t="s">
        <v>621</v>
      </c>
      <c r="H1265" s="26">
        <v>3512</v>
      </c>
      <c r="I1265" s="26">
        <v>2142</v>
      </c>
      <c r="J1265" s="31"/>
      <c r="K1265" s="31"/>
      <c r="L1265" s="31"/>
      <c r="M1265" s="31"/>
      <c r="N1265" s="31"/>
      <c r="O1265" s="31"/>
      <c r="P1265" s="31"/>
      <c r="Q1265" s="31"/>
      <c r="R1265" s="31"/>
      <c r="S1265" s="31"/>
      <c r="T1265" s="31"/>
      <c r="U1265" s="31"/>
      <c r="V1265" s="31"/>
      <c r="W1265" s="31"/>
      <c r="X1265" s="31"/>
      <c r="Y1265" s="31"/>
      <c r="Z1265" s="31"/>
      <c r="AA1265" s="31"/>
      <c r="AB1265" s="31"/>
      <c r="AC1265" s="31"/>
      <c r="AD1265" s="31"/>
      <c r="AE1265" s="31"/>
      <c r="AF1265" s="31"/>
      <c r="AG1265" s="31"/>
      <c r="AH1265" s="31"/>
      <c r="AI1265" s="31"/>
      <c r="AJ1265" s="31"/>
      <c r="AK1265" s="31"/>
      <c r="AL1265" s="28" t="str">
        <f>VLOOKUP($G1265,'[42]Sheet1 (2)'!$A$1:$B$1048440,2,FALSE)</f>
        <v>Sqm</v>
      </c>
      <c r="AM1265" s="32"/>
      <c r="AN1265" s="31"/>
      <c r="AO1265" s="33"/>
    </row>
    <row r="1266" spans="1:41" ht="70" x14ac:dyDescent="0.25">
      <c r="A1266" s="20">
        <v>1129</v>
      </c>
      <c r="B1266" s="25" t="s">
        <v>2159</v>
      </c>
      <c r="C1266" s="22">
        <v>37.15</v>
      </c>
      <c r="D1266" s="25" t="s">
        <v>2195</v>
      </c>
      <c r="E1266" s="24" t="s">
        <v>2197</v>
      </c>
      <c r="F1266" s="24" t="s">
        <v>2090</v>
      </c>
      <c r="G1266" s="202" t="s">
        <v>621</v>
      </c>
      <c r="H1266" s="26">
        <v>3173</v>
      </c>
      <c r="I1266" s="26">
        <v>2142</v>
      </c>
      <c r="J1266" s="31"/>
      <c r="K1266" s="31"/>
      <c r="L1266" s="31"/>
      <c r="M1266" s="31"/>
      <c r="N1266" s="31"/>
      <c r="O1266" s="31"/>
      <c r="P1266" s="31"/>
      <c r="Q1266" s="31"/>
      <c r="R1266" s="31"/>
      <c r="S1266" s="31"/>
      <c r="T1266" s="31"/>
      <c r="U1266" s="31"/>
      <c r="V1266" s="31"/>
      <c r="W1266" s="31"/>
      <c r="X1266" s="31"/>
      <c r="Y1266" s="31"/>
      <c r="Z1266" s="31"/>
      <c r="AA1266" s="31"/>
      <c r="AB1266" s="31"/>
      <c r="AC1266" s="31"/>
      <c r="AD1266" s="31"/>
      <c r="AE1266" s="31"/>
      <c r="AF1266" s="31"/>
      <c r="AG1266" s="31"/>
      <c r="AH1266" s="31"/>
      <c r="AI1266" s="31"/>
      <c r="AJ1266" s="31"/>
      <c r="AK1266" s="31"/>
      <c r="AL1266" s="28" t="str">
        <f>VLOOKUP($G1266,'[42]Sheet1 (2)'!$A$1:$B$1048440,2,FALSE)</f>
        <v>Sqm</v>
      </c>
      <c r="AM1266" s="32"/>
      <c r="AN1266" s="31"/>
      <c r="AO1266" s="33"/>
    </row>
    <row r="1267" spans="1:41" ht="70" x14ac:dyDescent="0.25">
      <c r="A1267" s="20">
        <v>1130</v>
      </c>
      <c r="B1267" s="25" t="s">
        <v>2159</v>
      </c>
      <c r="C1267" s="22">
        <v>37.159999999999997</v>
      </c>
      <c r="D1267" s="25" t="s">
        <v>2198</v>
      </c>
      <c r="E1267" s="23" t="s">
        <v>2199</v>
      </c>
      <c r="F1267" s="92" t="s">
        <v>2200</v>
      </c>
      <c r="G1267" s="21" t="s">
        <v>80</v>
      </c>
      <c r="H1267" s="26">
        <v>674</v>
      </c>
      <c r="I1267" s="26">
        <v>157</v>
      </c>
      <c r="J1267" s="31"/>
      <c r="K1267" s="31"/>
      <c r="L1267" s="31"/>
      <c r="M1267" s="31"/>
      <c r="N1267" s="31"/>
      <c r="O1267" s="31"/>
      <c r="P1267" s="31"/>
      <c r="Q1267" s="31"/>
      <c r="R1267" s="31"/>
      <c r="S1267" s="31"/>
      <c r="T1267" s="31"/>
      <c r="U1267" s="31"/>
      <c r="V1267" s="31"/>
      <c r="W1267" s="31"/>
      <c r="X1267" s="31"/>
      <c r="Y1267" s="31"/>
      <c r="Z1267" s="31"/>
      <c r="AA1267" s="31"/>
      <c r="AB1267" s="31"/>
      <c r="AC1267" s="31"/>
      <c r="AD1267" s="31"/>
      <c r="AE1267" s="31"/>
      <c r="AF1267" s="31"/>
      <c r="AG1267" s="31"/>
      <c r="AH1267" s="31"/>
      <c r="AI1267" s="31"/>
      <c r="AJ1267" s="31"/>
      <c r="AK1267" s="31"/>
      <c r="AL1267" s="28" t="str">
        <f>VLOOKUP($G1267,'[42]Sheet1 (2)'!$A$1:$B$1048440,2,FALSE)</f>
        <v>Rmt.</v>
      </c>
      <c r="AM1267" s="32"/>
      <c r="AN1267" s="31"/>
      <c r="AO1267" s="33"/>
    </row>
    <row r="1268" spans="1:41" ht="70" x14ac:dyDescent="0.25">
      <c r="A1268" s="20">
        <v>1131</v>
      </c>
      <c r="B1268" s="25" t="s">
        <v>2159</v>
      </c>
      <c r="C1268" s="22">
        <v>37.17</v>
      </c>
      <c r="D1268" s="25" t="s">
        <v>2201</v>
      </c>
      <c r="E1268" s="23" t="s">
        <v>2202</v>
      </c>
      <c r="F1268" s="92" t="s">
        <v>2200</v>
      </c>
      <c r="G1268" s="21" t="s">
        <v>80</v>
      </c>
      <c r="H1268" s="26">
        <v>468</v>
      </c>
      <c r="I1268" s="26">
        <v>170</v>
      </c>
      <c r="J1268" s="31"/>
      <c r="K1268" s="31"/>
      <c r="L1268" s="31"/>
      <c r="M1268" s="31"/>
      <c r="N1268" s="31"/>
      <c r="O1268" s="31"/>
      <c r="P1268" s="31"/>
      <c r="Q1268" s="31"/>
      <c r="R1268" s="31"/>
      <c r="S1268" s="31"/>
      <c r="T1268" s="31"/>
      <c r="U1268" s="31"/>
      <c r="V1268" s="31"/>
      <c r="W1268" s="31"/>
      <c r="X1268" s="31"/>
      <c r="Y1268" s="31"/>
      <c r="Z1268" s="31"/>
      <c r="AA1268" s="31"/>
      <c r="AB1268" s="31"/>
      <c r="AC1268" s="31"/>
      <c r="AD1268" s="31"/>
      <c r="AE1268" s="31"/>
      <c r="AF1268" s="31"/>
      <c r="AG1268" s="31"/>
      <c r="AH1268" s="31"/>
      <c r="AI1268" s="31"/>
      <c r="AJ1268" s="31"/>
      <c r="AK1268" s="31"/>
      <c r="AL1268" s="28" t="str">
        <f>VLOOKUP($G1268,'[42]Sheet1 (2)'!$A$1:$B$1048440,2,FALSE)</f>
        <v>Rmt.</v>
      </c>
      <c r="AM1268" s="32"/>
      <c r="AN1268" s="31"/>
      <c r="AO1268" s="33"/>
    </row>
    <row r="1269" spans="1:41" ht="56" x14ac:dyDescent="0.25">
      <c r="A1269" s="20">
        <v>1132</v>
      </c>
      <c r="B1269" s="25" t="s">
        <v>2159</v>
      </c>
      <c r="C1269" s="22">
        <v>37.18</v>
      </c>
      <c r="D1269" s="25" t="s">
        <v>2203</v>
      </c>
      <c r="E1269" s="23" t="s">
        <v>2204</v>
      </c>
      <c r="F1269" s="35" t="s">
        <v>2205</v>
      </c>
      <c r="G1269" s="35" t="s">
        <v>941</v>
      </c>
      <c r="H1269" s="26">
        <v>355</v>
      </c>
      <c r="I1269" s="26">
        <v>94</v>
      </c>
      <c r="J1269" s="31"/>
      <c r="K1269" s="31"/>
      <c r="L1269" s="31"/>
      <c r="M1269" s="31"/>
      <c r="N1269" s="31"/>
      <c r="O1269" s="31"/>
      <c r="P1269" s="31"/>
      <c r="Q1269" s="31"/>
      <c r="R1269" s="31"/>
      <c r="S1269" s="31"/>
      <c r="T1269" s="31"/>
      <c r="U1269" s="31"/>
      <c r="V1269" s="31"/>
      <c r="W1269" s="31"/>
      <c r="X1269" s="31"/>
      <c r="Y1269" s="31"/>
      <c r="Z1269" s="31"/>
      <c r="AA1269" s="31"/>
      <c r="AB1269" s="31"/>
      <c r="AC1269" s="31"/>
      <c r="AD1269" s="31"/>
      <c r="AE1269" s="31"/>
      <c r="AF1269" s="31"/>
      <c r="AG1269" s="31"/>
      <c r="AH1269" s="31"/>
      <c r="AI1269" s="31"/>
      <c r="AJ1269" s="31"/>
      <c r="AK1269" s="31"/>
      <c r="AL1269" s="28" t="e">
        <f>VLOOKUP($G1269,'[42]Sheet1 (2)'!$A$1:$B$1048440,2,FALSE)</f>
        <v>#N/A</v>
      </c>
      <c r="AM1269" s="32"/>
      <c r="AN1269" s="31"/>
      <c r="AO1269" s="33"/>
    </row>
    <row r="1270" spans="1:41" ht="56" x14ac:dyDescent="0.25">
      <c r="A1270" s="20">
        <v>1133</v>
      </c>
      <c r="B1270" s="25" t="s">
        <v>2159</v>
      </c>
      <c r="C1270" s="22">
        <v>37.19</v>
      </c>
      <c r="D1270" s="25" t="s">
        <v>2206</v>
      </c>
      <c r="E1270" s="23" t="s">
        <v>2207</v>
      </c>
      <c r="F1270" s="35" t="s">
        <v>2208</v>
      </c>
      <c r="G1270" s="35" t="s">
        <v>941</v>
      </c>
      <c r="H1270" s="26">
        <v>738</v>
      </c>
      <c r="I1270" s="26">
        <v>157</v>
      </c>
      <c r="J1270" s="31"/>
      <c r="K1270" s="31"/>
      <c r="L1270" s="31"/>
      <c r="M1270" s="31"/>
      <c r="N1270" s="31"/>
      <c r="O1270" s="31"/>
      <c r="P1270" s="31"/>
      <c r="Q1270" s="31"/>
      <c r="R1270" s="31"/>
      <c r="S1270" s="31"/>
      <c r="T1270" s="31"/>
      <c r="U1270" s="31"/>
      <c r="V1270" s="31"/>
      <c r="W1270" s="31"/>
      <c r="X1270" s="31"/>
      <c r="Y1270" s="31"/>
      <c r="Z1270" s="31"/>
      <c r="AA1270" s="31"/>
      <c r="AB1270" s="31"/>
      <c r="AC1270" s="31"/>
      <c r="AD1270" s="31"/>
      <c r="AE1270" s="31"/>
      <c r="AF1270" s="31"/>
      <c r="AG1270" s="31"/>
      <c r="AH1270" s="31"/>
      <c r="AI1270" s="31"/>
      <c r="AJ1270" s="31"/>
      <c r="AK1270" s="31"/>
      <c r="AL1270" s="28" t="e">
        <f>VLOOKUP($G1270,'[42]Sheet1 (2)'!$A$1:$B$1048440,2,FALSE)</f>
        <v>#N/A</v>
      </c>
      <c r="AM1270" s="32"/>
      <c r="AN1270" s="31"/>
      <c r="AO1270" s="33"/>
    </row>
    <row r="1271" spans="1:41" ht="56" x14ac:dyDescent="0.25">
      <c r="A1271" s="20">
        <v>1134</v>
      </c>
      <c r="B1271" s="25" t="s">
        <v>2159</v>
      </c>
      <c r="C1271" s="22">
        <v>37.200000000000003</v>
      </c>
      <c r="D1271" s="25" t="s">
        <v>2209</v>
      </c>
      <c r="E1271" s="23" t="s">
        <v>2210</v>
      </c>
      <c r="F1271" s="24" t="s">
        <v>2211</v>
      </c>
      <c r="G1271" s="21" t="s">
        <v>80</v>
      </c>
      <c r="H1271" s="26">
        <v>442</v>
      </c>
      <c r="I1271" s="26">
        <v>157</v>
      </c>
      <c r="J1271" s="31"/>
      <c r="K1271" s="31"/>
      <c r="L1271" s="31"/>
      <c r="M1271" s="31"/>
      <c r="N1271" s="31"/>
      <c r="O1271" s="31"/>
      <c r="P1271" s="31"/>
      <c r="Q1271" s="31"/>
      <c r="R1271" s="31"/>
      <c r="S1271" s="31"/>
      <c r="T1271" s="31"/>
      <c r="U1271" s="31"/>
      <c r="V1271" s="31"/>
      <c r="W1271" s="31"/>
      <c r="X1271" s="31"/>
      <c r="Y1271" s="31"/>
      <c r="Z1271" s="31"/>
      <c r="AA1271" s="31"/>
      <c r="AB1271" s="31"/>
      <c r="AC1271" s="31"/>
      <c r="AD1271" s="31"/>
      <c r="AE1271" s="31"/>
      <c r="AF1271" s="31"/>
      <c r="AG1271" s="31"/>
      <c r="AH1271" s="31"/>
      <c r="AI1271" s="31"/>
      <c r="AJ1271" s="31"/>
      <c r="AK1271" s="31"/>
      <c r="AL1271" s="28" t="str">
        <f>VLOOKUP($G1271,'[42]Sheet1 (2)'!$A$1:$B$1048440,2,FALSE)</f>
        <v>Rmt.</v>
      </c>
      <c r="AM1271" s="32"/>
      <c r="AN1271" s="31"/>
      <c r="AO1271" s="33"/>
    </row>
    <row r="1272" spans="1:41" ht="84" x14ac:dyDescent="0.25">
      <c r="A1272" s="20">
        <v>1135</v>
      </c>
      <c r="B1272" s="25" t="s">
        <v>2159</v>
      </c>
      <c r="C1272" s="22">
        <v>37.21</v>
      </c>
      <c r="D1272" s="25" t="s">
        <v>2195</v>
      </c>
      <c r="E1272" s="24" t="s">
        <v>2212</v>
      </c>
      <c r="F1272" s="24" t="s">
        <v>742</v>
      </c>
      <c r="G1272" s="202" t="s">
        <v>621</v>
      </c>
      <c r="H1272" s="26">
        <v>3538</v>
      </c>
      <c r="I1272" s="26">
        <v>169</v>
      </c>
      <c r="J1272" s="31"/>
      <c r="K1272" s="31"/>
      <c r="L1272" s="31"/>
      <c r="M1272" s="31"/>
      <c r="N1272" s="31"/>
      <c r="O1272" s="31"/>
      <c r="P1272" s="31"/>
      <c r="Q1272" s="31"/>
      <c r="R1272" s="31"/>
      <c r="S1272" s="31"/>
      <c r="T1272" s="31"/>
      <c r="U1272" s="31"/>
      <c r="V1272" s="31"/>
      <c r="W1272" s="31"/>
      <c r="X1272" s="31"/>
      <c r="Y1272" s="31"/>
      <c r="Z1272" s="31"/>
      <c r="AA1272" s="31"/>
      <c r="AB1272" s="31"/>
      <c r="AC1272" s="31"/>
      <c r="AD1272" s="31"/>
      <c r="AE1272" s="31"/>
      <c r="AF1272" s="31"/>
      <c r="AG1272" s="31"/>
      <c r="AH1272" s="31"/>
      <c r="AI1272" s="31"/>
      <c r="AJ1272" s="31"/>
      <c r="AK1272" s="31"/>
      <c r="AL1272" s="28" t="str">
        <f>VLOOKUP($G1272,'[42]Sheet1 (2)'!$A$1:$B$1048440,2,FALSE)</f>
        <v>Sqm</v>
      </c>
      <c r="AM1272" s="32"/>
      <c r="AN1272" s="31"/>
      <c r="AO1272" s="33"/>
    </row>
    <row r="1273" spans="1:41" ht="98" x14ac:dyDescent="0.25">
      <c r="A1273" s="20">
        <v>1136</v>
      </c>
      <c r="B1273" s="25" t="s">
        <v>2159</v>
      </c>
      <c r="C1273" s="22">
        <v>37.22</v>
      </c>
      <c r="D1273" s="25" t="s">
        <v>2195</v>
      </c>
      <c r="E1273" s="24" t="s">
        <v>2213</v>
      </c>
      <c r="F1273" s="24" t="s">
        <v>742</v>
      </c>
      <c r="G1273" s="202" t="s">
        <v>621</v>
      </c>
      <c r="H1273" s="26">
        <v>3682</v>
      </c>
      <c r="I1273" s="26">
        <v>211</v>
      </c>
      <c r="J1273" s="31"/>
      <c r="K1273" s="31"/>
      <c r="L1273" s="31"/>
      <c r="M1273" s="31"/>
      <c r="N1273" s="31"/>
      <c r="O1273" s="31"/>
      <c r="P1273" s="31"/>
      <c r="Q1273" s="31"/>
      <c r="R1273" s="31"/>
      <c r="S1273" s="31"/>
      <c r="T1273" s="31"/>
      <c r="U1273" s="31"/>
      <c r="V1273" s="31"/>
      <c r="W1273" s="31"/>
      <c r="X1273" s="31"/>
      <c r="Y1273" s="31"/>
      <c r="Z1273" s="31"/>
      <c r="AA1273" s="31"/>
      <c r="AB1273" s="31"/>
      <c r="AC1273" s="31"/>
      <c r="AD1273" s="31"/>
      <c r="AE1273" s="31"/>
      <c r="AF1273" s="31"/>
      <c r="AG1273" s="31"/>
      <c r="AH1273" s="31"/>
      <c r="AI1273" s="31"/>
      <c r="AJ1273" s="31"/>
      <c r="AK1273" s="31"/>
      <c r="AL1273" s="28" t="str">
        <f>VLOOKUP($G1273,'[42]Sheet1 (2)'!$A$1:$B$1048440,2,FALSE)</f>
        <v>Sqm</v>
      </c>
      <c r="AM1273" s="32"/>
      <c r="AN1273" s="31"/>
      <c r="AO1273" s="33"/>
    </row>
    <row r="1274" spans="1:41" ht="84" x14ac:dyDescent="0.25">
      <c r="A1274" s="20">
        <v>1137</v>
      </c>
      <c r="B1274" s="25" t="s">
        <v>2159</v>
      </c>
      <c r="C1274" s="22">
        <v>37.229999999999997</v>
      </c>
      <c r="D1274" s="25" t="s">
        <v>2214</v>
      </c>
      <c r="E1274" s="23" t="s">
        <v>2215</v>
      </c>
      <c r="F1274" s="24" t="s">
        <v>2216</v>
      </c>
      <c r="G1274" s="21" t="s">
        <v>80</v>
      </c>
      <c r="H1274" s="26">
        <v>494</v>
      </c>
      <c r="I1274" s="26">
        <v>159</v>
      </c>
      <c r="J1274" s="31"/>
      <c r="K1274" s="31"/>
      <c r="L1274" s="31"/>
      <c r="M1274" s="31"/>
      <c r="N1274" s="31"/>
      <c r="O1274" s="31"/>
      <c r="P1274" s="31"/>
      <c r="Q1274" s="31"/>
      <c r="R1274" s="31"/>
      <c r="S1274" s="31"/>
      <c r="T1274" s="31"/>
      <c r="U1274" s="31"/>
      <c r="V1274" s="31"/>
      <c r="W1274" s="31"/>
      <c r="X1274" s="31"/>
      <c r="Y1274" s="31"/>
      <c r="Z1274" s="31"/>
      <c r="AA1274" s="31"/>
      <c r="AB1274" s="31"/>
      <c r="AC1274" s="31"/>
      <c r="AD1274" s="31"/>
      <c r="AE1274" s="31"/>
      <c r="AF1274" s="31"/>
      <c r="AG1274" s="31"/>
      <c r="AH1274" s="31"/>
      <c r="AI1274" s="31"/>
      <c r="AJ1274" s="31"/>
      <c r="AK1274" s="31"/>
      <c r="AL1274" s="28" t="str">
        <f>VLOOKUP($G1274,'[42]Sheet1 (2)'!$A$1:$B$1048440,2,FALSE)</f>
        <v>Rmt.</v>
      </c>
      <c r="AM1274" s="32"/>
      <c r="AN1274" s="31"/>
      <c r="AO1274" s="33"/>
    </row>
    <row r="1275" spans="1:41" ht="56" x14ac:dyDescent="0.25">
      <c r="A1275" s="20">
        <v>1138</v>
      </c>
      <c r="B1275" s="25" t="s">
        <v>2159</v>
      </c>
      <c r="C1275" s="22">
        <v>37.24</v>
      </c>
      <c r="D1275" s="25" t="s">
        <v>2217</v>
      </c>
      <c r="E1275" s="23" t="s">
        <v>2218</v>
      </c>
      <c r="F1275" s="24" t="s">
        <v>2216</v>
      </c>
      <c r="G1275" s="21" t="s">
        <v>80</v>
      </c>
      <c r="H1275" s="26">
        <v>337</v>
      </c>
      <c r="I1275" s="26">
        <v>40</v>
      </c>
      <c r="J1275" s="31"/>
      <c r="K1275" s="31"/>
      <c r="L1275" s="31"/>
      <c r="M1275" s="31"/>
      <c r="N1275" s="31"/>
      <c r="O1275" s="31"/>
      <c r="P1275" s="31"/>
      <c r="Q1275" s="31"/>
      <c r="R1275" s="31"/>
      <c r="S1275" s="31"/>
      <c r="T1275" s="31"/>
      <c r="U1275" s="31"/>
      <c r="V1275" s="31"/>
      <c r="W1275" s="31"/>
      <c r="X1275" s="31"/>
      <c r="Y1275" s="31"/>
      <c r="Z1275" s="31"/>
      <c r="AA1275" s="31"/>
      <c r="AB1275" s="31"/>
      <c r="AC1275" s="31"/>
      <c r="AD1275" s="31"/>
      <c r="AE1275" s="31"/>
      <c r="AF1275" s="31"/>
      <c r="AG1275" s="31"/>
      <c r="AH1275" s="31"/>
      <c r="AI1275" s="31"/>
      <c r="AJ1275" s="31"/>
      <c r="AK1275" s="31"/>
      <c r="AL1275" s="28" t="str">
        <f>VLOOKUP($G1275,'[42]Sheet1 (2)'!$A$1:$B$1048440,2,FALSE)</f>
        <v>Rmt.</v>
      </c>
      <c r="AM1275" s="32"/>
      <c r="AN1275" s="31"/>
      <c r="AO1275" s="33"/>
    </row>
    <row r="1276" spans="1:41" ht="70" x14ac:dyDescent="0.25">
      <c r="A1276" s="20">
        <v>1139</v>
      </c>
      <c r="B1276" s="25" t="s">
        <v>2159</v>
      </c>
      <c r="C1276" s="22">
        <v>37.25</v>
      </c>
      <c r="D1276" s="25" t="s">
        <v>2219</v>
      </c>
      <c r="E1276" s="23" t="s">
        <v>2220</v>
      </c>
      <c r="F1276" s="92" t="s">
        <v>2221</v>
      </c>
      <c r="G1276" s="202" t="s">
        <v>621</v>
      </c>
      <c r="H1276" s="26">
        <v>57</v>
      </c>
      <c r="I1276" s="26">
        <v>41</v>
      </c>
      <c r="J1276" s="31"/>
      <c r="K1276" s="31"/>
      <c r="L1276" s="31"/>
      <c r="M1276" s="31"/>
      <c r="N1276" s="31"/>
      <c r="O1276" s="31"/>
      <c r="P1276" s="31"/>
      <c r="Q1276" s="31"/>
      <c r="R1276" s="31"/>
      <c r="S1276" s="31"/>
      <c r="T1276" s="31"/>
      <c r="U1276" s="31"/>
      <c r="V1276" s="31"/>
      <c r="W1276" s="31"/>
      <c r="X1276" s="31"/>
      <c r="Y1276" s="31"/>
      <c r="Z1276" s="31"/>
      <c r="AA1276" s="31"/>
      <c r="AB1276" s="31"/>
      <c r="AC1276" s="31"/>
      <c r="AD1276" s="31"/>
      <c r="AE1276" s="31"/>
      <c r="AF1276" s="31"/>
      <c r="AG1276" s="31"/>
      <c r="AH1276" s="31"/>
      <c r="AI1276" s="31"/>
      <c r="AJ1276" s="31"/>
      <c r="AK1276" s="31"/>
      <c r="AL1276" s="28" t="str">
        <f>VLOOKUP($G1276,'[42]Sheet1 (2)'!$A$1:$B$1048440,2,FALSE)</f>
        <v>Sqm</v>
      </c>
      <c r="AM1276" s="32"/>
      <c r="AN1276" s="31"/>
      <c r="AO1276" s="33"/>
    </row>
    <row r="1277" spans="1:41" ht="154" x14ac:dyDescent="0.25">
      <c r="A1277" s="20">
        <v>1140</v>
      </c>
      <c r="B1277" s="25" t="s">
        <v>2159</v>
      </c>
      <c r="C1277" s="22">
        <v>37.26</v>
      </c>
      <c r="D1277" s="25" t="s">
        <v>2195</v>
      </c>
      <c r="E1277" s="24" t="s">
        <v>2222</v>
      </c>
      <c r="F1277" s="24" t="s">
        <v>742</v>
      </c>
      <c r="G1277" s="202" t="s">
        <v>621</v>
      </c>
      <c r="H1277" s="26">
        <v>5020</v>
      </c>
      <c r="I1277" s="26">
        <v>2327</v>
      </c>
      <c r="J1277" s="31"/>
      <c r="K1277" s="31"/>
      <c r="L1277" s="31"/>
      <c r="M1277" s="31"/>
      <c r="N1277" s="31"/>
      <c r="O1277" s="31"/>
      <c r="P1277" s="31"/>
      <c r="Q1277" s="31"/>
      <c r="R1277" s="31"/>
      <c r="S1277" s="31"/>
      <c r="T1277" s="31"/>
      <c r="U1277" s="31"/>
      <c r="V1277" s="31"/>
      <c r="W1277" s="31"/>
      <c r="X1277" s="31"/>
      <c r="Y1277" s="31"/>
      <c r="Z1277" s="31"/>
      <c r="AA1277" s="31"/>
      <c r="AB1277" s="31"/>
      <c r="AC1277" s="31"/>
      <c r="AD1277" s="31"/>
      <c r="AE1277" s="31"/>
      <c r="AF1277" s="31"/>
      <c r="AG1277" s="31"/>
      <c r="AH1277" s="31"/>
      <c r="AI1277" s="31"/>
      <c r="AJ1277" s="31"/>
      <c r="AK1277" s="31"/>
      <c r="AL1277" s="28" t="str">
        <f>VLOOKUP($G1277,'[42]Sheet1 (2)'!$A$1:$B$1048440,2,FALSE)</f>
        <v>Sqm</v>
      </c>
      <c r="AM1277" s="32"/>
      <c r="AN1277" s="31"/>
      <c r="AO1277" s="33"/>
    </row>
    <row r="1278" spans="1:41" ht="17.5" x14ac:dyDescent="0.25">
      <c r="A1278" s="20"/>
      <c r="B1278" s="25"/>
      <c r="C1278" s="22"/>
      <c r="D1278" s="25"/>
      <c r="E1278" s="147" t="s">
        <v>2223</v>
      </c>
      <c r="F1278" s="24"/>
      <c r="G1278" s="21"/>
      <c r="H1278" s="26"/>
      <c r="I1278" s="26"/>
      <c r="J1278" s="31"/>
      <c r="K1278" s="31"/>
      <c r="L1278" s="31"/>
      <c r="M1278" s="31"/>
      <c r="N1278" s="31"/>
      <c r="O1278" s="31"/>
      <c r="P1278" s="31"/>
      <c r="Q1278" s="31"/>
      <c r="R1278" s="31"/>
      <c r="S1278" s="31"/>
      <c r="T1278" s="31"/>
      <c r="U1278" s="31"/>
      <c r="V1278" s="31"/>
      <c r="W1278" s="31"/>
      <c r="X1278" s="31"/>
      <c r="Y1278" s="31"/>
      <c r="Z1278" s="31"/>
      <c r="AA1278" s="31"/>
      <c r="AB1278" s="31"/>
      <c r="AC1278" s="31"/>
      <c r="AD1278" s="31"/>
      <c r="AE1278" s="31"/>
      <c r="AF1278" s="31"/>
      <c r="AG1278" s="31"/>
      <c r="AH1278" s="31"/>
      <c r="AI1278" s="31"/>
      <c r="AJ1278" s="31"/>
      <c r="AK1278" s="31"/>
      <c r="AL1278" s="28" t="e">
        <f>VLOOKUP($G1278,'[42]Sheet1 (2)'!$A$1:$B$1048440,2,FALSE)</f>
        <v>#N/A</v>
      </c>
      <c r="AM1278" s="32"/>
      <c r="AN1278" s="31"/>
      <c r="AO1278" s="33"/>
    </row>
    <row r="1279" spans="1:41" ht="84" x14ac:dyDescent="0.25">
      <c r="A1279" s="20">
        <v>1141</v>
      </c>
      <c r="B1279" s="21" t="s">
        <v>2223</v>
      </c>
      <c r="C1279" s="22">
        <v>38.01</v>
      </c>
      <c r="D1279" s="25" t="s">
        <v>2224</v>
      </c>
      <c r="E1279" s="24" t="s">
        <v>2225</v>
      </c>
      <c r="F1279" s="24" t="s">
        <v>2226</v>
      </c>
      <c r="G1279" s="202" t="s">
        <v>621</v>
      </c>
      <c r="H1279" s="26">
        <v>1183</v>
      </c>
      <c r="I1279" s="26">
        <v>148</v>
      </c>
      <c r="J1279" s="31"/>
      <c r="K1279" s="31"/>
      <c r="L1279" s="31"/>
      <c r="M1279" s="31"/>
      <c r="N1279" s="31"/>
      <c r="O1279" s="31"/>
      <c r="P1279" s="31"/>
      <c r="Q1279" s="31"/>
      <c r="R1279" s="31"/>
      <c r="S1279" s="31"/>
      <c r="T1279" s="31"/>
      <c r="U1279" s="31"/>
      <c r="V1279" s="31"/>
      <c r="W1279" s="31"/>
      <c r="X1279" s="31"/>
      <c r="Y1279" s="31"/>
      <c r="Z1279" s="31"/>
      <c r="AA1279" s="31"/>
      <c r="AB1279" s="31"/>
      <c r="AC1279" s="31"/>
      <c r="AD1279" s="31"/>
      <c r="AE1279" s="31"/>
      <c r="AF1279" s="31"/>
      <c r="AG1279" s="31"/>
      <c r="AH1279" s="31"/>
      <c r="AI1279" s="31"/>
      <c r="AJ1279" s="31"/>
      <c r="AK1279" s="31"/>
      <c r="AL1279" s="28" t="str">
        <f>VLOOKUP($G1279,'[42]Sheet1 (2)'!$A$1:$B$1048440,2,FALSE)</f>
        <v>Sqm</v>
      </c>
      <c r="AM1279" s="32"/>
      <c r="AN1279" s="31"/>
      <c r="AO1279" s="33"/>
    </row>
    <row r="1280" spans="1:41" ht="98" x14ac:dyDescent="0.25">
      <c r="A1280" s="20">
        <v>1142</v>
      </c>
      <c r="B1280" s="21" t="s">
        <v>2223</v>
      </c>
      <c r="C1280" s="22">
        <v>38.020000000000003</v>
      </c>
      <c r="D1280" s="25" t="s">
        <v>2227</v>
      </c>
      <c r="E1280" s="23" t="s">
        <v>2228</v>
      </c>
      <c r="F1280" s="24" t="s">
        <v>2229</v>
      </c>
      <c r="G1280" s="202" t="s">
        <v>621</v>
      </c>
      <c r="H1280" s="26">
        <v>1202</v>
      </c>
      <c r="I1280" s="26">
        <v>156</v>
      </c>
      <c r="J1280" s="31"/>
      <c r="K1280" s="31"/>
      <c r="L1280" s="31"/>
      <c r="M1280" s="31"/>
      <c r="N1280" s="31"/>
      <c r="O1280" s="31"/>
      <c r="P1280" s="31"/>
      <c r="Q1280" s="31"/>
      <c r="R1280" s="31"/>
      <c r="S1280" s="31"/>
      <c r="T1280" s="31"/>
      <c r="U1280" s="31"/>
      <c r="V1280" s="31"/>
      <c r="W1280" s="31"/>
      <c r="X1280" s="31"/>
      <c r="Y1280" s="31"/>
      <c r="Z1280" s="31"/>
      <c r="AA1280" s="31"/>
      <c r="AB1280" s="31"/>
      <c r="AC1280" s="31"/>
      <c r="AD1280" s="31"/>
      <c r="AE1280" s="31"/>
      <c r="AF1280" s="31"/>
      <c r="AG1280" s="31"/>
      <c r="AH1280" s="31"/>
      <c r="AI1280" s="31"/>
      <c r="AJ1280" s="31"/>
      <c r="AK1280" s="31"/>
      <c r="AL1280" s="28" t="str">
        <f>VLOOKUP($G1280,'[42]Sheet1 (2)'!$A$1:$B$1048440,2,FALSE)</f>
        <v>Sqm</v>
      </c>
      <c r="AM1280" s="32"/>
      <c r="AN1280" s="31"/>
      <c r="AO1280" s="33"/>
    </row>
    <row r="1281" spans="1:41" ht="42" x14ac:dyDescent="0.25">
      <c r="A1281" s="20">
        <v>1143</v>
      </c>
      <c r="B1281" s="21" t="s">
        <v>2223</v>
      </c>
      <c r="C1281" s="22">
        <v>38.03</v>
      </c>
      <c r="D1281" s="25" t="s">
        <v>2230</v>
      </c>
      <c r="E1281" s="24" t="s">
        <v>2231</v>
      </c>
      <c r="F1281" s="24" t="s">
        <v>2232</v>
      </c>
      <c r="G1281" s="21" t="s">
        <v>80</v>
      </c>
      <c r="H1281" s="26">
        <v>310</v>
      </c>
      <c r="I1281" s="26">
        <v>158</v>
      </c>
      <c r="J1281" s="31"/>
      <c r="K1281" s="31"/>
      <c r="L1281" s="31"/>
      <c r="M1281" s="31"/>
      <c r="N1281" s="31"/>
      <c r="O1281" s="31"/>
      <c r="P1281" s="31"/>
      <c r="Q1281" s="31"/>
      <c r="R1281" s="31"/>
      <c r="S1281" s="31"/>
      <c r="T1281" s="31"/>
      <c r="U1281" s="31"/>
      <c r="V1281" s="31"/>
      <c r="W1281" s="31"/>
      <c r="X1281" s="31"/>
      <c r="Y1281" s="31"/>
      <c r="Z1281" s="31"/>
      <c r="AA1281" s="31"/>
      <c r="AB1281" s="31"/>
      <c r="AC1281" s="31"/>
      <c r="AD1281" s="31"/>
      <c r="AE1281" s="31"/>
      <c r="AF1281" s="31"/>
      <c r="AG1281" s="31"/>
      <c r="AH1281" s="31"/>
      <c r="AI1281" s="31"/>
      <c r="AJ1281" s="31"/>
      <c r="AK1281" s="31"/>
      <c r="AL1281" s="28" t="str">
        <f>VLOOKUP($G1281,'[42]Sheet1 (2)'!$A$1:$B$1048440,2,FALSE)</f>
        <v>Rmt.</v>
      </c>
      <c r="AM1281" s="32"/>
      <c r="AN1281" s="31"/>
      <c r="AO1281" s="33"/>
    </row>
    <row r="1282" spans="1:41" ht="84" x14ac:dyDescent="0.25">
      <c r="A1282" s="20">
        <v>1144</v>
      </c>
      <c r="B1282" s="21" t="s">
        <v>2223</v>
      </c>
      <c r="C1282" s="22">
        <v>38.04</v>
      </c>
      <c r="D1282" s="25" t="s">
        <v>2233</v>
      </c>
      <c r="E1282" s="23" t="s">
        <v>2234</v>
      </c>
      <c r="F1282" s="24" t="s">
        <v>2235</v>
      </c>
      <c r="G1282" s="202" t="s">
        <v>621</v>
      </c>
      <c r="H1282" s="26">
        <v>870</v>
      </c>
      <c r="I1282" s="26">
        <v>118</v>
      </c>
      <c r="J1282" s="31"/>
      <c r="K1282" s="31"/>
      <c r="L1282" s="31"/>
      <c r="M1282" s="31"/>
      <c r="N1282" s="31"/>
      <c r="O1282" s="31"/>
      <c r="P1282" s="31"/>
      <c r="Q1282" s="31"/>
      <c r="R1282" s="31"/>
      <c r="S1282" s="31"/>
      <c r="T1282" s="31"/>
      <c r="U1282" s="31"/>
      <c r="V1282" s="31"/>
      <c r="W1282" s="31"/>
      <c r="X1282" s="31"/>
      <c r="Y1282" s="31"/>
      <c r="Z1282" s="31"/>
      <c r="AA1282" s="31"/>
      <c r="AB1282" s="31"/>
      <c r="AC1282" s="31"/>
      <c r="AD1282" s="31"/>
      <c r="AE1282" s="31"/>
      <c r="AF1282" s="31"/>
      <c r="AG1282" s="31"/>
      <c r="AH1282" s="31"/>
      <c r="AI1282" s="31"/>
      <c r="AJ1282" s="31"/>
      <c r="AK1282" s="31"/>
      <c r="AL1282" s="28" t="str">
        <f>VLOOKUP($G1282,'[42]Sheet1 (2)'!$A$1:$B$1048440,2,FALSE)</f>
        <v>Sqm</v>
      </c>
      <c r="AM1282" s="32"/>
      <c r="AN1282" s="31"/>
      <c r="AO1282" s="33"/>
    </row>
    <row r="1283" spans="1:41" ht="70" x14ac:dyDescent="0.25">
      <c r="A1283" s="20">
        <v>1145</v>
      </c>
      <c r="B1283" s="21" t="s">
        <v>2223</v>
      </c>
      <c r="C1283" s="22">
        <v>38.049999999999997</v>
      </c>
      <c r="D1283" s="25" t="s">
        <v>2233</v>
      </c>
      <c r="E1283" s="24" t="s">
        <v>2236</v>
      </c>
      <c r="F1283" s="24" t="s">
        <v>2235</v>
      </c>
      <c r="G1283" s="202" t="s">
        <v>621</v>
      </c>
      <c r="H1283" s="26">
        <v>1139</v>
      </c>
      <c r="I1283" s="26">
        <v>143</v>
      </c>
      <c r="J1283" s="31"/>
      <c r="K1283" s="31"/>
      <c r="L1283" s="31"/>
      <c r="M1283" s="31"/>
      <c r="N1283" s="31"/>
      <c r="O1283" s="31"/>
      <c r="P1283" s="31"/>
      <c r="Q1283" s="31"/>
      <c r="R1283" s="31"/>
      <c r="S1283" s="31"/>
      <c r="T1283" s="31"/>
      <c r="U1283" s="31"/>
      <c r="V1283" s="31"/>
      <c r="W1283" s="31"/>
      <c r="X1283" s="31"/>
      <c r="Y1283" s="31"/>
      <c r="Z1283" s="31"/>
      <c r="AA1283" s="31"/>
      <c r="AB1283" s="31"/>
      <c r="AC1283" s="31"/>
      <c r="AD1283" s="31"/>
      <c r="AE1283" s="31"/>
      <c r="AF1283" s="31"/>
      <c r="AG1283" s="31"/>
      <c r="AH1283" s="31"/>
      <c r="AI1283" s="31"/>
      <c r="AJ1283" s="31"/>
      <c r="AK1283" s="31"/>
      <c r="AL1283" s="28" t="str">
        <f>VLOOKUP($G1283,'[42]Sheet1 (2)'!$A$1:$B$1048440,2,FALSE)</f>
        <v>Sqm</v>
      </c>
      <c r="AM1283" s="32"/>
      <c r="AN1283" s="31"/>
      <c r="AO1283" s="33"/>
    </row>
    <row r="1284" spans="1:41" ht="56" x14ac:dyDescent="0.25">
      <c r="A1284" s="20">
        <v>1146</v>
      </c>
      <c r="B1284" s="21" t="s">
        <v>2223</v>
      </c>
      <c r="C1284" s="22">
        <v>38.06</v>
      </c>
      <c r="D1284" s="25" t="s">
        <v>2237</v>
      </c>
      <c r="E1284" s="24" t="s">
        <v>2238</v>
      </c>
      <c r="F1284" s="24" t="s">
        <v>2239</v>
      </c>
      <c r="G1284" s="202" t="s">
        <v>621</v>
      </c>
      <c r="H1284" s="26">
        <v>442</v>
      </c>
      <c r="I1284" s="26">
        <v>197</v>
      </c>
      <c r="J1284" s="31"/>
      <c r="K1284" s="31"/>
      <c r="L1284" s="31"/>
      <c r="M1284" s="31"/>
      <c r="N1284" s="31"/>
      <c r="O1284" s="31"/>
      <c r="P1284" s="31"/>
      <c r="Q1284" s="31"/>
      <c r="R1284" s="31"/>
      <c r="S1284" s="31"/>
      <c r="T1284" s="31"/>
      <c r="U1284" s="31"/>
      <c r="V1284" s="31"/>
      <c r="W1284" s="31"/>
      <c r="X1284" s="31"/>
      <c r="Y1284" s="31"/>
      <c r="Z1284" s="31"/>
      <c r="AA1284" s="31"/>
      <c r="AB1284" s="31"/>
      <c r="AC1284" s="31"/>
      <c r="AD1284" s="31"/>
      <c r="AE1284" s="31"/>
      <c r="AF1284" s="31"/>
      <c r="AG1284" s="31"/>
      <c r="AH1284" s="31"/>
      <c r="AI1284" s="31"/>
      <c r="AJ1284" s="31"/>
      <c r="AK1284" s="31"/>
      <c r="AL1284" s="28" t="str">
        <f>VLOOKUP($G1284,'[42]Sheet1 (2)'!$A$1:$B$1048440,2,FALSE)</f>
        <v>Sqm</v>
      </c>
      <c r="AM1284" s="32"/>
      <c r="AN1284" s="31"/>
      <c r="AO1284" s="33"/>
    </row>
    <row r="1285" spans="1:41" ht="70" x14ac:dyDescent="0.25">
      <c r="A1285" s="20">
        <v>1147</v>
      </c>
      <c r="B1285" s="21" t="s">
        <v>2223</v>
      </c>
      <c r="C1285" s="22">
        <v>38.07</v>
      </c>
      <c r="D1285" s="25" t="s">
        <v>2240</v>
      </c>
      <c r="E1285" s="24" t="s">
        <v>2241</v>
      </c>
      <c r="F1285" s="24" t="s">
        <v>2242</v>
      </c>
      <c r="G1285" s="21" t="s">
        <v>80</v>
      </c>
      <c r="H1285" s="26">
        <v>648</v>
      </c>
      <c r="I1285" s="26">
        <v>210</v>
      </c>
      <c r="J1285" s="31"/>
      <c r="K1285" s="31"/>
      <c r="L1285" s="31"/>
      <c r="M1285" s="31"/>
      <c r="N1285" s="31"/>
      <c r="O1285" s="31"/>
      <c r="P1285" s="31"/>
      <c r="Q1285" s="31"/>
      <c r="R1285" s="31"/>
      <c r="S1285" s="31"/>
      <c r="T1285" s="31"/>
      <c r="U1285" s="31"/>
      <c r="V1285" s="31"/>
      <c r="W1285" s="31"/>
      <c r="X1285" s="31"/>
      <c r="Y1285" s="31"/>
      <c r="Z1285" s="31"/>
      <c r="AA1285" s="31"/>
      <c r="AB1285" s="31"/>
      <c r="AC1285" s="31"/>
      <c r="AD1285" s="31"/>
      <c r="AE1285" s="31"/>
      <c r="AF1285" s="31"/>
      <c r="AG1285" s="31"/>
      <c r="AH1285" s="31"/>
      <c r="AI1285" s="31"/>
      <c r="AJ1285" s="31"/>
      <c r="AK1285" s="31"/>
      <c r="AL1285" s="28" t="str">
        <f>VLOOKUP($G1285,'[42]Sheet1 (2)'!$A$1:$B$1048440,2,FALSE)</f>
        <v>Rmt.</v>
      </c>
      <c r="AM1285" s="32"/>
      <c r="AN1285" s="31"/>
      <c r="AO1285" s="33"/>
    </row>
    <row r="1286" spans="1:41" ht="70" x14ac:dyDescent="0.25">
      <c r="A1286" s="20">
        <v>1148</v>
      </c>
      <c r="B1286" s="21" t="s">
        <v>2223</v>
      </c>
      <c r="C1286" s="22">
        <v>38.08</v>
      </c>
      <c r="D1286" s="25" t="s">
        <v>2243</v>
      </c>
      <c r="E1286" s="24" t="s">
        <v>2244</v>
      </c>
      <c r="F1286" s="24" t="s">
        <v>2245</v>
      </c>
      <c r="G1286" s="21" t="s">
        <v>80</v>
      </c>
      <c r="H1286" s="26">
        <v>2926</v>
      </c>
      <c r="I1286" s="26">
        <v>446</v>
      </c>
      <c r="J1286" s="31"/>
      <c r="K1286" s="31"/>
      <c r="L1286" s="31"/>
      <c r="M1286" s="31"/>
      <c r="N1286" s="31"/>
      <c r="O1286" s="31"/>
      <c r="P1286" s="31"/>
      <c r="Q1286" s="31"/>
      <c r="R1286" s="31"/>
      <c r="S1286" s="31"/>
      <c r="T1286" s="31"/>
      <c r="U1286" s="31"/>
      <c r="V1286" s="31"/>
      <c r="W1286" s="31"/>
      <c r="X1286" s="31"/>
      <c r="Y1286" s="31"/>
      <c r="Z1286" s="31"/>
      <c r="AA1286" s="31"/>
      <c r="AB1286" s="31"/>
      <c r="AC1286" s="31"/>
      <c r="AD1286" s="31"/>
      <c r="AE1286" s="31"/>
      <c r="AF1286" s="31"/>
      <c r="AG1286" s="31"/>
      <c r="AH1286" s="31"/>
      <c r="AI1286" s="31"/>
      <c r="AJ1286" s="31"/>
      <c r="AK1286" s="31"/>
      <c r="AL1286" s="28" t="str">
        <f>VLOOKUP($G1286,'[42]Sheet1 (2)'!$A$1:$B$1048440,2,FALSE)</f>
        <v>Rmt.</v>
      </c>
      <c r="AM1286" s="32"/>
      <c r="AN1286" s="31"/>
      <c r="AO1286" s="33"/>
    </row>
    <row r="1287" spans="1:41" ht="70" x14ac:dyDescent="0.25">
      <c r="A1287" s="20">
        <v>1149</v>
      </c>
      <c r="B1287" s="21" t="s">
        <v>2223</v>
      </c>
      <c r="C1287" s="22">
        <v>38.090000000000003</v>
      </c>
      <c r="D1287" s="25" t="s">
        <v>2246</v>
      </c>
      <c r="E1287" s="24" t="s">
        <v>2247</v>
      </c>
      <c r="F1287" s="24" t="s">
        <v>2245</v>
      </c>
      <c r="G1287" s="21" t="s">
        <v>80</v>
      </c>
      <c r="H1287" s="26">
        <v>2218</v>
      </c>
      <c r="I1287" s="26">
        <v>478</v>
      </c>
      <c r="J1287" s="31"/>
      <c r="K1287" s="31"/>
      <c r="L1287" s="31"/>
      <c r="M1287" s="31"/>
      <c r="N1287" s="31"/>
      <c r="O1287" s="31"/>
      <c r="P1287" s="31"/>
      <c r="Q1287" s="31"/>
      <c r="R1287" s="31"/>
      <c r="S1287" s="31"/>
      <c r="T1287" s="31"/>
      <c r="U1287" s="31"/>
      <c r="V1287" s="31"/>
      <c r="W1287" s="31"/>
      <c r="X1287" s="31"/>
      <c r="Y1287" s="31"/>
      <c r="Z1287" s="31"/>
      <c r="AA1287" s="31"/>
      <c r="AB1287" s="31"/>
      <c r="AC1287" s="31"/>
      <c r="AD1287" s="31"/>
      <c r="AE1287" s="31"/>
      <c r="AF1287" s="31"/>
      <c r="AG1287" s="31"/>
      <c r="AH1287" s="31"/>
      <c r="AI1287" s="31"/>
      <c r="AJ1287" s="31"/>
      <c r="AK1287" s="31"/>
      <c r="AL1287" s="28" t="str">
        <f>VLOOKUP($G1287,'[42]Sheet1 (2)'!$A$1:$B$1048440,2,FALSE)</f>
        <v>Rmt.</v>
      </c>
      <c r="AM1287" s="32"/>
      <c r="AN1287" s="31"/>
      <c r="AO1287" s="33"/>
    </row>
    <row r="1288" spans="1:41" ht="42" x14ac:dyDescent="0.25">
      <c r="A1288" s="20">
        <v>1150</v>
      </c>
      <c r="B1288" s="21" t="s">
        <v>2223</v>
      </c>
      <c r="C1288" s="22">
        <v>38.1</v>
      </c>
      <c r="D1288" s="25" t="s">
        <v>2248</v>
      </c>
      <c r="E1288" s="24" t="s">
        <v>2249</v>
      </c>
      <c r="F1288" s="24" t="s">
        <v>2245</v>
      </c>
      <c r="G1288" s="21" t="s">
        <v>80</v>
      </c>
      <c r="H1288" s="26">
        <v>2657</v>
      </c>
      <c r="I1288" s="26">
        <v>319</v>
      </c>
      <c r="J1288" s="31"/>
      <c r="K1288" s="31"/>
      <c r="L1288" s="31"/>
      <c r="M1288" s="31"/>
      <c r="N1288" s="31"/>
      <c r="O1288" s="31"/>
      <c r="P1288" s="31"/>
      <c r="Q1288" s="31"/>
      <c r="R1288" s="31"/>
      <c r="S1288" s="31"/>
      <c r="T1288" s="31"/>
      <c r="U1288" s="31"/>
      <c r="V1288" s="31"/>
      <c r="W1288" s="31"/>
      <c r="X1288" s="31"/>
      <c r="Y1288" s="31"/>
      <c r="Z1288" s="31"/>
      <c r="AA1288" s="31"/>
      <c r="AB1288" s="31"/>
      <c r="AC1288" s="31"/>
      <c r="AD1288" s="31"/>
      <c r="AE1288" s="31"/>
      <c r="AF1288" s="31"/>
      <c r="AG1288" s="31"/>
      <c r="AH1288" s="31"/>
      <c r="AI1288" s="31"/>
      <c r="AJ1288" s="31"/>
      <c r="AK1288" s="31"/>
      <c r="AL1288" s="28" t="str">
        <f>VLOOKUP($G1288,'[42]Sheet1 (2)'!$A$1:$B$1048440,2,FALSE)</f>
        <v>Rmt.</v>
      </c>
      <c r="AM1288" s="32"/>
      <c r="AN1288" s="31"/>
      <c r="AO1288" s="33"/>
    </row>
    <row r="1289" spans="1:41" ht="70" x14ac:dyDescent="0.25">
      <c r="A1289" s="20">
        <v>1151</v>
      </c>
      <c r="B1289" s="35" t="s">
        <v>2250</v>
      </c>
      <c r="C1289" s="22">
        <v>38.11</v>
      </c>
      <c r="D1289" s="25" t="s">
        <v>2251</v>
      </c>
      <c r="E1289" s="23" t="s">
        <v>2252</v>
      </c>
      <c r="F1289" s="92" t="s">
        <v>2253</v>
      </c>
      <c r="G1289" s="25" t="s">
        <v>45</v>
      </c>
      <c r="H1289" s="26">
        <v>627</v>
      </c>
      <c r="I1289" s="26">
        <v>76</v>
      </c>
      <c r="J1289" s="31"/>
      <c r="K1289" s="31"/>
      <c r="L1289" s="31"/>
      <c r="M1289" s="31"/>
      <c r="N1289" s="31"/>
      <c r="O1289" s="31"/>
      <c r="P1289" s="31"/>
      <c r="Q1289" s="31"/>
      <c r="R1289" s="31"/>
      <c r="S1289" s="31"/>
      <c r="T1289" s="31"/>
      <c r="U1289" s="31"/>
      <c r="V1289" s="31"/>
      <c r="W1289" s="31"/>
      <c r="X1289" s="31"/>
      <c r="Y1289" s="31"/>
      <c r="Z1289" s="31"/>
      <c r="AA1289" s="31"/>
      <c r="AB1289" s="31"/>
      <c r="AC1289" s="31"/>
      <c r="AD1289" s="31"/>
      <c r="AE1289" s="31"/>
      <c r="AF1289" s="31"/>
      <c r="AG1289" s="31"/>
      <c r="AH1289" s="31"/>
      <c r="AI1289" s="31"/>
      <c r="AJ1289" s="31"/>
      <c r="AK1289" s="31"/>
      <c r="AL1289" s="28" t="str">
        <f>VLOOKUP($G1289,'[42]Sheet1 (2)'!$A$1:$B$1048440,2,FALSE)</f>
        <v>No.</v>
      </c>
      <c r="AM1289" s="32"/>
      <c r="AN1289" s="31"/>
      <c r="AO1289" s="33"/>
    </row>
    <row r="1290" spans="1:41" ht="42" x14ac:dyDescent="0.25">
      <c r="A1290" s="20">
        <v>1152</v>
      </c>
      <c r="B1290" s="21" t="s">
        <v>2223</v>
      </c>
      <c r="C1290" s="22">
        <v>38.119999999999997</v>
      </c>
      <c r="D1290" s="25" t="s">
        <v>2254</v>
      </c>
      <c r="E1290" s="24" t="s">
        <v>2255</v>
      </c>
      <c r="F1290" s="24" t="s">
        <v>2256</v>
      </c>
      <c r="G1290" s="25" t="s">
        <v>45</v>
      </c>
      <c r="H1290" s="26">
        <v>367</v>
      </c>
      <c r="I1290" s="26">
        <v>45</v>
      </c>
      <c r="J1290" s="31"/>
      <c r="K1290" s="31"/>
      <c r="L1290" s="31"/>
      <c r="M1290" s="31"/>
      <c r="N1290" s="31"/>
      <c r="O1290" s="31"/>
      <c r="P1290" s="31"/>
      <c r="Q1290" s="31"/>
      <c r="R1290" s="31"/>
      <c r="S1290" s="31"/>
      <c r="T1290" s="31"/>
      <c r="U1290" s="31"/>
      <c r="V1290" s="31"/>
      <c r="W1290" s="31"/>
      <c r="X1290" s="31"/>
      <c r="Y1290" s="31"/>
      <c r="Z1290" s="31"/>
      <c r="AA1290" s="31"/>
      <c r="AB1290" s="31"/>
      <c r="AC1290" s="31"/>
      <c r="AD1290" s="31"/>
      <c r="AE1290" s="31"/>
      <c r="AF1290" s="31"/>
      <c r="AG1290" s="31"/>
      <c r="AH1290" s="31"/>
      <c r="AI1290" s="31"/>
      <c r="AJ1290" s="31"/>
      <c r="AK1290" s="31"/>
      <c r="AL1290" s="28" t="str">
        <f>VLOOKUP($G1290,'[42]Sheet1 (2)'!$A$1:$B$1048440,2,FALSE)</f>
        <v>No.</v>
      </c>
      <c r="AM1290" s="32"/>
      <c r="AN1290" s="31"/>
      <c r="AO1290" s="33"/>
    </row>
    <row r="1291" spans="1:41" ht="98" x14ac:dyDescent="0.25">
      <c r="A1291" s="20">
        <v>1153</v>
      </c>
      <c r="B1291" s="21" t="s">
        <v>2223</v>
      </c>
      <c r="C1291" s="22">
        <v>38.130000000000003</v>
      </c>
      <c r="D1291" s="25" t="s">
        <v>2257</v>
      </c>
      <c r="E1291" s="23" t="s">
        <v>2258</v>
      </c>
      <c r="F1291" s="24" t="s">
        <v>2259</v>
      </c>
      <c r="G1291" s="202" t="s">
        <v>621</v>
      </c>
      <c r="H1291" s="26">
        <v>1875</v>
      </c>
      <c r="I1291" s="26">
        <v>245</v>
      </c>
      <c r="J1291" s="31"/>
      <c r="K1291" s="31"/>
      <c r="L1291" s="31"/>
      <c r="M1291" s="31"/>
      <c r="N1291" s="31"/>
      <c r="O1291" s="31"/>
      <c r="P1291" s="31"/>
      <c r="Q1291" s="31"/>
      <c r="R1291" s="31"/>
      <c r="S1291" s="31"/>
      <c r="T1291" s="31"/>
      <c r="U1291" s="31"/>
      <c r="V1291" s="31"/>
      <c r="W1291" s="31"/>
      <c r="X1291" s="31"/>
      <c r="Y1291" s="31"/>
      <c r="Z1291" s="31"/>
      <c r="AA1291" s="31"/>
      <c r="AB1291" s="31"/>
      <c r="AC1291" s="31"/>
      <c r="AD1291" s="31"/>
      <c r="AE1291" s="31"/>
      <c r="AF1291" s="31"/>
      <c r="AG1291" s="31"/>
      <c r="AH1291" s="31"/>
      <c r="AI1291" s="31"/>
      <c r="AJ1291" s="31"/>
      <c r="AK1291" s="31"/>
      <c r="AL1291" s="28" t="str">
        <f>VLOOKUP($G1291,'[42]Sheet1 (2)'!$A$1:$B$1048440,2,FALSE)</f>
        <v>Sqm</v>
      </c>
      <c r="AM1291" s="32"/>
      <c r="AN1291" s="31"/>
      <c r="AO1291" s="33"/>
    </row>
    <row r="1292" spans="1:41" ht="126" x14ac:dyDescent="0.25">
      <c r="A1292" s="20">
        <v>1154</v>
      </c>
      <c r="B1292" s="21" t="s">
        <v>2223</v>
      </c>
      <c r="C1292" s="22">
        <v>38.14</v>
      </c>
      <c r="D1292" s="25" t="s">
        <v>2260</v>
      </c>
      <c r="E1292" s="23" t="s">
        <v>2261</v>
      </c>
      <c r="F1292" s="24" t="s">
        <v>742</v>
      </c>
      <c r="G1292" s="202" t="s">
        <v>621</v>
      </c>
      <c r="H1292" s="26">
        <v>1269</v>
      </c>
      <c r="I1292" s="26">
        <v>797</v>
      </c>
      <c r="J1292" s="31"/>
      <c r="K1292" s="31"/>
      <c r="L1292" s="31"/>
      <c r="M1292" s="31"/>
      <c r="N1292" s="31"/>
      <c r="O1292" s="31"/>
      <c r="P1292" s="31"/>
      <c r="Q1292" s="31"/>
      <c r="R1292" s="31"/>
      <c r="S1292" s="31"/>
      <c r="T1292" s="31"/>
      <c r="U1292" s="31"/>
      <c r="V1292" s="31"/>
      <c r="W1292" s="31"/>
      <c r="X1292" s="31"/>
      <c r="Y1292" s="31"/>
      <c r="Z1292" s="31"/>
      <c r="AA1292" s="31"/>
      <c r="AB1292" s="31"/>
      <c r="AC1292" s="31"/>
      <c r="AD1292" s="31"/>
      <c r="AE1292" s="31"/>
      <c r="AF1292" s="31"/>
      <c r="AG1292" s="31"/>
      <c r="AH1292" s="31"/>
      <c r="AI1292" s="31"/>
      <c r="AJ1292" s="31"/>
      <c r="AK1292" s="31"/>
      <c r="AL1292" s="28" t="str">
        <f>VLOOKUP($G1292,'[42]Sheet1 (2)'!$A$1:$B$1048440,2,FALSE)</f>
        <v>Sqm</v>
      </c>
      <c r="AM1292" s="32"/>
      <c r="AN1292" s="31"/>
      <c r="AO1292" s="33"/>
    </row>
    <row r="1293" spans="1:41" ht="238" x14ac:dyDescent="0.25">
      <c r="A1293" s="20">
        <v>1155</v>
      </c>
      <c r="B1293" s="21" t="s">
        <v>2223</v>
      </c>
      <c r="C1293" s="22">
        <v>38.15</v>
      </c>
      <c r="D1293" s="25" t="s">
        <v>2260</v>
      </c>
      <c r="E1293" s="24" t="s">
        <v>2262</v>
      </c>
      <c r="F1293" s="24" t="s">
        <v>742</v>
      </c>
      <c r="G1293" s="202" t="s">
        <v>621</v>
      </c>
      <c r="H1293" s="26">
        <v>1168</v>
      </c>
      <c r="I1293" s="26">
        <v>787</v>
      </c>
      <c r="J1293" s="31"/>
      <c r="K1293" s="31"/>
      <c r="L1293" s="31"/>
      <c r="M1293" s="31"/>
      <c r="N1293" s="31"/>
      <c r="O1293" s="31"/>
      <c r="P1293" s="31"/>
      <c r="Q1293" s="31"/>
      <c r="R1293" s="31"/>
      <c r="S1293" s="31"/>
      <c r="T1293" s="31"/>
      <c r="U1293" s="31"/>
      <c r="V1293" s="31"/>
      <c r="W1293" s="31"/>
      <c r="X1293" s="31"/>
      <c r="Y1293" s="31"/>
      <c r="Z1293" s="31"/>
      <c r="AA1293" s="31"/>
      <c r="AB1293" s="31"/>
      <c r="AC1293" s="31"/>
      <c r="AD1293" s="31"/>
      <c r="AE1293" s="31"/>
      <c r="AF1293" s="31"/>
      <c r="AG1293" s="31"/>
      <c r="AH1293" s="31"/>
      <c r="AI1293" s="31"/>
      <c r="AJ1293" s="31"/>
      <c r="AK1293" s="31"/>
      <c r="AL1293" s="28" t="str">
        <f>VLOOKUP($G1293,'[42]Sheet1 (2)'!$A$1:$B$1048440,2,FALSE)</f>
        <v>Sqm</v>
      </c>
      <c r="AM1293" s="32"/>
      <c r="AN1293" s="31"/>
      <c r="AO1293" s="33"/>
    </row>
    <row r="1294" spans="1:41" ht="70" x14ac:dyDescent="0.25">
      <c r="A1294" s="20">
        <v>1156</v>
      </c>
      <c r="B1294" s="21" t="s">
        <v>2223</v>
      </c>
      <c r="C1294" s="22">
        <v>38.159999999999997</v>
      </c>
      <c r="D1294" s="25" t="s">
        <v>2263</v>
      </c>
      <c r="E1294" s="24" t="s">
        <v>2264</v>
      </c>
      <c r="F1294" s="24" t="s">
        <v>2265</v>
      </c>
      <c r="G1294" s="202" t="s">
        <v>621</v>
      </c>
      <c r="H1294" s="26">
        <v>958</v>
      </c>
      <c r="I1294" s="26">
        <v>319</v>
      </c>
      <c r="J1294" s="31"/>
      <c r="K1294" s="31"/>
      <c r="L1294" s="31"/>
      <c r="M1294" s="31"/>
      <c r="N1294" s="31"/>
      <c r="O1294" s="31"/>
      <c r="P1294" s="31"/>
      <c r="Q1294" s="31"/>
      <c r="R1294" s="31"/>
      <c r="S1294" s="31"/>
      <c r="T1294" s="31"/>
      <c r="U1294" s="31"/>
      <c r="V1294" s="31"/>
      <c r="W1294" s="31"/>
      <c r="X1294" s="31"/>
      <c r="Y1294" s="31"/>
      <c r="Z1294" s="31"/>
      <c r="AA1294" s="31"/>
      <c r="AB1294" s="31"/>
      <c r="AC1294" s="31"/>
      <c r="AD1294" s="31"/>
      <c r="AE1294" s="31"/>
      <c r="AF1294" s="31"/>
      <c r="AG1294" s="31"/>
      <c r="AH1294" s="31"/>
      <c r="AI1294" s="31"/>
      <c r="AJ1294" s="31"/>
      <c r="AK1294" s="31"/>
      <c r="AL1294" s="28" t="str">
        <f>VLOOKUP($G1294,'[42]Sheet1 (2)'!$A$1:$B$1048440,2,FALSE)</f>
        <v>Sqm</v>
      </c>
      <c r="AM1294" s="32"/>
      <c r="AN1294" s="31"/>
      <c r="AO1294" s="33"/>
    </row>
    <row r="1295" spans="1:41" ht="98" x14ac:dyDescent="0.25">
      <c r="A1295" s="20">
        <v>1157</v>
      </c>
      <c r="B1295" s="21" t="s">
        <v>2223</v>
      </c>
      <c r="C1295" s="22">
        <v>38.17</v>
      </c>
      <c r="D1295" s="25" t="s">
        <v>2260</v>
      </c>
      <c r="E1295" s="23" t="s">
        <v>2266</v>
      </c>
      <c r="F1295" s="24" t="s">
        <v>742</v>
      </c>
      <c r="G1295" s="202" t="s">
        <v>621</v>
      </c>
      <c r="H1295" s="26">
        <v>1205</v>
      </c>
      <c r="I1295" s="26">
        <v>478</v>
      </c>
      <c r="J1295" s="31"/>
      <c r="K1295" s="31"/>
      <c r="L1295" s="31"/>
      <c r="M1295" s="31"/>
      <c r="N1295" s="31"/>
      <c r="O1295" s="31"/>
      <c r="P1295" s="31"/>
      <c r="Q1295" s="31"/>
      <c r="R1295" s="31"/>
      <c r="S1295" s="31"/>
      <c r="T1295" s="31"/>
      <c r="U1295" s="31"/>
      <c r="V1295" s="31"/>
      <c r="W1295" s="31"/>
      <c r="X1295" s="31"/>
      <c r="Y1295" s="31"/>
      <c r="Z1295" s="31"/>
      <c r="AA1295" s="31"/>
      <c r="AB1295" s="31"/>
      <c r="AC1295" s="31"/>
      <c r="AD1295" s="31"/>
      <c r="AE1295" s="31"/>
      <c r="AF1295" s="31"/>
      <c r="AG1295" s="31"/>
      <c r="AH1295" s="31"/>
      <c r="AI1295" s="31"/>
      <c r="AJ1295" s="31"/>
      <c r="AK1295" s="31"/>
      <c r="AL1295" s="28" t="str">
        <f>VLOOKUP($G1295,'[42]Sheet1 (2)'!$A$1:$B$1048440,2,FALSE)</f>
        <v>Sqm</v>
      </c>
      <c r="AM1295" s="32"/>
      <c r="AN1295" s="31"/>
      <c r="AO1295" s="33"/>
    </row>
    <row r="1296" spans="1:41" ht="98" x14ac:dyDescent="0.25">
      <c r="A1296" s="20">
        <v>1158</v>
      </c>
      <c r="B1296" s="21" t="s">
        <v>2223</v>
      </c>
      <c r="C1296" s="22">
        <v>38.18</v>
      </c>
      <c r="D1296" s="25" t="s">
        <v>2267</v>
      </c>
      <c r="E1296" s="24" t="s">
        <v>2268</v>
      </c>
      <c r="F1296" s="24" t="s">
        <v>2269</v>
      </c>
      <c r="G1296" s="202" t="s">
        <v>621</v>
      </c>
      <c r="H1296" s="26">
        <v>1527</v>
      </c>
      <c r="I1296" s="26">
        <v>718</v>
      </c>
      <c r="J1296" s="31"/>
      <c r="K1296" s="31"/>
      <c r="L1296" s="31"/>
      <c r="M1296" s="31"/>
      <c r="N1296" s="31"/>
      <c r="O1296" s="31"/>
      <c r="P1296" s="31"/>
      <c r="Q1296" s="31"/>
      <c r="R1296" s="31"/>
      <c r="S1296" s="31"/>
      <c r="T1296" s="31"/>
      <c r="U1296" s="31"/>
      <c r="V1296" s="31"/>
      <c r="W1296" s="31"/>
      <c r="X1296" s="31"/>
      <c r="Y1296" s="31"/>
      <c r="Z1296" s="31"/>
      <c r="AA1296" s="31"/>
      <c r="AB1296" s="31"/>
      <c r="AC1296" s="31"/>
      <c r="AD1296" s="31"/>
      <c r="AE1296" s="31"/>
      <c r="AF1296" s="31"/>
      <c r="AG1296" s="31"/>
      <c r="AH1296" s="31"/>
      <c r="AI1296" s="31"/>
      <c r="AJ1296" s="31"/>
      <c r="AK1296" s="31"/>
      <c r="AL1296" s="28" t="str">
        <f>VLOOKUP($G1296,'[42]Sheet1 (2)'!$A$1:$B$1048440,2,FALSE)</f>
        <v>Sqm</v>
      </c>
      <c r="AM1296" s="32"/>
      <c r="AN1296" s="31"/>
      <c r="AO1296" s="33"/>
    </row>
    <row r="1297" spans="1:41" ht="98" x14ac:dyDescent="0.25">
      <c r="A1297" s="20">
        <v>1159</v>
      </c>
      <c r="B1297" s="21" t="s">
        <v>2223</v>
      </c>
      <c r="C1297" s="22">
        <v>38.19</v>
      </c>
      <c r="D1297" s="25" t="s">
        <v>2260</v>
      </c>
      <c r="E1297" s="23" t="s">
        <v>2270</v>
      </c>
      <c r="F1297" s="24" t="s">
        <v>742</v>
      </c>
      <c r="G1297" s="202" t="s">
        <v>621</v>
      </c>
      <c r="H1297" s="26">
        <v>1752</v>
      </c>
      <c r="I1297" s="26">
        <v>787</v>
      </c>
      <c r="J1297" s="31"/>
      <c r="K1297" s="31"/>
      <c r="L1297" s="31"/>
      <c r="M1297" s="31"/>
      <c r="N1297" s="31"/>
      <c r="O1297" s="31"/>
      <c r="P1297" s="31"/>
      <c r="Q1297" s="31"/>
      <c r="R1297" s="31"/>
      <c r="S1297" s="31"/>
      <c r="T1297" s="31"/>
      <c r="U1297" s="31"/>
      <c r="V1297" s="31"/>
      <c r="W1297" s="31"/>
      <c r="X1297" s="31"/>
      <c r="Y1297" s="31"/>
      <c r="Z1297" s="31"/>
      <c r="AA1297" s="31"/>
      <c r="AB1297" s="31"/>
      <c r="AC1297" s="31"/>
      <c r="AD1297" s="31"/>
      <c r="AE1297" s="31"/>
      <c r="AF1297" s="31"/>
      <c r="AG1297" s="31"/>
      <c r="AH1297" s="31"/>
      <c r="AI1297" s="31"/>
      <c r="AJ1297" s="31"/>
      <c r="AK1297" s="31"/>
      <c r="AL1297" s="28" t="str">
        <f>VLOOKUP($G1297,'[42]Sheet1 (2)'!$A$1:$B$1048440,2,FALSE)</f>
        <v>Sqm</v>
      </c>
      <c r="AM1297" s="32"/>
      <c r="AN1297" s="31"/>
      <c r="AO1297" s="33"/>
    </row>
    <row r="1298" spans="1:41" ht="98" x14ac:dyDescent="0.25">
      <c r="A1298" s="20">
        <v>1160</v>
      </c>
      <c r="B1298" s="21" t="s">
        <v>2223</v>
      </c>
      <c r="C1298" s="22">
        <v>38.200000000000003</v>
      </c>
      <c r="D1298" s="25" t="s">
        <v>2263</v>
      </c>
      <c r="E1298" s="23" t="s">
        <v>2271</v>
      </c>
      <c r="F1298" s="24" t="s">
        <v>2272</v>
      </c>
      <c r="G1298" s="202" t="s">
        <v>621</v>
      </c>
      <c r="H1298" s="26">
        <v>1590</v>
      </c>
      <c r="I1298" s="26">
        <v>354</v>
      </c>
      <c r="J1298" s="31"/>
      <c r="K1298" s="31"/>
      <c r="L1298" s="31"/>
      <c r="M1298" s="31"/>
      <c r="N1298" s="31"/>
      <c r="O1298" s="31"/>
      <c r="P1298" s="31"/>
      <c r="Q1298" s="31"/>
      <c r="R1298" s="31"/>
      <c r="S1298" s="31"/>
      <c r="T1298" s="31"/>
      <c r="U1298" s="31"/>
      <c r="V1298" s="31"/>
      <c r="W1298" s="31"/>
      <c r="X1298" s="31"/>
      <c r="Y1298" s="31"/>
      <c r="Z1298" s="31"/>
      <c r="AA1298" s="31"/>
      <c r="AB1298" s="31"/>
      <c r="AC1298" s="31"/>
      <c r="AD1298" s="31"/>
      <c r="AE1298" s="31"/>
      <c r="AF1298" s="31"/>
      <c r="AG1298" s="31"/>
      <c r="AH1298" s="31"/>
      <c r="AI1298" s="31"/>
      <c r="AJ1298" s="31"/>
      <c r="AK1298" s="31"/>
      <c r="AL1298" s="28" t="str">
        <f>VLOOKUP($G1298,'[42]Sheet1 (2)'!$A$1:$B$1048440,2,FALSE)</f>
        <v>Sqm</v>
      </c>
      <c r="AM1298" s="32"/>
      <c r="AN1298" s="31"/>
      <c r="AO1298" s="33"/>
    </row>
    <row r="1299" spans="1:41" ht="84" x14ac:dyDescent="0.25">
      <c r="A1299" s="20">
        <v>1161</v>
      </c>
      <c r="B1299" s="21" t="s">
        <v>2223</v>
      </c>
      <c r="C1299" s="22">
        <v>38.21</v>
      </c>
      <c r="D1299" s="25" t="s">
        <v>2263</v>
      </c>
      <c r="E1299" s="23" t="s">
        <v>2273</v>
      </c>
      <c r="F1299" s="24" t="s">
        <v>2272</v>
      </c>
      <c r="G1299" s="202" t="s">
        <v>621</v>
      </c>
      <c r="H1299" s="26">
        <v>2435</v>
      </c>
      <c r="I1299" s="26">
        <v>354</v>
      </c>
      <c r="J1299" s="31"/>
      <c r="K1299" s="31"/>
      <c r="L1299" s="31"/>
      <c r="M1299" s="31"/>
      <c r="N1299" s="31"/>
      <c r="O1299" s="31"/>
      <c r="P1299" s="31"/>
      <c r="Q1299" s="31"/>
      <c r="R1299" s="31"/>
      <c r="S1299" s="31"/>
      <c r="T1299" s="31"/>
      <c r="U1299" s="31"/>
      <c r="V1299" s="31"/>
      <c r="W1299" s="31"/>
      <c r="X1299" s="31"/>
      <c r="Y1299" s="31"/>
      <c r="Z1299" s="31"/>
      <c r="AA1299" s="31"/>
      <c r="AB1299" s="31"/>
      <c r="AC1299" s="31"/>
      <c r="AD1299" s="31"/>
      <c r="AE1299" s="31"/>
      <c r="AF1299" s="31"/>
      <c r="AG1299" s="31"/>
      <c r="AH1299" s="31"/>
      <c r="AI1299" s="31"/>
      <c r="AJ1299" s="31"/>
      <c r="AK1299" s="31"/>
      <c r="AL1299" s="28" t="str">
        <f>VLOOKUP($G1299,'[42]Sheet1 (2)'!$A$1:$B$1048440,2,FALSE)</f>
        <v>Sqm</v>
      </c>
      <c r="AM1299" s="32"/>
      <c r="AN1299" s="31"/>
      <c r="AO1299" s="33"/>
    </row>
    <row r="1300" spans="1:41" ht="56" x14ac:dyDescent="0.25">
      <c r="A1300" s="20">
        <v>1162</v>
      </c>
      <c r="B1300" s="21" t="s">
        <v>2223</v>
      </c>
      <c r="C1300" s="22">
        <v>38.22</v>
      </c>
      <c r="D1300" s="25" t="s">
        <v>2260</v>
      </c>
      <c r="E1300" s="24" t="s">
        <v>2274</v>
      </c>
      <c r="F1300" s="35" t="s">
        <v>1839</v>
      </c>
      <c r="G1300" s="202" t="s">
        <v>621</v>
      </c>
      <c r="H1300" s="26">
        <v>166</v>
      </c>
      <c r="I1300" s="26">
        <v>53</v>
      </c>
      <c r="J1300" s="31"/>
      <c r="K1300" s="31"/>
      <c r="L1300" s="31"/>
      <c r="M1300" s="31"/>
      <c r="N1300" s="31"/>
      <c r="O1300" s="31"/>
      <c r="P1300" s="31"/>
      <c r="Q1300" s="31"/>
      <c r="R1300" s="31"/>
      <c r="S1300" s="31"/>
      <c r="T1300" s="31"/>
      <c r="U1300" s="31"/>
      <c r="V1300" s="31"/>
      <c r="W1300" s="31"/>
      <c r="X1300" s="31"/>
      <c r="Y1300" s="31"/>
      <c r="Z1300" s="31"/>
      <c r="AA1300" s="31"/>
      <c r="AB1300" s="31"/>
      <c r="AC1300" s="31"/>
      <c r="AD1300" s="31"/>
      <c r="AE1300" s="31"/>
      <c r="AF1300" s="31"/>
      <c r="AG1300" s="31"/>
      <c r="AH1300" s="31"/>
      <c r="AI1300" s="31"/>
      <c r="AJ1300" s="31"/>
      <c r="AK1300" s="31"/>
      <c r="AL1300" s="28" t="str">
        <f>VLOOKUP($G1300,'[42]Sheet1 (2)'!$A$1:$B$1048440,2,FALSE)</f>
        <v>Sqm</v>
      </c>
      <c r="AM1300" s="32"/>
      <c r="AN1300" s="31"/>
      <c r="AO1300" s="33"/>
    </row>
    <row r="1301" spans="1:41" ht="56" x14ac:dyDescent="0.25">
      <c r="A1301" s="20">
        <v>1163</v>
      </c>
      <c r="B1301" s="21" t="s">
        <v>2223</v>
      </c>
      <c r="C1301" s="22">
        <v>38.229999999999997</v>
      </c>
      <c r="D1301" s="25" t="s">
        <v>2260</v>
      </c>
      <c r="E1301" s="24" t="s">
        <v>2275</v>
      </c>
      <c r="F1301" s="35" t="s">
        <v>1761</v>
      </c>
      <c r="G1301" s="202" t="s">
        <v>621</v>
      </c>
      <c r="H1301" s="26">
        <v>55</v>
      </c>
      <c r="I1301" s="26">
        <v>38</v>
      </c>
      <c r="J1301" s="31"/>
      <c r="K1301" s="31"/>
      <c r="L1301" s="31"/>
      <c r="M1301" s="31"/>
      <c r="N1301" s="31"/>
      <c r="O1301" s="31"/>
      <c r="P1301" s="31"/>
      <c r="Q1301" s="31"/>
      <c r="R1301" s="31"/>
      <c r="S1301" s="31"/>
      <c r="T1301" s="31"/>
      <c r="U1301" s="31"/>
      <c r="V1301" s="31"/>
      <c r="W1301" s="31"/>
      <c r="X1301" s="31"/>
      <c r="Y1301" s="31"/>
      <c r="Z1301" s="31"/>
      <c r="AA1301" s="31"/>
      <c r="AB1301" s="31"/>
      <c r="AC1301" s="31"/>
      <c r="AD1301" s="31"/>
      <c r="AE1301" s="31"/>
      <c r="AF1301" s="31"/>
      <c r="AG1301" s="31"/>
      <c r="AH1301" s="31"/>
      <c r="AI1301" s="31"/>
      <c r="AJ1301" s="31"/>
      <c r="AK1301" s="31"/>
      <c r="AL1301" s="28" t="str">
        <f>VLOOKUP($G1301,'[42]Sheet1 (2)'!$A$1:$B$1048440,2,FALSE)</f>
        <v>Sqm</v>
      </c>
      <c r="AM1301" s="32"/>
      <c r="AN1301" s="31"/>
      <c r="AO1301" s="33"/>
    </row>
    <row r="1302" spans="1:41" ht="56" x14ac:dyDescent="0.25">
      <c r="A1302" s="20">
        <v>1164</v>
      </c>
      <c r="B1302" s="35" t="s">
        <v>2250</v>
      </c>
      <c r="C1302" s="22">
        <v>38.24</v>
      </c>
      <c r="D1302" s="25" t="s">
        <v>2260</v>
      </c>
      <c r="E1302" s="23" t="s">
        <v>2276</v>
      </c>
      <c r="F1302" s="35" t="s">
        <v>1761</v>
      </c>
      <c r="G1302" s="202" t="s">
        <v>621</v>
      </c>
      <c r="H1302" s="26">
        <v>96</v>
      </c>
      <c r="I1302" s="26">
        <v>94</v>
      </c>
      <c r="J1302" s="31"/>
      <c r="K1302" s="31"/>
      <c r="L1302" s="31"/>
      <c r="M1302" s="31"/>
      <c r="N1302" s="31"/>
      <c r="O1302" s="31"/>
      <c r="P1302" s="31"/>
      <c r="Q1302" s="31"/>
      <c r="R1302" s="31"/>
      <c r="S1302" s="31"/>
      <c r="T1302" s="31"/>
      <c r="U1302" s="31"/>
      <c r="V1302" s="31"/>
      <c r="W1302" s="31"/>
      <c r="X1302" s="31"/>
      <c r="Y1302" s="31"/>
      <c r="Z1302" s="31"/>
      <c r="AA1302" s="31"/>
      <c r="AB1302" s="31"/>
      <c r="AC1302" s="31"/>
      <c r="AD1302" s="31"/>
      <c r="AE1302" s="31"/>
      <c r="AF1302" s="31"/>
      <c r="AG1302" s="31"/>
      <c r="AH1302" s="31"/>
      <c r="AI1302" s="31"/>
      <c r="AJ1302" s="31"/>
      <c r="AK1302" s="31"/>
      <c r="AL1302" s="28" t="str">
        <f>VLOOKUP($G1302,'[42]Sheet1 (2)'!$A$1:$B$1048440,2,FALSE)</f>
        <v>Sqm</v>
      </c>
      <c r="AM1302" s="32"/>
      <c r="AN1302" s="31"/>
      <c r="AO1302" s="33"/>
    </row>
    <row r="1303" spans="1:41" ht="56" x14ac:dyDescent="0.25">
      <c r="A1303" s="20">
        <v>1165</v>
      </c>
      <c r="B1303" s="21" t="s">
        <v>2223</v>
      </c>
      <c r="C1303" s="22">
        <v>38.25</v>
      </c>
      <c r="D1303" s="25" t="s">
        <v>2260</v>
      </c>
      <c r="E1303" s="23" t="s">
        <v>2277</v>
      </c>
      <c r="F1303" s="24" t="s">
        <v>44</v>
      </c>
      <c r="G1303" s="202" t="s">
        <v>621</v>
      </c>
      <c r="H1303" s="26">
        <v>72</v>
      </c>
      <c r="I1303" s="26">
        <v>72</v>
      </c>
      <c r="J1303" s="31"/>
      <c r="K1303" s="31"/>
      <c r="L1303" s="31"/>
      <c r="M1303" s="31"/>
      <c r="N1303" s="31"/>
      <c r="O1303" s="31"/>
      <c r="P1303" s="31"/>
      <c r="Q1303" s="31"/>
      <c r="R1303" s="31"/>
      <c r="S1303" s="31"/>
      <c r="T1303" s="31"/>
      <c r="U1303" s="31"/>
      <c r="V1303" s="31"/>
      <c r="W1303" s="31"/>
      <c r="X1303" s="31"/>
      <c r="Y1303" s="31"/>
      <c r="Z1303" s="31"/>
      <c r="AA1303" s="31"/>
      <c r="AB1303" s="31"/>
      <c r="AC1303" s="31"/>
      <c r="AD1303" s="31"/>
      <c r="AE1303" s="31"/>
      <c r="AF1303" s="31"/>
      <c r="AG1303" s="31"/>
      <c r="AH1303" s="31"/>
      <c r="AI1303" s="31"/>
      <c r="AJ1303" s="31"/>
      <c r="AK1303" s="31"/>
      <c r="AL1303" s="28" t="str">
        <f>VLOOKUP($G1303,'[42]Sheet1 (2)'!$A$1:$B$1048440,2,FALSE)</f>
        <v>Sqm</v>
      </c>
      <c r="AM1303" s="32"/>
      <c r="AN1303" s="31"/>
      <c r="AO1303" s="33"/>
    </row>
    <row r="1304" spans="1:41" ht="70" x14ac:dyDescent="0.25">
      <c r="A1304" s="20">
        <v>1166</v>
      </c>
      <c r="B1304" s="21" t="s">
        <v>2223</v>
      </c>
      <c r="C1304" s="22">
        <v>38.26</v>
      </c>
      <c r="D1304" s="25" t="s">
        <v>2260</v>
      </c>
      <c r="E1304" s="23" t="s">
        <v>2278</v>
      </c>
      <c r="F1304" s="24" t="s">
        <v>742</v>
      </c>
      <c r="G1304" s="202" t="s">
        <v>621</v>
      </c>
      <c r="H1304" s="26">
        <v>89</v>
      </c>
      <c r="I1304" s="26">
        <v>89</v>
      </c>
      <c r="J1304" s="31"/>
      <c r="K1304" s="31"/>
      <c r="L1304" s="31"/>
      <c r="M1304" s="31"/>
      <c r="N1304" s="31"/>
      <c r="O1304" s="31"/>
      <c r="P1304" s="31"/>
      <c r="Q1304" s="31"/>
      <c r="R1304" s="31"/>
      <c r="S1304" s="31"/>
      <c r="T1304" s="31"/>
      <c r="U1304" s="31"/>
      <c r="V1304" s="31"/>
      <c r="W1304" s="31"/>
      <c r="X1304" s="31"/>
      <c r="Y1304" s="31"/>
      <c r="Z1304" s="31"/>
      <c r="AA1304" s="31"/>
      <c r="AB1304" s="31"/>
      <c r="AC1304" s="31"/>
      <c r="AD1304" s="31"/>
      <c r="AE1304" s="31"/>
      <c r="AF1304" s="31"/>
      <c r="AG1304" s="31"/>
      <c r="AH1304" s="31"/>
      <c r="AI1304" s="31"/>
      <c r="AJ1304" s="31"/>
      <c r="AK1304" s="31"/>
      <c r="AL1304" s="28" t="str">
        <f>VLOOKUP($G1304,'[42]Sheet1 (2)'!$A$1:$B$1048440,2,FALSE)</f>
        <v>Sqm</v>
      </c>
      <c r="AM1304" s="32"/>
      <c r="AN1304" s="31"/>
      <c r="AO1304" s="33"/>
    </row>
    <row r="1305" spans="1:41" ht="56" x14ac:dyDescent="0.25">
      <c r="A1305" s="20">
        <v>1167</v>
      </c>
      <c r="B1305" s="21" t="s">
        <v>2223</v>
      </c>
      <c r="C1305" s="22">
        <v>38.270000000000003</v>
      </c>
      <c r="D1305" s="25" t="s">
        <v>2260</v>
      </c>
      <c r="E1305" s="24" t="s">
        <v>2279</v>
      </c>
      <c r="F1305" s="35" t="s">
        <v>1839</v>
      </c>
      <c r="G1305" s="25" t="s">
        <v>45</v>
      </c>
      <c r="H1305" s="26">
        <v>774</v>
      </c>
      <c r="I1305" s="26">
        <v>774</v>
      </c>
      <c r="J1305" s="31"/>
      <c r="K1305" s="31"/>
      <c r="L1305" s="31"/>
      <c r="M1305" s="31"/>
      <c r="N1305" s="31"/>
      <c r="O1305" s="31"/>
      <c r="P1305" s="31"/>
      <c r="Q1305" s="31"/>
      <c r="R1305" s="31"/>
      <c r="S1305" s="31"/>
      <c r="T1305" s="31"/>
      <c r="U1305" s="31"/>
      <c r="V1305" s="31"/>
      <c r="W1305" s="31"/>
      <c r="X1305" s="31"/>
      <c r="Y1305" s="31"/>
      <c r="Z1305" s="31"/>
      <c r="AA1305" s="31"/>
      <c r="AB1305" s="31"/>
      <c r="AC1305" s="31"/>
      <c r="AD1305" s="31"/>
      <c r="AE1305" s="31"/>
      <c r="AF1305" s="31"/>
      <c r="AG1305" s="31"/>
      <c r="AH1305" s="31"/>
      <c r="AI1305" s="31"/>
      <c r="AJ1305" s="31"/>
      <c r="AK1305" s="31"/>
      <c r="AL1305" s="28" t="str">
        <f>VLOOKUP($G1305,'[42]Sheet1 (2)'!$A$1:$B$1048440,2,FALSE)</f>
        <v>No.</v>
      </c>
      <c r="AM1305" s="32"/>
      <c r="AN1305" s="31"/>
      <c r="AO1305" s="33"/>
    </row>
    <row r="1306" spans="1:41" ht="56" x14ac:dyDescent="0.25">
      <c r="A1306" s="20">
        <v>1168</v>
      </c>
      <c r="B1306" s="21" t="s">
        <v>2223</v>
      </c>
      <c r="C1306" s="22">
        <v>38.28</v>
      </c>
      <c r="D1306" s="25" t="s">
        <v>2260</v>
      </c>
      <c r="E1306" s="24" t="s">
        <v>2280</v>
      </c>
      <c r="F1306" s="35" t="s">
        <v>1761</v>
      </c>
      <c r="G1306" s="25" t="s">
        <v>1046</v>
      </c>
      <c r="H1306" s="26">
        <v>2408</v>
      </c>
      <c r="I1306" s="26">
        <v>2408</v>
      </c>
      <c r="J1306" s="31"/>
      <c r="K1306" s="31"/>
      <c r="L1306" s="31"/>
      <c r="M1306" s="31"/>
      <c r="N1306" s="31"/>
      <c r="O1306" s="31"/>
      <c r="P1306" s="31"/>
      <c r="Q1306" s="31"/>
      <c r="R1306" s="31"/>
      <c r="S1306" s="31"/>
      <c r="T1306" s="31"/>
      <c r="U1306" s="31"/>
      <c r="V1306" s="31"/>
      <c r="W1306" s="31"/>
      <c r="X1306" s="31"/>
      <c r="Y1306" s="31"/>
      <c r="Z1306" s="31"/>
      <c r="AA1306" s="31"/>
      <c r="AB1306" s="31"/>
      <c r="AC1306" s="31"/>
      <c r="AD1306" s="31"/>
      <c r="AE1306" s="31"/>
      <c r="AF1306" s="31"/>
      <c r="AG1306" s="31"/>
      <c r="AH1306" s="31"/>
      <c r="AI1306" s="31"/>
      <c r="AJ1306" s="31"/>
      <c r="AK1306" s="31"/>
      <c r="AL1306" s="28" t="str">
        <f>VLOOKUP($G1306,'[42]Sheet1 (2)'!$A$1:$B$1048440,2,FALSE)</f>
        <v>M.T.</v>
      </c>
      <c r="AM1306" s="32"/>
      <c r="AN1306" s="31"/>
      <c r="AO1306" s="33"/>
    </row>
    <row r="1307" spans="1:41" ht="56" x14ac:dyDescent="0.25">
      <c r="A1307" s="20">
        <v>1169</v>
      </c>
      <c r="B1307" s="35" t="s">
        <v>2250</v>
      </c>
      <c r="C1307" s="22">
        <v>38.29</v>
      </c>
      <c r="D1307" s="25" t="s">
        <v>2260</v>
      </c>
      <c r="E1307" s="23" t="s">
        <v>2281</v>
      </c>
      <c r="F1307" s="35" t="s">
        <v>1761</v>
      </c>
      <c r="G1307" s="35" t="s">
        <v>941</v>
      </c>
      <c r="H1307" s="26">
        <v>124</v>
      </c>
      <c r="I1307" s="26">
        <v>20</v>
      </c>
      <c r="J1307" s="31"/>
      <c r="K1307" s="31"/>
      <c r="L1307" s="31"/>
      <c r="M1307" s="31"/>
      <c r="N1307" s="31"/>
      <c r="O1307" s="31"/>
      <c r="P1307" s="31"/>
      <c r="Q1307" s="31"/>
      <c r="R1307" s="31"/>
      <c r="S1307" s="31"/>
      <c r="T1307" s="31"/>
      <c r="U1307" s="31"/>
      <c r="V1307" s="31"/>
      <c r="W1307" s="31"/>
      <c r="X1307" s="31"/>
      <c r="Y1307" s="31"/>
      <c r="Z1307" s="31"/>
      <c r="AA1307" s="31"/>
      <c r="AB1307" s="31"/>
      <c r="AC1307" s="31"/>
      <c r="AD1307" s="31"/>
      <c r="AE1307" s="31"/>
      <c r="AF1307" s="31"/>
      <c r="AG1307" s="31"/>
      <c r="AH1307" s="31"/>
      <c r="AI1307" s="31"/>
      <c r="AJ1307" s="31"/>
      <c r="AK1307" s="31"/>
      <c r="AL1307" s="28" t="e">
        <f>VLOOKUP($G1307,'[42]Sheet1 (2)'!$A$1:$B$1048440,2,FALSE)</f>
        <v>#N/A</v>
      </c>
      <c r="AM1307" s="32"/>
      <c r="AN1307" s="31"/>
      <c r="AO1307" s="33"/>
    </row>
    <row r="1308" spans="1:41" ht="56" x14ac:dyDescent="0.25">
      <c r="A1308" s="20">
        <v>1170</v>
      </c>
      <c r="B1308" s="21" t="s">
        <v>2223</v>
      </c>
      <c r="C1308" s="22">
        <v>38.299999999999997</v>
      </c>
      <c r="D1308" s="25" t="s">
        <v>2260</v>
      </c>
      <c r="E1308" s="24" t="s">
        <v>2282</v>
      </c>
      <c r="F1308" s="35" t="s">
        <v>1839</v>
      </c>
      <c r="G1308" s="21" t="s">
        <v>80</v>
      </c>
      <c r="H1308" s="26">
        <v>51</v>
      </c>
      <c r="I1308" s="26">
        <v>25</v>
      </c>
      <c r="J1308" s="31"/>
      <c r="K1308" s="31"/>
      <c r="L1308" s="31"/>
      <c r="M1308" s="31"/>
      <c r="N1308" s="31"/>
      <c r="O1308" s="31"/>
      <c r="P1308" s="31"/>
      <c r="Q1308" s="31"/>
      <c r="R1308" s="31"/>
      <c r="S1308" s="31"/>
      <c r="T1308" s="31"/>
      <c r="U1308" s="31"/>
      <c r="V1308" s="31"/>
      <c r="W1308" s="31"/>
      <c r="X1308" s="31"/>
      <c r="Y1308" s="31"/>
      <c r="Z1308" s="31"/>
      <c r="AA1308" s="31"/>
      <c r="AB1308" s="31"/>
      <c r="AC1308" s="31"/>
      <c r="AD1308" s="31"/>
      <c r="AE1308" s="31"/>
      <c r="AF1308" s="31"/>
      <c r="AG1308" s="31"/>
      <c r="AH1308" s="31"/>
      <c r="AI1308" s="31"/>
      <c r="AJ1308" s="31"/>
      <c r="AK1308" s="31"/>
      <c r="AL1308" s="28" t="str">
        <f>VLOOKUP($G1308,'[42]Sheet1 (2)'!$A$1:$B$1048440,2,FALSE)</f>
        <v>Rmt.</v>
      </c>
      <c r="AM1308" s="32"/>
      <c r="AN1308" s="31"/>
      <c r="AO1308" s="33"/>
    </row>
    <row r="1309" spans="1:41" ht="70" x14ac:dyDescent="0.25">
      <c r="A1309" s="20">
        <v>1171</v>
      </c>
      <c r="B1309" s="21" t="s">
        <v>2223</v>
      </c>
      <c r="C1309" s="22">
        <v>38.31</v>
      </c>
      <c r="D1309" s="25" t="s">
        <v>2260</v>
      </c>
      <c r="E1309" s="23" t="s">
        <v>2283</v>
      </c>
      <c r="F1309" s="24" t="s">
        <v>742</v>
      </c>
      <c r="G1309" s="202" t="s">
        <v>621</v>
      </c>
      <c r="H1309" s="26">
        <v>1461</v>
      </c>
      <c r="I1309" s="26">
        <v>124</v>
      </c>
      <c r="J1309" s="31"/>
      <c r="K1309" s="31"/>
      <c r="L1309" s="31"/>
      <c r="M1309" s="31"/>
      <c r="N1309" s="31"/>
      <c r="O1309" s="31"/>
      <c r="P1309" s="31"/>
      <c r="Q1309" s="31"/>
      <c r="R1309" s="31"/>
      <c r="S1309" s="31"/>
      <c r="T1309" s="31"/>
      <c r="U1309" s="31"/>
      <c r="V1309" s="31"/>
      <c r="W1309" s="31"/>
      <c r="X1309" s="31"/>
      <c r="Y1309" s="31"/>
      <c r="Z1309" s="31"/>
      <c r="AA1309" s="31"/>
      <c r="AB1309" s="31"/>
      <c r="AC1309" s="31"/>
      <c r="AD1309" s="31"/>
      <c r="AE1309" s="31"/>
      <c r="AF1309" s="31"/>
      <c r="AG1309" s="31"/>
      <c r="AH1309" s="31"/>
      <c r="AI1309" s="31"/>
      <c r="AJ1309" s="31"/>
      <c r="AK1309" s="31"/>
      <c r="AL1309" s="28" t="str">
        <f>VLOOKUP($G1309,'[42]Sheet1 (2)'!$A$1:$B$1048440,2,FALSE)</f>
        <v>Sqm</v>
      </c>
      <c r="AM1309" s="32"/>
      <c r="AN1309" s="31"/>
      <c r="AO1309" s="33"/>
    </row>
    <row r="1310" spans="1:41" ht="56" x14ac:dyDescent="0.25">
      <c r="A1310" s="20">
        <v>1172</v>
      </c>
      <c r="B1310" s="35" t="s">
        <v>2250</v>
      </c>
      <c r="C1310" s="22">
        <v>38.32</v>
      </c>
      <c r="D1310" s="25" t="s">
        <v>2260</v>
      </c>
      <c r="E1310" s="23" t="s">
        <v>2284</v>
      </c>
      <c r="F1310" s="35" t="s">
        <v>1761</v>
      </c>
      <c r="G1310" s="25" t="s">
        <v>45</v>
      </c>
      <c r="H1310" s="26">
        <v>140</v>
      </c>
      <c r="I1310" s="26">
        <v>112</v>
      </c>
      <c r="J1310" s="31"/>
      <c r="K1310" s="31"/>
      <c r="L1310" s="31"/>
      <c r="M1310" s="31"/>
      <c r="N1310" s="31"/>
      <c r="O1310" s="31"/>
      <c r="P1310" s="31"/>
      <c r="Q1310" s="31"/>
      <c r="R1310" s="31"/>
      <c r="S1310" s="31"/>
      <c r="T1310" s="31"/>
      <c r="U1310" s="31"/>
      <c r="V1310" s="31"/>
      <c r="W1310" s="31"/>
      <c r="X1310" s="31"/>
      <c r="Y1310" s="31"/>
      <c r="Z1310" s="31"/>
      <c r="AA1310" s="31"/>
      <c r="AB1310" s="31"/>
      <c r="AC1310" s="31"/>
      <c r="AD1310" s="31"/>
      <c r="AE1310" s="31"/>
      <c r="AF1310" s="31"/>
      <c r="AG1310" s="31"/>
      <c r="AH1310" s="31"/>
      <c r="AI1310" s="31"/>
      <c r="AJ1310" s="31"/>
      <c r="AK1310" s="31"/>
      <c r="AL1310" s="28" t="str">
        <f>VLOOKUP($G1310,'[42]Sheet1 (2)'!$A$1:$B$1048440,2,FALSE)</f>
        <v>No.</v>
      </c>
      <c r="AM1310" s="32"/>
      <c r="AN1310" s="31"/>
      <c r="AO1310" s="33"/>
    </row>
    <row r="1311" spans="1:41" ht="70" x14ac:dyDescent="0.25">
      <c r="A1311" s="20">
        <v>1173</v>
      </c>
      <c r="B1311" s="35" t="s">
        <v>2250</v>
      </c>
      <c r="C1311" s="22">
        <v>38.33</v>
      </c>
      <c r="D1311" s="25" t="s">
        <v>2230</v>
      </c>
      <c r="E1311" s="23" t="s">
        <v>2285</v>
      </c>
      <c r="F1311" s="92" t="s">
        <v>2286</v>
      </c>
      <c r="G1311" s="202" t="s">
        <v>621</v>
      </c>
      <c r="H1311" s="26">
        <v>1065</v>
      </c>
      <c r="I1311" s="26">
        <v>460</v>
      </c>
      <c r="J1311" s="31"/>
      <c r="K1311" s="31"/>
      <c r="L1311" s="31"/>
      <c r="M1311" s="31"/>
      <c r="N1311" s="31"/>
      <c r="O1311" s="31"/>
      <c r="P1311" s="31"/>
      <c r="Q1311" s="31"/>
      <c r="R1311" s="31"/>
      <c r="S1311" s="31"/>
      <c r="T1311" s="31"/>
      <c r="U1311" s="31"/>
      <c r="V1311" s="31"/>
      <c r="W1311" s="31"/>
      <c r="X1311" s="31"/>
      <c r="Y1311" s="31"/>
      <c r="Z1311" s="31"/>
      <c r="AA1311" s="31"/>
      <c r="AB1311" s="31"/>
      <c r="AC1311" s="31"/>
      <c r="AD1311" s="31"/>
      <c r="AE1311" s="31"/>
      <c r="AF1311" s="31"/>
      <c r="AG1311" s="31"/>
      <c r="AH1311" s="31"/>
      <c r="AI1311" s="31"/>
      <c r="AJ1311" s="31"/>
      <c r="AK1311" s="31"/>
      <c r="AL1311" s="28" t="str">
        <f>VLOOKUP($G1311,'[42]Sheet1 (2)'!$A$1:$B$1048440,2,FALSE)</f>
        <v>Sqm</v>
      </c>
      <c r="AM1311" s="32"/>
      <c r="AN1311" s="31"/>
      <c r="AO1311" s="33"/>
    </row>
    <row r="1312" spans="1:41" ht="280" x14ac:dyDescent="0.25">
      <c r="A1312" s="20">
        <v>1174</v>
      </c>
      <c r="B1312" s="21" t="s">
        <v>2223</v>
      </c>
      <c r="C1312" s="22">
        <v>38.340000000000003</v>
      </c>
      <c r="D1312" s="25" t="s">
        <v>2260</v>
      </c>
      <c r="E1312" s="24" t="s">
        <v>2287</v>
      </c>
      <c r="F1312" s="24" t="s">
        <v>742</v>
      </c>
      <c r="G1312" s="202" t="s">
        <v>621</v>
      </c>
      <c r="H1312" s="26">
        <v>1173</v>
      </c>
      <c r="I1312" s="26">
        <v>119</v>
      </c>
      <c r="J1312" s="31"/>
      <c r="K1312" s="31"/>
      <c r="L1312" s="31"/>
      <c r="M1312" s="31"/>
      <c r="N1312" s="31"/>
      <c r="O1312" s="31"/>
      <c r="P1312" s="31"/>
      <c r="Q1312" s="31"/>
      <c r="R1312" s="31"/>
      <c r="S1312" s="31"/>
      <c r="T1312" s="31"/>
      <c r="U1312" s="31"/>
      <c r="V1312" s="31"/>
      <c r="W1312" s="31"/>
      <c r="X1312" s="31"/>
      <c r="Y1312" s="31"/>
      <c r="Z1312" s="31"/>
      <c r="AA1312" s="31"/>
      <c r="AB1312" s="31"/>
      <c r="AC1312" s="31"/>
      <c r="AD1312" s="31"/>
      <c r="AE1312" s="31"/>
      <c r="AF1312" s="31"/>
      <c r="AG1312" s="31"/>
      <c r="AH1312" s="31"/>
      <c r="AI1312" s="31"/>
      <c r="AJ1312" s="31"/>
      <c r="AK1312" s="31"/>
      <c r="AL1312" s="28" t="str">
        <f>VLOOKUP($G1312,'[42]Sheet1 (2)'!$A$1:$B$1048440,2,FALSE)</f>
        <v>Sqm</v>
      </c>
      <c r="AM1312" s="32"/>
      <c r="AN1312" s="31"/>
      <c r="AO1312" s="33"/>
    </row>
    <row r="1313" spans="1:41" ht="280" x14ac:dyDescent="0.25">
      <c r="A1313" s="20">
        <v>1175</v>
      </c>
      <c r="B1313" s="21" t="s">
        <v>2223</v>
      </c>
      <c r="C1313" s="22">
        <v>38.35</v>
      </c>
      <c r="D1313" s="25" t="s">
        <v>2260</v>
      </c>
      <c r="E1313" s="24" t="s">
        <v>2288</v>
      </c>
      <c r="F1313" s="24" t="s">
        <v>742</v>
      </c>
      <c r="G1313" s="25" t="s">
        <v>1079</v>
      </c>
      <c r="H1313" s="26">
        <v>751</v>
      </c>
      <c r="I1313" s="26">
        <v>71</v>
      </c>
      <c r="J1313" s="31"/>
      <c r="K1313" s="31"/>
      <c r="L1313" s="31"/>
      <c r="M1313" s="31"/>
      <c r="N1313" s="31"/>
      <c r="O1313" s="31"/>
      <c r="P1313" s="31"/>
      <c r="Q1313" s="31"/>
      <c r="R1313" s="31"/>
      <c r="S1313" s="31"/>
      <c r="T1313" s="31"/>
      <c r="U1313" s="31"/>
      <c r="V1313" s="31"/>
      <c r="W1313" s="31"/>
      <c r="X1313" s="31"/>
      <c r="Y1313" s="31"/>
      <c r="Z1313" s="31"/>
      <c r="AA1313" s="31"/>
      <c r="AB1313" s="31"/>
      <c r="AC1313" s="31"/>
      <c r="AD1313" s="31"/>
      <c r="AE1313" s="31"/>
      <c r="AF1313" s="31"/>
      <c r="AG1313" s="31"/>
      <c r="AH1313" s="31"/>
      <c r="AI1313" s="31"/>
      <c r="AJ1313" s="31"/>
      <c r="AK1313" s="31"/>
      <c r="AL1313" s="28" t="str">
        <f>VLOOKUP($G1313,'[42]Sheet1 (2)'!$A$1:$B$1048440,2,FALSE)</f>
        <v>Rmt.</v>
      </c>
      <c r="AM1313" s="32"/>
      <c r="AN1313" s="31"/>
      <c r="AO1313" s="33"/>
    </row>
    <row r="1314" spans="1:41" ht="294" x14ac:dyDescent="0.25">
      <c r="A1314" s="20">
        <v>1176</v>
      </c>
      <c r="B1314" s="21" t="s">
        <v>2223</v>
      </c>
      <c r="C1314" s="22">
        <v>38.36</v>
      </c>
      <c r="D1314" s="25" t="s">
        <v>2260</v>
      </c>
      <c r="E1314" s="24" t="s">
        <v>2289</v>
      </c>
      <c r="F1314" s="24" t="s">
        <v>742</v>
      </c>
      <c r="G1314" s="25" t="s">
        <v>1079</v>
      </c>
      <c r="H1314" s="26">
        <v>1068</v>
      </c>
      <c r="I1314" s="26">
        <v>107</v>
      </c>
      <c r="J1314" s="31"/>
      <c r="K1314" s="31"/>
      <c r="L1314" s="31"/>
      <c r="M1314" s="31"/>
      <c r="N1314" s="31"/>
      <c r="O1314" s="31"/>
      <c r="P1314" s="31"/>
      <c r="Q1314" s="31"/>
      <c r="R1314" s="31"/>
      <c r="S1314" s="31"/>
      <c r="T1314" s="31"/>
      <c r="U1314" s="31"/>
      <c r="V1314" s="31"/>
      <c r="W1314" s="31"/>
      <c r="X1314" s="31"/>
      <c r="Y1314" s="31"/>
      <c r="Z1314" s="31"/>
      <c r="AA1314" s="31"/>
      <c r="AB1314" s="31"/>
      <c r="AC1314" s="31"/>
      <c r="AD1314" s="31"/>
      <c r="AE1314" s="31"/>
      <c r="AF1314" s="31"/>
      <c r="AG1314" s="31"/>
      <c r="AH1314" s="31"/>
      <c r="AI1314" s="31"/>
      <c r="AJ1314" s="31"/>
      <c r="AK1314" s="31"/>
      <c r="AL1314" s="28" t="str">
        <f>VLOOKUP($G1314,'[42]Sheet1 (2)'!$A$1:$B$1048440,2,FALSE)</f>
        <v>Rmt.</v>
      </c>
      <c r="AM1314" s="32"/>
      <c r="AN1314" s="31"/>
      <c r="AO1314" s="33"/>
    </row>
    <row r="1315" spans="1:41" ht="84" x14ac:dyDescent="0.25">
      <c r="A1315" s="20">
        <v>1177</v>
      </c>
      <c r="B1315" s="21" t="s">
        <v>2223</v>
      </c>
      <c r="C1315" s="22">
        <v>38.369999999999997</v>
      </c>
      <c r="D1315" s="25" t="s">
        <v>2260</v>
      </c>
      <c r="E1315" s="23" t="s">
        <v>2290</v>
      </c>
      <c r="F1315" s="24" t="s">
        <v>742</v>
      </c>
      <c r="G1315" s="202" t="s">
        <v>621</v>
      </c>
      <c r="H1315" s="26">
        <v>1594</v>
      </c>
      <c r="I1315" s="26">
        <v>118</v>
      </c>
      <c r="J1315" s="31"/>
      <c r="K1315" s="31"/>
      <c r="L1315" s="31"/>
      <c r="M1315" s="31"/>
      <c r="N1315" s="31"/>
      <c r="O1315" s="31"/>
      <c r="P1315" s="31"/>
      <c r="Q1315" s="31"/>
      <c r="R1315" s="31"/>
      <c r="S1315" s="31"/>
      <c r="T1315" s="31"/>
      <c r="U1315" s="31"/>
      <c r="V1315" s="31"/>
      <c r="W1315" s="31"/>
      <c r="X1315" s="31"/>
      <c r="Y1315" s="31"/>
      <c r="Z1315" s="31"/>
      <c r="AA1315" s="31"/>
      <c r="AB1315" s="31"/>
      <c r="AC1315" s="31"/>
      <c r="AD1315" s="31"/>
      <c r="AE1315" s="31"/>
      <c r="AF1315" s="31"/>
      <c r="AG1315" s="31"/>
      <c r="AH1315" s="31"/>
      <c r="AI1315" s="31"/>
      <c r="AJ1315" s="31"/>
      <c r="AK1315" s="31"/>
      <c r="AL1315" s="28" t="str">
        <f>VLOOKUP($G1315,'[42]Sheet1 (2)'!$A$1:$B$1048440,2,FALSE)</f>
        <v>Sqm</v>
      </c>
      <c r="AM1315" s="32"/>
      <c r="AN1315" s="31"/>
      <c r="AO1315" s="33"/>
    </row>
    <row r="1316" spans="1:41" ht="70" x14ac:dyDescent="0.25">
      <c r="A1316" s="20">
        <v>1178</v>
      </c>
      <c r="B1316" s="21" t="s">
        <v>2223</v>
      </c>
      <c r="C1316" s="22">
        <v>38.380000000000003</v>
      </c>
      <c r="D1316" s="25" t="s">
        <v>2260</v>
      </c>
      <c r="E1316" s="23" t="s">
        <v>2291</v>
      </c>
      <c r="F1316" s="24" t="s">
        <v>742</v>
      </c>
      <c r="G1316" s="21" t="s">
        <v>80</v>
      </c>
      <c r="H1316" s="26">
        <v>1385</v>
      </c>
      <c r="I1316" s="26">
        <v>71</v>
      </c>
      <c r="J1316" s="31"/>
      <c r="K1316" s="31"/>
      <c r="L1316" s="31"/>
      <c r="M1316" s="31"/>
      <c r="N1316" s="31"/>
      <c r="O1316" s="31"/>
      <c r="P1316" s="31"/>
      <c r="Q1316" s="31"/>
      <c r="R1316" s="31"/>
      <c r="S1316" s="31"/>
      <c r="T1316" s="31"/>
      <c r="U1316" s="31"/>
      <c r="V1316" s="31"/>
      <c r="W1316" s="31"/>
      <c r="X1316" s="31"/>
      <c r="Y1316" s="31"/>
      <c r="Z1316" s="31"/>
      <c r="AA1316" s="31"/>
      <c r="AB1316" s="31"/>
      <c r="AC1316" s="31"/>
      <c r="AD1316" s="31"/>
      <c r="AE1316" s="31"/>
      <c r="AF1316" s="31"/>
      <c r="AG1316" s="31"/>
      <c r="AH1316" s="31"/>
      <c r="AI1316" s="31"/>
      <c r="AJ1316" s="31"/>
      <c r="AK1316" s="31"/>
      <c r="AL1316" s="28" t="str">
        <f>VLOOKUP($G1316,'[42]Sheet1 (2)'!$A$1:$B$1048440,2,FALSE)</f>
        <v>Rmt.</v>
      </c>
      <c r="AM1316" s="32"/>
      <c r="AN1316" s="31"/>
      <c r="AO1316" s="33"/>
    </row>
    <row r="1317" spans="1:41" ht="364" x14ac:dyDescent="0.25">
      <c r="A1317" s="20">
        <v>1179</v>
      </c>
      <c r="B1317" s="21" t="s">
        <v>2223</v>
      </c>
      <c r="C1317" s="22">
        <v>38.39</v>
      </c>
      <c r="D1317" s="25" t="s">
        <v>2260</v>
      </c>
      <c r="E1317" s="24" t="s">
        <v>2292</v>
      </c>
      <c r="F1317" s="24" t="s">
        <v>742</v>
      </c>
      <c r="G1317" s="202" t="s">
        <v>621</v>
      </c>
      <c r="H1317" s="26">
        <v>2044</v>
      </c>
      <c r="I1317" s="26">
        <v>408</v>
      </c>
      <c r="J1317" s="31"/>
      <c r="K1317" s="31"/>
      <c r="L1317" s="31"/>
      <c r="M1317" s="31"/>
      <c r="N1317" s="31"/>
      <c r="O1317" s="31"/>
      <c r="P1317" s="31"/>
      <c r="Q1317" s="31"/>
      <c r="R1317" s="31"/>
      <c r="S1317" s="31"/>
      <c r="T1317" s="31"/>
      <c r="U1317" s="31"/>
      <c r="V1317" s="31"/>
      <c r="W1317" s="31"/>
      <c r="X1317" s="31"/>
      <c r="Y1317" s="31"/>
      <c r="Z1317" s="31"/>
      <c r="AA1317" s="31"/>
      <c r="AB1317" s="31"/>
      <c r="AC1317" s="31"/>
      <c r="AD1317" s="31"/>
      <c r="AE1317" s="31"/>
      <c r="AF1317" s="31"/>
      <c r="AG1317" s="31"/>
      <c r="AH1317" s="31"/>
      <c r="AI1317" s="31"/>
      <c r="AJ1317" s="31"/>
      <c r="AK1317" s="31"/>
      <c r="AL1317" s="28" t="str">
        <f>VLOOKUP($G1317,'[42]Sheet1 (2)'!$A$1:$B$1048440,2,FALSE)</f>
        <v>Sqm</v>
      </c>
      <c r="AM1317" s="32"/>
      <c r="AN1317" s="31"/>
      <c r="AO1317" s="33"/>
    </row>
    <row r="1318" spans="1:41" ht="364" x14ac:dyDescent="0.25">
      <c r="A1318" s="20">
        <v>1180</v>
      </c>
      <c r="B1318" s="21" t="s">
        <v>2223</v>
      </c>
      <c r="C1318" s="22">
        <v>38.4</v>
      </c>
      <c r="D1318" s="25" t="s">
        <v>2260</v>
      </c>
      <c r="E1318" s="23" t="s">
        <v>2293</v>
      </c>
      <c r="F1318" s="24" t="s">
        <v>742</v>
      </c>
      <c r="G1318" s="202" t="s">
        <v>621</v>
      </c>
      <c r="H1318" s="26">
        <v>2045</v>
      </c>
      <c r="I1318" s="26">
        <v>409</v>
      </c>
      <c r="J1318" s="31"/>
      <c r="K1318" s="31"/>
      <c r="L1318" s="31"/>
      <c r="M1318" s="31"/>
      <c r="N1318" s="31"/>
      <c r="O1318" s="31"/>
      <c r="P1318" s="31"/>
      <c r="Q1318" s="31"/>
      <c r="R1318" s="31"/>
      <c r="S1318" s="31"/>
      <c r="T1318" s="31"/>
      <c r="U1318" s="31"/>
      <c r="V1318" s="31"/>
      <c r="W1318" s="31"/>
      <c r="X1318" s="31"/>
      <c r="Y1318" s="31"/>
      <c r="Z1318" s="31"/>
      <c r="AA1318" s="31"/>
      <c r="AB1318" s="31"/>
      <c r="AC1318" s="31"/>
      <c r="AD1318" s="31"/>
      <c r="AE1318" s="31"/>
      <c r="AF1318" s="31"/>
      <c r="AG1318" s="31"/>
      <c r="AH1318" s="31"/>
      <c r="AI1318" s="31"/>
      <c r="AJ1318" s="31"/>
      <c r="AK1318" s="31"/>
      <c r="AL1318" s="28" t="str">
        <f>VLOOKUP($G1318,'[42]Sheet1 (2)'!$A$1:$B$1048440,2,FALSE)</f>
        <v>Sqm</v>
      </c>
      <c r="AM1318" s="32"/>
      <c r="AN1318" s="31"/>
      <c r="AO1318" s="33"/>
    </row>
    <row r="1319" spans="1:41" ht="266" x14ac:dyDescent="0.25">
      <c r="A1319" s="20">
        <v>1181</v>
      </c>
      <c r="B1319" s="21" t="s">
        <v>2223</v>
      </c>
      <c r="C1319" s="22">
        <v>38.409999999999997</v>
      </c>
      <c r="D1319" s="25" t="s">
        <v>2260</v>
      </c>
      <c r="E1319" s="23" t="s">
        <v>2294</v>
      </c>
      <c r="F1319" s="24" t="s">
        <v>742</v>
      </c>
      <c r="G1319" s="202" t="s">
        <v>621</v>
      </c>
      <c r="H1319" s="26">
        <v>2264</v>
      </c>
      <c r="I1319" s="26">
        <v>399</v>
      </c>
      <c r="J1319" s="31"/>
      <c r="K1319" s="31"/>
      <c r="L1319" s="31"/>
      <c r="M1319" s="31"/>
      <c r="N1319" s="31"/>
      <c r="O1319" s="31"/>
      <c r="P1319" s="31"/>
      <c r="Q1319" s="31"/>
      <c r="R1319" s="31"/>
      <c r="S1319" s="31"/>
      <c r="T1319" s="31"/>
      <c r="U1319" s="31"/>
      <c r="V1319" s="31"/>
      <c r="W1319" s="31"/>
      <c r="X1319" s="31"/>
      <c r="Y1319" s="31"/>
      <c r="Z1319" s="31"/>
      <c r="AA1319" s="31"/>
      <c r="AB1319" s="31"/>
      <c r="AC1319" s="31"/>
      <c r="AD1319" s="31"/>
      <c r="AE1319" s="31"/>
      <c r="AF1319" s="31"/>
      <c r="AG1319" s="31"/>
      <c r="AH1319" s="31"/>
      <c r="AI1319" s="31"/>
      <c r="AJ1319" s="31"/>
      <c r="AK1319" s="31"/>
      <c r="AL1319" s="28" t="str">
        <f>VLOOKUP($G1319,'[42]Sheet1 (2)'!$A$1:$B$1048440,2,FALSE)</f>
        <v>Sqm</v>
      </c>
      <c r="AM1319" s="32"/>
      <c r="AN1319" s="31"/>
      <c r="AO1319" s="33"/>
    </row>
    <row r="1320" spans="1:41" ht="266" x14ac:dyDescent="0.25">
      <c r="A1320" s="20">
        <v>1182</v>
      </c>
      <c r="B1320" s="21" t="s">
        <v>2223</v>
      </c>
      <c r="C1320" s="22">
        <v>38.42</v>
      </c>
      <c r="D1320" s="25" t="s">
        <v>2260</v>
      </c>
      <c r="E1320" s="23" t="s">
        <v>2295</v>
      </c>
      <c r="F1320" s="24" t="s">
        <v>742</v>
      </c>
      <c r="G1320" s="202" t="s">
        <v>621</v>
      </c>
      <c r="H1320" s="26">
        <v>2357</v>
      </c>
      <c r="I1320" s="26">
        <v>399</v>
      </c>
      <c r="J1320" s="31"/>
      <c r="K1320" s="31"/>
      <c r="L1320" s="31"/>
      <c r="M1320" s="31"/>
      <c r="N1320" s="31"/>
      <c r="O1320" s="31"/>
      <c r="P1320" s="31"/>
      <c r="Q1320" s="31"/>
      <c r="R1320" s="31"/>
      <c r="S1320" s="31"/>
      <c r="T1320" s="31"/>
      <c r="U1320" s="31"/>
      <c r="V1320" s="31"/>
      <c r="W1320" s="31"/>
      <c r="X1320" s="31"/>
      <c r="Y1320" s="31"/>
      <c r="Z1320" s="31"/>
      <c r="AA1320" s="31"/>
      <c r="AB1320" s="31"/>
      <c r="AC1320" s="31"/>
      <c r="AD1320" s="31"/>
      <c r="AE1320" s="31"/>
      <c r="AF1320" s="31"/>
      <c r="AG1320" s="31"/>
      <c r="AH1320" s="31"/>
      <c r="AI1320" s="31"/>
      <c r="AJ1320" s="31"/>
      <c r="AK1320" s="31"/>
      <c r="AL1320" s="28" t="str">
        <f>VLOOKUP($G1320,'[42]Sheet1 (2)'!$A$1:$B$1048440,2,FALSE)</f>
        <v>Sqm</v>
      </c>
      <c r="AM1320" s="32"/>
      <c r="AN1320" s="31"/>
      <c r="AO1320" s="33"/>
    </row>
    <row r="1321" spans="1:41" ht="266" x14ac:dyDescent="0.25">
      <c r="A1321" s="20">
        <v>1183</v>
      </c>
      <c r="B1321" s="21" t="s">
        <v>2223</v>
      </c>
      <c r="C1321" s="22">
        <v>38.43</v>
      </c>
      <c r="D1321" s="25" t="s">
        <v>2260</v>
      </c>
      <c r="E1321" s="23" t="s">
        <v>2296</v>
      </c>
      <c r="F1321" s="24" t="s">
        <v>742</v>
      </c>
      <c r="G1321" s="202" t="s">
        <v>621</v>
      </c>
      <c r="H1321" s="26">
        <v>2492</v>
      </c>
      <c r="I1321" s="26">
        <v>399</v>
      </c>
      <c r="J1321" s="31"/>
      <c r="K1321" s="31"/>
      <c r="L1321" s="31"/>
      <c r="M1321" s="31"/>
      <c r="N1321" s="31"/>
      <c r="O1321" s="31"/>
      <c r="P1321" s="31"/>
      <c r="Q1321" s="31"/>
      <c r="R1321" s="31"/>
      <c r="S1321" s="31"/>
      <c r="T1321" s="31"/>
      <c r="U1321" s="31"/>
      <c r="V1321" s="31"/>
      <c r="W1321" s="31"/>
      <c r="X1321" s="31"/>
      <c r="Y1321" s="31"/>
      <c r="Z1321" s="31"/>
      <c r="AA1321" s="31"/>
      <c r="AB1321" s="31"/>
      <c r="AC1321" s="31"/>
      <c r="AD1321" s="31"/>
      <c r="AE1321" s="31"/>
      <c r="AF1321" s="31"/>
      <c r="AG1321" s="31"/>
      <c r="AH1321" s="31"/>
      <c r="AI1321" s="31"/>
      <c r="AJ1321" s="31"/>
      <c r="AK1321" s="31"/>
      <c r="AL1321" s="28" t="str">
        <f>VLOOKUP($G1321,'[42]Sheet1 (2)'!$A$1:$B$1048440,2,FALSE)</f>
        <v>Sqm</v>
      </c>
      <c r="AM1321" s="32"/>
      <c r="AN1321" s="31"/>
      <c r="AO1321" s="33"/>
    </row>
    <row r="1322" spans="1:41" ht="266" x14ac:dyDescent="0.25">
      <c r="A1322" s="20">
        <v>1184</v>
      </c>
      <c r="B1322" s="21" t="s">
        <v>2223</v>
      </c>
      <c r="C1322" s="22">
        <v>38.44</v>
      </c>
      <c r="D1322" s="25" t="s">
        <v>2260</v>
      </c>
      <c r="E1322" s="23" t="s">
        <v>2297</v>
      </c>
      <c r="F1322" s="24" t="s">
        <v>742</v>
      </c>
      <c r="G1322" s="202" t="s">
        <v>621</v>
      </c>
      <c r="H1322" s="26">
        <v>2878</v>
      </c>
      <c r="I1322" s="26">
        <v>399</v>
      </c>
      <c r="J1322" s="31"/>
      <c r="K1322" s="31"/>
      <c r="L1322" s="31"/>
      <c r="M1322" s="31"/>
      <c r="N1322" s="31"/>
      <c r="O1322" s="31"/>
      <c r="P1322" s="31"/>
      <c r="Q1322" s="31"/>
      <c r="R1322" s="31"/>
      <c r="S1322" s="31"/>
      <c r="T1322" s="31"/>
      <c r="U1322" s="31"/>
      <c r="V1322" s="31"/>
      <c r="W1322" s="31"/>
      <c r="X1322" s="31"/>
      <c r="Y1322" s="31"/>
      <c r="Z1322" s="31"/>
      <c r="AA1322" s="31"/>
      <c r="AB1322" s="31"/>
      <c r="AC1322" s="31"/>
      <c r="AD1322" s="31"/>
      <c r="AE1322" s="31"/>
      <c r="AF1322" s="31"/>
      <c r="AG1322" s="31"/>
      <c r="AH1322" s="31"/>
      <c r="AI1322" s="31"/>
      <c r="AJ1322" s="31"/>
      <c r="AK1322" s="31"/>
      <c r="AL1322" s="28" t="str">
        <f>VLOOKUP($G1322,'[42]Sheet1 (2)'!$A$1:$B$1048440,2,FALSE)</f>
        <v>Sqm</v>
      </c>
      <c r="AM1322" s="32"/>
      <c r="AN1322" s="31"/>
      <c r="AO1322" s="33"/>
    </row>
    <row r="1323" spans="1:41" ht="266" x14ac:dyDescent="0.25">
      <c r="A1323" s="20">
        <v>1185</v>
      </c>
      <c r="B1323" s="21" t="s">
        <v>2223</v>
      </c>
      <c r="C1323" s="22">
        <v>38.450000000000003</v>
      </c>
      <c r="D1323" s="25" t="s">
        <v>2260</v>
      </c>
      <c r="E1323" s="24" t="s">
        <v>2298</v>
      </c>
      <c r="F1323" s="24" t="s">
        <v>742</v>
      </c>
      <c r="G1323" s="202" t="s">
        <v>621</v>
      </c>
      <c r="H1323" s="26">
        <v>2391</v>
      </c>
      <c r="I1323" s="26">
        <v>239</v>
      </c>
      <c r="J1323" s="31"/>
      <c r="K1323" s="31"/>
      <c r="L1323" s="31"/>
      <c r="M1323" s="31"/>
      <c r="N1323" s="31"/>
      <c r="O1323" s="31"/>
      <c r="P1323" s="31"/>
      <c r="Q1323" s="31"/>
      <c r="R1323" s="31"/>
      <c r="S1323" s="31"/>
      <c r="T1323" s="31"/>
      <c r="U1323" s="31"/>
      <c r="V1323" s="31"/>
      <c r="W1323" s="31"/>
      <c r="X1323" s="31"/>
      <c r="Y1323" s="31"/>
      <c r="Z1323" s="31"/>
      <c r="AA1323" s="31"/>
      <c r="AB1323" s="31"/>
      <c r="AC1323" s="31"/>
      <c r="AD1323" s="31"/>
      <c r="AE1323" s="31"/>
      <c r="AF1323" s="31"/>
      <c r="AG1323" s="31"/>
      <c r="AH1323" s="31"/>
      <c r="AI1323" s="31"/>
      <c r="AJ1323" s="31"/>
      <c r="AK1323" s="31"/>
      <c r="AL1323" s="28" t="str">
        <f>VLOOKUP($G1323,'[42]Sheet1 (2)'!$A$1:$B$1048440,2,FALSE)</f>
        <v>Sqm</v>
      </c>
      <c r="AM1323" s="32"/>
      <c r="AN1323" s="31"/>
      <c r="AO1323" s="33"/>
    </row>
    <row r="1324" spans="1:41" ht="266" x14ac:dyDescent="0.25">
      <c r="A1324" s="20">
        <v>1186</v>
      </c>
      <c r="B1324" s="21" t="s">
        <v>2223</v>
      </c>
      <c r="C1324" s="22">
        <v>38.46</v>
      </c>
      <c r="D1324" s="25" t="s">
        <v>2260</v>
      </c>
      <c r="E1324" s="23" t="s">
        <v>2299</v>
      </c>
      <c r="F1324" s="24" t="s">
        <v>742</v>
      </c>
      <c r="G1324" s="202" t="s">
        <v>621</v>
      </c>
      <c r="H1324" s="26">
        <v>2051</v>
      </c>
      <c r="I1324" s="26">
        <v>239</v>
      </c>
      <c r="J1324" s="31"/>
      <c r="K1324" s="31"/>
      <c r="L1324" s="31"/>
      <c r="M1324" s="31"/>
      <c r="N1324" s="31"/>
      <c r="O1324" s="31"/>
      <c r="P1324" s="31"/>
      <c r="Q1324" s="31"/>
      <c r="R1324" s="31"/>
      <c r="S1324" s="31"/>
      <c r="T1324" s="31"/>
      <c r="U1324" s="31"/>
      <c r="V1324" s="31"/>
      <c r="W1324" s="31"/>
      <c r="X1324" s="31"/>
      <c r="Y1324" s="31"/>
      <c r="Z1324" s="31"/>
      <c r="AA1324" s="31"/>
      <c r="AB1324" s="31"/>
      <c r="AC1324" s="31"/>
      <c r="AD1324" s="31"/>
      <c r="AE1324" s="31"/>
      <c r="AF1324" s="31"/>
      <c r="AG1324" s="31"/>
      <c r="AH1324" s="31"/>
      <c r="AI1324" s="31"/>
      <c r="AJ1324" s="31"/>
      <c r="AK1324" s="31"/>
      <c r="AL1324" s="28" t="str">
        <f>VLOOKUP($G1324,'[42]Sheet1 (2)'!$A$1:$B$1048440,2,FALSE)</f>
        <v>Sqm</v>
      </c>
      <c r="AM1324" s="32"/>
      <c r="AN1324" s="31"/>
      <c r="AO1324" s="33"/>
    </row>
    <row r="1325" spans="1:41" ht="238" x14ac:dyDescent="0.25">
      <c r="A1325" s="20">
        <v>1187</v>
      </c>
      <c r="B1325" s="21" t="s">
        <v>2223</v>
      </c>
      <c r="C1325" s="22">
        <v>38.47</v>
      </c>
      <c r="D1325" s="25" t="s">
        <v>2260</v>
      </c>
      <c r="E1325" s="24" t="s">
        <v>2300</v>
      </c>
      <c r="F1325" s="24" t="s">
        <v>742</v>
      </c>
      <c r="G1325" s="202" t="s">
        <v>621</v>
      </c>
      <c r="H1325" s="26">
        <v>2879</v>
      </c>
      <c r="I1325" s="26">
        <v>207</v>
      </c>
      <c r="J1325" s="31"/>
      <c r="K1325" s="31"/>
      <c r="L1325" s="31"/>
      <c r="M1325" s="31"/>
      <c r="N1325" s="31"/>
      <c r="O1325" s="31"/>
      <c r="P1325" s="31"/>
      <c r="Q1325" s="31"/>
      <c r="R1325" s="31"/>
      <c r="S1325" s="31"/>
      <c r="T1325" s="31"/>
      <c r="U1325" s="31"/>
      <c r="V1325" s="31"/>
      <c r="W1325" s="31"/>
      <c r="X1325" s="31"/>
      <c r="Y1325" s="31"/>
      <c r="Z1325" s="31"/>
      <c r="AA1325" s="31"/>
      <c r="AB1325" s="31"/>
      <c r="AC1325" s="31"/>
      <c r="AD1325" s="31"/>
      <c r="AE1325" s="31"/>
      <c r="AF1325" s="31"/>
      <c r="AG1325" s="31"/>
      <c r="AH1325" s="31"/>
      <c r="AI1325" s="31"/>
      <c r="AJ1325" s="31"/>
      <c r="AK1325" s="31"/>
      <c r="AL1325" s="28" t="str">
        <f>VLOOKUP($G1325,'[42]Sheet1 (2)'!$A$1:$B$1048440,2,FALSE)</f>
        <v>Sqm</v>
      </c>
      <c r="AM1325" s="32"/>
      <c r="AN1325" s="31"/>
      <c r="AO1325" s="33"/>
    </row>
    <row r="1326" spans="1:41" ht="182" x14ac:dyDescent="0.25">
      <c r="A1326" s="20">
        <v>1188</v>
      </c>
      <c r="B1326" s="21" t="s">
        <v>2223</v>
      </c>
      <c r="C1326" s="22">
        <v>38.479999999999997</v>
      </c>
      <c r="D1326" s="25" t="s">
        <v>2260</v>
      </c>
      <c r="E1326" s="23" t="s">
        <v>2301</v>
      </c>
      <c r="F1326" s="24" t="s">
        <v>742</v>
      </c>
      <c r="G1326" s="202" t="s">
        <v>621</v>
      </c>
      <c r="H1326" s="26">
        <v>2008</v>
      </c>
      <c r="I1326" s="26">
        <v>239</v>
      </c>
      <c r="J1326" s="31"/>
      <c r="K1326" s="31"/>
      <c r="L1326" s="31"/>
      <c r="M1326" s="31"/>
      <c r="N1326" s="31"/>
      <c r="O1326" s="31"/>
      <c r="P1326" s="31"/>
      <c r="Q1326" s="31"/>
      <c r="R1326" s="31"/>
      <c r="S1326" s="31"/>
      <c r="T1326" s="31"/>
      <c r="U1326" s="31"/>
      <c r="V1326" s="31"/>
      <c r="W1326" s="31"/>
      <c r="X1326" s="31"/>
      <c r="Y1326" s="31"/>
      <c r="Z1326" s="31"/>
      <c r="AA1326" s="31"/>
      <c r="AB1326" s="31"/>
      <c r="AC1326" s="31"/>
      <c r="AD1326" s="31"/>
      <c r="AE1326" s="31"/>
      <c r="AF1326" s="31"/>
      <c r="AG1326" s="31"/>
      <c r="AH1326" s="31"/>
      <c r="AI1326" s="31"/>
      <c r="AJ1326" s="31"/>
      <c r="AK1326" s="31"/>
      <c r="AL1326" s="28" t="str">
        <f>VLOOKUP($G1326,'[42]Sheet1 (2)'!$A$1:$B$1048440,2,FALSE)</f>
        <v>Sqm</v>
      </c>
      <c r="AM1326" s="32"/>
      <c r="AN1326" s="31"/>
      <c r="AO1326" s="33"/>
    </row>
    <row r="1327" spans="1:41" ht="252" x14ac:dyDescent="0.25">
      <c r="A1327" s="20">
        <v>1189</v>
      </c>
      <c r="B1327" s="21" t="s">
        <v>2223</v>
      </c>
      <c r="C1327" s="22">
        <v>38.49</v>
      </c>
      <c r="D1327" s="25" t="s">
        <v>2260</v>
      </c>
      <c r="E1327" s="24" t="s">
        <v>2302</v>
      </c>
      <c r="F1327" s="24" t="s">
        <v>742</v>
      </c>
      <c r="G1327" s="202" t="s">
        <v>621</v>
      </c>
      <c r="H1327" s="26">
        <v>1873</v>
      </c>
      <c r="I1327" s="26">
        <v>207</v>
      </c>
      <c r="J1327" s="31"/>
      <c r="K1327" s="31"/>
      <c r="L1327" s="31"/>
      <c r="M1327" s="31"/>
      <c r="N1327" s="31"/>
      <c r="O1327" s="31"/>
      <c r="P1327" s="31"/>
      <c r="Q1327" s="31"/>
      <c r="R1327" s="31"/>
      <c r="S1327" s="31"/>
      <c r="T1327" s="31"/>
      <c r="U1327" s="31"/>
      <c r="V1327" s="31"/>
      <c r="W1327" s="31"/>
      <c r="X1327" s="31"/>
      <c r="Y1327" s="31"/>
      <c r="Z1327" s="31"/>
      <c r="AA1327" s="31"/>
      <c r="AB1327" s="31"/>
      <c r="AC1327" s="31"/>
      <c r="AD1327" s="31"/>
      <c r="AE1327" s="31"/>
      <c r="AF1327" s="31"/>
      <c r="AG1327" s="31"/>
      <c r="AH1327" s="31"/>
      <c r="AI1327" s="31"/>
      <c r="AJ1327" s="31"/>
      <c r="AK1327" s="31"/>
      <c r="AL1327" s="28" t="str">
        <f>VLOOKUP($G1327,'[42]Sheet1 (2)'!$A$1:$B$1048440,2,FALSE)</f>
        <v>Sqm</v>
      </c>
      <c r="AM1327" s="32"/>
      <c r="AN1327" s="31"/>
      <c r="AO1327" s="33"/>
    </row>
    <row r="1328" spans="1:41" ht="252" x14ac:dyDescent="0.25">
      <c r="A1328" s="20">
        <v>1190</v>
      </c>
      <c r="B1328" s="21" t="s">
        <v>2223</v>
      </c>
      <c r="C1328" s="22">
        <v>38.5</v>
      </c>
      <c r="D1328" s="25" t="s">
        <v>2260</v>
      </c>
      <c r="E1328" s="24" t="s">
        <v>2303</v>
      </c>
      <c r="F1328" s="24" t="s">
        <v>742</v>
      </c>
      <c r="G1328" s="202" t="s">
        <v>621</v>
      </c>
      <c r="H1328" s="26">
        <v>1595</v>
      </c>
      <c r="I1328" s="26">
        <v>207</v>
      </c>
      <c r="J1328" s="31"/>
      <c r="K1328" s="31"/>
      <c r="L1328" s="31"/>
      <c r="M1328" s="31"/>
      <c r="N1328" s="31"/>
      <c r="O1328" s="31"/>
      <c r="P1328" s="31"/>
      <c r="Q1328" s="31"/>
      <c r="R1328" s="31"/>
      <c r="S1328" s="31"/>
      <c r="T1328" s="31"/>
      <c r="U1328" s="31"/>
      <c r="V1328" s="31"/>
      <c r="W1328" s="31"/>
      <c r="X1328" s="31"/>
      <c r="Y1328" s="31"/>
      <c r="Z1328" s="31"/>
      <c r="AA1328" s="31"/>
      <c r="AB1328" s="31"/>
      <c r="AC1328" s="31"/>
      <c r="AD1328" s="31"/>
      <c r="AE1328" s="31"/>
      <c r="AF1328" s="31"/>
      <c r="AG1328" s="31"/>
      <c r="AH1328" s="31"/>
      <c r="AI1328" s="31"/>
      <c r="AJ1328" s="31"/>
      <c r="AK1328" s="31"/>
      <c r="AL1328" s="28" t="str">
        <f>VLOOKUP($G1328,'[42]Sheet1 (2)'!$A$1:$B$1048440,2,FALSE)</f>
        <v>Sqm</v>
      </c>
      <c r="AM1328" s="32"/>
      <c r="AN1328" s="31"/>
      <c r="AO1328" s="33"/>
    </row>
    <row r="1329" spans="1:41" ht="252" x14ac:dyDescent="0.25">
      <c r="A1329" s="20">
        <v>1191</v>
      </c>
      <c r="B1329" s="21" t="s">
        <v>2223</v>
      </c>
      <c r="C1329" s="22">
        <v>38.51</v>
      </c>
      <c r="D1329" s="25" t="s">
        <v>2260</v>
      </c>
      <c r="E1329" s="23" t="s">
        <v>2304</v>
      </c>
      <c r="F1329" s="24" t="s">
        <v>742</v>
      </c>
      <c r="G1329" s="202" t="s">
        <v>621</v>
      </c>
      <c r="H1329" s="26">
        <v>1769</v>
      </c>
      <c r="I1329" s="26">
        <v>975</v>
      </c>
      <c r="J1329" s="31"/>
      <c r="K1329" s="31"/>
      <c r="L1329" s="31"/>
      <c r="M1329" s="31"/>
      <c r="N1329" s="31"/>
      <c r="O1329" s="31"/>
      <c r="P1329" s="31"/>
      <c r="Q1329" s="31"/>
      <c r="R1329" s="31"/>
      <c r="S1329" s="31"/>
      <c r="T1329" s="31"/>
      <c r="U1329" s="31"/>
      <c r="V1329" s="31"/>
      <c r="W1329" s="31"/>
      <c r="X1329" s="31"/>
      <c r="Y1329" s="31"/>
      <c r="Z1329" s="31"/>
      <c r="AA1329" s="31"/>
      <c r="AB1329" s="31"/>
      <c r="AC1329" s="31"/>
      <c r="AD1329" s="31"/>
      <c r="AE1329" s="31"/>
      <c r="AF1329" s="31"/>
      <c r="AG1329" s="31"/>
      <c r="AH1329" s="31"/>
      <c r="AI1329" s="31"/>
      <c r="AJ1329" s="31"/>
      <c r="AK1329" s="31"/>
      <c r="AL1329" s="28" t="str">
        <f>VLOOKUP($G1329,'[42]Sheet1 (2)'!$A$1:$B$1048440,2,FALSE)</f>
        <v>Sqm</v>
      </c>
      <c r="AM1329" s="32"/>
      <c r="AN1329" s="31"/>
      <c r="AO1329" s="33"/>
    </row>
    <row r="1330" spans="1:41" ht="154" x14ac:dyDescent="0.25">
      <c r="A1330" s="20">
        <v>1192</v>
      </c>
      <c r="B1330" s="21" t="s">
        <v>2223</v>
      </c>
      <c r="C1330" s="22">
        <v>38.520000000000003</v>
      </c>
      <c r="D1330" s="25" t="s">
        <v>2260</v>
      </c>
      <c r="E1330" s="24" t="s">
        <v>2305</v>
      </c>
      <c r="F1330" s="24" t="s">
        <v>742</v>
      </c>
      <c r="G1330" s="202" t="s">
        <v>621</v>
      </c>
      <c r="H1330" s="26">
        <v>2568</v>
      </c>
      <c r="I1330" s="26">
        <v>878</v>
      </c>
      <c r="J1330" s="31"/>
      <c r="K1330" s="31"/>
      <c r="L1330" s="31"/>
      <c r="M1330" s="31"/>
      <c r="N1330" s="31"/>
      <c r="O1330" s="31"/>
      <c r="P1330" s="31"/>
      <c r="Q1330" s="31"/>
      <c r="R1330" s="31"/>
      <c r="S1330" s="31"/>
      <c r="T1330" s="31"/>
      <c r="U1330" s="31"/>
      <c r="V1330" s="31"/>
      <c r="W1330" s="31"/>
      <c r="X1330" s="31"/>
      <c r="Y1330" s="31"/>
      <c r="Z1330" s="31"/>
      <c r="AA1330" s="31"/>
      <c r="AB1330" s="31"/>
      <c r="AC1330" s="31"/>
      <c r="AD1330" s="31"/>
      <c r="AE1330" s="31"/>
      <c r="AF1330" s="31"/>
      <c r="AG1330" s="31"/>
      <c r="AH1330" s="31"/>
      <c r="AI1330" s="31"/>
      <c r="AJ1330" s="31"/>
      <c r="AK1330" s="31"/>
      <c r="AL1330" s="28" t="str">
        <f>VLOOKUP($G1330,'[42]Sheet1 (2)'!$A$1:$B$1048440,2,FALSE)</f>
        <v>Sqm</v>
      </c>
      <c r="AM1330" s="32"/>
      <c r="AN1330" s="31"/>
      <c r="AO1330" s="33"/>
    </row>
    <row r="1331" spans="1:41" ht="266" x14ac:dyDescent="0.25">
      <c r="A1331" s="20">
        <v>1193</v>
      </c>
      <c r="B1331" s="25" t="s">
        <v>2306</v>
      </c>
      <c r="C1331" s="203">
        <v>38.53</v>
      </c>
      <c r="D1331" s="23"/>
      <c r="E1331" s="23" t="s">
        <v>2307</v>
      </c>
      <c r="F1331" s="24" t="s">
        <v>742</v>
      </c>
      <c r="G1331" s="202" t="s">
        <v>621</v>
      </c>
      <c r="H1331" s="20">
        <v>3371</v>
      </c>
      <c r="I1331" s="26">
        <v>399</v>
      </c>
      <c r="J1331" s="31"/>
      <c r="K1331" s="31"/>
      <c r="L1331" s="31"/>
      <c r="M1331" s="31"/>
      <c r="N1331" s="31"/>
      <c r="O1331" s="31"/>
      <c r="P1331" s="31"/>
      <c r="Q1331" s="31"/>
      <c r="R1331" s="31"/>
      <c r="S1331" s="31"/>
      <c r="T1331" s="31"/>
      <c r="U1331" s="31"/>
      <c r="V1331" s="31"/>
      <c r="W1331" s="31"/>
      <c r="X1331" s="31"/>
      <c r="Y1331" s="31"/>
      <c r="Z1331" s="31"/>
      <c r="AA1331" s="31"/>
      <c r="AB1331" s="31"/>
      <c r="AC1331" s="31"/>
      <c r="AD1331" s="31"/>
      <c r="AE1331" s="31"/>
      <c r="AF1331" s="31"/>
      <c r="AG1331" s="31"/>
      <c r="AH1331" s="31"/>
      <c r="AI1331" s="31"/>
      <c r="AJ1331" s="31"/>
      <c r="AK1331" s="31"/>
      <c r="AL1331" s="28" t="str">
        <f>VLOOKUP($G1331,'[42]Sheet1 (2)'!$A$1:$B$1048440,2,FALSE)</f>
        <v>Sqm</v>
      </c>
      <c r="AM1331" s="32"/>
      <c r="AN1331" s="31"/>
      <c r="AO1331" s="33"/>
    </row>
    <row r="1332" spans="1:41" ht="17.5" x14ac:dyDescent="0.25">
      <c r="A1332" s="204"/>
      <c r="B1332" s="25"/>
      <c r="C1332" s="203"/>
      <c r="D1332" s="200"/>
      <c r="E1332" s="225" t="s">
        <v>2308</v>
      </c>
      <c r="F1332" s="166"/>
      <c r="G1332" s="206"/>
      <c r="H1332" s="228"/>
      <c r="I1332" s="167"/>
      <c r="J1332" s="31"/>
      <c r="K1332" s="31"/>
      <c r="L1332" s="31"/>
      <c r="M1332" s="31"/>
      <c r="N1332" s="31"/>
      <c r="O1332" s="31"/>
      <c r="P1332" s="31"/>
      <c r="Q1332" s="31"/>
      <c r="R1332" s="31"/>
      <c r="S1332" s="31"/>
      <c r="T1332" s="31"/>
      <c r="U1332" s="31"/>
      <c r="V1332" s="31"/>
      <c r="W1332" s="31"/>
      <c r="X1332" s="31"/>
      <c r="Y1332" s="31"/>
      <c r="Z1332" s="31"/>
      <c r="AA1332" s="31"/>
      <c r="AB1332" s="31"/>
      <c r="AC1332" s="31"/>
      <c r="AD1332" s="31"/>
      <c r="AE1332" s="31"/>
      <c r="AF1332" s="31"/>
      <c r="AG1332" s="31"/>
      <c r="AH1332" s="31"/>
      <c r="AI1332" s="31"/>
      <c r="AJ1332" s="31"/>
      <c r="AK1332" s="31"/>
      <c r="AL1332" s="28" t="e">
        <f>VLOOKUP($G1332,'[42]Sheet1 (2)'!$A$1:$B$1048440,2,FALSE)</f>
        <v>#N/A</v>
      </c>
      <c r="AM1332" s="32"/>
      <c r="AN1332" s="31"/>
      <c r="AO1332" s="33"/>
    </row>
    <row r="1333" spans="1:41" ht="56" x14ac:dyDescent="0.25">
      <c r="A1333" s="20">
        <v>1194</v>
      </c>
      <c r="B1333" s="21" t="s">
        <v>2308</v>
      </c>
      <c r="C1333" s="22">
        <v>39.01</v>
      </c>
      <c r="D1333" s="25" t="s">
        <v>2309</v>
      </c>
      <c r="E1333" s="24" t="s">
        <v>2310</v>
      </c>
      <c r="F1333" s="24" t="s">
        <v>742</v>
      </c>
      <c r="G1333" s="25" t="s">
        <v>47</v>
      </c>
      <c r="H1333" s="26">
        <v>200050</v>
      </c>
      <c r="I1333" s="26">
        <v>2328</v>
      </c>
      <c r="J1333" s="31"/>
      <c r="K1333" s="31"/>
      <c r="L1333" s="31"/>
      <c r="M1333" s="31"/>
      <c r="N1333" s="31"/>
      <c r="O1333" s="31"/>
      <c r="P1333" s="31"/>
      <c r="Q1333" s="31"/>
      <c r="R1333" s="31"/>
      <c r="S1333" s="31"/>
      <c r="T1333" s="31"/>
      <c r="U1333" s="31"/>
      <c r="V1333" s="31"/>
      <c r="W1333" s="31"/>
      <c r="X1333" s="31"/>
      <c r="Y1333" s="31"/>
      <c r="Z1333" s="31"/>
      <c r="AA1333" s="31"/>
      <c r="AB1333" s="31"/>
      <c r="AC1333" s="31"/>
      <c r="AD1333" s="31"/>
      <c r="AE1333" s="31"/>
      <c r="AF1333" s="31"/>
      <c r="AG1333" s="31"/>
      <c r="AH1333" s="31"/>
      <c r="AI1333" s="31"/>
      <c r="AJ1333" s="31"/>
      <c r="AK1333" s="31"/>
      <c r="AL1333" s="28" t="str">
        <f>VLOOKUP($G1333,'[42]Sheet1 (2)'!$A$1:$B$1048440,2,FALSE)</f>
        <v>Cum</v>
      </c>
      <c r="AM1333" s="32"/>
      <c r="AN1333" s="31"/>
      <c r="AO1333" s="33"/>
    </row>
    <row r="1334" spans="1:41" ht="70" x14ac:dyDescent="0.25">
      <c r="A1334" s="20">
        <v>1195</v>
      </c>
      <c r="B1334" s="21" t="s">
        <v>2308</v>
      </c>
      <c r="C1334" s="22">
        <v>39.020000000000003</v>
      </c>
      <c r="D1334" s="25" t="s">
        <v>2309</v>
      </c>
      <c r="E1334" s="24" t="s">
        <v>2311</v>
      </c>
      <c r="F1334" s="24" t="s">
        <v>742</v>
      </c>
      <c r="G1334" s="25" t="s">
        <v>47</v>
      </c>
      <c r="H1334" s="26">
        <v>107112</v>
      </c>
      <c r="I1334" s="26">
        <v>135</v>
      </c>
      <c r="J1334" s="31"/>
      <c r="K1334" s="31"/>
      <c r="L1334" s="31"/>
      <c r="M1334" s="31"/>
      <c r="N1334" s="31"/>
      <c r="O1334" s="31"/>
      <c r="P1334" s="31"/>
      <c r="Q1334" s="31"/>
      <c r="R1334" s="31"/>
      <c r="S1334" s="31"/>
      <c r="T1334" s="31"/>
      <c r="U1334" s="31"/>
      <c r="V1334" s="31"/>
      <c r="W1334" s="31"/>
      <c r="X1334" s="31"/>
      <c r="Y1334" s="31"/>
      <c r="Z1334" s="31"/>
      <c r="AA1334" s="31"/>
      <c r="AB1334" s="31"/>
      <c r="AC1334" s="31"/>
      <c r="AD1334" s="31"/>
      <c r="AE1334" s="31"/>
      <c r="AF1334" s="31"/>
      <c r="AG1334" s="31"/>
      <c r="AH1334" s="31"/>
      <c r="AI1334" s="31"/>
      <c r="AJ1334" s="31"/>
      <c r="AK1334" s="31"/>
      <c r="AL1334" s="28" t="str">
        <f>VLOOKUP($G1334,'[42]Sheet1 (2)'!$A$1:$B$1048440,2,FALSE)</f>
        <v>Cum</v>
      </c>
      <c r="AM1334" s="32"/>
      <c r="AN1334" s="31"/>
      <c r="AO1334" s="33"/>
    </row>
    <row r="1335" spans="1:41" ht="70" x14ac:dyDescent="0.25">
      <c r="A1335" s="20">
        <v>1196</v>
      </c>
      <c r="B1335" s="21" t="s">
        <v>2308</v>
      </c>
      <c r="C1335" s="22">
        <v>39.03</v>
      </c>
      <c r="D1335" s="25" t="s">
        <v>2312</v>
      </c>
      <c r="E1335" s="24" t="s">
        <v>2313</v>
      </c>
      <c r="F1335" s="24" t="s">
        <v>2314</v>
      </c>
      <c r="G1335" s="202" t="s">
        <v>621</v>
      </c>
      <c r="H1335" s="26">
        <v>5193</v>
      </c>
      <c r="I1335" s="26">
        <v>2136</v>
      </c>
      <c r="J1335" s="31"/>
      <c r="K1335" s="31"/>
      <c r="L1335" s="31"/>
      <c r="M1335" s="31"/>
      <c r="N1335" s="31"/>
      <c r="O1335" s="31"/>
      <c r="P1335" s="31"/>
      <c r="Q1335" s="31"/>
      <c r="R1335" s="31"/>
      <c r="S1335" s="31"/>
      <c r="T1335" s="31"/>
      <c r="U1335" s="31"/>
      <c r="V1335" s="31"/>
      <c r="W1335" s="31"/>
      <c r="X1335" s="31"/>
      <c r="Y1335" s="31"/>
      <c r="Z1335" s="31"/>
      <c r="AA1335" s="31"/>
      <c r="AB1335" s="31"/>
      <c r="AC1335" s="31"/>
      <c r="AD1335" s="31"/>
      <c r="AE1335" s="31"/>
      <c r="AF1335" s="31"/>
      <c r="AG1335" s="31"/>
      <c r="AH1335" s="31"/>
      <c r="AI1335" s="31"/>
      <c r="AJ1335" s="31"/>
      <c r="AK1335" s="31"/>
      <c r="AL1335" s="28" t="str">
        <f>VLOOKUP($G1335,'[42]Sheet1 (2)'!$A$1:$B$1048440,2,FALSE)</f>
        <v>Sqm</v>
      </c>
      <c r="AM1335" s="32"/>
      <c r="AN1335" s="31"/>
      <c r="AO1335" s="33"/>
    </row>
    <row r="1336" spans="1:41" ht="98" x14ac:dyDescent="0.25">
      <c r="A1336" s="20">
        <v>1197</v>
      </c>
      <c r="B1336" s="21" t="s">
        <v>2308</v>
      </c>
      <c r="C1336" s="22">
        <v>39.04</v>
      </c>
      <c r="D1336" s="25" t="s">
        <v>2315</v>
      </c>
      <c r="E1336" s="23" t="s">
        <v>2316</v>
      </c>
      <c r="F1336" s="24" t="s">
        <v>2317</v>
      </c>
      <c r="G1336" s="202" t="s">
        <v>621</v>
      </c>
      <c r="H1336" s="26">
        <v>9574</v>
      </c>
      <c r="I1336" s="26">
        <v>2853</v>
      </c>
      <c r="J1336" s="31"/>
      <c r="K1336" s="31"/>
      <c r="L1336" s="31"/>
      <c r="M1336" s="31"/>
      <c r="N1336" s="31"/>
      <c r="O1336" s="31"/>
      <c r="P1336" s="31"/>
      <c r="Q1336" s="31"/>
      <c r="R1336" s="31"/>
      <c r="S1336" s="31"/>
      <c r="T1336" s="31"/>
      <c r="U1336" s="31"/>
      <c r="V1336" s="31"/>
      <c r="W1336" s="31"/>
      <c r="X1336" s="31"/>
      <c r="Y1336" s="31"/>
      <c r="Z1336" s="31"/>
      <c r="AA1336" s="31"/>
      <c r="AB1336" s="31"/>
      <c r="AC1336" s="31"/>
      <c r="AD1336" s="31"/>
      <c r="AE1336" s="31"/>
      <c r="AF1336" s="31"/>
      <c r="AG1336" s="31"/>
      <c r="AH1336" s="31"/>
      <c r="AI1336" s="31"/>
      <c r="AJ1336" s="31"/>
      <c r="AK1336" s="31"/>
      <c r="AL1336" s="28" t="str">
        <f>VLOOKUP($G1336,'[42]Sheet1 (2)'!$A$1:$B$1048440,2,FALSE)</f>
        <v>Sqm</v>
      </c>
      <c r="AM1336" s="32"/>
      <c r="AN1336" s="31"/>
      <c r="AO1336" s="33"/>
    </row>
    <row r="1337" spans="1:41" ht="140" x14ac:dyDescent="0.25">
      <c r="A1337" s="20">
        <v>1198</v>
      </c>
      <c r="B1337" s="21" t="s">
        <v>2308</v>
      </c>
      <c r="C1337" s="22">
        <v>39.049999999999997</v>
      </c>
      <c r="D1337" s="25" t="s">
        <v>2318</v>
      </c>
      <c r="E1337" s="24" t="s">
        <v>2319</v>
      </c>
      <c r="F1337" s="24" t="s">
        <v>742</v>
      </c>
      <c r="G1337" s="202" t="s">
        <v>621</v>
      </c>
      <c r="H1337" s="26">
        <v>5852</v>
      </c>
      <c r="I1337" s="26">
        <v>1724</v>
      </c>
      <c r="J1337" s="31"/>
      <c r="K1337" s="31"/>
      <c r="L1337" s="31"/>
      <c r="M1337" s="31"/>
      <c r="N1337" s="31"/>
      <c r="O1337" s="31"/>
      <c r="P1337" s="31"/>
      <c r="Q1337" s="31"/>
      <c r="R1337" s="31"/>
      <c r="S1337" s="31"/>
      <c r="T1337" s="31"/>
      <c r="U1337" s="31"/>
      <c r="V1337" s="31"/>
      <c r="W1337" s="31"/>
      <c r="X1337" s="31"/>
      <c r="Y1337" s="31"/>
      <c r="Z1337" s="31"/>
      <c r="AA1337" s="31"/>
      <c r="AB1337" s="31"/>
      <c r="AC1337" s="31"/>
      <c r="AD1337" s="31"/>
      <c r="AE1337" s="31"/>
      <c r="AF1337" s="31"/>
      <c r="AG1337" s="31"/>
      <c r="AH1337" s="31"/>
      <c r="AI1337" s="31"/>
      <c r="AJ1337" s="31"/>
      <c r="AK1337" s="31"/>
      <c r="AL1337" s="28" t="str">
        <f>VLOOKUP($G1337,'[42]Sheet1 (2)'!$A$1:$B$1048440,2,FALSE)</f>
        <v>Sqm</v>
      </c>
      <c r="AM1337" s="32"/>
      <c r="AN1337" s="31"/>
      <c r="AO1337" s="33"/>
    </row>
    <row r="1338" spans="1:41" ht="140" x14ac:dyDescent="0.25">
      <c r="A1338" s="20">
        <v>1199</v>
      </c>
      <c r="B1338" s="21" t="s">
        <v>2308</v>
      </c>
      <c r="C1338" s="22">
        <v>39.06</v>
      </c>
      <c r="D1338" s="25" t="s">
        <v>2318</v>
      </c>
      <c r="E1338" s="23" t="s">
        <v>2320</v>
      </c>
      <c r="F1338" s="24" t="s">
        <v>742</v>
      </c>
      <c r="G1338" s="202" t="s">
        <v>621</v>
      </c>
      <c r="H1338" s="26">
        <v>8187</v>
      </c>
      <c r="I1338" s="26">
        <v>2445</v>
      </c>
      <c r="J1338" s="31"/>
      <c r="K1338" s="31"/>
      <c r="L1338" s="31"/>
      <c r="M1338" s="31"/>
      <c r="N1338" s="31"/>
      <c r="O1338" s="31"/>
      <c r="P1338" s="31"/>
      <c r="Q1338" s="31"/>
      <c r="R1338" s="31"/>
      <c r="S1338" s="31"/>
      <c r="T1338" s="31"/>
      <c r="U1338" s="31"/>
      <c r="V1338" s="31"/>
      <c r="W1338" s="31"/>
      <c r="X1338" s="31"/>
      <c r="Y1338" s="31"/>
      <c r="Z1338" s="31"/>
      <c r="AA1338" s="31"/>
      <c r="AB1338" s="31"/>
      <c r="AC1338" s="31"/>
      <c r="AD1338" s="31"/>
      <c r="AE1338" s="31"/>
      <c r="AF1338" s="31"/>
      <c r="AG1338" s="31"/>
      <c r="AH1338" s="31"/>
      <c r="AI1338" s="31"/>
      <c r="AJ1338" s="31"/>
      <c r="AK1338" s="31"/>
      <c r="AL1338" s="28" t="str">
        <f>VLOOKUP($G1338,'[42]Sheet1 (2)'!$A$1:$B$1048440,2,FALSE)</f>
        <v>Sqm</v>
      </c>
      <c r="AM1338" s="32"/>
      <c r="AN1338" s="31"/>
      <c r="AO1338" s="33"/>
    </row>
    <row r="1339" spans="1:41" ht="140" x14ac:dyDescent="0.25">
      <c r="A1339" s="20">
        <v>1200</v>
      </c>
      <c r="B1339" s="21" t="s">
        <v>2308</v>
      </c>
      <c r="C1339" s="22">
        <v>39.07</v>
      </c>
      <c r="D1339" s="25" t="s">
        <v>2318</v>
      </c>
      <c r="E1339" s="23" t="s">
        <v>2321</v>
      </c>
      <c r="F1339" s="24" t="s">
        <v>742</v>
      </c>
      <c r="G1339" s="202" t="s">
        <v>621</v>
      </c>
      <c r="H1339" s="26">
        <v>7336</v>
      </c>
      <c r="I1339" s="26">
        <v>2580</v>
      </c>
      <c r="J1339" s="31"/>
      <c r="K1339" s="31"/>
      <c r="L1339" s="31"/>
      <c r="M1339" s="31"/>
      <c r="N1339" s="31"/>
      <c r="O1339" s="31"/>
      <c r="P1339" s="31"/>
      <c r="Q1339" s="31"/>
      <c r="R1339" s="31"/>
      <c r="S1339" s="31"/>
      <c r="T1339" s="31"/>
      <c r="U1339" s="31"/>
      <c r="V1339" s="31"/>
      <c r="W1339" s="31"/>
      <c r="X1339" s="31"/>
      <c r="Y1339" s="31"/>
      <c r="Z1339" s="31"/>
      <c r="AA1339" s="31"/>
      <c r="AB1339" s="31"/>
      <c r="AC1339" s="31"/>
      <c r="AD1339" s="31"/>
      <c r="AE1339" s="31"/>
      <c r="AF1339" s="31"/>
      <c r="AG1339" s="31"/>
      <c r="AH1339" s="31"/>
      <c r="AI1339" s="31"/>
      <c r="AJ1339" s="31"/>
      <c r="AK1339" s="31"/>
      <c r="AL1339" s="28" t="str">
        <f>VLOOKUP($G1339,'[42]Sheet1 (2)'!$A$1:$B$1048440,2,FALSE)</f>
        <v>Sqm</v>
      </c>
      <c r="AM1339" s="32"/>
      <c r="AN1339" s="31"/>
      <c r="AO1339" s="33"/>
    </row>
    <row r="1340" spans="1:41" ht="98" x14ac:dyDescent="0.25">
      <c r="A1340" s="20">
        <v>1201</v>
      </c>
      <c r="B1340" s="21" t="s">
        <v>2308</v>
      </c>
      <c r="C1340" s="22">
        <v>39.08</v>
      </c>
      <c r="D1340" s="25" t="s">
        <v>2322</v>
      </c>
      <c r="E1340" s="23" t="s">
        <v>2323</v>
      </c>
      <c r="F1340" s="23" t="s">
        <v>2324</v>
      </c>
      <c r="G1340" s="202" t="s">
        <v>621</v>
      </c>
      <c r="H1340" s="26">
        <v>9542</v>
      </c>
      <c r="I1340" s="26">
        <v>2612</v>
      </c>
      <c r="J1340" s="31"/>
      <c r="K1340" s="31"/>
      <c r="L1340" s="31"/>
      <c r="M1340" s="31"/>
      <c r="N1340" s="31"/>
      <c r="O1340" s="31"/>
      <c r="P1340" s="31"/>
      <c r="Q1340" s="31"/>
      <c r="R1340" s="31"/>
      <c r="S1340" s="31"/>
      <c r="T1340" s="31"/>
      <c r="U1340" s="31"/>
      <c r="V1340" s="31"/>
      <c r="W1340" s="31"/>
      <c r="X1340" s="31"/>
      <c r="Y1340" s="31"/>
      <c r="Z1340" s="31"/>
      <c r="AA1340" s="31"/>
      <c r="AB1340" s="31"/>
      <c r="AC1340" s="31"/>
      <c r="AD1340" s="31"/>
      <c r="AE1340" s="31"/>
      <c r="AF1340" s="31"/>
      <c r="AG1340" s="31"/>
      <c r="AH1340" s="31"/>
      <c r="AI1340" s="31"/>
      <c r="AJ1340" s="31"/>
      <c r="AK1340" s="31"/>
      <c r="AL1340" s="28" t="str">
        <f>VLOOKUP($G1340,'[42]Sheet1 (2)'!$A$1:$B$1048440,2,FALSE)</f>
        <v>Sqm</v>
      </c>
      <c r="AM1340" s="32"/>
      <c r="AN1340" s="31"/>
      <c r="AO1340" s="33"/>
    </row>
    <row r="1341" spans="1:41" ht="98" x14ac:dyDescent="0.25">
      <c r="A1341" s="20">
        <v>1202</v>
      </c>
      <c r="B1341" s="21" t="s">
        <v>2308</v>
      </c>
      <c r="C1341" s="22">
        <v>39.090000000000003</v>
      </c>
      <c r="D1341" s="25" t="s">
        <v>2325</v>
      </c>
      <c r="E1341" s="24" t="s">
        <v>2326</v>
      </c>
      <c r="F1341" s="92" t="s">
        <v>2327</v>
      </c>
      <c r="G1341" s="202" t="s">
        <v>621</v>
      </c>
      <c r="H1341" s="26">
        <v>3079</v>
      </c>
      <c r="I1341" s="26">
        <v>741</v>
      </c>
      <c r="J1341" s="31"/>
      <c r="K1341" s="31"/>
      <c r="L1341" s="31"/>
      <c r="M1341" s="31"/>
      <c r="N1341" s="31"/>
      <c r="O1341" s="31"/>
      <c r="P1341" s="31"/>
      <c r="Q1341" s="31"/>
      <c r="R1341" s="31"/>
      <c r="S1341" s="31"/>
      <c r="T1341" s="31"/>
      <c r="U1341" s="31"/>
      <c r="V1341" s="31"/>
      <c r="W1341" s="31"/>
      <c r="X1341" s="31"/>
      <c r="Y1341" s="31"/>
      <c r="Z1341" s="31"/>
      <c r="AA1341" s="31"/>
      <c r="AB1341" s="31"/>
      <c r="AC1341" s="31"/>
      <c r="AD1341" s="31"/>
      <c r="AE1341" s="31"/>
      <c r="AF1341" s="31"/>
      <c r="AG1341" s="31"/>
      <c r="AH1341" s="31"/>
      <c r="AI1341" s="31"/>
      <c r="AJ1341" s="31"/>
      <c r="AK1341" s="31"/>
      <c r="AL1341" s="28" t="str">
        <f>VLOOKUP($G1341,'[42]Sheet1 (2)'!$A$1:$B$1048440,2,FALSE)</f>
        <v>Sqm</v>
      </c>
      <c r="AM1341" s="32"/>
      <c r="AN1341" s="31"/>
      <c r="AO1341" s="33"/>
    </row>
    <row r="1342" spans="1:41" ht="84" x14ac:dyDescent="0.25">
      <c r="A1342" s="20">
        <v>1203</v>
      </c>
      <c r="B1342" s="21" t="s">
        <v>2308</v>
      </c>
      <c r="C1342" s="22">
        <v>39.1</v>
      </c>
      <c r="D1342" s="25" t="s">
        <v>2328</v>
      </c>
      <c r="E1342" s="23" t="s">
        <v>2329</v>
      </c>
      <c r="F1342" s="92" t="s">
        <v>2330</v>
      </c>
      <c r="G1342" s="202" t="s">
        <v>621</v>
      </c>
      <c r="H1342" s="26">
        <v>2913</v>
      </c>
      <c r="I1342" s="26">
        <v>851</v>
      </c>
      <c r="J1342" s="31"/>
      <c r="K1342" s="31"/>
      <c r="L1342" s="31"/>
      <c r="M1342" s="31"/>
      <c r="N1342" s="31"/>
      <c r="O1342" s="31"/>
      <c r="P1342" s="31"/>
      <c r="Q1342" s="31"/>
      <c r="R1342" s="31"/>
      <c r="S1342" s="31"/>
      <c r="T1342" s="31"/>
      <c r="U1342" s="31"/>
      <c r="V1342" s="31"/>
      <c r="W1342" s="31"/>
      <c r="X1342" s="31"/>
      <c r="Y1342" s="31"/>
      <c r="Z1342" s="31"/>
      <c r="AA1342" s="31"/>
      <c r="AB1342" s="31"/>
      <c r="AC1342" s="31"/>
      <c r="AD1342" s="31"/>
      <c r="AE1342" s="31"/>
      <c r="AF1342" s="31"/>
      <c r="AG1342" s="31"/>
      <c r="AH1342" s="31"/>
      <c r="AI1342" s="31"/>
      <c r="AJ1342" s="31"/>
      <c r="AK1342" s="31"/>
      <c r="AL1342" s="28" t="str">
        <f>VLOOKUP($G1342,'[42]Sheet1 (2)'!$A$1:$B$1048440,2,FALSE)</f>
        <v>Sqm</v>
      </c>
      <c r="AM1342" s="32"/>
      <c r="AN1342" s="31"/>
      <c r="AO1342" s="33"/>
    </row>
    <row r="1343" spans="1:41" ht="98" x14ac:dyDescent="0.25">
      <c r="A1343" s="20">
        <v>1204</v>
      </c>
      <c r="B1343" s="21" t="s">
        <v>2308</v>
      </c>
      <c r="C1343" s="22">
        <v>39.11</v>
      </c>
      <c r="D1343" s="25" t="s">
        <v>2309</v>
      </c>
      <c r="E1343" s="24" t="s">
        <v>2331</v>
      </c>
      <c r="F1343" s="24" t="s">
        <v>742</v>
      </c>
      <c r="G1343" s="202" t="s">
        <v>621</v>
      </c>
      <c r="H1343" s="26">
        <v>3839</v>
      </c>
      <c r="I1343" s="26">
        <v>855</v>
      </c>
      <c r="J1343" s="31"/>
      <c r="K1343" s="31"/>
      <c r="L1343" s="31"/>
      <c r="M1343" s="31"/>
      <c r="N1343" s="31"/>
      <c r="O1343" s="31"/>
      <c r="P1343" s="31"/>
      <c r="Q1343" s="31"/>
      <c r="R1343" s="31"/>
      <c r="S1343" s="31"/>
      <c r="T1343" s="31"/>
      <c r="U1343" s="31"/>
      <c r="V1343" s="31"/>
      <c r="W1343" s="31"/>
      <c r="X1343" s="31"/>
      <c r="Y1343" s="31"/>
      <c r="Z1343" s="31"/>
      <c r="AA1343" s="31"/>
      <c r="AB1343" s="31"/>
      <c r="AC1343" s="31"/>
      <c r="AD1343" s="31"/>
      <c r="AE1343" s="31"/>
      <c r="AF1343" s="31"/>
      <c r="AG1343" s="31"/>
      <c r="AH1343" s="31"/>
      <c r="AI1343" s="31"/>
      <c r="AJ1343" s="31"/>
      <c r="AK1343" s="31"/>
      <c r="AL1343" s="28" t="str">
        <f>VLOOKUP($G1343,'[42]Sheet1 (2)'!$A$1:$B$1048440,2,FALSE)</f>
        <v>Sqm</v>
      </c>
      <c r="AM1343" s="32"/>
      <c r="AN1343" s="31"/>
      <c r="AO1343" s="33"/>
    </row>
    <row r="1344" spans="1:41" ht="84" x14ac:dyDescent="0.25">
      <c r="A1344" s="20">
        <v>1205</v>
      </c>
      <c r="B1344" s="21" t="s">
        <v>2308</v>
      </c>
      <c r="C1344" s="22">
        <v>39.119999999999997</v>
      </c>
      <c r="D1344" s="25" t="s">
        <v>2332</v>
      </c>
      <c r="E1344" s="23" t="s">
        <v>2333</v>
      </c>
      <c r="F1344" s="92" t="s">
        <v>2334</v>
      </c>
      <c r="G1344" s="202" t="s">
        <v>621</v>
      </c>
      <c r="H1344" s="26">
        <v>5475</v>
      </c>
      <c r="I1344" s="26">
        <v>875</v>
      </c>
      <c r="J1344" s="31"/>
      <c r="K1344" s="31"/>
      <c r="L1344" s="31"/>
      <c r="M1344" s="31"/>
      <c r="N1344" s="31"/>
      <c r="O1344" s="31"/>
      <c r="P1344" s="31"/>
      <c r="Q1344" s="31"/>
      <c r="R1344" s="31"/>
      <c r="S1344" s="31"/>
      <c r="T1344" s="31"/>
      <c r="U1344" s="31"/>
      <c r="V1344" s="31"/>
      <c r="W1344" s="31"/>
      <c r="X1344" s="31"/>
      <c r="Y1344" s="31"/>
      <c r="Z1344" s="31"/>
      <c r="AA1344" s="31"/>
      <c r="AB1344" s="31"/>
      <c r="AC1344" s="31"/>
      <c r="AD1344" s="31"/>
      <c r="AE1344" s="31"/>
      <c r="AF1344" s="31"/>
      <c r="AG1344" s="31"/>
      <c r="AH1344" s="31"/>
      <c r="AI1344" s="31"/>
      <c r="AJ1344" s="31"/>
      <c r="AK1344" s="31"/>
      <c r="AL1344" s="28" t="str">
        <f>VLOOKUP($G1344,'[42]Sheet1 (2)'!$A$1:$B$1048440,2,FALSE)</f>
        <v>Sqm</v>
      </c>
      <c r="AM1344" s="32"/>
      <c r="AN1344" s="31"/>
      <c r="AO1344" s="33"/>
    </row>
    <row r="1345" spans="1:41" ht="56" x14ac:dyDescent="0.25">
      <c r="A1345" s="20">
        <v>1206</v>
      </c>
      <c r="B1345" s="21" t="s">
        <v>2308</v>
      </c>
      <c r="C1345" s="22">
        <v>39.130000000000003</v>
      </c>
      <c r="D1345" s="25" t="s">
        <v>2309</v>
      </c>
      <c r="E1345" s="24" t="s">
        <v>2335</v>
      </c>
      <c r="F1345" s="24" t="s">
        <v>742</v>
      </c>
      <c r="G1345" s="202" t="s">
        <v>621</v>
      </c>
      <c r="H1345" s="26">
        <v>2826</v>
      </c>
      <c r="I1345" s="26">
        <v>558</v>
      </c>
      <c r="J1345" s="31"/>
      <c r="K1345" s="31"/>
      <c r="L1345" s="31"/>
      <c r="M1345" s="31"/>
      <c r="N1345" s="31"/>
      <c r="O1345" s="31"/>
      <c r="P1345" s="31"/>
      <c r="Q1345" s="31"/>
      <c r="R1345" s="31"/>
      <c r="S1345" s="31"/>
      <c r="T1345" s="31"/>
      <c r="U1345" s="31"/>
      <c r="V1345" s="31"/>
      <c r="W1345" s="31"/>
      <c r="X1345" s="31"/>
      <c r="Y1345" s="31"/>
      <c r="Z1345" s="31"/>
      <c r="AA1345" s="31"/>
      <c r="AB1345" s="31"/>
      <c r="AC1345" s="31"/>
      <c r="AD1345" s="31"/>
      <c r="AE1345" s="31"/>
      <c r="AF1345" s="31"/>
      <c r="AG1345" s="31"/>
      <c r="AH1345" s="31"/>
      <c r="AI1345" s="31"/>
      <c r="AJ1345" s="31"/>
      <c r="AK1345" s="31"/>
      <c r="AL1345" s="28" t="str">
        <f>VLOOKUP($G1345,'[42]Sheet1 (2)'!$A$1:$B$1048440,2,FALSE)</f>
        <v>Sqm</v>
      </c>
      <c r="AM1345" s="32"/>
      <c r="AN1345" s="31"/>
      <c r="AO1345" s="33"/>
    </row>
    <row r="1346" spans="1:41" ht="84" x14ac:dyDescent="0.25">
      <c r="A1346" s="20">
        <v>1207</v>
      </c>
      <c r="B1346" s="21" t="s">
        <v>2308</v>
      </c>
      <c r="C1346" s="22">
        <v>39.14</v>
      </c>
      <c r="D1346" s="25" t="s">
        <v>2309</v>
      </c>
      <c r="E1346" s="23" t="s">
        <v>2336</v>
      </c>
      <c r="F1346" s="24" t="s">
        <v>742</v>
      </c>
      <c r="G1346" s="202" t="s">
        <v>621</v>
      </c>
      <c r="H1346" s="26">
        <v>4800</v>
      </c>
      <c r="I1346" s="26">
        <v>720</v>
      </c>
      <c r="J1346" s="31"/>
      <c r="K1346" s="31"/>
      <c r="L1346" s="31"/>
      <c r="M1346" s="31"/>
      <c r="N1346" s="31"/>
      <c r="O1346" s="31"/>
      <c r="P1346" s="31"/>
      <c r="Q1346" s="31"/>
      <c r="R1346" s="31"/>
      <c r="S1346" s="31"/>
      <c r="T1346" s="31"/>
      <c r="U1346" s="31"/>
      <c r="V1346" s="31"/>
      <c r="W1346" s="31"/>
      <c r="X1346" s="31"/>
      <c r="Y1346" s="31"/>
      <c r="Z1346" s="31"/>
      <c r="AA1346" s="31"/>
      <c r="AB1346" s="31"/>
      <c r="AC1346" s="31"/>
      <c r="AD1346" s="31"/>
      <c r="AE1346" s="31"/>
      <c r="AF1346" s="31"/>
      <c r="AG1346" s="31"/>
      <c r="AH1346" s="31"/>
      <c r="AI1346" s="31"/>
      <c r="AJ1346" s="31"/>
      <c r="AK1346" s="31"/>
      <c r="AL1346" s="28" t="str">
        <f>VLOOKUP($G1346,'[42]Sheet1 (2)'!$A$1:$B$1048440,2,FALSE)</f>
        <v>Sqm</v>
      </c>
      <c r="AM1346" s="32"/>
      <c r="AN1346" s="31"/>
      <c r="AO1346" s="33"/>
    </row>
    <row r="1347" spans="1:41" ht="98" x14ac:dyDescent="0.25">
      <c r="A1347" s="20">
        <v>1208</v>
      </c>
      <c r="B1347" s="21" t="s">
        <v>2308</v>
      </c>
      <c r="C1347" s="22">
        <v>39.15</v>
      </c>
      <c r="D1347" s="25" t="s">
        <v>2337</v>
      </c>
      <c r="E1347" s="23" t="s">
        <v>2338</v>
      </c>
      <c r="F1347" s="92" t="s">
        <v>2339</v>
      </c>
      <c r="G1347" s="202" t="s">
        <v>621</v>
      </c>
      <c r="H1347" s="26">
        <v>4804</v>
      </c>
      <c r="I1347" s="26">
        <v>1496</v>
      </c>
      <c r="J1347" s="31"/>
      <c r="K1347" s="31"/>
      <c r="L1347" s="31"/>
      <c r="M1347" s="31"/>
      <c r="N1347" s="31"/>
      <c r="O1347" s="31"/>
      <c r="P1347" s="31"/>
      <c r="Q1347" s="31"/>
      <c r="R1347" s="31"/>
      <c r="S1347" s="31"/>
      <c r="T1347" s="31"/>
      <c r="U1347" s="31"/>
      <c r="V1347" s="31"/>
      <c r="W1347" s="31"/>
      <c r="X1347" s="31"/>
      <c r="Y1347" s="31"/>
      <c r="Z1347" s="31"/>
      <c r="AA1347" s="31"/>
      <c r="AB1347" s="31"/>
      <c r="AC1347" s="31"/>
      <c r="AD1347" s="31"/>
      <c r="AE1347" s="31"/>
      <c r="AF1347" s="31"/>
      <c r="AG1347" s="31"/>
      <c r="AH1347" s="31"/>
      <c r="AI1347" s="31"/>
      <c r="AJ1347" s="31"/>
      <c r="AK1347" s="31"/>
      <c r="AL1347" s="28" t="str">
        <f>VLOOKUP($G1347,'[42]Sheet1 (2)'!$A$1:$B$1048440,2,FALSE)</f>
        <v>Sqm</v>
      </c>
      <c r="AM1347" s="32"/>
      <c r="AN1347" s="31"/>
      <c r="AO1347" s="33"/>
    </row>
    <row r="1348" spans="1:41" ht="84" x14ac:dyDescent="0.25">
      <c r="A1348" s="20">
        <v>1209</v>
      </c>
      <c r="B1348" s="21" t="s">
        <v>2308</v>
      </c>
      <c r="C1348" s="22">
        <v>39.159999999999997</v>
      </c>
      <c r="D1348" s="25" t="s">
        <v>2337</v>
      </c>
      <c r="E1348" s="24" t="s">
        <v>2340</v>
      </c>
      <c r="F1348" s="92" t="s">
        <v>2339</v>
      </c>
      <c r="G1348" s="202" t="s">
        <v>621</v>
      </c>
      <c r="H1348" s="26">
        <v>5565</v>
      </c>
      <c r="I1348" s="26">
        <v>1506</v>
      </c>
      <c r="J1348" s="31"/>
      <c r="K1348" s="31"/>
      <c r="L1348" s="31"/>
      <c r="M1348" s="31"/>
      <c r="N1348" s="31"/>
      <c r="O1348" s="31"/>
      <c r="P1348" s="31"/>
      <c r="Q1348" s="31"/>
      <c r="R1348" s="31"/>
      <c r="S1348" s="31"/>
      <c r="T1348" s="31"/>
      <c r="U1348" s="31"/>
      <c r="V1348" s="31"/>
      <c r="W1348" s="31"/>
      <c r="X1348" s="31"/>
      <c r="Y1348" s="31"/>
      <c r="Z1348" s="31"/>
      <c r="AA1348" s="31"/>
      <c r="AB1348" s="31"/>
      <c r="AC1348" s="31"/>
      <c r="AD1348" s="31"/>
      <c r="AE1348" s="31"/>
      <c r="AF1348" s="31"/>
      <c r="AG1348" s="31"/>
      <c r="AH1348" s="31"/>
      <c r="AI1348" s="31"/>
      <c r="AJ1348" s="31"/>
      <c r="AK1348" s="31"/>
      <c r="AL1348" s="28" t="str">
        <f>VLOOKUP($G1348,'[42]Sheet1 (2)'!$A$1:$B$1048440,2,FALSE)</f>
        <v>Sqm</v>
      </c>
      <c r="AM1348" s="32"/>
      <c r="AN1348" s="31"/>
      <c r="AO1348" s="33"/>
    </row>
    <row r="1349" spans="1:41" ht="84" x14ac:dyDescent="0.25">
      <c r="A1349" s="20">
        <v>1210</v>
      </c>
      <c r="B1349" s="21" t="s">
        <v>2308</v>
      </c>
      <c r="C1349" s="22">
        <v>39.17</v>
      </c>
      <c r="D1349" s="25" t="s">
        <v>2341</v>
      </c>
      <c r="E1349" s="23" t="s">
        <v>2342</v>
      </c>
      <c r="F1349" s="92" t="s">
        <v>2343</v>
      </c>
      <c r="G1349" s="202" t="s">
        <v>621</v>
      </c>
      <c r="H1349" s="26">
        <v>6725</v>
      </c>
      <c r="I1349" s="26">
        <v>1136</v>
      </c>
      <c r="J1349" s="31"/>
      <c r="K1349" s="31"/>
      <c r="L1349" s="31"/>
      <c r="M1349" s="31"/>
      <c r="N1349" s="31"/>
      <c r="O1349" s="31"/>
      <c r="P1349" s="31"/>
      <c r="Q1349" s="31"/>
      <c r="R1349" s="31"/>
      <c r="S1349" s="31"/>
      <c r="T1349" s="31"/>
      <c r="U1349" s="31"/>
      <c r="V1349" s="31"/>
      <c r="W1349" s="31"/>
      <c r="X1349" s="31"/>
      <c r="Y1349" s="31"/>
      <c r="Z1349" s="31"/>
      <c r="AA1349" s="31"/>
      <c r="AB1349" s="31"/>
      <c r="AC1349" s="31"/>
      <c r="AD1349" s="31"/>
      <c r="AE1349" s="31"/>
      <c r="AF1349" s="31"/>
      <c r="AG1349" s="31"/>
      <c r="AH1349" s="31"/>
      <c r="AI1349" s="31"/>
      <c r="AJ1349" s="31"/>
      <c r="AK1349" s="31"/>
      <c r="AL1349" s="28" t="str">
        <f>VLOOKUP($G1349,'[42]Sheet1 (2)'!$A$1:$B$1048440,2,FALSE)</f>
        <v>Sqm</v>
      </c>
      <c r="AM1349" s="32"/>
      <c r="AN1349" s="31"/>
      <c r="AO1349" s="33"/>
    </row>
    <row r="1350" spans="1:41" ht="84" x14ac:dyDescent="0.25">
      <c r="A1350" s="20">
        <v>1211</v>
      </c>
      <c r="B1350" s="21" t="s">
        <v>2308</v>
      </c>
      <c r="C1350" s="22">
        <v>39.18</v>
      </c>
      <c r="D1350" s="25" t="s">
        <v>2341</v>
      </c>
      <c r="E1350" s="23" t="s">
        <v>2344</v>
      </c>
      <c r="F1350" s="92" t="s">
        <v>2343</v>
      </c>
      <c r="G1350" s="202" t="s">
        <v>621</v>
      </c>
      <c r="H1350" s="26">
        <v>7740</v>
      </c>
      <c r="I1350" s="26">
        <v>1265</v>
      </c>
      <c r="J1350" s="31"/>
      <c r="K1350" s="31"/>
      <c r="L1350" s="31"/>
      <c r="M1350" s="31"/>
      <c r="N1350" s="31"/>
      <c r="O1350" s="31"/>
      <c r="P1350" s="31"/>
      <c r="Q1350" s="31"/>
      <c r="R1350" s="31"/>
      <c r="S1350" s="31"/>
      <c r="T1350" s="31"/>
      <c r="U1350" s="31"/>
      <c r="V1350" s="31"/>
      <c r="W1350" s="31"/>
      <c r="X1350" s="31"/>
      <c r="Y1350" s="31"/>
      <c r="Z1350" s="31"/>
      <c r="AA1350" s="31"/>
      <c r="AB1350" s="31"/>
      <c r="AC1350" s="31"/>
      <c r="AD1350" s="31"/>
      <c r="AE1350" s="31"/>
      <c r="AF1350" s="31"/>
      <c r="AG1350" s="31"/>
      <c r="AH1350" s="31"/>
      <c r="AI1350" s="31"/>
      <c r="AJ1350" s="31"/>
      <c r="AK1350" s="31"/>
      <c r="AL1350" s="28" t="str">
        <f>VLOOKUP($G1350,'[42]Sheet1 (2)'!$A$1:$B$1048440,2,FALSE)</f>
        <v>Sqm</v>
      </c>
      <c r="AM1350" s="32"/>
      <c r="AN1350" s="31"/>
      <c r="AO1350" s="33"/>
    </row>
    <row r="1351" spans="1:41" ht="84" x14ac:dyDescent="0.25">
      <c r="A1351" s="20">
        <v>1212</v>
      </c>
      <c r="B1351" s="21" t="s">
        <v>2308</v>
      </c>
      <c r="C1351" s="22">
        <v>39.19</v>
      </c>
      <c r="D1351" s="25" t="s">
        <v>2345</v>
      </c>
      <c r="E1351" s="23" t="s">
        <v>2346</v>
      </c>
      <c r="F1351" s="92" t="s">
        <v>2347</v>
      </c>
      <c r="G1351" s="202" t="s">
        <v>621</v>
      </c>
      <c r="H1351" s="26">
        <v>4607</v>
      </c>
      <c r="I1351" s="26">
        <v>1447</v>
      </c>
      <c r="J1351" s="31"/>
      <c r="K1351" s="31"/>
      <c r="L1351" s="31"/>
      <c r="M1351" s="31"/>
      <c r="N1351" s="31"/>
      <c r="O1351" s="31"/>
      <c r="P1351" s="31"/>
      <c r="Q1351" s="31"/>
      <c r="R1351" s="31"/>
      <c r="S1351" s="31"/>
      <c r="T1351" s="31"/>
      <c r="U1351" s="31"/>
      <c r="V1351" s="31"/>
      <c r="W1351" s="31"/>
      <c r="X1351" s="31"/>
      <c r="Y1351" s="31"/>
      <c r="Z1351" s="31"/>
      <c r="AA1351" s="31"/>
      <c r="AB1351" s="31"/>
      <c r="AC1351" s="31"/>
      <c r="AD1351" s="31"/>
      <c r="AE1351" s="31"/>
      <c r="AF1351" s="31"/>
      <c r="AG1351" s="31"/>
      <c r="AH1351" s="31"/>
      <c r="AI1351" s="31"/>
      <c r="AJ1351" s="31"/>
      <c r="AK1351" s="31"/>
      <c r="AL1351" s="28" t="str">
        <f>VLOOKUP($G1351,'[42]Sheet1 (2)'!$A$1:$B$1048440,2,FALSE)</f>
        <v>Sqm</v>
      </c>
      <c r="AM1351" s="32"/>
      <c r="AN1351" s="31"/>
      <c r="AO1351" s="33"/>
    </row>
    <row r="1352" spans="1:41" ht="84" x14ac:dyDescent="0.25">
      <c r="A1352" s="20">
        <v>1213</v>
      </c>
      <c r="B1352" s="21" t="s">
        <v>2308</v>
      </c>
      <c r="C1352" s="22">
        <v>39.200000000000003</v>
      </c>
      <c r="D1352" s="25" t="s">
        <v>2345</v>
      </c>
      <c r="E1352" s="24" t="s">
        <v>2348</v>
      </c>
      <c r="F1352" s="92" t="s">
        <v>2347</v>
      </c>
      <c r="G1352" s="202" t="s">
        <v>621</v>
      </c>
      <c r="H1352" s="26">
        <v>4874</v>
      </c>
      <c r="I1352" s="26">
        <v>965</v>
      </c>
      <c r="J1352" s="31"/>
      <c r="K1352" s="31"/>
      <c r="L1352" s="31"/>
      <c r="M1352" s="31"/>
      <c r="N1352" s="31"/>
      <c r="O1352" s="31"/>
      <c r="P1352" s="31"/>
      <c r="Q1352" s="31"/>
      <c r="R1352" s="31"/>
      <c r="S1352" s="31"/>
      <c r="T1352" s="31"/>
      <c r="U1352" s="31"/>
      <c r="V1352" s="31"/>
      <c r="W1352" s="31"/>
      <c r="X1352" s="31"/>
      <c r="Y1352" s="31"/>
      <c r="Z1352" s="31"/>
      <c r="AA1352" s="31"/>
      <c r="AB1352" s="31"/>
      <c r="AC1352" s="31"/>
      <c r="AD1352" s="31"/>
      <c r="AE1352" s="31"/>
      <c r="AF1352" s="31"/>
      <c r="AG1352" s="31"/>
      <c r="AH1352" s="31"/>
      <c r="AI1352" s="31"/>
      <c r="AJ1352" s="31"/>
      <c r="AK1352" s="31"/>
      <c r="AL1352" s="28" t="str">
        <f>VLOOKUP($G1352,'[42]Sheet1 (2)'!$A$1:$B$1048440,2,FALSE)</f>
        <v>Sqm</v>
      </c>
      <c r="AM1352" s="32"/>
      <c r="AN1352" s="31"/>
      <c r="AO1352" s="33"/>
    </row>
    <row r="1353" spans="1:41" ht="168" x14ac:dyDescent="0.25">
      <c r="A1353" s="20">
        <v>1214</v>
      </c>
      <c r="B1353" s="21" t="s">
        <v>2308</v>
      </c>
      <c r="C1353" s="22">
        <v>39.21</v>
      </c>
      <c r="D1353" s="25" t="s">
        <v>2309</v>
      </c>
      <c r="E1353" s="23" t="s">
        <v>2349</v>
      </c>
      <c r="F1353" s="24" t="s">
        <v>742</v>
      </c>
      <c r="G1353" s="202" t="s">
        <v>621</v>
      </c>
      <c r="H1353" s="26">
        <v>4345</v>
      </c>
      <c r="I1353" s="26">
        <v>1371</v>
      </c>
      <c r="J1353" s="31"/>
      <c r="K1353" s="31"/>
      <c r="L1353" s="31"/>
      <c r="M1353" s="31"/>
      <c r="N1353" s="31"/>
      <c r="O1353" s="31"/>
      <c r="P1353" s="31"/>
      <c r="Q1353" s="31"/>
      <c r="R1353" s="31"/>
      <c r="S1353" s="31"/>
      <c r="T1353" s="31"/>
      <c r="U1353" s="31"/>
      <c r="V1353" s="31"/>
      <c r="W1353" s="31"/>
      <c r="X1353" s="31"/>
      <c r="Y1353" s="31"/>
      <c r="Z1353" s="31"/>
      <c r="AA1353" s="31"/>
      <c r="AB1353" s="31"/>
      <c r="AC1353" s="31"/>
      <c r="AD1353" s="31"/>
      <c r="AE1353" s="31"/>
      <c r="AF1353" s="31"/>
      <c r="AG1353" s="31"/>
      <c r="AH1353" s="31"/>
      <c r="AI1353" s="31"/>
      <c r="AJ1353" s="31"/>
      <c r="AK1353" s="31"/>
      <c r="AL1353" s="28" t="str">
        <f>VLOOKUP($G1353,'[42]Sheet1 (2)'!$A$1:$B$1048440,2,FALSE)</f>
        <v>Sqm</v>
      </c>
      <c r="AM1353" s="32"/>
      <c r="AN1353" s="31"/>
      <c r="AO1353" s="33"/>
    </row>
    <row r="1354" spans="1:41" ht="168" x14ac:dyDescent="0.25">
      <c r="A1354" s="20">
        <v>1215</v>
      </c>
      <c r="B1354" s="21" t="s">
        <v>2308</v>
      </c>
      <c r="C1354" s="22">
        <v>39.22</v>
      </c>
      <c r="D1354" s="25" t="s">
        <v>2309</v>
      </c>
      <c r="E1354" s="24" t="s">
        <v>2350</v>
      </c>
      <c r="F1354" s="24" t="s">
        <v>742</v>
      </c>
      <c r="G1354" s="202" t="s">
        <v>621</v>
      </c>
      <c r="H1354" s="26">
        <v>5796</v>
      </c>
      <c r="I1354" s="26">
        <v>1040</v>
      </c>
      <c r="J1354" s="31"/>
      <c r="K1354" s="31"/>
      <c r="L1354" s="31"/>
      <c r="M1354" s="31"/>
      <c r="N1354" s="31"/>
      <c r="O1354" s="31"/>
      <c r="P1354" s="31"/>
      <c r="Q1354" s="31"/>
      <c r="R1354" s="31"/>
      <c r="S1354" s="31"/>
      <c r="T1354" s="31"/>
      <c r="U1354" s="31"/>
      <c r="V1354" s="31"/>
      <c r="W1354" s="31"/>
      <c r="X1354" s="31"/>
      <c r="Y1354" s="31"/>
      <c r="Z1354" s="31"/>
      <c r="AA1354" s="31"/>
      <c r="AB1354" s="31"/>
      <c r="AC1354" s="31"/>
      <c r="AD1354" s="31"/>
      <c r="AE1354" s="31"/>
      <c r="AF1354" s="31"/>
      <c r="AG1354" s="31"/>
      <c r="AH1354" s="31"/>
      <c r="AI1354" s="31"/>
      <c r="AJ1354" s="31"/>
      <c r="AK1354" s="31"/>
      <c r="AL1354" s="28" t="str">
        <f>VLOOKUP($G1354,'[42]Sheet1 (2)'!$A$1:$B$1048440,2,FALSE)</f>
        <v>Sqm</v>
      </c>
      <c r="AM1354" s="32"/>
      <c r="AN1354" s="31"/>
      <c r="AO1354" s="33"/>
    </row>
    <row r="1355" spans="1:41" ht="140" x14ac:dyDescent="0.25">
      <c r="A1355" s="20">
        <v>1216</v>
      </c>
      <c r="B1355" s="21" t="s">
        <v>2308</v>
      </c>
      <c r="C1355" s="22">
        <v>39.229999999999997</v>
      </c>
      <c r="D1355" s="25" t="s">
        <v>2309</v>
      </c>
      <c r="E1355" s="24" t="s">
        <v>2351</v>
      </c>
      <c r="F1355" s="24" t="s">
        <v>742</v>
      </c>
      <c r="G1355" s="202" t="s">
        <v>621</v>
      </c>
      <c r="H1355" s="26">
        <v>5136</v>
      </c>
      <c r="I1355" s="26">
        <v>1040</v>
      </c>
      <c r="J1355" s="31"/>
      <c r="K1355" s="31"/>
      <c r="L1355" s="31"/>
      <c r="M1355" s="31"/>
      <c r="N1355" s="31"/>
      <c r="O1355" s="31"/>
      <c r="P1355" s="31"/>
      <c r="Q1355" s="31"/>
      <c r="R1355" s="31"/>
      <c r="S1355" s="31"/>
      <c r="T1355" s="31"/>
      <c r="U1355" s="31"/>
      <c r="V1355" s="31"/>
      <c r="W1355" s="31"/>
      <c r="X1355" s="31"/>
      <c r="Y1355" s="31"/>
      <c r="Z1355" s="31"/>
      <c r="AA1355" s="31"/>
      <c r="AB1355" s="31"/>
      <c r="AC1355" s="31"/>
      <c r="AD1355" s="31"/>
      <c r="AE1355" s="31"/>
      <c r="AF1355" s="31"/>
      <c r="AG1355" s="31"/>
      <c r="AH1355" s="31"/>
      <c r="AI1355" s="31"/>
      <c r="AJ1355" s="31"/>
      <c r="AK1355" s="31"/>
      <c r="AL1355" s="28" t="str">
        <f>VLOOKUP($G1355,'[42]Sheet1 (2)'!$A$1:$B$1048440,2,FALSE)</f>
        <v>Sqm</v>
      </c>
      <c r="AM1355" s="32"/>
      <c r="AN1355" s="31"/>
      <c r="AO1355" s="33"/>
    </row>
    <row r="1356" spans="1:41" ht="196" x14ac:dyDescent="0.25">
      <c r="A1356" s="20">
        <v>1217</v>
      </c>
      <c r="B1356" s="21" t="s">
        <v>2308</v>
      </c>
      <c r="C1356" s="22">
        <v>39.24</v>
      </c>
      <c r="D1356" s="25" t="s">
        <v>2352</v>
      </c>
      <c r="E1356" s="23" t="s">
        <v>2353</v>
      </c>
      <c r="F1356" s="92" t="s">
        <v>2354</v>
      </c>
      <c r="G1356" s="202" t="s">
        <v>621</v>
      </c>
      <c r="H1356" s="26">
        <v>4829</v>
      </c>
      <c r="I1356" s="26">
        <v>846</v>
      </c>
      <c r="J1356" s="31"/>
      <c r="K1356" s="31"/>
      <c r="L1356" s="31"/>
      <c r="M1356" s="31"/>
      <c r="N1356" s="31"/>
      <c r="O1356" s="31"/>
      <c r="P1356" s="31"/>
      <c r="Q1356" s="31"/>
      <c r="R1356" s="31"/>
      <c r="S1356" s="31"/>
      <c r="T1356" s="31"/>
      <c r="U1356" s="31"/>
      <c r="V1356" s="31"/>
      <c r="W1356" s="31"/>
      <c r="X1356" s="31"/>
      <c r="Y1356" s="31"/>
      <c r="Z1356" s="31"/>
      <c r="AA1356" s="31"/>
      <c r="AB1356" s="31"/>
      <c r="AC1356" s="31"/>
      <c r="AD1356" s="31"/>
      <c r="AE1356" s="31"/>
      <c r="AF1356" s="31"/>
      <c r="AG1356" s="31"/>
      <c r="AH1356" s="31"/>
      <c r="AI1356" s="31"/>
      <c r="AJ1356" s="31"/>
      <c r="AK1356" s="31"/>
      <c r="AL1356" s="28" t="str">
        <f>VLOOKUP($G1356,'[42]Sheet1 (2)'!$A$1:$B$1048440,2,FALSE)</f>
        <v>Sqm</v>
      </c>
      <c r="AM1356" s="32"/>
      <c r="AN1356" s="31"/>
      <c r="AO1356" s="33"/>
    </row>
    <row r="1357" spans="1:41" ht="196" x14ac:dyDescent="0.25">
      <c r="A1357" s="20">
        <v>1218</v>
      </c>
      <c r="B1357" s="21" t="s">
        <v>2308</v>
      </c>
      <c r="C1357" s="22">
        <v>39.25</v>
      </c>
      <c r="D1357" s="25" t="s">
        <v>2352</v>
      </c>
      <c r="E1357" s="23" t="s">
        <v>2355</v>
      </c>
      <c r="F1357" s="92" t="s">
        <v>2354</v>
      </c>
      <c r="G1357" s="202" t="s">
        <v>621</v>
      </c>
      <c r="H1357" s="26">
        <v>5308</v>
      </c>
      <c r="I1357" s="26">
        <v>901</v>
      </c>
      <c r="J1357" s="31"/>
      <c r="K1357" s="31"/>
      <c r="L1357" s="31"/>
      <c r="M1357" s="31"/>
      <c r="N1357" s="31"/>
      <c r="O1357" s="31"/>
      <c r="P1357" s="31"/>
      <c r="Q1357" s="31"/>
      <c r="R1357" s="31"/>
      <c r="S1357" s="31"/>
      <c r="T1357" s="31"/>
      <c r="U1357" s="31"/>
      <c r="V1357" s="31"/>
      <c r="W1357" s="31"/>
      <c r="X1357" s="31"/>
      <c r="Y1357" s="31"/>
      <c r="Z1357" s="31"/>
      <c r="AA1357" s="31"/>
      <c r="AB1357" s="31"/>
      <c r="AC1357" s="31"/>
      <c r="AD1357" s="31"/>
      <c r="AE1357" s="31"/>
      <c r="AF1357" s="31"/>
      <c r="AG1357" s="31"/>
      <c r="AH1357" s="31"/>
      <c r="AI1357" s="31"/>
      <c r="AJ1357" s="31"/>
      <c r="AK1357" s="31"/>
      <c r="AL1357" s="28" t="str">
        <f>VLOOKUP($G1357,'[42]Sheet1 (2)'!$A$1:$B$1048440,2,FALSE)</f>
        <v>Sqm</v>
      </c>
      <c r="AM1357" s="32"/>
      <c r="AN1357" s="31"/>
      <c r="AO1357" s="33"/>
    </row>
    <row r="1358" spans="1:41" ht="168" x14ac:dyDescent="0.25">
      <c r="A1358" s="20">
        <v>1219</v>
      </c>
      <c r="B1358" s="21" t="s">
        <v>2308</v>
      </c>
      <c r="C1358" s="22">
        <v>39.26</v>
      </c>
      <c r="D1358" s="25" t="s">
        <v>2356</v>
      </c>
      <c r="E1358" s="24" t="s">
        <v>2357</v>
      </c>
      <c r="F1358" s="92" t="s">
        <v>2358</v>
      </c>
      <c r="G1358" s="202" t="s">
        <v>621</v>
      </c>
      <c r="H1358" s="26">
        <v>4011</v>
      </c>
      <c r="I1358" s="26">
        <v>1088</v>
      </c>
      <c r="J1358" s="31"/>
      <c r="K1358" s="31"/>
      <c r="L1358" s="31"/>
      <c r="M1358" s="31"/>
      <c r="N1358" s="31"/>
      <c r="O1358" s="31"/>
      <c r="P1358" s="31"/>
      <c r="Q1358" s="31"/>
      <c r="R1358" s="31"/>
      <c r="S1358" s="31"/>
      <c r="T1358" s="31"/>
      <c r="U1358" s="31"/>
      <c r="V1358" s="31"/>
      <c r="W1358" s="31"/>
      <c r="X1358" s="31"/>
      <c r="Y1358" s="31"/>
      <c r="Z1358" s="31"/>
      <c r="AA1358" s="31"/>
      <c r="AB1358" s="31"/>
      <c r="AC1358" s="31"/>
      <c r="AD1358" s="31"/>
      <c r="AE1358" s="31"/>
      <c r="AF1358" s="31"/>
      <c r="AG1358" s="31"/>
      <c r="AH1358" s="31"/>
      <c r="AI1358" s="31"/>
      <c r="AJ1358" s="31"/>
      <c r="AK1358" s="31"/>
      <c r="AL1358" s="28" t="str">
        <f>VLOOKUP($G1358,'[42]Sheet1 (2)'!$A$1:$B$1048440,2,FALSE)</f>
        <v>Sqm</v>
      </c>
      <c r="AM1358" s="32"/>
      <c r="AN1358" s="31"/>
      <c r="AO1358" s="33"/>
    </row>
    <row r="1359" spans="1:41" ht="70" x14ac:dyDescent="0.25">
      <c r="A1359" s="20">
        <v>1220</v>
      </c>
      <c r="B1359" s="21" t="s">
        <v>2308</v>
      </c>
      <c r="C1359" s="22">
        <v>39.270000000000003</v>
      </c>
      <c r="D1359" s="25" t="s">
        <v>2359</v>
      </c>
      <c r="E1359" s="24" t="s">
        <v>2360</v>
      </c>
      <c r="F1359" s="92" t="s">
        <v>2361</v>
      </c>
      <c r="G1359" s="202" t="s">
        <v>621</v>
      </c>
      <c r="H1359" s="26">
        <v>2646</v>
      </c>
      <c r="I1359" s="26">
        <v>873</v>
      </c>
      <c r="J1359" s="31"/>
      <c r="K1359" s="31"/>
      <c r="L1359" s="31"/>
      <c r="M1359" s="31"/>
      <c r="N1359" s="31"/>
      <c r="O1359" s="31"/>
      <c r="P1359" s="31"/>
      <c r="Q1359" s="31"/>
      <c r="R1359" s="31"/>
      <c r="S1359" s="31"/>
      <c r="T1359" s="31"/>
      <c r="U1359" s="31"/>
      <c r="V1359" s="31"/>
      <c r="W1359" s="31"/>
      <c r="X1359" s="31"/>
      <c r="Y1359" s="31"/>
      <c r="Z1359" s="31"/>
      <c r="AA1359" s="31"/>
      <c r="AB1359" s="31"/>
      <c r="AC1359" s="31"/>
      <c r="AD1359" s="31"/>
      <c r="AE1359" s="31"/>
      <c r="AF1359" s="31"/>
      <c r="AG1359" s="31"/>
      <c r="AH1359" s="31"/>
      <c r="AI1359" s="31"/>
      <c r="AJ1359" s="31"/>
      <c r="AK1359" s="31"/>
      <c r="AL1359" s="28" t="str">
        <f>VLOOKUP($G1359,'[42]Sheet1 (2)'!$A$1:$B$1048440,2,FALSE)</f>
        <v>Sqm</v>
      </c>
      <c r="AM1359" s="32"/>
      <c r="AN1359" s="31"/>
      <c r="AO1359" s="33"/>
    </row>
    <row r="1360" spans="1:41" ht="70" x14ac:dyDescent="0.25">
      <c r="A1360" s="20">
        <v>1221</v>
      </c>
      <c r="B1360" s="21" t="s">
        <v>2308</v>
      </c>
      <c r="C1360" s="22">
        <v>39.28</v>
      </c>
      <c r="D1360" s="25" t="s">
        <v>2362</v>
      </c>
      <c r="E1360" s="24" t="s">
        <v>2363</v>
      </c>
      <c r="F1360" s="35" t="s">
        <v>2364</v>
      </c>
      <c r="G1360" s="202" t="s">
        <v>621</v>
      </c>
      <c r="H1360" s="26">
        <v>998</v>
      </c>
      <c r="I1360" s="26">
        <v>430</v>
      </c>
      <c r="J1360" s="31"/>
      <c r="K1360" s="31"/>
      <c r="L1360" s="31"/>
      <c r="M1360" s="31"/>
      <c r="N1360" s="31"/>
      <c r="O1360" s="31"/>
      <c r="P1360" s="31"/>
      <c r="Q1360" s="31"/>
      <c r="R1360" s="31"/>
      <c r="S1360" s="31"/>
      <c r="T1360" s="31"/>
      <c r="U1360" s="31"/>
      <c r="V1360" s="31"/>
      <c r="W1360" s="31"/>
      <c r="X1360" s="31"/>
      <c r="Y1360" s="31"/>
      <c r="Z1360" s="31"/>
      <c r="AA1360" s="31"/>
      <c r="AB1360" s="31"/>
      <c r="AC1360" s="31"/>
      <c r="AD1360" s="31"/>
      <c r="AE1360" s="31"/>
      <c r="AF1360" s="31"/>
      <c r="AG1360" s="31"/>
      <c r="AH1360" s="31"/>
      <c r="AI1360" s="31"/>
      <c r="AJ1360" s="31"/>
      <c r="AK1360" s="31"/>
      <c r="AL1360" s="28" t="str">
        <f>VLOOKUP($G1360,'[42]Sheet1 (2)'!$A$1:$B$1048440,2,FALSE)</f>
        <v>Sqm</v>
      </c>
      <c r="AM1360" s="32"/>
      <c r="AN1360" s="31"/>
      <c r="AO1360" s="33"/>
    </row>
    <row r="1361" spans="1:41" ht="112" x14ac:dyDescent="0.25">
      <c r="A1361" s="20">
        <v>1222</v>
      </c>
      <c r="B1361" s="21" t="s">
        <v>2308</v>
      </c>
      <c r="C1361" s="22">
        <v>39.29</v>
      </c>
      <c r="D1361" s="25" t="s">
        <v>2345</v>
      </c>
      <c r="E1361" s="24" t="s">
        <v>2365</v>
      </c>
      <c r="F1361" s="35" t="s">
        <v>2366</v>
      </c>
      <c r="G1361" s="202" t="s">
        <v>621</v>
      </c>
      <c r="H1361" s="26">
        <v>3375</v>
      </c>
      <c r="I1361" s="26">
        <v>806</v>
      </c>
      <c r="J1361" s="31"/>
      <c r="K1361" s="31"/>
      <c r="L1361" s="31"/>
      <c r="M1361" s="31"/>
      <c r="N1361" s="31"/>
      <c r="O1361" s="31"/>
      <c r="P1361" s="31"/>
      <c r="Q1361" s="31"/>
      <c r="R1361" s="31"/>
      <c r="S1361" s="31"/>
      <c r="T1361" s="31"/>
      <c r="U1361" s="31"/>
      <c r="V1361" s="31"/>
      <c r="W1361" s="31"/>
      <c r="X1361" s="31"/>
      <c r="Y1361" s="31"/>
      <c r="Z1361" s="31"/>
      <c r="AA1361" s="31"/>
      <c r="AB1361" s="31"/>
      <c r="AC1361" s="31"/>
      <c r="AD1361" s="31"/>
      <c r="AE1361" s="31"/>
      <c r="AF1361" s="31"/>
      <c r="AG1361" s="31"/>
      <c r="AH1361" s="31"/>
      <c r="AI1361" s="31"/>
      <c r="AJ1361" s="31"/>
      <c r="AK1361" s="31"/>
      <c r="AL1361" s="28" t="str">
        <f>VLOOKUP($G1361,'[42]Sheet1 (2)'!$A$1:$B$1048440,2,FALSE)</f>
        <v>Sqm</v>
      </c>
      <c r="AM1361" s="32"/>
      <c r="AN1361" s="31"/>
      <c r="AO1361" s="33"/>
    </row>
    <row r="1362" spans="1:41" ht="98" x14ac:dyDescent="0.25">
      <c r="A1362" s="20">
        <v>1223</v>
      </c>
      <c r="B1362" s="21" t="s">
        <v>2308</v>
      </c>
      <c r="C1362" s="22">
        <v>39.299999999999997</v>
      </c>
      <c r="D1362" s="25" t="s">
        <v>2345</v>
      </c>
      <c r="E1362" s="24" t="s">
        <v>2367</v>
      </c>
      <c r="F1362" s="35" t="s">
        <v>2368</v>
      </c>
      <c r="G1362" s="202" t="s">
        <v>621</v>
      </c>
      <c r="H1362" s="26">
        <v>4827</v>
      </c>
      <c r="I1362" s="26">
        <v>1537</v>
      </c>
      <c r="J1362" s="31"/>
      <c r="K1362" s="31"/>
      <c r="L1362" s="31"/>
      <c r="M1362" s="31"/>
      <c r="N1362" s="31"/>
      <c r="O1362" s="31"/>
      <c r="P1362" s="31"/>
      <c r="Q1362" s="31"/>
      <c r="R1362" s="31"/>
      <c r="S1362" s="31"/>
      <c r="T1362" s="31"/>
      <c r="U1362" s="31"/>
      <c r="V1362" s="31"/>
      <c r="W1362" s="31"/>
      <c r="X1362" s="31"/>
      <c r="Y1362" s="31"/>
      <c r="Z1362" s="31"/>
      <c r="AA1362" s="31"/>
      <c r="AB1362" s="31"/>
      <c r="AC1362" s="31"/>
      <c r="AD1362" s="31"/>
      <c r="AE1362" s="31"/>
      <c r="AF1362" s="31"/>
      <c r="AG1362" s="31"/>
      <c r="AH1362" s="31"/>
      <c r="AI1362" s="31"/>
      <c r="AJ1362" s="31"/>
      <c r="AK1362" s="31"/>
      <c r="AL1362" s="28" t="str">
        <f>VLOOKUP($G1362,'[42]Sheet1 (2)'!$A$1:$B$1048440,2,FALSE)</f>
        <v>Sqm</v>
      </c>
      <c r="AM1362" s="32"/>
      <c r="AN1362" s="31"/>
      <c r="AO1362" s="33"/>
    </row>
    <row r="1363" spans="1:41" ht="56" x14ac:dyDescent="0.25">
      <c r="A1363" s="20">
        <v>1224</v>
      </c>
      <c r="B1363" s="21" t="s">
        <v>2308</v>
      </c>
      <c r="C1363" s="22">
        <v>39.31</v>
      </c>
      <c r="D1363" s="25" t="s">
        <v>2309</v>
      </c>
      <c r="E1363" s="23" t="s">
        <v>2369</v>
      </c>
      <c r="F1363" s="24" t="s">
        <v>742</v>
      </c>
      <c r="G1363" s="202" t="s">
        <v>621</v>
      </c>
      <c r="H1363" s="26">
        <v>3258</v>
      </c>
      <c r="I1363" s="26">
        <v>1201</v>
      </c>
      <c r="J1363" s="31"/>
      <c r="K1363" s="31"/>
      <c r="L1363" s="31"/>
      <c r="M1363" s="31"/>
      <c r="N1363" s="31"/>
      <c r="O1363" s="31"/>
      <c r="P1363" s="31"/>
      <c r="Q1363" s="31"/>
      <c r="R1363" s="31"/>
      <c r="S1363" s="31"/>
      <c r="T1363" s="31"/>
      <c r="U1363" s="31"/>
      <c r="V1363" s="31"/>
      <c r="W1363" s="31"/>
      <c r="X1363" s="31"/>
      <c r="Y1363" s="31"/>
      <c r="Z1363" s="31"/>
      <c r="AA1363" s="31"/>
      <c r="AB1363" s="31"/>
      <c r="AC1363" s="31"/>
      <c r="AD1363" s="31"/>
      <c r="AE1363" s="31"/>
      <c r="AF1363" s="31"/>
      <c r="AG1363" s="31"/>
      <c r="AH1363" s="31"/>
      <c r="AI1363" s="31"/>
      <c r="AJ1363" s="31"/>
      <c r="AK1363" s="31"/>
      <c r="AL1363" s="28" t="str">
        <f>VLOOKUP($G1363,'[42]Sheet1 (2)'!$A$1:$B$1048440,2,FALSE)</f>
        <v>Sqm</v>
      </c>
      <c r="AM1363" s="32"/>
      <c r="AN1363" s="31"/>
      <c r="AO1363" s="33"/>
    </row>
    <row r="1364" spans="1:41" ht="56" x14ac:dyDescent="0.25">
      <c r="A1364" s="20">
        <v>1225</v>
      </c>
      <c r="B1364" s="92" t="s">
        <v>2370</v>
      </c>
      <c r="C1364" s="22">
        <v>39.32</v>
      </c>
      <c r="D1364" s="25" t="s">
        <v>2309</v>
      </c>
      <c r="E1364" s="23" t="s">
        <v>2371</v>
      </c>
      <c r="F1364" s="35" t="s">
        <v>1761</v>
      </c>
      <c r="G1364" s="238" t="s">
        <v>80</v>
      </c>
      <c r="H1364" s="26">
        <v>152</v>
      </c>
      <c r="I1364" s="26">
        <v>55</v>
      </c>
      <c r="J1364" s="31"/>
      <c r="K1364" s="31"/>
      <c r="L1364" s="31"/>
      <c r="M1364" s="31"/>
      <c r="N1364" s="31"/>
      <c r="O1364" s="31"/>
      <c r="P1364" s="31"/>
      <c r="Q1364" s="31"/>
      <c r="R1364" s="31"/>
      <c r="S1364" s="31"/>
      <c r="T1364" s="31"/>
      <c r="U1364" s="31"/>
      <c r="V1364" s="31"/>
      <c r="W1364" s="31"/>
      <c r="X1364" s="31"/>
      <c r="Y1364" s="31"/>
      <c r="Z1364" s="31"/>
      <c r="AA1364" s="31"/>
      <c r="AB1364" s="31"/>
      <c r="AC1364" s="31"/>
      <c r="AD1364" s="31"/>
      <c r="AE1364" s="31"/>
      <c r="AF1364" s="31"/>
      <c r="AG1364" s="31"/>
      <c r="AH1364" s="31"/>
      <c r="AI1364" s="31"/>
      <c r="AJ1364" s="31"/>
      <c r="AK1364" s="31"/>
      <c r="AL1364" s="28" t="str">
        <f>VLOOKUP($G1364,'[42]Sheet1 (2)'!$A$1:$B$1048440,2,FALSE)</f>
        <v>Rmt.</v>
      </c>
      <c r="AM1364" s="32"/>
      <c r="AN1364" s="31"/>
      <c r="AO1364" s="33"/>
    </row>
    <row r="1365" spans="1:41" ht="112" x14ac:dyDescent="0.25">
      <c r="A1365" s="20">
        <v>1226</v>
      </c>
      <c r="B1365" s="21" t="s">
        <v>2308</v>
      </c>
      <c r="C1365" s="22">
        <v>39.33</v>
      </c>
      <c r="D1365" s="25" t="s">
        <v>2309</v>
      </c>
      <c r="E1365" s="24" t="s">
        <v>2372</v>
      </c>
      <c r="F1365" s="24" t="s">
        <v>742</v>
      </c>
      <c r="G1365" s="202" t="s">
        <v>621</v>
      </c>
      <c r="H1365" s="26">
        <v>2938</v>
      </c>
      <c r="I1365" s="26">
        <v>728</v>
      </c>
      <c r="J1365" s="31"/>
      <c r="K1365" s="31"/>
      <c r="L1365" s="31"/>
      <c r="M1365" s="31"/>
      <c r="N1365" s="31"/>
      <c r="O1365" s="31"/>
      <c r="P1365" s="31"/>
      <c r="Q1365" s="31"/>
      <c r="R1365" s="31"/>
      <c r="S1365" s="31"/>
      <c r="T1365" s="31"/>
      <c r="U1365" s="31"/>
      <c r="V1365" s="31"/>
      <c r="W1365" s="31"/>
      <c r="X1365" s="31"/>
      <c r="Y1365" s="31"/>
      <c r="Z1365" s="31"/>
      <c r="AA1365" s="31"/>
      <c r="AB1365" s="31"/>
      <c r="AC1365" s="31"/>
      <c r="AD1365" s="31"/>
      <c r="AE1365" s="31"/>
      <c r="AF1365" s="31"/>
      <c r="AG1365" s="31"/>
      <c r="AH1365" s="31"/>
      <c r="AI1365" s="31"/>
      <c r="AJ1365" s="31"/>
      <c r="AK1365" s="31"/>
      <c r="AL1365" s="28" t="str">
        <f>VLOOKUP($G1365,'[42]Sheet1 (2)'!$A$1:$B$1048440,2,FALSE)</f>
        <v>Sqm</v>
      </c>
      <c r="AM1365" s="32"/>
      <c r="AN1365" s="31"/>
      <c r="AO1365" s="33"/>
    </row>
    <row r="1366" spans="1:41" ht="98" x14ac:dyDescent="0.25">
      <c r="A1366" s="20">
        <v>1227</v>
      </c>
      <c r="B1366" s="21" t="s">
        <v>2308</v>
      </c>
      <c r="C1366" s="22">
        <v>39.340000000000003</v>
      </c>
      <c r="D1366" s="25" t="s">
        <v>2309</v>
      </c>
      <c r="E1366" s="24" t="s">
        <v>2373</v>
      </c>
      <c r="F1366" s="24" t="s">
        <v>742</v>
      </c>
      <c r="G1366" s="202" t="s">
        <v>621</v>
      </c>
      <c r="H1366" s="26">
        <v>2283</v>
      </c>
      <c r="I1366" s="26">
        <v>774</v>
      </c>
      <c r="J1366" s="31"/>
      <c r="K1366" s="31"/>
      <c r="L1366" s="31"/>
      <c r="M1366" s="31"/>
      <c r="N1366" s="31"/>
      <c r="O1366" s="31"/>
      <c r="P1366" s="31"/>
      <c r="Q1366" s="31"/>
      <c r="R1366" s="31"/>
      <c r="S1366" s="31"/>
      <c r="T1366" s="31"/>
      <c r="U1366" s="31"/>
      <c r="V1366" s="31"/>
      <c r="W1366" s="31"/>
      <c r="X1366" s="31"/>
      <c r="Y1366" s="31"/>
      <c r="Z1366" s="31"/>
      <c r="AA1366" s="31"/>
      <c r="AB1366" s="31"/>
      <c r="AC1366" s="31"/>
      <c r="AD1366" s="31"/>
      <c r="AE1366" s="31"/>
      <c r="AF1366" s="31"/>
      <c r="AG1366" s="31"/>
      <c r="AH1366" s="31"/>
      <c r="AI1366" s="31"/>
      <c r="AJ1366" s="31"/>
      <c r="AK1366" s="31"/>
      <c r="AL1366" s="28" t="str">
        <f>VLOOKUP($G1366,'[42]Sheet1 (2)'!$A$1:$B$1048440,2,FALSE)</f>
        <v>Sqm</v>
      </c>
      <c r="AM1366" s="32"/>
      <c r="AN1366" s="31"/>
      <c r="AO1366" s="33"/>
    </row>
    <row r="1367" spans="1:41" ht="56" x14ac:dyDescent="0.25">
      <c r="A1367" s="20">
        <v>1228</v>
      </c>
      <c r="B1367" s="21" t="s">
        <v>2308</v>
      </c>
      <c r="C1367" s="22">
        <v>39.35</v>
      </c>
      <c r="D1367" s="25" t="s">
        <v>2309</v>
      </c>
      <c r="E1367" s="24" t="s">
        <v>2374</v>
      </c>
      <c r="F1367" s="24" t="s">
        <v>742</v>
      </c>
      <c r="G1367" s="202" t="s">
        <v>621</v>
      </c>
      <c r="H1367" s="26">
        <v>1999</v>
      </c>
      <c r="I1367" s="26">
        <v>810</v>
      </c>
      <c r="J1367" s="31"/>
      <c r="K1367" s="31"/>
      <c r="L1367" s="31"/>
      <c r="M1367" s="31"/>
      <c r="N1367" s="31"/>
      <c r="O1367" s="31"/>
      <c r="P1367" s="31"/>
      <c r="Q1367" s="31"/>
      <c r="R1367" s="31"/>
      <c r="S1367" s="31"/>
      <c r="T1367" s="31"/>
      <c r="U1367" s="31"/>
      <c r="V1367" s="31"/>
      <c r="W1367" s="31"/>
      <c r="X1367" s="31"/>
      <c r="Y1367" s="31"/>
      <c r="Z1367" s="31"/>
      <c r="AA1367" s="31"/>
      <c r="AB1367" s="31"/>
      <c r="AC1367" s="31"/>
      <c r="AD1367" s="31"/>
      <c r="AE1367" s="31"/>
      <c r="AF1367" s="31"/>
      <c r="AG1367" s="31"/>
      <c r="AH1367" s="31"/>
      <c r="AI1367" s="31"/>
      <c r="AJ1367" s="31"/>
      <c r="AK1367" s="31"/>
      <c r="AL1367" s="28" t="str">
        <f>VLOOKUP($G1367,'[42]Sheet1 (2)'!$A$1:$B$1048440,2,FALSE)</f>
        <v>Sqm</v>
      </c>
      <c r="AM1367" s="32"/>
      <c r="AN1367" s="31"/>
      <c r="AO1367" s="33"/>
    </row>
    <row r="1368" spans="1:41" ht="56" x14ac:dyDescent="0.25">
      <c r="A1368" s="20">
        <v>1229</v>
      </c>
      <c r="B1368" s="21" t="s">
        <v>2308</v>
      </c>
      <c r="C1368" s="22">
        <v>39.36</v>
      </c>
      <c r="D1368" s="25" t="s">
        <v>2309</v>
      </c>
      <c r="E1368" s="24" t="s">
        <v>2375</v>
      </c>
      <c r="F1368" s="24" t="s">
        <v>742</v>
      </c>
      <c r="G1368" s="202" t="s">
        <v>621</v>
      </c>
      <c r="H1368" s="26">
        <v>1750</v>
      </c>
      <c r="I1368" s="26">
        <v>810</v>
      </c>
      <c r="J1368" s="31"/>
      <c r="K1368" s="31"/>
      <c r="L1368" s="31"/>
      <c r="M1368" s="31"/>
      <c r="N1368" s="31"/>
      <c r="O1368" s="31"/>
      <c r="P1368" s="31"/>
      <c r="Q1368" s="31"/>
      <c r="R1368" s="31"/>
      <c r="S1368" s="31"/>
      <c r="T1368" s="31"/>
      <c r="U1368" s="31"/>
      <c r="V1368" s="31"/>
      <c r="W1368" s="31"/>
      <c r="X1368" s="31"/>
      <c r="Y1368" s="31"/>
      <c r="Z1368" s="31"/>
      <c r="AA1368" s="31"/>
      <c r="AB1368" s="31"/>
      <c r="AC1368" s="31"/>
      <c r="AD1368" s="31"/>
      <c r="AE1368" s="31"/>
      <c r="AF1368" s="31"/>
      <c r="AG1368" s="31"/>
      <c r="AH1368" s="31"/>
      <c r="AI1368" s="31"/>
      <c r="AJ1368" s="31"/>
      <c r="AK1368" s="31"/>
      <c r="AL1368" s="28" t="str">
        <f>VLOOKUP($G1368,'[42]Sheet1 (2)'!$A$1:$B$1048440,2,FALSE)</f>
        <v>Sqm</v>
      </c>
      <c r="AM1368" s="32"/>
      <c r="AN1368" s="31"/>
      <c r="AO1368" s="33"/>
    </row>
    <row r="1369" spans="1:41" ht="280" x14ac:dyDescent="0.25">
      <c r="A1369" s="20">
        <v>1230</v>
      </c>
      <c r="B1369" s="21" t="s">
        <v>2308</v>
      </c>
      <c r="C1369" s="22">
        <v>39.369999999999997</v>
      </c>
      <c r="D1369" s="25" t="s">
        <v>2309</v>
      </c>
      <c r="E1369" s="23" t="s">
        <v>2376</v>
      </c>
      <c r="F1369" s="24" t="s">
        <v>742</v>
      </c>
      <c r="G1369" s="202" t="s">
        <v>621</v>
      </c>
      <c r="H1369" s="26">
        <v>5479</v>
      </c>
      <c r="I1369" s="121">
        <v>1179</v>
      </c>
      <c r="J1369" s="31"/>
      <c r="K1369" s="31"/>
      <c r="L1369" s="31"/>
      <c r="M1369" s="31"/>
      <c r="N1369" s="31"/>
      <c r="O1369" s="31"/>
      <c r="P1369" s="31"/>
      <c r="Q1369" s="31"/>
      <c r="R1369" s="31"/>
      <c r="S1369" s="31"/>
      <c r="T1369" s="31"/>
      <c r="U1369" s="31"/>
      <c r="V1369" s="31"/>
      <c r="W1369" s="31"/>
      <c r="X1369" s="31"/>
      <c r="Y1369" s="31"/>
      <c r="Z1369" s="31"/>
      <c r="AA1369" s="31"/>
      <c r="AB1369" s="31"/>
      <c r="AC1369" s="31"/>
      <c r="AD1369" s="31"/>
      <c r="AE1369" s="31"/>
      <c r="AF1369" s="31"/>
      <c r="AG1369" s="31"/>
      <c r="AH1369" s="31"/>
      <c r="AI1369" s="31"/>
      <c r="AJ1369" s="31"/>
      <c r="AK1369" s="31"/>
      <c r="AL1369" s="28" t="str">
        <f>VLOOKUP($G1369,'[42]Sheet1 (2)'!$A$1:$B$1048440,2,FALSE)</f>
        <v>Sqm</v>
      </c>
      <c r="AM1369" s="32"/>
      <c r="AN1369" s="31"/>
      <c r="AO1369" s="33"/>
    </row>
    <row r="1370" spans="1:41" ht="308" x14ac:dyDescent="0.25">
      <c r="A1370" s="20">
        <v>1231</v>
      </c>
      <c r="B1370" s="21" t="s">
        <v>2308</v>
      </c>
      <c r="C1370" s="22">
        <v>39.380000000000003</v>
      </c>
      <c r="D1370" s="25" t="s">
        <v>2309</v>
      </c>
      <c r="E1370" s="23" t="s">
        <v>2377</v>
      </c>
      <c r="F1370" s="24" t="s">
        <v>742</v>
      </c>
      <c r="G1370" s="202" t="s">
        <v>621</v>
      </c>
      <c r="H1370" s="26">
        <v>5213</v>
      </c>
      <c r="I1370" s="121">
        <v>1179</v>
      </c>
      <c r="J1370" s="31"/>
      <c r="K1370" s="31"/>
      <c r="L1370" s="31"/>
      <c r="M1370" s="31"/>
      <c r="N1370" s="31"/>
      <c r="O1370" s="31"/>
      <c r="P1370" s="31"/>
      <c r="Q1370" s="31"/>
      <c r="R1370" s="31"/>
      <c r="S1370" s="31"/>
      <c r="T1370" s="31"/>
      <c r="U1370" s="31"/>
      <c r="V1370" s="31"/>
      <c r="W1370" s="31"/>
      <c r="X1370" s="31"/>
      <c r="Y1370" s="31"/>
      <c r="Z1370" s="31"/>
      <c r="AA1370" s="31"/>
      <c r="AB1370" s="31"/>
      <c r="AC1370" s="31"/>
      <c r="AD1370" s="31"/>
      <c r="AE1370" s="31"/>
      <c r="AF1370" s="31"/>
      <c r="AG1370" s="31"/>
      <c r="AH1370" s="31"/>
      <c r="AI1370" s="31"/>
      <c r="AJ1370" s="31"/>
      <c r="AK1370" s="31"/>
      <c r="AL1370" s="28" t="str">
        <f>VLOOKUP($G1370,'[42]Sheet1 (2)'!$A$1:$B$1048440,2,FALSE)</f>
        <v>Sqm</v>
      </c>
      <c r="AM1370" s="32"/>
      <c r="AN1370" s="31"/>
      <c r="AO1370" s="33"/>
    </row>
    <row r="1371" spans="1:41" ht="280" x14ac:dyDescent="0.25">
      <c r="A1371" s="20">
        <v>1232</v>
      </c>
      <c r="B1371" s="21" t="s">
        <v>2308</v>
      </c>
      <c r="C1371" s="22">
        <v>39.39</v>
      </c>
      <c r="D1371" s="25" t="s">
        <v>2309</v>
      </c>
      <c r="E1371" s="24" t="s">
        <v>3793</v>
      </c>
      <c r="F1371" s="24" t="s">
        <v>742</v>
      </c>
      <c r="G1371" s="202" t="s">
        <v>621</v>
      </c>
      <c r="H1371" s="26">
        <v>5284</v>
      </c>
      <c r="I1371" s="121">
        <v>1179</v>
      </c>
      <c r="J1371" s="31"/>
      <c r="K1371" s="31"/>
      <c r="L1371" s="31"/>
      <c r="M1371" s="31"/>
      <c r="N1371" s="31"/>
      <c r="O1371" s="31"/>
      <c r="P1371" s="31"/>
      <c r="Q1371" s="31"/>
      <c r="R1371" s="31"/>
      <c r="S1371" s="31"/>
      <c r="T1371" s="31"/>
      <c r="U1371" s="31"/>
      <c r="V1371" s="31"/>
      <c r="W1371" s="31"/>
      <c r="X1371" s="31"/>
      <c r="Y1371" s="31"/>
      <c r="Z1371" s="31"/>
      <c r="AA1371" s="31"/>
      <c r="AB1371" s="31"/>
      <c r="AC1371" s="31"/>
      <c r="AD1371" s="31"/>
      <c r="AE1371" s="31"/>
      <c r="AF1371" s="31"/>
      <c r="AG1371" s="31"/>
      <c r="AH1371" s="31"/>
      <c r="AI1371" s="31"/>
      <c r="AJ1371" s="31"/>
      <c r="AK1371" s="31"/>
      <c r="AL1371" s="28" t="str">
        <f>VLOOKUP($G1371,'[42]Sheet1 (2)'!$A$1:$B$1048440,2,FALSE)</f>
        <v>Sqm</v>
      </c>
      <c r="AM1371" s="32"/>
      <c r="AN1371" s="31"/>
      <c r="AO1371" s="33"/>
    </row>
    <row r="1372" spans="1:41" ht="262.5" customHeight="1" x14ac:dyDescent="0.25">
      <c r="A1372" s="20">
        <v>1233</v>
      </c>
      <c r="B1372" s="21" t="s">
        <v>2308</v>
      </c>
      <c r="C1372" s="22">
        <v>39.4</v>
      </c>
      <c r="D1372" s="25" t="s">
        <v>2309</v>
      </c>
      <c r="E1372" s="23" t="s">
        <v>2378</v>
      </c>
      <c r="F1372" s="24" t="s">
        <v>742</v>
      </c>
      <c r="G1372" s="202" t="s">
        <v>621</v>
      </c>
      <c r="H1372" s="26">
        <v>4864</v>
      </c>
      <c r="I1372" s="121">
        <v>1179</v>
      </c>
      <c r="J1372" s="31"/>
      <c r="K1372" s="31"/>
      <c r="L1372" s="31"/>
      <c r="M1372" s="31"/>
      <c r="N1372" s="31"/>
      <c r="O1372" s="31"/>
      <c r="P1372" s="31"/>
      <c r="Q1372" s="31"/>
      <c r="R1372" s="31"/>
      <c r="S1372" s="31"/>
      <c r="T1372" s="31"/>
      <c r="U1372" s="31"/>
      <c r="V1372" s="31"/>
      <c r="W1372" s="31"/>
      <c r="X1372" s="31"/>
      <c r="Y1372" s="31"/>
      <c r="Z1372" s="31"/>
      <c r="AA1372" s="31"/>
      <c r="AB1372" s="31"/>
      <c r="AC1372" s="31"/>
      <c r="AD1372" s="31"/>
      <c r="AE1372" s="31"/>
      <c r="AF1372" s="31"/>
      <c r="AG1372" s="31"/>
      <c r="AH1372" s="31"/>
      <c r="AI1372" s="31"/>
      <c r="AJ1372" s="31"/>
      <c r="AK1372" s="31"/>
      <c r="AL1372" s="28" t="str">
        <f>VLOOKUP($G1372,'[42]Sheet1 (2)'!$A$1:$B$1048440,2,FALSE)</f>
        <v>Sqm</v>
      </c>
      <c r="AM1372" s="32"/>
      <c r="AN1372" s="31"/>
      <c r="AO1372" s="33"/>
    </row>
    <row r="1373" spans="1:41" ht="266" x14ac:dyDescent="0.25">
      <c r="A1373" s="20">
        <v>1234</v>
      </c>
      <c r="B1373" s="21" t="s">
        <v>2308</v>
      </c>
      <c r="C1373" s="22">
        <v>39.409999999999997</v>
      </c>
      <c r="D1373" s="25" t="s">
        <v>2309</v>
      </c>
      <c r="E1373" s="23" t="s">
        <v>2379</v>
      </c>
      <c r="F1373" s="24" t="s">
        <v>742</v>
      </c>
      <c r="G1373" s="202" t="s">
        <v>621</v>
      </c>
      <c r="H1373" s="26">
        <v>5502</v>
      </c>
      <c r="I1373" s="121">
        <v>1415</v>
      </c>
      <c r="J1373" s="31"/>
      <c r="K1373" s="31"/>
      <c r="L1373" s="31"/>
      <c r="M1373" s="31"/>
      <c r="N1373" s="31"/>
      <c r="O1373" s="31"/>
      <c r="P1373" s="31"/>
      <c r="Q1373" s="31"/>
      <c r="R1373" s="31"/>
      <c r="S1373" s="31"/>
      <c r="T1373" s="31"/>
      <c r="U1373" s="31"/>
      <c r="V1373" s="31"/>
      <c r="W1373" s="31"/>
      <c r="X1373" s="31"/>
      <c r="Y1373" s="31"/>
      <c r="Z1373" s="31"/>
      <c r="AA1373" s="31"/>
      <c r="AB1373" s="31"/>
      <c r="AC1373" s="31"/>
      <c r="AD1373" s="31"/>
      <c r="AE1373" s="31"/>
      <c r="AF1373" s="31"/>
      <c r="AG1373" s="31"/>
      <c r="AH1373" s="31"/>
      <c r="AI1373" s="31"/>
      <c r="AJ1373" s="31"/>
      <c r="AK1373" s="31"/>
      <c r="AL1373" s="28" t="str">
        <f>VLOOKUP($G1373,'[42]Sheet1 (2)'!$A$1:$B$1048440,2,FALSE)</f>
        <v>Sqm</v>
      </c>
      <c r="AM1373" s="32"/>
      <c r="AN1373" s="31"/>
      <c r="AO1373" s="33"/>
    </row>
    <row r="1374" spans="1:41" ht="278.25" customHeight="1" x14ac:dyDescent="0.25">
      <c r="A1374" s="20">
        <v>1235</v>
      </c>
      <c r="B1374" s="21" t="s">
        <v>2308</v>
      </c>
      <c r="C1374" s="22">
        <v>39.42</v>
      </c>
      <c r="D1374" s="25" t="s">
        <v>2309</v>
      </c>
      <c r="E1374" s="23" t="s">
        <v>2380</v>
      </c>
      <c r="F1374" s="24" t="s">
        <v>742</v>
      </c>
      <c r="G1374" s="202" t="s">
        <v>621</v>
      </c>
      <c r="H1374" s="26">
        <v>5425</v>
      </c>
      <c r="I1374" s="121">
        <v>1415</v>
      </c>
      <c r="J1374" s="31"/>
      <c r="K1374" s="31"/>
      <c r="L1374" s="31"/>
      <c r="M1374" s="31"/>
      <c r="N1374" s="31"/>
      <c r="O1374" s="31"/>
      <c r="P1374" s="31"/>
      <c r="Q1374" s="31"/>
      <c r="R1374" s="31"/>
      <c r="S1374" s="31"/>
      <c r="T1374" s="31"/>
      <c r="U1374" s="31"/>
      <c r="V1374" s="31"/>
      <c r="W1374" s="31"/>
      <c r="X1374" s="31"/>
      <c r="Y1374" s="31"/>
      <c r="Z1374" s="31"/>
      <c r="AA1374" s="31"/>
      <c r="AB1374" s="31"/>
      <c r="AC1374" s="31"/>
      <c r="AD1374" s="31"/>
      <c r="AE1374" s="31"/>
      <c r="AF1374" s="31"/>
      <c r="AG1374" s="31"/>
      <c r="AH1374" s="31"/>
      <c r="AI1374" s="31"/>
      <c r="AJ1374" s="31"/>
      <c r="AK1374" s="31"/>
      <c r="AL1374" s="28" t="str">
        <f>VLOOKUP($G1374,'[42]Sheet1 (2)'!$A$1:$B$1048440,2,FALSE)</f>
        <v>Sqm</v>
      </c>
      <c r="AM1374" s="32"/>
      <c r="AN1374" s="31"/>
      <c r="AO1374" s="33"/>
    </row>
    <row r="1375" spans="1:41" ht="279" customHeight="1" x14ac:dyDescent="0.25">
      <c r="A1375" s="20">
        <v>1236</v>
      </c>
      <c r="B1375" s="21" t="s">
        <v>2308</v>
      </c>
      <c r="C1375" s="22">
        <v>39.43</v>
      </c>
      <c r="D1375" s="25" t="s">
        <v>2309</v>
      </c>
      <c r="E1375" s="24" t="s">
        <v>3794</v>
      </c>
      <c r="F1375" s="24" t="s">
        <v>742</v>
      </c>
      <c r="G1375" s="202" t="s">
        <v>621</v>
      </c>
      <c r="H1375" s="26">
        <v>5367</v>
      </c>
      <c r="I1375" s="121">
        <v>1415</v>
      </c>
      <c r="J1375" s="31"/>
      <c r="K1375" s="31"/>
      <c r="L1375" s="31"/>
      <c r="M1375" s="31"/>
      <c r="N1375" s="31"/>
      <c r="O1375" s="31"/>
      <c r="P1375" s="31"/>
      <c r="Q1375" s="31"/>
      <c r="R1375" s="31"/>
      <c r="S1375" s="31"/>
      <c r="T1375" s="31"/>
      <c r="U1375" s="31"/>
      <c r="V1375" s="31"/>
      <c r="W1375" s="31"/>
      <c r="X1375" s="31"/>
      <c r="Y1375" s="31"/>
      <c r="Z1375" s="31"/>
      <c r="AA1375" s="31"/>
      <c r="AB1375" s="31"/>
      <c r="AC1375" s="31"/>
      <c r="AD1375" s="31"/>
      <c r="AE1375" s="31"/>
      <c r="AF1375" s="31"/>
      <c r="AG1375" s="31"/>
      <c r="AH1375" s="31"/>
      <c r="AI1375" s="31"/>
      <c r="AJ1375" s="31"/>
      <c r="AK1375" s="31"/>
      <c r="AL1375" s="28" t="str">
        <f>VLOOKUP($G1375,'[42]Sheet1 (2)'!$A$1:$B$1048440,2,FALSE)</f>
        <v>Sqm</v>
      </c>
      <c r="AM1375" s="32"/>
      <c r="AN1375" s="31"/>
      <c r="AO1375" s="33"/>
    </row>
    <row r="1376" spans="1:41" ht="266" x14ac:dyDescent="0.25">
      <c r="A1376" s="20">
        <v>1237</v>
      </c>
      <c r="B1376" s="21" t="s">
        <v>2308</v>
      </c>
      <c r="C1376" s="22">
        <v>39.44</v>
      </c>
      <c r="D1376" s="25" t="s">
        <v>2309</v>
      </c>
      <c r="E1376" s="23" t="s">
        <v>2381</v>
      </c>
      <c r="F1376" s="24" t="s">
        <v>742</v>
      </c>
      <c r="G1376" s="202" t="s">
        <v>621</v>
      </c>
      <c r="H1376" s="26">
        <v>4968</v>
      </c>
      <c r="I1376" s="121">
        <v>1415</v>
      </c>
      <c r="J1376" s="31"/>
      <c r="K1376" s="31"/>
      <c r="L1376" s="31"/>
      <c r="M1376" s="31"/>
      <c r="N1376" s="31"/>
      <c r="O1376" s="31"/>
      <c r="P1376" s="31"/>
      <c r="Q1376" s="31"/>
      <c r="R1376" s="31"/>
      <c r="S1376" s="31"/>
      <c r="T1376" s="31"/>
      <c r="U1376" s="31"/>
      <c r="V1376" s="31"/>
      <c r="W1376" s="31"/>
      <c r="X1376" s="31"/>
      <c r="Y1376" s="31"/>
      <c r="Z1376" s="31"/>
      <c r="AA1376" s="31"/>
      <c r="AB1376" s="31"/>
      <c r="AC1376" s="31"/>
      <c r="AD1376" s="31"/>
      <c r="AE1376" s="31"/>
      <c r="AF1376" s="31"/>
      <c r="AG1376" s="31"/>
      <c r="AH1376" s="31"/>
      <c r="AI1376" s="31"/>
      <c r="AJ1376" s="31"/>
      <c r="AK1376" s="31"/>
      <c r="AL1376" s="28" t="str">
        <f>VLOOKUP($G1376,'[42]Sheet1 (2)'!$A$1:$B$1048440,2,FALSE)</f>
        <v>Sqm</v>
      </c>
      <c r="AM1376" s="32"/>
      <c r="AN1376" s="31"/>
      <c r="AO1376" s="33"/>
    </row>
    <row r="1377" spans="1:41" ht="196" x14ac:dyDescent="0.25">
      <c r="A1377" s="23"/>
      <c r="B1377" s="21" t="s">
        <v>2308</v>
      </c>
      <c r="C1377" s="127">
        <v>39.450000000000003</v>
      </c>
      <c r="D1377" s="25" t="s">
        <v>2309</v>
      </c>
      <c r="E1377" s="23" t="s">
        <v>2382</v>
      </c>
      <c r="F1377" s="23"/>
      <c r="G1377" s="202" t="s">
        <v>621</v>
      </c>
      <c r="H1377" s="23"/>
      <c r="I1377" s="23"/>
      <c r="J1377" s="31"/>
      <c r="K1377" s="31"/>
      <c r="L1377" s="31"/>
      <c r="M1377" s="31"/>
      <c r="N1377" s="31"/>
      <c r="O1377" s="31"/>
      <c r="P1377" s="31"/>
      <c r="Q1377" s="31"/>
      <c r="R1377" s="31"/>
      <c r="S1377" s="31"/>
      <c r="T1377" s="31"/>
      <c r="U1377" s="31"/>
      <c r="V1377" s="31"/>
      <c r="W1377" s="31"/>
      <c r="X1377" s="31"/>
      <c r="Y1377" s="31"/>
      <c r="Z1377" s="31"/>
      <c r="AA1377" s="31"/>
      <c r="AB1377" s="31"/>
      <c r="AC1377" s="31"/>
      <c r="AD1377" s="31"/>
      <c r="AE1377" s="31"/>
      <c r="AF1377" s="31"/>
      <c r="AG1377" s="31"/>
      <c r="AH1377" s="31"/>
      <c r="AI1377" s="31"/>
      <c r="AJ1377" s="31"/>
      <c r="AK1377" s="31"/>
      <c r="AL1377" s="28" t="str">
        <f>VLOOKUP($G1377,'[42]Sheet1 (2)'!$A$1:$B$1048440,2,FALSE)</f>
        <v>Sqm</v>
      </c>
      <c r="AM1377" s="32"/>
      <c r="AN1377" s="31"/>
      <c r="AO1377" s="33"/>
    </row>
    <row r="1378" spans="1:41" ht="46.5" x14ac:dyDescent="0.25">
      <c r="A1378" s="20">
        <v>1238</v>
      </c>
      <c r="B1378" s="23"/>
      <c r="C1378" s="25" t="s">
        <v>2383</v>
      </c>
      <c r="D1378" s="23"/>
      <c r="E1378" s="24" t="s">
        <v>2384</v>
      </c>
      <c r="F1378" s="25" t="s">
        <v>742</v>
      </c>
      <c r="G1378" s="202" t="s">
        <v>621</v>
      </c>
      <c r="H1378" s="26">
        <v>6482</v>
      </c>
      <c r="I1378" s="121">
        <v>1770</v>
      </c>
      <c r="J1378" s="31"/>
      <c r="K1378" s="31"/>
      <c r="L1378" s="31"/>
      <c r="M1378" s="31"/>
      <c r="N1378" s="31"/>
      <c r="O1378" s="31"/>
      <c r="P1378" s="31"/>
      <c r="Q1378" s="31"/>
      <c r="R1378" s="31"/>
      <c r="S1378" s="31"/>
      <c r="T1378" s="31"/>
      <c r="U1378" s="31"/>
      <c r="V1378" s="31"/>
      <c r="W1378" s="31"/>
      <c r="X1378" s="31"/>
      <c r="Y1378" s="31"/>
      <c r="Z1378" s="31"/>
      <c r="AA1378" s="31"/>
      <c r="AB1378" s="31"/>
      <c r="AC1378" s="31"/>
      <c r="AD1378" s="31"/>
      <c r="AE1378" s="31"/>
      <c r="AF1378" s="31"/>
      <c r="AG1378" s="31"/>
      <c r="AH1378" s="31"/>
      <c r="AI1378" s="31"/>
      <c r="AJ1378" s="31"/>
      <c r="AK1378" s="31"/>
      <c r="AL1378" s="28" t="str">
        <f>VLOOKUP($G1378,'[42]Sheet1 (2)'!$A$1:$B$1048440,2,FALSE)</f>
        <v>Sqm</v>
      </c>
      <c r="AM1378" s="32"/>
      <c r="AN1378" s="31"/>
      <c r="AO1378" s="33"/>
    </row>
    <row r="1379" spans="1:41" ht="56" x14ac:dyDescent="0.25">
      <c r="A1379" s="20">
        <v>1239</v>
      </c>
      <c r="B1379" s="26">
        <v>1</v>
      </c>
      <c r="C1379" s="25" t="s">
        <v>2385</v>
      </c>
      <c r="D1379" s="34"/>
      <c r="E1379" s="24" t="s">
        <v>2386</v>
      </c>
      <c r="F1379" s="35" t="s">
        <v>1761</v>
      </c>
      <c r="G1379" s="202" t="s">
        <v>621</v>
      </c>
      <c r="H1379" s="26">
        <v>6631</v>
      </c>
      <c r="I1379" s="121">
        <v>1770</v>
      </c>
      <c r="J1379" s="31"/>
      <c r="K1379" s="31"/>
      <c r="L1379" s="31"/>
      <c r="M1379" s="31"/>
      <c r="N1379" s="31"/>
      <c r="O1379" s="31"/>
      <c r="P1379" s="31"/>
      <c r="Q1379" s="31"/>
      <c r="R1379" s="31"/>
      <c r="S1379" s="31"/>
      <c r="T1379" s="31"/>
      <c r="U1379" s="31"/>
      <c r="V1379" s="31"/>
      <c r="W1379" s="31"/>
      <c r="X1379" s="31"/>
      <c r="Y1379" s="31"/>
      <c r="Z1379" s="31"/>
      <c r="AA1379" s="31"/>
      <c r="AB1379" s="31"/>
      <c r="AC1379" s="31"/>
      <c r="AD1379" s="31"/>
      <c r="AE1379" s="31"/>
      <c r="AF1379" s="31"/>
      <c r="AG1379" s="31"/>
      <c r="AH1379" s="31"/>
      <c r="AI1379" s="31"/>
      <c r="AJ1379" s="31"/>
      <c r="AK1379" s="31"/>
      <c r="AL1379" s="28" t="str">
        <f>VLOOKUP($G1379,'[42]Sheet1 (2)'!$A$1:$B$1048440,2,FALSE)</f>
        <v>Sqm</v>
      </c>
      <c r="AM1379" s="32"/>
      <c r="AN1379" s="31"/>
      <c r="AO1379" s="33"/>
    </row>
    <row r="1380" spans="1:41" ht="392" x14ac:dyDescent="0.25">
      <c r="A1380" s="20">
        <v>1240</v>
      </c>
      <c r="B1380" s="26">
        <v>2</v>
      </c>
      <c r="C1380" s="127">
        <v>39.47</v>
      </c>
      <c r="D1380" s="25" t="s">
        <v>2309</v>
      </c>
      <c r="E1380" s="24" t="s">
        <v>2387</v>
      </c>
      <c r="F1380" s="24" t="s">
        <v>742</v>
      </c>
      <c r="G1380" s="202" t="s">
        <v>621</v>
      </c>
      <c r="H1380" s="26">
        <v>6548</v>
      </c>
      <c r="I1380" s="121">
        <v>1042</v>
      </c>
      <c r="J1380" s="31"/>
      <c r="K1380" s="31"/>
      <c r="L1380" s="31"/>
      <c r="M1380" s="31"/>
      <c r="N1380" s="31"/>
      <c r="O1380" s="31"/>
      <c r="P1380" s="31"/>
      <c r="Q1380" s="31"/>
      <c r="R1380" s="31"/>
      <c r="S1380" s="31"/>
      <c r="T1380" s="31"/>
      <c r="U1380" s="31"/>
      <c r="V1380" s="31"/>
      <c r="W1380" s="31"/>
      <c r="X1380" s="31"/>
      <c r="Y1380" s="31"/>
      <c r="Z1380" s="31"/>
      <c r="AA1380" s="31"/>
      <c r="AB1380" s="31"/>
      <c r="AC1380" s="31"/>
      <c r="AD1380" s="31"/>
      <c r="AE1380" s="31"/>
      <c r="AF1380" s="31"/>
      <c r="AG1380" s="31"/>
      <c r="AH1380" s="31"/>
      <c r="AI1380" s="31"/>
      <c r="AJ1380" s="31"/>
      <c r="AK1380" s="31"/>
      <c r="AL1380" s="28" t="str">
        <f>VLOOKUP($G1380,'[42]Sheet1 (2)'!$A$1:$B$1048440,2,FALSE)</f>
        <v>Sqm</v>
      </c>
      <c r="AM1380" s="32"/>
      <c r="AN1380" s="31"/>
      <c r="AO1380" s="33"/>
    </row>
    <row r="1381" spans="1:41" ht="182" x14ac:dyDescent="0.25">
      <c r="A1381" s="20">
        <v>1241</v>
      </c>
      <c r="B1381" s="21" t="s">
        <v>2308</v>
      </c>
      <c r="C1381" s="22">
        <v>39.479999999999997</v>
      </c>
      <c r="D1381" s="25" t="s">
        <v>2309</v>
      </c>
      <c r="E1381" s="24" t="s">
        <v>2388</v>
      </c>
      <c r="F1381" s="24" t="s">
        <v>742</v>
      </c>
      <c r="G1381" s="202" t="s">
        <v>621</v>
      </c>
      <c r="H1381" s="26">
        <v>7419</v>
      </c>
      <c r="I1381" s="26">
        <v>1042</v>
      </c>
      <c r="J1381" s="31"/>
      <c r="K1381" s="31"/>
      <c r="L1381" s="31"/>
      <c r="M1381" s="31"/>
      <c r="N1381" s="31"/>
      <c r="O1381" s="31"/>
      <c r="P1381" s="31"/>
      <c r="Q1381" s="31"/>
      <c r="R1381" s="31"/>
      <c r="S1381" s="31"/>
      <c r="T1381" s="31"/>
      <c r="U1381" s="31"/>
      <c r="V1381" s="31"/>
      <c r="W1381" s="31"/>
      <c r="X1381" s="31"/>
      <c r="Y1381" s="31"/>
      <c r="Z1381" s="31"/>
      <c r="AA1381" s="31"/>
      <c r="AB1381" s="31"/>
      <c r="AC1381" s="31"/>
      <c r="AD1381" s="31"/>
      <c r="AE1381" s="31"/>
      <c r="AF1381" s="31"/>
      <c r="AG1381" s="31"/>
      <c r="AH1381" s="31"/>
      <c r="AI1381" s="31"/>
      <c r="AJ1381" s="31"/>
      <c r="AK1381" s="31"/>
      <c r="AL1381" s="28" t="str">
        <f>VLOOKUP($G1381,'[42]Sheet1 (2)'!$A$1:$B$1048440,2,FALSE)</f>
        <v>Sqm</v>
      </c>
      <c r="AM1381" s="32"/>
      <c r="AN1381" s="31"/>
      <c r="AO1381" s="33"/>
    </row>
    <row r="1382" spans="1:41" ht="84" x14ac:dyDescent="0.25">
      <c r="A1382" s="20">
        <v>1242</v>
      </c>
      <c r="B1382" s="21" t="s">
        <v>2308</v>
      </c>
      <c r="C1382" s="22">
        <v>39.49</v>
      </c>
      <c r="D1382" s="25" t="s">
        <v>2309</v>
      </c>
      <c r="E1382" s="24" t="s">
        <v>2389</v>
      </c>
      <c r="F1382" s="24" t="s">
        <v>742</v>
      </c>
      <c r="G1382" s="238" t="s">
        <v>80</v>
      </c>
      <c r="H1382" s="26">
        <v>2014</v>
      </c>
      <c r="I1382" s="26">
        <v>441</v>
      </c>
      <c r="J1382" s="31"/>
      <c r="K1382" s="31"/>
      <c r="L1382" s="31"/>
      <c r="M1382" s="31"/>
      <c r="N1382" s="31"/>
      <c r="O1382" s="31"/>
      <c r="P1382" s="31"/>
      <c r="Q1382" s="31"/>
      <c r="R1382" s="31"/>
      <c r="S1382" s="31"/>
      <c r="T1382" s="31"/>
      <c r="U1382" s="31"/>
      <c r="V1382" s="31"/>
      <c r="W1382" s="31"/>
      <c r="X1382" s="31"/>
      <c r="Y1382" s="31"/>
      <c r="Z1382" s="31"/>
      <c r="AA1382" s="31"/>
      <c r="AB1382" s="31"/>
      <c r="AC1382" s="31"/>
      <c r="AD1382" s="31"/>
      <c r="AE1382" s="31"/>
      <c r="AF1382" s="31"/>
      <c r="AG1382" s="31"/>
      <c r="AH1382" s="31"/>
      <c r="AI1382" s="31"/>
      <c r="AJ1382" s="31"/>
      <c r="AK1382" s="31"/>
      <c r="AL1382" s="28" t="str">
        <f>VLOOKUP($G1382,'[42]Sheet1 (2)'!$A$1:$B$1048440,2,FALSE)</f>
        <v>Rmt.</v>
      </c>
      <c r="AM1382" s="32"/>
      <c r="AN1382" s="31"/>
      <c r="AO1382" s="33"/>
    </row>
    <row r="1383" spans="1:41" ht="98" x14ac:dyDescent="0.25">
      <c r="A1383" s="20">
        <v>1243</v>
      </c>
      <c r="B1383" s="21" t="s">
        <v>2308</v>
      </c>
      <c r="C1383" s="22">
        <v>39.5</v>
      </c>
      <c r="D1383" s="25" t="s">
        <v>2309</v>
      </c>
      <c r="E1383" s="24" t="s">
        <v>2390</v>
      </c>
      <c r="F1383" s="24" t="s">
        <v>742</v>
      </c>
      <c r="G1383" s="202" t="s">
        <v>621</v>
      </c>
      <c r="H1383" s="26">
        <v>5700</v>
      </c>
      <c r="I1383" s="26">
        <v>1809</v>
      </c>
      <c r="J1383" s="31"/>
      <c r="K1383" s="31"/>
      <c r="L1383" s="31"/>
      <c r="M1383" s="31"/>
      <c r="N1383" s="31"/>
      <c r="O1383" s="31"/>
      <c r="P1383" s="31"/>
      <c r="Q1383" s="31"/>
      <c r="R1383" s="31"/>
      <c r="S1383" s="31"/>
      <c r="T1383" s="31"/>
      <c r="U1383" s="31"/>
      <c r="V1383" s="31"/>
      <c r="W1383" s="31"/>
      <c r="X1383" s="31"/>
      <c r="Y1383" s="31"/>
      <c r="Z1383" s="31"/>
      <c r="AA1383" s="31"/>
      <c r="AB1383" s="31"/>
      <c r="AC1383" s="31"/>
      <c r="AD1383" s="31"/>
      <c r="AE1383" s="31"/>
      <c r="AF1383" s="31"/>
      <c r="AG1383" s="31"/>
      <c r="AH1383" s="31"/>
      <c r="AI1383" s="31"/>
      <c r="AJ1383" s="31"/>
      <c r="AK1383" s="31"/>
      <c r="AL1383" s="28" t="str">
        <f>VLOOKUP($G1383,'[42]Sheet1 (2)'!$A$1:$B$1048440,2,FALSE)</f>
        <v>Sqm</v>
      </c>
      <c r="AM1383" s="32"/>
      <c r="AN1383" s="31"/>
      <c r="AO1383" s="33"/>
    </row>
    <row r="1384" spans="1:41" ht="70" x14ac:dyDescent="0.25">
      <c r="A1384" s="23"/>
      <c r="B1384" s="21" t="s">
        <v>2308</v>
      </c>
      <c r="C1384" s="22">
        <v>39.51</v>
      </c>
      <c r="D1384" s="25" t="s">
        <v>2309</v>
      </c>
      <c r="E1384" s="24" t="s">
        <v>2391</v>
      </c>
      <c r="F1384" s="23"/>
      <c r="G1384" s="202" t="s">
        <v>621</v>
      </c>
      <c r="H1384" s="23"/>
      <c r="I1384" s="23"/>
      <c r="J1384" s="31"/>
      <c r="K1384" s="31"/>
      <c r="L1384" s="31"/>
      <c r="M1384" s="31"/>
      <c r="N1384" s="31"/>
      <c r="O1384" s="31"/>
      <c r="P1384" s="31"/>
      <c r="Q1384" s="31"/>
      <c r="R1384" s="31"/>
      <c r="S1384" s="31"/>
      <c r="T1384" s="31"/>
      <c r="U1384" s="31"/>
      <c r="V1384" s="31"/>
      <c r="W1384" s="31"/>
      <c r="X1384" s="31"/>
      <c r="Y1384" s="31"/>
      <c r="Z1384" s="31"/>
      <c r="AA1384" s="31"/>
      <c r="AB1384" s="31"/>
      <c r="AC1384" s="31"/>
      <c r="AD1384" s="31"/>
      <c r="AE1384" s="31"/>
      <c r="AF1384" s="31"/>
      <c r="AG1384" s="31"/>
      <c r="AH1384" s="31"/>
      <c r="AI1384" s="31"/>
      <c r="AJ1384" s="31"/>
      <c r="AK1384" s="31"/>
      <c r="AL1384" s="28" t="str">
        <f>VLOOKUP($G1384,'[42]Sheet1 (2)'!$A$1:$B$1048440,2,FALSE)</f>
        <v>Sqm</v>
      </c>
      <c r="AM1384" s="32"/>
      <c r="AN1384" s="31"/>
      <c r="AO1384" s="33"/>
    </row>
    <row r="1385" spans="1:41" ht="56" x14ac:dyDescent="0.25">
      <c r="A1385" s="20">
        <v>1244</v>
      </c>
      <c r="B1385" s="23"/>
      <c r="C1385" s="23"/>
      <c r="D1385" s="25" t="s">
        <v>373</v>
      </c>
      <c r="E1385" s="24" t="s">
        <v>2384</v>
      </c>
      <c r="F1385" s="35" t="s">
        <v>1839</v>
      </c>
      <c r="G1385" s="202" t="s">
        <v>621</v>
      </c>
      <c r="H1385" s="26">
        <v>5700</v>
      </c>
      <c r="I1385" s="26">
        <v>1809</v>
      </c>
      <c r="J1385" s="31"/>
      <c r="K1385" s="31"/>
      <c r="L1385" s="31"/>
      <c r="M1385" s="31"/>
      <c r="N1385" s="31"/>
      <c r="O1385" s="31"/>
      <c r="P1385" s="31"/>
      <c r="Q1385" s="31"/>
      <c r="R1385" s="31"/>
      <c r="S1385" s="31"/>
      <c r="T1385" s="31"/>
      <c r="U1385" s="31"/>
      <c r="V1385" s="31"/>
      <c r="W1385" s="31"/>
      <c r="X1385" s="31"/>
      <c r="Y1385" s="31"/>
      <c r="Z1385" s="31"/>
      <c r="AA1385" s="31"/>
      <c r="AB1385" s="31"/>
      <c r="AC1385" s="31"/>
      <c r="AD1385" s="31"/>
      <c r="AE1385" s="31"/>
      <c r="AF1385" s="31"/>
      <c r="AG1385" s="31"/>
      <c r="AH1385" s="31"/>
      <c r="AI1385" s="31"/>
      <c r="AJ1385" s="31"/>
      <c r="AK1385" s="31"/>
      <c r="AL1385" s="28" t="str">
        <f>VLOOKUP($G1385,'[42]Sheet1 (2)'!$A$1:$B$1048440,2,FALSE)</f>
        <v>Sqm</v>
      </c>
      <c r="AM1385" s="32"/>
      <c r="AN1385" s="31"/>
      <c r="AO1385" s="33"/>
    </row>
    <row r="1386" spans="1:41" ht="56" x14ac:dyDescent="0.25">
      <c r="A1386" s="20">
        <v>1245</v>
      </c>
      <c r="B1386" s="23"/>
      <c r="C1386" s="23"/>
      <c r="D1386" s="25" t="s">
        <v>375</v>
      </c>
      <c r="E1386" s="24" t="s">
        <v>2386</v>
      </c>
      <c r="F1386" s="35" t="s">
        <v>1839</v>
      </c>
      <c r="G1386" s="202" t="s">
        <v>621</v>
      </c>
      <c r="H1386" s="26">
        <v>5621</v>
      </c>
      <c r="I1386" s="26">
        <v>1809</v>
      </c>
      <c r="J1386" s="31"/>
      <c r="K1386" s="31"/>
      <c r="L1386" s="31"/>
      <c r="M1386" s="31"/>
      <c r="N1386" s="31"/>
      <c r="O1386" s="31"/>
      <c r="P1386" s="31"/>
      <c r="Q1386" s="31"/>
      <c r="R1386" s="31"/>
      <c r="S1386" s="31"/>
      <c r="T1386" s="31"/>
      <c r="U1386" s="31"/>
      <c r="V1386" s="31"/>
      <c r="W1386" s="31"/>
      <c r="X1386" s="31"/>
      <c r="Y1386" s="31"/>
      <c r="Z1386" s="31"/>
      <c r="AA1386" s="31"/>
      <c r="AB1386" s="31"/>
      <c r="AC1386" s="31"/>
      <c r="AD1386" s="31"/>
      <c r="AE1386" s="31"/>
      <c r="AF1386" s="31"/>
      <c r="AG1386" s="31"/>
      <c r="AH1386" s="31"/>
      <c r="AI1386" s="31"/>
      <c r="AJ1386" s="31"/>
      <c r="AK1386" s="31"/>
      <c r="AL1386" s="28" t="str">
        <f>VLOOKUP($G1386,'[42]Sheet1 (2)'!$A$1:$B$1048440,2,FALSE)</f>
        <v>Sqm</v>
      </c>
      <c r="AM1386" s="32"/>
      <c r="AN1386" s="31"/>
      <c r="AO1386" s="33"/>
    </row>
    <row r="1387" spans="1:41" ht="98" x14ac:dyDescent="0.25">
      <c r="A1387" s="23"/>
      <c r="B1387" s="21" t="s">
        <v>2308</v>
      </c>
      <c r="C1387" s="22">
        <v>39.520000000000003</v>
      </c>
      <c r="D1387" s="25" t="s">
        <v>2309</v>
      </c>
      <c r="E1387" s="23" t="s">
        <v>2392</v>
      </c>
      <c r="F1387" s="23"/>
      <c r="G1387" s="202" t="s">
        <v>621</v>
      </c>
      <c r="H1387" s="23"/>
      <c r="I1387" s="23"/>
      <c r="J1387" s="31"/>
      <c r="K1387" s="31"/>
      <c r="L1387" s="31"/>
      <c r="M1387" s="31"/>
      <c r="N1387" s="31"/>
      <c r="O1387" s="31"/>
      <c r="P1387" s="31"/>
      <c r="Q1387" s="31"/>
      <c r="R1387" s="31"/>
      <c r="S1387" s="31"/>
      <c r="T1387" s="31"/>
      <c r="U1387" s="31"/>
      <c r="V1387" s="31"/>
      <c r="W1387" s="31"/>
      <c r="X1387" s="31"/>
      <c r="Y1387" s="31"/>
      <c r="Z1387" s="31"/>
      <c r="AA1387" s="31"/>
      <c r="AB1387" s="31"/>
      <c r="AC1387" s="31"/>
      <c r="AD1387" s="31"/>
      <c r="AE1387" s="31"/>
      <c r="AF1387" s="31"/>
      <c r="AG1387" s="31"/>
      <c r="AH1387" s="31"/>
      <c r="AI1387" s="31"/>
      <c r="AJ1387" s="31"/>
      <c r="AK1387" s="31"/>
      <c r="AL1387" s="28" t="str">
        <f>VLOOKUP($G1387,'[42]Sheet1 (2)'!$A$1:$B$1048440,2,FALSE)</f>
        <v>Sqm</v>
      </c>
      <c r="AM1387" s="32"/>
      <c r="AN1387" s="31"/>
      <c r="AO1387" s="33"/>
    </row>
    <row r="1388" spans="1:41" ht="56" x14ac:dyDescent="0.25">
      <c r="A1388" s="20">
        <v>1246</v>
      </c>
      <c r="B1388" s="34"/>
      <c r="C1388" s="34"/>
      <c r="D1388" s="25" t="s">
        <v>373</v>
      </c>
      <c r="E1388" s="24" t="s">
        <v>2384</v>
      </c>
      <c r="F1388" s="35" t="s">
        <v>1761</v>
      </c>
      <c r="G1388" s="202" t="s">
        <v>621</v>
      </c>
      <c r="H1388" s="26">
        <v>5800</v>
      </c>
      <c r="I1388" s="26">
        <v>1448</v>
      </c>
      <c r="J1388" s="31"/>
      <c r="K1388" s="31"/>
      <c r="L1388" s="31"/>
      <c r="M1388" s="31"/>
      <c r="N1388" s="31"/>
      <c r="O1388" s="31"/>
      <c r="P1388" s="31"/>
      <c r="Q1388" s="31"/>
      <c r="R1388" s="31"/>
      <c r="S1388" s="31"/>
      <c r="T1388" s="31"/>
      <c r="U1388" s="31"/>
      <c r="V1388" s="31"/>
      <c r="W1388" s="31"/>
      <c r="X1388" s="31"/>
      <c r="Y1388" s="31"/>
      <c r="Z1388" s="31"/>
      <c r="AA1388" s="31"/>
      <c r="AB1388" s="31"/>
      <c r="AC1388" s="31"/>
      <c r="AD1388" s="31"/>
      <c r="AE1388" s="31"/>
      <c r="AF1388" s="31"/>
      <c r="AG1388" s="31"/>
      <c r="AH1388" s="31"/>
      <c r="AI1388" s="31"/>
      <c r="AJ1388" s="31"/>
      <c r="AK1388" s="31"/>
      <c r="AL1388" s="28" t="str">
        <f>VLOOKUP($G1388,'[42]Sheet1 (2)'!$A$1:$B$1048440,2,FALSE)</f>
        <v>Sqm</v>
      </c>
      <c r="AM1388" s="32"/>
      <c r="AN1388" s="31"/>
      <c r="AO1388" s="33"/>
    </row>
    <row r="1389" spans="1:41" ht="56" x14ac:dyDescent="0.25">
      <c r="A1389" s="20">
        <v>1247</v>
      </c>
      <c r="B1389" s="23"/>
      <c r="C1389" s="23"/>
      <c r="D1389" s="25" t="s">
        <v>375</v>
      </c>
      <c r="E1389" s="24" t="s">
        <v>2386</v>
      </c>
      <c r="F1389" s="35" t="s">
        <v>1839</v>
      </c>
      <c r="G1389" s="202" t="s">
        <v>621</v>
      </c>
      <c r="H1389" s="26">
        <v>5716</v>
      </c>
      <c r="I1389" s="26">
        <v>1448</v>
      </c>
      <c r="J1389" s="31"/>
      <c r="K1389" s="31"/>
      <c r="L1389" s="31"/>
      <c r="M1389" s="31"/>
      <c r="N1389" s="31"/>
      <c r="O1389" s="31"/>
      <c r="P1389" s="31"/>
      <c r="Q1389" s="31"/>
      <c r="R1389" s="31"/>
      <c r="S1389" s="31"/>
      <c r="T1389" s="31"/>
      <c r="U1389" s="31"/>
      <c r="V1389" s="31"/>
      <c r="W1389" s="31"/>
      <c r="X1389" s="31"/>
      <c r="Y1389" s="31"/>
      <c r="Z1389" s="31"/>
      <c r="AA1389" s="31"/>
      <c r="AB1389" s="31"/>
      <c r="AC1389" s="31"/>
      <c r="AD1389" s="31"/>
      <c r="AE1389" s="31"/>
      <c r="AF1389" s="31"/>
      <c r="AG1389" s="31"/>
      <c r="AH1389" s="31"/>
      <c r="AI1389" s="31"/>
      <c r="AJ1389" s="31"/>
      <c r="AK1389" s="31"/>
      <c r="AL1389" s="28" t="str">
        <f>VLOOKUP($G1389,'[42]Sheet1 (2)'!$A$1:$B$1048440,2,FALSE)</f>
        <v>Sqm</v>
      </c>
      <c r="AM1389" s="32"/>
      <c r="AN1389" s="31"/>
      <c r="AO1389" s="33"/>
    </row>
    <row r="1390" spans="1:41" ht="84" x14ac:dyDescent="0.25">
      <c r="A1390" s="23"/>
      <c r="B1390" s="21" t="s">
        <v>2308</v>
      </c>
      <c r="C1390" s="22">
        <v>39.53</v>
      </c>
      <c r="D1390" s="25" t="s">
        <v>2309</v>
      </c>
      <c r="E1390" s="23" t="s">
        <v>2393</v>
      </c>
      <c r="F1390" s="23"/>
      <c r="G1390" s="202" t="s">
        <v>621</v>
      </c>
      <c r="H1390" s="23"/>
      <c r="I1390" s="23"/>
      <c r="J1390" s="31"/>
      <c r="K1390" s="31"/>
      <c r="L1390" s="31"/>
      <c r="M1390" s="31"/>
      <c r="N1390" s="31"/>
      <c r="O1390" s="31"/>
      <c r="P1390" s="31"/>
      <c r="Q1390" s="31"/>
      <c r="R1390" s="31"/>
      <c r="S1390" s="31"/>
      <c r="T1390" s="31"/>
      <c r="U1390" s="31"/>
      <c r="V1390" s="31"/>
      <c r="W1390" s="31"/>
      <c r="X1390" s="31"/>
      <c r="Y1390" s="31"/>
      <c r="Z1390" s="31"/>
      <c r="AA1390" s="31"/>
      <c r="AB1390" s="31"/>
      <c r="AC1390" s="31"/>
      <c r="AD1390" s="31"/>
      <c r="AE1390" s="31"/>
      <c r="AF1390" s="31"/>
      <c r="AG1390" s="31"/>
      <c r="AH1390" s="31"/>
      <c r="AI1390" s="31"/>
      <c r="AJ1390" s="31"/>
      <c r="AK1390" s="31"/>
      <c r="AL1390" s="28" t="str">
        <f>VLOOKUP($G1390,'[42]Sheet1 (2)'!$A$1:$B$1048440,2,FALSE)</f>
        <v>Sqm</v>
      </c>
      <c r="AM1390" s="32"/>
      <c r="AN1390" s="31"/>
      <c r="AO1390" s="33"/>
    </row>
    <row r="1391" spans="1:41" ht="56" x14ac:dyDescent="0.25">
      <c r="A1391" s="20">
        <v>1248</v>
      </c>
      <c r="B1391" s="34"/>
      <c r="C1391" s="34"/>
      <c r="D1391" s="25" t="s">
        <v>373</v>
      </c>
      <c r="E1391" s="24" t="s">
        <v>2384</v>
      </c>
      <c r="F1391" s="35" t="s">
        <v>1761</v>
      </c>
      <c r="G1391" s="202" t="s">
        <v>621</v>
      </c>
      <c r="H1391" s="26">
        <v>5800</v>
      </c>
      <c r="I1391" s="26">
        <v>1448</v>
      </c>
      <c r="J1391" s="31"/>
      <c r="K1391" s="31"/>
      <c r="L1391" s="31"/>
      <c r="M1391" s="31"/>
      <c r="N1391" s="31"/>
      <c r="O1391" s="31"/>
      <c r="P1391" s="31"/>
      <c r="Q1391" s="31"/>
      <c r="R1391" s="31"/>
      <c r="S1391" s="31"/>
      <c r="T1391" s="31"/>
      <c r="U1391" s="31"/>
      <c r="V1391" s="31"/>
      <c r="W1391" s="31"/>
      <c r="X1391" s="31"/>
      <c r="Y1391" s="31"/>
      <c r="Z1391" s="31"/>
      <c r="AA1391" s="31"/>
      <c r="AB1391" s="31"/>
      <c r="AC1391" s="31"/>
      <c r="AD1391" s="31"/>
      <c r="AE1391" s="31"/>
      <c r="AF1391" s="31"/>
      <c r="AG1391" s="31"/>
      <c r="AH1391" s="31"/>
      <c r="AI1391" s="31"/>
      <c r="AJ1391" s="31"/>
      <c r="AK1391" s="31"/>
      <c r="AL1391" s="28" t="str">
        <f>VLOOKUP($G1391,'[42]Sheet1 (2)'!$A$1:$B$1048440,2,FALSE)</f>
        <v>Sqm</v>
      </c>
      <c r="AM1391" s="32"/>
      <c r="AN1391" s="31"/>
      <c r="AO1391" s="33"/>
    </row>
    <row r="1392" spans="1:41" ht="56" x14ac:dyDescent="0.25">
      <c r="A1392" s="20">
        <v>1249</v>
      </c>
      <c r="B1392" s="23"/>
      <c r="C1392" s="23"/>
      <c r="D1392" s="25" t="s">
        <v>375</v>
      </c>
      <c r="E1392" s="24" t="s">
        <v>2386</v>
      </c>
      <c r="F1392" s="35" t="s">
        <v>1839</v>
      </c>
      <c r="G1392" s="202" t="s">
        <v>621</v>
      </c>
      <c r="H1392" s="26">
        <v>5716</v>
      </c>
      <c r="I1392" s="26">
        <v>1448</v>
      </c>
      <c r="J1392" s="31"/>
      <c r="K1392" s="31"/>
      <c r="L1392" s="31"/>
      <c r="M1392" s="31"/>
      <c r="N1392" s="31"/>
      <c r="O1392" s="31"/>
      <c r="P1392" s="31"/>
      <c r="Q1392" s="31"/>
      <c r="R1392" s="31"/>
      <c r="S1392" s="31"/>
      <c r="T1392" s="31"/>
      <c r="U1392" s="31"/>
      <c r="V1392" s="31"/>
      <c r="W1392" s="31"/>
      <c r="X1392" s="31"/>
      <c r="Y1392" s="31"/>
      <c r="Z1392" s="31"/>
      <c r="AA1392" s="31"/>
      <c r="AB1392" s="31"/>
      <c r="AC1392" s="31"/>
      <c r="AD1392" s="31"/>
      <c r="AE1392" s="31"/>
      <c r="AF1392" s="31"/>
      <c r="AG1392" s="31"/>
      <c r="AH1392" s="31"/>
      <c r="AI1392" s="31"/>
      <c r="AJ1392" s="31"/>
      <c r="AK1392" s="31"/>
      <c r="AL1392" s="28" t="str">
        <f>VLOOKUP($G1392,'[42]Sheet1 (2)'!$A$1:$B$1048440,2,FALSE)</f>
        <v>Sqm</v>
      </c>
      <c r="AM1392" s="32"/>
      <c r="AN1392" s="31"/>
      <c r="AO1392" s="33"/>
    </row>
    <row r="1393" spans="1:41" ht="98" x14ac:dyDescent="0.25">
      <c r="A1393" s="20">
        <v>1250</v>
      </c>
      <c r="B1393" s="21" t="s">
        <v>2308</v>
      </c>
      <c r="C1393" s="22">
        <v>39.54</v>
      </c>
      <c r="D1393" s="25" t="s">
        <v>2309</v>
      </c>
      <c r="E1393" s="24" t="s">
        <v>2394</v>
      </c>
      <c r="F1393" s="24" t="s">
        <v>742</v>
      </c>
      <c r="G1393" s="202" t="s">
        <v>621</v>
      </c>
      <c r="H1393" s="26">
        <v>6342</v>
      </c>
      <c r="I1393" s="26">
        <v>1809</v>
      </c>
      <c r="J1393" s="31"/>
      <c r="K1393" s="31"/>
      <c r="L1393" s="31"/>
      <c r="M1393" s="31"/>
      <c r="N1393" s="31"/>
      <c r="O1393" s="31"/>
      <c r="P1393" s="31"/>
      <c r="Q1393" s="31"/>
      <c r="R1393" s="31"/>
      <c r="S1393" s="31"/>
      <c r="T1393" s="31"/>
      <c r="U1393" s="31"/>
      <c r="V1393" s="31"/>
      <c r="W1393" s="31"/>
      <c r="X1393" s="31"/>
      <c r="Y1393" s="31"/>
      <c r="Z1393" s="31"/>
      <c r="AA1393" s="31"/>
      <c r="AB1393" s="31"/>
      <c r="AC1393" s="31"/>
      <c r="AD1393" s="31"/>
      <c r="AE1393" s="31"/>
      <c r="AF1393" s="31"/>
      <c r="AG1393" s="31"/>
      <c r="AH1393" s="31"/>
      <c r="AI1393" s="31"/>
      <c r="AJ1393" s="31"/>
      <c r="AK1393" s="31"/>
      <c r="AL1393" s="28" t="str">
        <f>VLOOKUP($G1393,'[42]Sheet1 (2)'!$A$1:$B$1048440,2,FALSE)</f>
        <v>Sqm</v>
      </c>
      <c r="AM1393" s="32"/>
      <c r="AN1393" s="31"/>
      <c r="AO1393" s="33"/>
    </row>
    <row r="1394" spans="1:41" ht="112" x14ac:dyDescent="0.25">
      <c r="A1394" s="20">
        <v>1251</v>
      </c>
      <c r="B1394" s="21" t="s">
        <v>2308</v>
      </c>
      <c r="C1394" s="22">
        <v>39.549999999999997</v>
      </c>
      <c r="D1394" s="25" t="s">
        <v>2309</v>
      </c>
      <c r="E1394" s="23" t="s">
        <v>2395</v>
      </c>
      <c r="F1394" s="24" t="s">
        <v>742</v>
      </c>
      <c r="G1394" s="202" t="s">
        <v>621</v>
      </c>
      <c r="H1394" s="26">
        <v>6282</v>
      </c>
      <c r="I1394" s="26">
        <v>1809</v>
      </c>
      <c r="J1394" s="31"/>
      <c r="K1394" s="31"/>
      <c r="L1394" s="31"/>
      <c r="M1394" s="31"/>
      <c r="N1394" s="31"/>
      <c r="O1394" s="31"/>
      <c r="P1394" s="31"/>
      <c r="Q1394" s="31"/>
      <c r="R1394" s="31"/>
      <c r="S1394" s="31"/>
      <c r="T1394" s="31"/>
      <c r="U1394" s="31"/>
      <c r="V1394" s="31"/>
      <c r="W1394" s="31"/>
      <c r="X1394" s="31"/>
      <c r="Y1394" s="31"/>
      <c r="Z1394" s="31"/>
      <c r="AA1394" s="31"/>
      <c r="AB1394" s="31"/>
      <c r="AC1394" s="31"/>
      <c r="AD1394" s="31"/>
      <c r="AE1394" s="31"/>
      <c r="AF1394" s="31"/>
      <c r="AG1394" s="31"/>
      <c r="AH1394" s="31"/>
      <c r="AI1394" s="31"/>
      <c r="AJ1394" s="31"/>
      <c r="AK1394" s="31"/>
      <c r="AL1394" s="28" t="str">
        <f>VLOOKUP($G1394,'[42]Sheet1 (2)'!$A$1:$B$1048440,2,FALSE)</f>
        <v>Sqm</v>
      </c>
      <c r="AM1394" s="32"/>
      <c r="AN1394" s="31"/>
      <c r="AO1394" s="33"/>
    </row>
    <row r="1395" spans="1:41" ht="84" x14ac:dyDescent="0.25">
      <c r="A1395" s="20">
        <v>1252</v>
      </c>
      <c r="B1395" s="21" t="s">
        <v>2308</v>
      </c>
      <c r="C1395" s="22">
        <v>39.56</v>
      </c>
      <c r="D1395" s="25" t="s">
        <v>2309</v>
      </c>
      <c r="E1395" s="24" t="s">
        <v>2396</v>
      </c>
      <c r="F1395" s="24" t="s">
        <v>742</v>
      </c>
      <c r="G1395" s="238" t="s">
        <v>80</v>
      </c>
      <c r="H1395" s="26">
        <v>1066</v>
      </c>
      <c r="I1395" s="26">
        <v>413</v>
      </c>
      <c r="J1395" s="31"/>
      <c r="K1395" s="31"/>
      <c r="L1395" s="31"/>
      <c r="M1395" s="31"/>
      <c r="N1395" s="31"/>
      <c r="O1395" s="31"/>
      <c r="P1395" s="31"/>
      <c r="Q1395" s="31"/>
      <c r="R1395" s="31"/>
      <c r="S1395" s="31"/>
      <c r="T1395" s="31"/>
      <c r="U1395" s="31"/>
      <c r="V1395" s="31"/>
      <c r="W1395" s="31"/>
      <c r="X1395" s="31"/>
      <c r="Y1395" s="31"/>
      <c r="Z1395" s="31"/>
      <c r="AA1395" s="31"/>
      <c r="AB1395" s="31"/>
      <c r="AC1395" s="31"/>
      <c r="AD1395" s="31"/>
      <c r="AE1395" s="31"/>
      <c r="AF1395" s="31"/>
      <c r="AG1395" s="31"/>
      <c r="AH1395" s="31"/>
      <c r="AI1395" s="31"/>
      <c r="AJ1395" s="31"/>
      <c r="AK1395" s="31"/>
      <c r="AL1395" s="28" t="str">
        <f>VLOOKUP($G1395,'[42]Sheet1 (2)'!$A$1:$B$1048440,2,FALSE)</f>
        <v>Rmt.</v>
      </c>
      <c r="AM1395" s="32"/>
      <c r="AN1395" s="31"/>
      <c r="AO1395" s="33"/>
    </row>
    <row r="1396" spans="1:41" ht="84" x14ac:dyDescent="0.25">
      <c r="A1396" s="20">
        <v>1253</v>
      </c>
      <c r="B1396" s="21" t="s">
        <v>2308</v>
      </c>
      <c r="C1396" s="22">
        <v>39.57</v>
      </c>
      <c r="D1396" s="25" t="s">
        <v>2309</v>
      </c>
      <c r="E1396" s="24" t="s">
        <v>2397</v>
      </c>
      <c r="F1396" s="24" t="s">
        <v>742</v>
      </c>
      <c r="G1396" s="238" t="s">
        <v>80</v>
      </c>
      <c r="H1396" s="26">
        <v>1144</v>
      </c>
      <c r="I1396" s="26">
        <v>482</v>
      </c>
      <c r="J1396" s="31"/>
      <c r="K1396" s="31"/>
      <c r="L1396" s="31"/>
      <c r="M1396" s="31"/>
      <c r="N1396" s="31"/>
      <c r="O1396" s="31"/>
      <c r="P1396" s="31"/>
      <c r="Q1396" s="31"/>
      <c r="R1396" s="31"/>
      <c r="S1396" s="31"/>
      <c r="T1396" s="31"/>
      <c r="U1396" s="31"/>
      <c r="V1396" s="31"/>
      <c r="W1396" s="31"/>
      <c r="X1396" s="31"/>
      <c r="Y1396" s="31"/>
      <c r="Z1396" s="31"/>
      <c r="AA1396" s="31"/>
      <c r="AB1396" s="31"/>
      <c r="AC1396" s="31"/>
      <c r="AD1396" s="31"/>
      <c r="AE1396" s="31"/>
      <c r="AF1396" s="31"/>
      <c r="AG1396" s="31"/>
      <c r="AH1396" s="31"/>
      <c r="AI1396" s="31"/>
      <c r="AJ1396" s="31"/>
      <c r="AK1396" s="31"/>
      <c r="AL1396" s="28" t="str">
        <f>VLOOKUP($G1396,'[42]Sheet1 (2)'!$A$1:$B$1048440,2,FALSE)</f>
        <v>Rmt.</v>
      </c>
      <c r="AM1396" s="32"/>
      <c r="AN1396" s="31"/>
      <c r="AO1396" s="33"/>
    </row>
    <row r="1397" spans="1:41" ht="70" x14ac:dyDescent="0.25">
      <c r="A1397" s="20">
        <v>1254</v>
      </c>
      <c r="B1397" s="21" t="s">
        <v>2308</v>
      </c>
      <c r="C1397" s="22">
        <v>39.58</v>
      </c>
      <c r="D1397" s="25" t="s">
        <v>2309</v>
      </c>
      <c r="E1397" s="23" t="s">
        <v>2398</v>
      </c>
      <c r="F1397" s="24" t="s">
        <v>742</v>
      </c>
      <c r="G1397" s="202" t="s">
        <v>621</v>
      </c>
      <c r="H1397" s="26">
        <v>3274</v>
      </c>
      <c r="I1397" s="26">
        <v>695</v>
      </c>
      <c r="J1397" s="31"/>
      <c r="K1397" s="31"/>
      <c r="L1397" s="31"/>
      <c r="M1397" s="31"/>
      <c r="N1397" s="31"/>
      <c r="O1397" s="31"/>
      <c r="P1397" s="31"/>
      <c r="Q1397" s="31"/>
      <c r="R1397" s="31"/>
      <c r="S1397" s="31"/>
      <c r="T1397" s="31"/>
      <c r="U1397" s="31"/>
      <c r="V1397" s="31"/>
      <c r="W1397" s="31"/>
      <c r="X1397" s="31"/>
      <c r="Y1397" s="31"/>
      <c r="Z1397" s="31"/>
      <c r="AA1397" s="31"/>
      <c r="AB1397" s="31"/>
      <c r="AC1397" s="31"/>
      <c r="AD1397" s="31"/>
      <c r="AE1397" s="31"/>
      <c r="AF1397" s="31"/>
      <c r="AG1397" s="31"/>
      <c r="AH1397" s="31"/>
      <c r="AI1397" s="31"/>
      <c r="AJ1397" s="31"/>
      <c r="AK1397" s="31"/>
      <c r="AL1397" s="28" t="str">
        <f>VLOOKUP($G1397,'[42]Sheet1 (2)'!$A$1:$B$1048440,2,FALSE)</f>
        <v>Sqm</v>
      </c>
      <c r="AM1397" s="32"/>
      <c r="AN1397" s="31"/>
      <c r="AO1397" s="33"/>
    </row>
    <row r="1398" spans="1:41" ht="70" x14ac:dyDescent="0.25">
      <c r="A1398" s="20">
        <v>1255</v>
      </c>
      <c r="B1398" s="21" t="s">
        <v>2308</v>
      </c>
      <c r="C1398" s="22">
        <v>39.590000000000003</v>
      </c>
      <c r="D1398" s="25" t="s">
        <v>2309</v>
      </c>
      <c r="E1398" s="23" t="s">
        <v>2399</v>
      </c>
      <c r="F1398" s="24" t="s">
        <v>742</v>
      </c>
      <c r="G1398" s="202" t="s">
        <v>621</v>
      </c>
      <c r="H1398" s="26">
        <v>3495</v>
      </c>
      <c r="I1398" s="26">
        <v>574</v>
      </c>
      <c r="J1398" s="31"/>
      <c r="K1398" s="31"/>
      <c r="L1398" s="31"/>
      <c r="M1398" s="31"/>
      <c r="N1398" s="31"/>
      <c r="O1398" s="31"/>
      <c r="P1398" s="31"/>
      <c r="Q1398" s="31"/>
      <c r="R1398" s="31"/>
      <c r="S1398" s="31"/>
      <c r="T1398" s="31"/>
      <c r="U1398" s="31"/>
      <c r="V1398" s="31"/>
      <c r="W1398" s="31"/>
      <c r="X1398" s="31"/>
      <c r="Y1398" s="31"/>
      <c r="Z1398" s="31"/>
      <c r="AA1398" s="31"/>
      <c r="AB1398" s="31"/>
      <c r="AC1398" s="31"/>
      <c r="AD1398" s="31"/>
      <c r="AE1398" s="31"/>
      <c r="AF1398" s="31"/>
      <c r="AG1398" s="31"/>
      <c r="AH1398" s="31"/>
      <c r="AI1398" s="31"/>
      <c r="AJ1398" s="31"/>
      <c r="AK1398" s="31"/>
      <c r="AL1398" s="28" t="str">
        <f>VLOOKUP($G1398,'[42]Sheet1 (2)'!$A$1:$B$1048440,2,FALSE)</f>
        <v>Sqm</v>
      </c>
      <c r="AM1398" s="32"/>
      <c r="AN1398" s="31"/>
      <c r="AO1398" s="33"/>
    </row>
    <row r="1399" spans="1:41" ht="84" x14ac:dyDescent="0.25">
      <c r="A1399" s="20">
        <v>1256</v>
      </c>
      <c r="B1399" s="21" t="s">
        <v>2308</v>
      </c>
      <c r="C1399" s="22">
        <v>39.6</v>
      </c>
      <c r="D1399" s="25" t="s">
        <v>2309</v>
      </c>
      <c r="E1399" s="23" t="s">
        <v>2400</v>
      </c>
      <c r="F1399" s="24" t="s">
        <v>742</v>
      </c>
      <c r="G1399" s="202" t="s">
        <v>621</v>
      </c>
      <c r="H1399" s="26">
        <v>1706</v>
      </c>
      <c r="I1399" s="26">
        <v>614</v>
      </c>
      <c r="J1399" s="31"/>
      <c r="K1399" s="31"/>
      <c r="L1399" s="31"/>
      <c r="M1399" s="31"/>
      <c r="N1399" s="31"/>
      <c r="O1399" s="31"/>
      <c r="P1399" s="31"/>
      <c r="Q1399" s="31"/>
      <c r="R1399" s="31"/>
      <c r="S1399" s="31"/>
      <c r="T1399" s="31"/>
      <c r="U1399" s="31"/>
      <c r="V1399" s="31"/>
      <c r="W1399" s="31"/>
      <c r="X1399" s="31"/>
      <c r="Y1399" s="31"/>
      <c r="Z1399" s="31"/>
      <c r="AA1399" s="31"/>
      <c r="AB1399" s="31"/>
      <c r="AC1399" s="31"/>
      <c r="AD1399" s="31"/>
      <c r="AE1399" s="31"/>
      <c r="AF1399" s="31"/>
      <c r="AG1399" s="31"/>
      <c r="AH1399" s="31"/>
      <c r="AI1399" s="31"/>
      <c r="AJ1399" s="31"/>
      <c r="AK1399" s="31"/>
      <c r="AL1399" s="28" t="str">
        <f>VLOOKUP($G1399,'[42]Sheet1 (2)'!$A$1:$B$1048440,2,FALSE)</f>
        <v>Sqm</v>
      </c>
      <c r="AM1399" s="32"/>
      <c r="AN1399" s="31"/>
      <c r="AO1399" s="33"/>
    </row>
    <row r="1400" spans="1:41" ht="84" x14ac:dyDescent="0.25">
      <c r="A1400" s="20">
        <v>1257</v>
      </c>
      <c r="B1400" s="21" t="s">
        <v>2308</v>
      </c>
      <c r="C1400" s="22">
        <v>39.61</v>
      </c>
      <c r="D1400" s="25" t="s">
        <v>2309</v>
      </c>
      <c r="E1400" s="23" t="s">
        <v>2401</v>
      </c>
      <c r="F1400" s="24" t="s">
        <v>742</v>
      </c>
      <c r="G1400" s="202" t="s">
        <v>621</v>
      </c>
      <c r="H1400" s="26">
        <v>1888</v>
      </c>
      <c r="I1400" s="26">
        <v>614</v>
      </c>
      <c r="J1400" s="31"/>
      <c r="K1400" s="31"/>
      <c r="L1400" s="31"/>
      <c r="M1400" s="31"/>
      <c r="N1400" s="31"/>
      <c r="O1400" s="31"/>
      <c r="P1400" s="31"/>
      <c r="Q1400" s="31"/>
      <c r="R1400" s="31"/>
      <c r="S1400" s="31"/>
      <c r="T1400" s="31"/>
      <c r="U1400" s="31"/>
      <c r="V1400" s="31"/>
      <c r="W1400" s="31"/>
      <c r="X1400" s="31"/>
      <c r="Y1400" s="31"/>
      <c r="Z1400" s="31"/>
      <c r="AA1400" s="31"/>
      <c r="AB1400" s="31"/>
      <c r="AC1400" s="31"/>
      <c r="AD1400" s="31"/>
      <c r="AE1400" s="31"/>
      <c r="AF1400" s="31"/>
      <c r="AG1400" s="31"/>
      <c r="AH1400" s="31"/>
      <c r="AI1400" s="31"/>
      <c r="AJ1400" s="31"/>
      <c r="AK1400" s="31"/>
      <c r="AL1400" s="28" t="str">
        <f>VLOOKUP($G1400,'[42]Sheet1 (2)'!$A$1:$B$1048440,2,FALSE)</f>
        <v>Sqm</v>
      </c>
      <c r="AM1400" s="32"/>
      <c r="AN1400" s="31"/>
      <c r="AO1400" s="33"/>
    </row>
    <row r="1401" spans="1:41" ht="84" x14ac:dyDescent="0.25">
      <c r="A1401" s="20">
        <v>1258</v>
      </c>
      <c r="B1401" s="21" t="s">
        <v>2308</v>
      </c>
      <c r="C1401" s="22">
        <v>39.619999999999997</v>
      </c>
      <c r="D1401" s="25" t="s">
        <v>2309</v>
      </c>
      <c r="E1401" s="23" t="s">
        <v>2402</v>
      </c>
      <c r="F1401" s="24" t="s">
        <v>742</v>
      </c>
      <c r="G1401" s="202" t="s">
        <v>621</v>
      </c>
      <c r="H1401" s="26">
        <v>1283</v>
      </c>
      <c r="I1401" s="26">
        <v>521</v>
      </c>
      <c r="J1401" s="31"/>
      <c r="K1401" s="31"/>
      <c r="L1401" s="31"/>
      <c r="M1401" s="31"/>
      <c r="N1401" s="31"/>
      <c r="O1401" s="31"/>
      <c r="P1401" s="31"/>
      <c r="Q1401" s="31"/>
      <c r="R1401" s="31"/>
      <c r="S1401" s="31"/>
      <c r="T1401" s="31"/>
      <c r="U1401" s="31"/>
      <c r="V1401" s="31"/>
      <c r="W1401" s="31"/>
      <c r="X1401" s="31"/>
      <c r="Y1401" s="31"/>
      <c r="Z1401" s="31"/>
      <c r="AA1401" s="31"/>
      <c r="AB1401" s="31"/>
      <c r="AC1401" s="31"/>
      <c r="AD1401" s="31"/>
      <c r="AE1401" s="31"/>
      <c r="AF1401" s="31"/>
      <c r="AG1401" s="31"/>
      <c r="AH1401" s="31"/>
      <c r="AI1401" s="31"/>
      <c r="AJ1401" s="31"/>
      <c r="AK1401" s="31"/>
      <c r="AL1401" s="28" t="str">
        <f>VLOOKUP($G1401,'[42]Sheet1 (2)'!$A$1:$B$1048440,2,FALSE)</f>
        <v>Sqm</v>
      </c>
      <c r="AM1401" s="32"/>
      <c r="AN1401" s="31"/>
      <c r="AO1401" s="33"/>
    </row>
    <row r="1402" spans="1:41" ht="252" x14ac:dyDescent="0.25">
      <c r="A1402" s="20">
        <v>1259</v>
      </c>
      <c r="B1402" s="21" t="s">
        <v>2308</v>
      </c>
      <c r="C1402" s="22">
        <v>39.630000000000003</v>
      </c>
      <c r="D1402" s="25" t="s">
        <v>2309</v>
      </c>
      <c r="E1402" s="23" t="s">
        <v>2403</v>
      </c>
      <c r="F1402" s="24" t="s">
        <v>742</v>
      </c>
      <c r="G1402" s="202" t="s">
        <v>621</v>
      </c>
      <c r="H1402" s="26">
        <v>8691</v>
      </c>
      <c r="I1402" s="26">
        <v>2021</v>
      </c>
      <c r="J1402" s="31"/>
      <c r="K1402" s="31"/>
      <c r="L1402" s="31"/>
      <c r="M1402" s="31"/>
      <c r="N1402" s="31"/>
      <c r="O1402" s="31"/>
      <c r="P1402" s="31"/>
      <c r="Q1402" s="31"/>
      <c r="R1402" s="31"/>
      <c r="S1402" s="31"/>
      <c r="T1402" s="31"/>
      <c r="U1402" s="31"/>
      <c r="V1402" s="31"/>
      <c r="W1402" s="31"/>
      <c r="X1402" s="31"/>
      <c r="Y1402" s="31"/>
      <c r="Z1402" s="31"/>
      <c r="AA1402" s="31"/>
      <c r="AB1402" s="31"/>
      <c r="AC1402" s="31"/>
      <c r="AD1402" s="31"/>
      <c r="AE1402" s="31"/>
      <c r="AF1402" s="31"/>
      <c r="AG1402" s="31"/>
      <c r="AH1402" s="31"/>
      <c r="AI1402" s="31"/>
      <c r="AJ1402" s="31"/>
      <c r="AK1402" s="31"/>
      <c r="AL1402" s="28" t="str">
        <f>VLOOKUP($G1402,'[42]Sheet1 (2)'!$A$1:$B$1048440,2,FALSE)</f>
        <v>Sqm</v>
      </c>
      <c r="AM1402" s="32"/>
      <c r="AN1402" s="31"/>
      <c r="AO1402" s="33"/>
    </row>
    <row r="1403" spans="1:41" ht="252" x14ac:dyDescent="0.25">
      <c r="A1403" s="20">
        <v>1260</v>
      </c>
      <c r="B1403" s="21" t="s">
        <v>2308</v>
      </c>
      <c r="C1403" s="22">
        <v>39.64</v>
      </c>
      <c r="D1403" s="25" t="s">
        <v>2309</v>
      </c>
      <c r="E1403" s="23" t="s">
        <v>2404</v>
      </c>
      <c r="F1403" s="24" t="s">
        <v>742</v>
      </c>
      <c r="G1403" s="202" t="s">
        <v>621</v>
      </c>
      <c r="H1403" s="26">
        <v>8152</v>
      </c>
      <c r="I1403" s="26">
        <v>2620</v>
      </c>
      <c r="J1403" s="31"/>
      <c r="K1403" s="31"/>
      <c r="L1403" s="31"/>
      <c r="M1403" s="31"/>
      <c r="N1403" s="31"/>
      <c r="O1403" s="31"/>
      <c r="P1403" s="31"/>
      <c r="Q1403" s="31"/>
      <c r="R1403" s="31"/>
      <c r="S1403" s="31"/>
      <c r="T1403" s="31"/>
      <c r="U1403" s="31"/>
      <c r="V1403" s="31"/>
      <c r="W1403" s="31"/>
      <c r="X1403" s="31"/>
      <c r="Y1403" s="31"/>
      <c r="Z1403" s="31"/>
      <c r="AA1403" s="31"/>
      <c r="AB1403" s="31"/>
      <c r="AC1403" s="31"/>
      <c r="AD1403" s="31"/>
      <c r="AE1403" s="31"/>
      <c r="AF1403" s="31"/>
      <c r="AG1403" s="31"/>
      <c r="AH1403" s="31"/>
      <c r="AI1403" s="31"/>
      <c r="AJ1403" s="31"/>
      <c r="AK1403" s="31"/>
      <c r="AL1403" s="28" t="str">
        <f>VLOOKUP($G1403,'[42]Sheet1 (2)'!$A$1:$B$1048440,2,FALSE)</f>
        <v>Sqm</v>
      </c>
      <c r="AM1403" s="32"/>
      <c r="AN1403" s="31"/>
      <c r="AO1403" s="33"/>
    </row>
    <row r="1404" spans="1:41" ht="224" x14ac:dyDescent="0.25">
      <c r="A1404" s="20">
        <v>1261</v>
      </c>
      <c r="B1404" s="21" t="s">
        <v>2308</v>
      </c>
      <c r="C1404" s="22">
        <v>39.65</v>
      </c>
      <c r="D1404" s="25" t="s">
        <v>2309</v>
      </c>
      <c r="E1404" s="23" t="s">
        <v>2405</v>
      </c>
      <c r="F1404" s="24" t="s">
        <v>742</v>
      </c>
      <c r="G1404" s="202" t="s">
        <v>621</v>
      </c>
      <c r="H1404" s="26">
        <v>9387</v>
      </c>
      <c r="I1404" s="26">
        <v>4068</v>
      </c>
      <c r="J1404" s="31"/>
      <c r="K1404" s="31"/>
      <c r="L1404" s="31"/>
      <c r="M1404" s="31"/>
      <c r="N1404" s="31"/>
      <c r="O1404" s="31"/>
      <c r="P1404" s="31"/>
      <c r="Q1404" s="31"/>
      <c r="R1404" s="31"/>
      <c r="S1404" s="31"/>
      <c r="T1404" s="31"/>
      <c r="U1404" s="31"/>
      <c r="V1404" s="31"/>
      <c r="W1404" s="31"/>
      <c r="X1404" s="31"/>
      <c r="Y1404" s="31"/>
      <c r="Z1404" s="31"/>
      <c r="AA1404" s="31"/>
      <c r="AB1404" s="31"/>
      <c r="AC1404" s="31"/>
      <c r="AD1404" s="31"/>
      <c r="AE1404" s="31"/>
      <c r="AF1404" s="31"/>
      <c r="AG1404" s="31"/>
      <c r="AH1404" s="31"/>
      <c r="AI1404" s="31"/>
      <c r="AJ1404" s="31"/>
      <c r="AK1404" s="31"/>
      <c r="AL1404" s="28" t="str">
        <f>VLOOKUP($G1404,'[42]Sheet1 (2)'!$A$1:$B$1048440,2,FALSE)</f>
        <v>Sqm</v>
      </c>
      <c r="AM1404" s="32"/>
      <c r="AN1404" s="31"/>
      <c r="AO1404" s="33"/>
    </row>
    <row r="1405" spans="1:41" ht="117" customHeight="1" x14ac:dyDescent="0.25">
      <c r="A1405" s="20">
        <v>1262</v>
      </c>
      <c r="B1405" s="21" t="s">
        <v>2308</v>
      </c>
      <c r="C1405" s="22">
        <v>39.659999999999997</v>
      </c>
      <c r="D1405" s="25" t="s">
        <v>2309</v>
      </c>
      <c r="E1405" s="24" t="s">
        <v>2406</v>
      </c>
      <c r="F1405" s="24" t="s">
        <v>742</v>
      </c>
      <c r="G1405" s="202" t="s">
        <v>621</v>
      </c>
      <c r="H1405" s="26">
        <v>3520</v>
      </c>
      <c r="I1405" s="26">
        <v>1237</v>
      </c>
      <c r="J1405" s="31"/>
      <c r="K1405" s="31"/>
      <c r="L1405" s="31"/>
      <c r="M1405" s="31"/>
      <c r="N1405" s="31"/>
      <c r="O1405" s="31"/>
      <c r="P1405" s="31"/>
      <c r="Q1405" s="31"/>
      <c r="R1405" s="31"/>
      <c r="S1405" s="31"/>
      <c r="T1405" s="31"/>
      <c r="U1405" s="31"/>
      <c r="V1405" s="31"/>
      <c r="W1405" s="31"/>
      <c r="X1405" s="31"/>
      <c r="Y1405" s="31"/>
      <c r="Z1405" s="31"/>
      <c r="AA1405" s="31"/>
      <c r="AB1405" s="31"/>
      <c r="AC1405" s="31"/>
      <c r="AD1405" s="31"/>
      <c r="AE1405" s="31"/>
      <c r="AF1405" s="31"/>
      <c r="AG1405" s="31"/>
      <c r="AH1405" s="31"/>
      <c r="AI1405" s="31"/>
      <c r="AJ1405" s="31"/>
      <c r="AK1405" s="31"/>
      <c r="AL1405" s="28" t="str">
        <f>VLOOKUP($G1405,'[42]Sheet1 (2)'!$A$1:$B$1048440,2,FALSE)</f>
        <v>Sqm</v>
      </c>
      <c r="AM1405" s="32"/>
      <c r="AN1405" s="31"/>
      <c r="AO1405" s="33"/>
    </row>
    <row r="1406" spans="1:41" ht="84" x14ac:dyDescent="0.25">
      <c r="A1406" s="20">
        <v>1263</v>
      </c>
      <c r="B1406" s="21" t="s">
        <v>2308</v>
      </c>
      <c r="C1406" s="22">
        <v>39.68</v>
      </c>
      <c r="D1406" s="25" t="s">
        <v>2309</v>
      </c>
      <c r="E1406" s="24" t="s">
        <v>2407</v>
      </c>
      <c r="F1406" s="24" t="s">
        <v>742</v>
      </c>
      <c r="G1406" s="202" t="s">
        <v>621</v>
      </c>
      <c r="H1406" s="26">
        <v>3467</v>
      </c>
      <c r="I1406" s="26">
        <v>1370</v>
      </c>
      <c r="J1406" s="31"/>
      <c r="K1406" s="31"/>
      <c r="L1406" s="31"/>
      <c r="M1406" s="31"/>
      <c r="N1406" s="31"/>
      <c r="O1406" s="31"/>
      <c r="P1406" s="31"/>
      <c r="Q1406" s="31"/>
      <c r="R1406" s="31"/>
      <c r="S1406" s="31"/>
      <c r="T1406" s="31"/>
      <c r="U1406" s="31"/>
      <c r="V1406" s="31"/>
      <c r="W1406" s="31"/>
      <c r="X1406" s="31"/>
      <c r="Y1406" s="31"/>
      <c r="Z1406" s="31"/>
      <c r="AA1406" s="31"/>
      <c r="AB1406" s="31"/>
      <c r="AC1406" s="31"/>
      <c r="AD1406" s="31"/>
      <c r="AE1406" s="31"/>
      <c r="AF1406" s="31"/>
      <c r="AG1406" s="31"/>
      <c r="AH1406" s="31"/>
      <c r="AI1406" s="31"/>
      <c r="AJ1406" s="31"/>
      <c r="AK1406" s="31"/>
      <c r="AL1406" s="28" t="str">
        <f>VLOOKUP($G1406,'[42]Sheet1 (2)'!$A$1:$B$1048440,2,FALSE)</f>
        <v>Sqm</v>
      </c>
      <c r="AM1406" s="32"/>
      <c r="AN1406" s="31"/>
      <c r="AO1406" s="33"/>
    </row>
    <row r="1407" spans="1:41" ht="56" x14ac:dyDescent="0.25">
      <c r="A1407" s="20">
        <v>1264</v>
      </c>
      <c r="B1407" s="21" t="s">
        <v>2308</v>
      </c>
      <c r="C1407" s="22">
        <v>39.69</v>
      </c>
      <c r="D1407" s="25" t="s">
        <v>2309</v>
      </c>
      <c r="E1407" s="23" t="s">
        <v>2408</v>
      </c>
      <c r="F1407" s="24" t="s">
        <v>742</v>
      </c>
      <c r="G1407" s="202" t="s">
        <v>621</v>
      </c>
      <c r="H1407" s="26">
        <v>5600</v>
      </c>
      <c r="I1407" s="26">
        <v>924</v>
      </c>
      <c r="J1407" s="31"/>
      <c r="K1407" s="31"/>
      <c r="L1407" s="31"/>
      <c r="M1407" s="31"/>
      <c r="N1407" s="31"/>
      <c r="O1407" s="31"/>
      <c r="P1407" s="31"/>
      <c r="Q1407" s="31"/>
      <c r="R1407" s="31"/>
      <c r="S1407" s="31"/>
      <c r="T1407" s="31"/>
      <c r="U1407" s="31"/>
      <c r="V1407" s="31"/>
      <c r="W1407" s="31"/>
      <c r="X1407" s="31"/>
      <c r="Y1407" s="31"/>
      <c r="Z1407" s="31"/>
      <c r="AA1407" s="31"/>
      <c r="AB1407" s="31"/>
      <c r="AC1407" s="31"/>
      <c r="AD1407" s="31"/>
      <c r="AE1407" s="31"/>
      <c r="AF1407" s="31"/>
      <c r="AG1407" s="31"/>
      <c r="AH1407" s="31"/>
      <c r="AI1407" s="31"/>
      <c r="AJ1407" s="31"/>
      <c r="AK1407" s="31"/>
      <c r="AL1407" s="28" t="str">
        <f>VLOOKUP($G1407,'[42]Sheet1 (2)'!$A$1:$B$1048440,2,FALSE)</f>
        <v>Sqm</v>
      </c>
      <c r="AM1407" s="32"/>
      <c r="AN1407" s="31"/>
      <c r="AO1407" s="33"/>
    </row>
    <row r="1408" spans="1:41" ht="84" x14ac:dyDescent="0.25">
      <c r="A1408" s="20">
        <v>1265</v>
      </c>
      <c r="B1408" s="21" t="s">
        <v>2308</v>
      </c>
      <c r="C1408" s="22">
        <v>39.700000000000003</v>
      </c>
      <c r="D1408" s="25" t="s">
        <v>2309</v>
      </c>
      <c r="E1408" s="23" t="s">
        <v>2409</v>
      </c>
      <c r="F1408" s="24" t="s">
        <v>742</v>
      </c>
      <c r="G1408" s="202" t="s">
        <v>621</v>
      </c>
      <c r="H1408" s="26">
        <v>3168</v>
      </c>
      <c r="I1408" s="26">
        <v>807</v>
      </c>
      <c r="J1408" s="31"/>
      <c r="K1408" s="31"/>
      <c r="L1408" s="31"/>
      <c r="M1408" s="31"/>
      <c r="N1408" s="31"/>
      <c r="O1408" s="31"/>
      <c r="P1408" s="31"/>
      <c r="Q1408" s="31"/>
      <c r="R1408" s="31"/>
      <c r="S1408" s="31"/>
      <c r="T1408" s="31"/>
      <c r="U1408" s="31"/>
      <c r="V1408" s="31"/>
      <c r="W1408" s="31"/>
      <c r="X1408" s="31"/>
      <c r="Y1408" s="31"/>
      <c r="Z1408" s="31"/>
      <c r="AA1408" s="31"/>
      <c r="AB1408" s="31"/>
      <c r="AC1408" s="31"/>
      <c r="AD1408" s="31"/>
      <c r="AE1408" s="31"/>
      <c r="AF1408" s="31"/>
      <c r="AG1408" s="31"/>
      <c r="AH1408" s="31"/>
      <c r="AI1408" s="31"/>
      <c r="AJ1408" s="31"/>
      <c r="AK1408" s="31"/>
      <c r="AL1408" s="28" t="str">
        <f>VLOOKUP($G1408,'[42]Sheet1 (2)'!$A$1:$B$1048440,2,FALSE)</f>
        <v>Sqm</v>
      </c>
      <c r="AM1408" s="32"/>
      <c r="AN1408" s="31"/>
      <c r="AO1408" s="33"/>
    </row>
    <row r="1409" spans="1:41" ht="70" x14ac:dyDescent="0.25">
      <c r="A1409" s="20">
        <v>1266</v>
      </c>
      <c r="B1409" s="21" t="s">
        <v>2308</v>
      </c>
      <c r="C1409" s="22">
        <v>39.71</v>
      </c>
      <c r="D1409" s="25" t="s">
        <v>2309</v>
      </c>
      <c r="E1409" s="24" t="s">
        <v>2410</v>
      </c>
      <c r="F1409" s="24" t="s">
        <v>742</v>
      </c>
      <c r="G1409" s="202" t="s">
        <v>621</v>
      </c>
      <c r="H1409" s="26">
        <v>1771</v>
      </c>
      <c r="I1409" s="26">
        <v>266</v>
      </c>
      <c r="J1409" s="31"/>
      <c r="K1409" s="31"/>
      <c r="L1409" s="31"/>
      <c r="M1409" s="31"/>
      <c r="N1409" s="31"/>
      <c r="O1409" s="31"/>
      <c r="P1409" s="31"/>
      <c r="Q1409" s="31"/>
      <c r="R1409" s="31"/>
      <c r="S1409" s="31"/>
      <c r="T1409" s="31"/>
      <c r="U1409" s="31"/>
      <c r="V1409" s="31"/>
      <c r="W1409" s="31"/>
      <c r="X1409" s="31"/>
      <c r="Y1409" s="31"/>
      <c r="Z1409" s="31"/>
      <c r="AA1409" s="31"/>
      <c r="AB1409" s="31"/>
      <c r="AC1409" s="31"/>
      <c r="AD1409" s="31"/>
      <c r="AE1409" s="31"/>
      <c r="AF1409" s="31"/>
      <c r="AG1409" s="31"/>
      <c r="AH1409" s="31"/>
      <c r="AI1409" s="31"/>
      <c r="AJ1409" s="31"/>
      <c r="AK1409" s="31"/>
      <c r="AL1409" s="28" t="str">
        <f>VLOOKUP($G1409,'[42]Sheet1 (2)'!$A$1:$B$1048440,2,FALSE)</f>
        <v>Sqm</v>
      </c>
      <c r="AM1409" s="32"/>
      <c r="AN1409" s="31"/>
      <c r="AO1409" s="33"/>
    </row>
    <row r="1410" spans="1:41" ht="154" x14ac:dyDescent="0.25">
      <c r="A1410" s="20">
        <v>1267</v>
      </c>
      <c r="B1410" s="21" t="s">
        <v>2308</v>
      </c>
      <c r="C1410" s="22">
        <v>39.72</v>
      </c>
      <c r="D1410" s="25" t="s">
        <v>2309</v>
      </c>
      <c r="E1410" s="24" t="s">
        <v>2411</v>
      </c>
      <c r="F1410" s="24" t="s">
        <v>742</v>
      </c>
      <c r="G1410" s="202" t="s">
        <v>621</v>
      </c>
      <c r="H1410" s="26">
        <v>4046</v>
      </c>
      <c r="I1410" s="26">
        <v>1038</v>
      </c>
      <c r="J1410" s="31"/>
      <c r="K1410" s="31"/>
      <c r="L1410" s="31"/>
      <c r="M1410" s="31"/>
      <c r="N1410" s="31"/>
      <c r="O1410" s="31"/>
      <c r="P1410" s="31"/>
      <c r="Q1410" s="31"/>
      <c r="R1410" s="31"/>
      <c r="S1410" s="31"/>
      <c r="T1410" s="31"/>
      <c r="U1410" s="31"/>
      <c r="V1410" s="31"/>
      <c r="W1410" s="31"/>
      <c r="X1410" s="31"/>
      <c r="Y1410" s="31"/>
      <c r="Z1410" s="31"/>
      <c r="AA1410" s="31"/>
      <c r="AB1410" s="31"/>
      <c r="AC1410" s="31"/>
      <c r="AD1410" s="31"/>
      <c r="AE1410" s="31"/>
      <c r="AF1410" s="31"/>
      <c r="AG1410" s="31"/>
      <c r="AH1410" s="31"/>
      <c r="AI1410" s="31"/>
      <c r="AJ1410" s="31"/>
      <c r="AK1410" s="31"/>
      <c r="AL1410" s="28" t="str">
        <f>VLOOKUP($G1410,'[42]Sheet1 (2)'!$A$1:$B$1048440,2,FALSE)</f>
        <v>Sqm</v>
      </c>
      <c r="AM1410" s="32"/>
      <c r="AN1410" s="31"/>
      <c r="AO1410" s="33"/>
    </row>
    <row r="1411" spans="1:41" ht="112" x14ac:dyDescent="0.25">
      <c r="A1411" s="20">
        <v>1268</v>
      </c>
      <c r="B1411" s="21" t="s">
        <v>2308</v>
      </c>
      <c r="C1411" s="22">
        <v>39.729999999999997</v>
      </c>
      <c r="D1411" s="25" t="s">
        <v>2309</v>
      </c>
      <c r="E1411" s="24" t="s">
        <v>2412</v>
      </c>
      <c r="F1411" s="24" t="s">
        <v>742</v>
      </c>
      <c r="G1411" s="202" t="s">
        <v>621</v>
      </c>
      <c r="H1411" s="26">
        <v>3968</v>
      </c>
      <c r="I1411" s="26">
        <v>1230</v>
      </c>
      <c r="J1411" s="31"/>
      <c r="K1411" s="31"/>
      <c r="L1411" s="31"/>
      <c r="M1411" s="31"/>
      <c r="N1411" s="31"/>
      <c r="O1411" s="31"/>
      <c r="P1411" s="31"/>
      <c r="Q1411" s="31"/>
      <c r="R1411" s="31"/>
      <c r="S1411" s="31"/>
      <c r="T1411" s="31"/>
      <c r="U1411" s="31"/>
      <c r="V1411" s="31"/>
      <c r="W1411" s="31"/>
      <c r="X1411" s="31"/>
      <c r="Y1411" s="31"/>
      <c r="Z1411" s="31"/>
      <c r="AA1411" s="31"/>
      <c r="AB1411" s="31"/>
      <c r="AC1411" s="31"/>
      <c r="AD1411" s="31"/>
      <c r="AE1411" s="31"/>
      <c r="AF1411" s="31"/>
      <c r="AG1411" s="31"/>
      <c r="AH1411" s="31"/>
      <c r="AI1411" s="31"/>
      <c r="AJ1411" s="31"/>
      <c r="AK1411" s="31"/>
      <c r="AL1411" s="28" t="str">
        <f>VLOOKUP($G1411,'[42]Sheet1 (2)'!$A$1:$B$1048440,2,FALSE)</f>
        <v>Sqm</v>
      </c>
      <c r="AM1411" s="32"/>
      <c r="AN1411" s="31"/>
      <c r="AO1411" s="33"/>
    </row>
    <row r="1412" spans="1:41" ht="98" x14ac:dyDescent="0.25">
      <c r="A1412" s="20">
        <v>1269</v>
      </c>
      <c r="B1412" s="21" t="s">
        <v>2308</v>
      </c>
      <c r="C1412" s="22">
        <v>39.74</v>
      </c>
      <c r="D1412" s="25" t="s">
        <v>2309</v>
      </c>
      <c r="E1412" s="24" t="s">
        <v>2413</v>
      </c>
      <c r="F1412" s="24" t="s">
        <v>742</v>
      </c>
      <c r="G1412" s="202" t="s">
        <v>621</v>
      </c>
      <c r="H1412" s="26">
        <v>3000</v>
      </c>
      <c r="I1412" s="26">
        <v>912</v>
      </c>
      <c r="J1412" s="31"/>
      <c r="K1412" s="31"/>
      <c r="L1412" s="31"/>
      <c r="M1412" s="31"/>
      <c r="N1412" s="31"/>
      <c r="O1412" s="31"/>
      <c r="P1412" s="31"/>
      <c r="Q1412" s="31"/>
      <c r="R1412" s="31"/>
      <c r="S1412" s="31"/>
      <c r="T1412" s="31"/>
      <c r="U1412" s="31"/>
      <c r="V1412" s="31"/>
      <c r="W1412" s="31"/>
      <c r="X1412" s="31"/>
      <c r="Y1412" s="31"/>
      <c r="Z1412" s="31"/>
      <c r="AA1412" s="31"/>
      <c r="AB1412" s="31"/>
      <c r="AC1412" s="31"/>
      <c r="AD1412" s="31"/>
      <c r="AE1412" s="31"/>
      <c r="AF1412" s="31"/>
      <c r="AG1412" s="31"/>
      <c r="AH1412" s="31"/>
      <c r="AI1412" s="31"/>
      <c r="AJ1412" s="31"/>
      <c r="AK1412" s="31"/>
      <c r="AL1412" s="28" t="str">
        <f>VLOOKUP($G1412,'[42]Sheet1 (2)'!$A$1:$B$1048440,2,FALSE)</f>
        <v>Sqm</v>
      </c>
      <c r="AM1412" s="32"/>
      <c r="AN1412" s="31"/>
      <c r="AO1412" s="33"/>
    </row>
    <row r="1413" spans="1:41" ht="84" x14ac:dyDescent="0.25">
      <c r="A1413" s="20">
        <v>1270</v>
      </c>
      <c r="B1413" s="21" t="s">
        <v>2308</v>
      </c>
      <c r="C1413" s="22">
        <v>39.75</v>
      </c>
      <c r="D1413" s="25" t="s">
        <v>2309</v>
      </c>
      <c r="E1413" s="24" t="s">
        <v>2414</v>
      </c>
      <c r="F1413" s="24" t="s">
        <v>742</v>
      </c>
      <c r="G1413" s="202" t="s">
        <v>621</v>
      </c>
      <c r="H1413" s="26">
        <v>828</v>
      </c>
      <c r="I1413" s="26">
        <v>764</v>
      </c>
      <c r="J1413" s="31"/>
      <c r="K1413" s="31"/>
      <c r="L1413" s="31"/>
      <c r="M1413" s="31"/>
      <c r="N1413" s="31"/>
      <c r="O1413" s="31"/>
      <c r="P1413" s="31"/>
      <c r="Q1413" s="31"/>
      <c r="R1413" s="31"/>
      <c r="S1413" s="31"/>
      <c r="T1413" s="31"/>
      <c r="U1413" s="31"/>
      <c r="V1413" s="31"/>
      <c r="W1413" s="31"/>
      <c r="X1413" s="31"/>
      <c r="Y1413" s="31"/>
      <c r="Z1413" s="31"/>
      <c r="AA1413" s="31"/>
      <c r="AB1413" s="31"/>
      <c r="AC1413" s="31"/>
      <c r="AD1413" s="31"/>
      <c r="AE1413" s="31"/>
      <c r="AF1413" s="31"/>
      <c r="AG1413" s="31"/>
      <c r="AH1413" s="31"/>
      <c r="AI1413" s="31"/>
      <c r="AJ1413" s="31"/>
      <c r="AK1413" s="31"/>
      <c r="AL1413" s="28" t="str">
        <f>VLOOKUP($G1413,'[42]Sheet1 (2)'!$A$1:$B$1048440,2,FALSE)</f>
        <v>Sqm</v>
      </c>
      <c r="AM1413" s="32"/>
      <c r="AN1413" s="31"/>
      <c r="AO1413" s="33"/>
    </row>
    <row r="1414" spans="1:41" ht="84" x14ac:dyDescent="0.25">
      <c r="A1414" s="20">
        <v>1271</v>
      </c>
      <c r="B1414" s="21" t="s">
        <v>2308</v>
      </c>
      <c r="C1414" s="22">
        <v>39.76</v>
      </c>
      <c r="D1414" s="25" t="s">
        <v>2309</v>
      </c>
      <c r="E1414" s="23" t="s">
        <v>2415</v>
      </c>
      <c r="F1414" s="24" t="s">
        <v>742</v>
      </c>
      <c r="G1414" s="202" t="s">
        <v>621</v>
      </c>
      <c r="H1414" s="26">
        <v>5870</v>
      </c>
      <c r="I1414" s="26">
        <v>1794</v>
      </c>
      <c r="J1414" s="31"/>
      <c r="K1414" s="31"/>
      <c r="L1414" s="31"/>
      <c r="M1414" s="31"/>
      <c r="N1414" s="31"/>
      <c r="O1414" s="31"/>
      <c r="P1414" s="31"/>
      <c r="Q1414" s="31"/>
      <c r="R1414" s="31"/>
      <c r="S1414" s="31"/>
      <c r="T1414" s="31"/>
      <c r="U1414" s="31"/>
      <c r="V1414" s="31"/>
      <c r="W1414" s="31"/>
      <c r="X1414" s="31"/>
      <c r="Y1414" s="31"/>
      <c r="Z1414" s="31"/>
      <c r="AA1414" s="31"/>
      <c r="AB1414" s="31"/>
      <c r="AC1414" s="31"/>
      <c r="AD1414" s="31"/>
      <c r="AE1414" s="31"/>
      <c r="AF1414" s="31"/>
      <c r="AG1414" s="31"/>
      <c r="AH1414" s="31"/>
      <c r="AI1414" s="31"/>
      <c r="AJ1414" s="31"/>
      <c r="AK1414" s="31"/>
      <c r="AL1414" s="28" t="str">
        <f>VLOOKUP($G1414,'[42]Sheet1 (2)'!$A$1:$B$1048440,2,FALSE)</f>
        <v>Sqm</v>
      </c>
      <c r="AM1414" s="32"/>
      <c r="AN1414" s="31"/>
      <c r="AO1414" s="33"/>
    </row>
    <row r="1415" spans="1:41" ht="112" x14ac:dyDescent="0.25">
      <c r="A1415" s="20">
        <v>1272</v>
      </c>
      <c r="B1415" s="21" t="s">
        <v>2308</v>
      </c>
      <c r="C1415" s="22">
        <v>39.770000000000003</v>
      </c>
      <c r="D1415" s="25" t="s">
        <v>2309</v>
      </c>
      <c r="E1415" s="23" t="s">
        <v>2416</v>
      </c>
      <c r="F1415" s="24" t="s">
        <v>742</v>
      </c>
      <c r="G1415" s="202" t="s">
        <v>621</v>
      </c>
      <c r="H1415" s="26">
        <v>4035</v>
      </c>
      <c r="I1415" s="121">
        <v>1138</v>
      </c>
      <c r="J1415" s="31"/>
      <c r="K1415" s="31"/>
      <c r="L1415" s="31"/>
      <c r="M1415" s="31"/>
      <c r="N1415" s="31"/>
      <c r="O1415" s="31"/>
      <c r="P1415" s="31"/>
      <c r="Q1415" s="31"/>
      <c r="R1415" s="31"/>
      <c r="S1415" s="31"/>
      <c r="T1415" s="31"/>
      <c r="U1415" s="31"/>
      <c r="V1415" s="31"/>
      <c r="W1415" s="31"/>
      <c r="X1415" s="31"/>
      <c r="Y1415" s="31"/>
      <c r="Z1415" s="31"/>
      <c r="AA1415" s="31"/>
      <c r="AB1415" s="31"/>
      <c r="AC1415" s="31"/>
      <c r="AD1415" s="31"/>
      <c r="AE1415" s="31"/>
      <c r="AF1415" s="31"/>
      <c r="AG1415" s="31"/>
      <c r="AH1415" s="31"/>
      <c r="AI1415" s="31"/>
      <c r="AJ1415" s="31"/>
      <c r="AK1415" s="31"/>
      <c r="AL1415" s="28" t="str">
        <f>VLOOKUP($G1415,'[42]Sheet1 (2)'!$A$1:$B$1048440,2,FALSE)</f>
        <v>Sqm</v>
      </c>
      <c r="AM1415" s="32"/>
      <c r="AN1415" s="31"/>
      <c r="AO1415" s="33"/>
    </row>
    <row r="1416" spans="1:41" ht="126" x14ac:dyDescent="0.25">
      <c r="A1416" s="20">
        <v>1273</v>
      </c>
      <c r="B1416" s="21" t="s">
        <v>2308</v>
      </c>
      <c r="C1416" s="22">
        <v>39.78</v>
      </c>
      <c r="D1416" s="25" t="s">
        <v>2309</v>
      </c>
      <c r="E1416" s="23" t="s">
        <v>2417</v>
      </c>
      <c r="F1416" s="24" t="s">
        <v>742</v>
      </c>
      <c r="G1416" s="202" t="s">
        <v>621</v>
      </c>
      <c r="H1416" s="26">
        <v>3951</v>
      </c>
      <c r="I1416" s="121">
        <v>1086</v>
      </c>
      <c r="J1416" s="31"/>
      <c r="K1416" s="31"/>
      <c r="L1416" s="31"/>
      <c r="M1416" s="31"/>
      <c r="N1416" s="31"/>
      <c r="O1416" s="31"/>
      <c r="P1416" s="31"/>
      <c r="Q1416" s="31"/>
      <c r="R1416" s="31"/>
      <c r="S1416" s="31"/>
      <c r="T1416" s="31"/>
      <c r="U1416" s="31"/>
      <c r="V1416" s="31"/>
      <c r="W1416" s="31"/>
      <c r="X1416" s="31"/>
      <c r="Y1416" s="31"/>
      <c r="Z1416" s="31"/>
      <c r="AA1416" s="31"/>
      <c r="AB1416" s="31"/>
      <c r="AC1416" s="31"/>
      <c r="AD1416" s="31"/>
      <c r="AE1416" s="31"/>
      <c r="AF1416" s="31"/>
      <c r="AG1416" s="31"/>
      <c r="AH1416" s="31"/>
      <c r="AI1416" s="31"/>
      <c r="AJ1416" s="31"/>
      <c r="AK1416" s="31"/>
      <c r="AL1416" s="28" t="str">
        <f>VLOOKUP($G1416,'[42]Sheet1 (2)'!$A$1:$B$1048440,2,FALSE)</f>
        <v>Sqm</v>
      </c>
      <c r="AM1416" s="32"/>
      <c r="AN1416" s="31"/>
      <c r="AO1416" s="33"/>
    </row>
    <row r="1417" spans="1:41" ht="56" x14ac:dyDescent="0.25">
      <c r="A1417" s="20">
        <v>1274</v>
      </c>
      <c r="B1417" s="21" t="s">
        <v>2308</v>
      </c>
      <c r="C1417" s="22">
        <v>39.79</v>
      </c>
      <c r="D1417" s="25" t="s">
        <v>2309</v>
      </c>
      <c r="E1417" s="23" t="s">
        <v>2418</v>
      </c>
      <c r="F1417" s="35" t="s">
        <v>1839</v>
      </c>
      <c r="G1417" s="202" t="s">
        <v>621</v>
      </c>
      <c r="H1417" s="26">
        <v>2645</v>
      </c>
      <c r="I1417" s="121">
        <v>1086</v>
      </c>
      <c r="J1417" s="31"/>
      <c r="K1417" s="31"/>
      <c r="L1417" s="31"/>
      <c r="M1417" s="31"/>
      <c r="N1417" s="31"/>
      <c r="O1417" s="31"/>
      <c r="P1417" s="31"/>
      <c r="Q1417" s="31"/>
      <c r="R1417" s="31"/>
      <c r="S1417" s="31"/>
      <c r="T1417" s="31"/>
      <c r="U1417" s="31"/>
      <c r="V1417" s="31"/>
      <c r="W1417" s="31"/>
      <c r="X1417" s="31"/>
      <c r="Y1417" s="31"/>
      <c r="Z1417" s="31"/>
      <c r="AA1417" s="31"/>
      <c r="AB1417" s="31"/>
      <c r="AC1417" s="31"/>
      <c r="AD1417" s="31"/>
      <c r="AE1417" s="31"/>
      <c r="AF1417" s="31"/>
      <c r="AG1417" s="31"/>
      <c r="AH1417" s="31"/>
      <c r="AI1417" s="31"/>
      <c r="AJ1417" s="31"/>
      <c r="AK1417" s="31"/>
      <c r="AL1417" s="28" t="str">
        <f>VLOOKUP($G1417,'[42]Sheet1 (2)'!$A$1:$B$1048440,2,FALSE)</f>
        <v>Sqm</v>
      </c>
      <c r="AM1417" s="32"/>
      <c r="AN1417" s="31"/>
      <c r="AO1417" s="33"/>
    </row>
    <row r="1418" spans="1:41" ht="126" x14ac:dyDescent="0.25">
      <c r="A1418" s="20">
        <v>1275</v>
      </c>
      <c r="B1418" s="21" t="s">
        <v>2308</v>
      </c>
      <c r="C1418" s="22">
        <v>39.799999999999997</v>
      </c>
      <c r="D1418" s="25" t="s">
        <v>2309</v>
      </c>
      <c r="E1418" s="23" t="s">
        <v>2419</v>
      </c>
      <c r="F1418" s="24" t="s">
        <v>742</v>
      </c>
      <c r="G1418" s="202" t="s">
        <v>621</v>
      </c>
      <c r="H1418" s="26">
        <v>5451</v>
      </c>
      <c r="I1418" s="121">
        <v>1899</v>
      </c>
      <c r="J1418" s="31"/>
      <c r="K1418" s="31"/>
      <c r="L1418" s="31"/>
      <c r="M1418" s="31"/>
      <c r="N1418" s="31"/>
      <c r="O1418" s="31"/>
      <c r="P1418" s="31"/>
      <c r="Q1418" s="31"/>
      <c r="R1418" s="31"/>
      <c r="S1418" s="31"/>
      <c r="T1418" s="31"/>
      <c r="U1418" s="31"/>
      <c r="V1418" s="31"/>
      <c r="W1418" s="31"/>
      <c r="X1418" s="31"/>
      <c r="Y1418" s="31"/>
      <c r="Z1418" s="31"/>
      <c r="AA1418" s="31"/>
      <c r="AB1418" s="31"/>
      <c r="AC1418" s="31"/>
      <c r="AD1418" s="31"/>
      <c r="AE1418" s="31"/>
      <c r="AF1418" s="31"/>
      <c r="AG1418" s="31"/>
      <c r="AH1418" s="31"/>
      <c r="AI1418" s="31"/>
      <c r="AJ1418" s="31"/>
      <c r="AK1418" s="31"/>
      <c r="AL1418" s="28" t="str">
        <f>VLOOKUP($G1418,'[42]Sheet1 (2)'!$A$1:$B$1048440,2,FALSE)</f>
        <v>Sqm</v>
      </c>
      <c r="AM1418" s="32"/>
      <c r="AN1418" s="31"/>
      <c r="AO1418" s="33"/>
    </row>
    <row r="1419" spans="1:41" ht="252" x14ac:dyDescent="0.25">
      <c r="A1419" s="20">
        <v>1276</v>
      </c>
      <c r="B1419" s="21" t="s">
        <v>2308</v>
      </c>
      <c r="C1419" s="22">
        <v>39.81</v>
      </c>
      <c r="D1419" s="25" t="s">
        <v>2309</v>
      </c>
      <c r="E1419" s="24" t="s">
        <v>2420</v>
      </c>
      <c r="F1419" s="24" t="s">
        <v>742</v>
      </c>
      <c r="G1419" s="202" t="s">
        <v>621</v>
      </c>
      <c r="H1419" s="26">
        <v>6306</v>
      </c>
      <c r="I1419" s="121">
        <v>1042</v>
      </c>
      <c r="J1419" s="31"/>
      <c r="K1419" s="31"/>
      <c r="L1419" s="31"/>
      <c r="M1419" s="31"/>
      <c r="N1419" s="31"/>
      <c r="O1419" s="31"/>
      <c r="P1419" s="31"/>
      <c r="Q1419" s="31"/>
      <c r="R1419" s="31"/>
      <c r="S1419" s="31"/>
      <c r="T1419" s="31"/>
      <c r="U1419" s="31"/>
      <c r="V1419" s="31"/>
      <c r="W1419" s="31"/>
      <c r="X1419" s="31"/>
      <c r="Y1419" s="31"/>
      <c r="Z1419" s="31"/>
      <c r="AA1419" s="31"/>
      <c r="AB1419" s="31"/>
      <c r="AC1419" s="31"/>
      <c r="AD1419" s="31"/>
      <c r="AE1419" s="31"/>
      <c r="AF1419" s="31"/>
      <c r="AG1419" s="31"/>
      <c r="AH1419" s="31"/>
      <c r="AI1419" s="31"/>
      <c r="AJ1419" s="31"/>
      <c r="AK1419" s="31"/>
      <c r="AL1419" s="28" t="str">
        <f>VLOOKUP($G1419,'[42]Sheet1 (2)'!$A$1:$B$1048440,2,FALSE)</f>
        <v>Sqm</v>
      </c>
      <c r="AM1419" s="32"/>
      <c r="AN1419" s="31"/>
      <c r="AO1419" s="33"/>
    </row>
    <row r="1420" spans="1:41" ht="196" x14ac:dyDescent="0.25">
      <c r="A1420" s="20">
        <v>1277</v>
      </c>
      <c r="B1420" s="21" t="s">
        <v>2308</v>
      </c>
      <c r="C1420" s="22">
        <v>39.82</v>
      </c>
      <c r="D1420" s="25" t="s">
        <v>2309</v>
      </c>
      <c r="E1420" s="24" t="s">
        <v>2421</v>
      </c>
      <c r="F1420" s="24" t="s">
        <v>742</v>
      </c>
      <c r="G1420" s="202" t="s">
        <v>621</v>
      </c>
      <c r="H1420" s="26">
        <v>6548</v>
      </c>
      <c r="I1420" s="121">
        <v>1042</v>
      </c>
      <c r="J1420" s="31"/>
      <c r="K1420" s="31"/>
      <c r="L1420" s="31"/>
      <c r="M1420" s="31"/>
      <c r="N1420" s="31"/>
      <c r="O1420" s="31"/>
      <c r="P1420" s="31"/>
      <c r="Q1420" s="31"/>
      <c r="R1420" s="31"/>
      <c r="S1420" s="31"/>
      <c r="T1420" s="31"/>
      <c r="U1420" s="31"/>
      <c r="V1420" s="31"/>
      <c r="W1420" s="31"/>
      <c r="X1420" s="31"/>
      <c r="Y1420" s="31"/>
      <c r="Z1420" s="31"/>
      <c r="AA1420" s="31"/>
      <c r="AB1420" s="31"/>
      <c r="AC1420" s="31"/>
      <c r="AD1420" s="31"/>
      <c r="AE1420" s="31"/>
      <c r="AF1420" s="31"/>
      <c r="AG1420" s="31"/>
      <c r="AH1420" s="31"/>
      <c r="AI1420" s="31"/>
      <c r="AJ1420" s="31"/>
      <c r="AK1420" s="31"/>
      <c r="AL1420" s="28" t="str">
        <f>VLOOKUP($G1420,'[42]Sheet1 (2)'!$A$1:$B$1048440,2,FALSE)</f>
        <v>Sqm</v>
      </c>
      <c r="AM1420" s="32"/>
      <c r="AN1420" s="31"/>
      <c r="AO1420" s="33"/>
    </row>
    <row r="1421" spans="1:41" ht="84" x14ac:dyDescent="0.25">
      <c r="A1421" s="20">
        <v>1278</v>
      </c>
      <c r="B1421" s="21" t="s">
        <v>2308</v>
      </c>
      <c r="C1421" s="22">
        <v>39.83</v>
      </c>
      <c r="D1421" s="25" t="s">
        <v>2309</v>
      </c>
      <c r="E1421" s="24" t="s">
        <v>2422</v>
      </c>
      <c r="F1421" s="24" t="s">
        <v>742</v>
      </c>
      <c r="G1421" s="202" t="s">
        <v>621</v>
      </c>
      <c r="H1421" s="26">
        <v>3193</v>
      </c>
      <c r="I1421" s="103">
        <v>544</v>
      </c>
      <c r="J1421" s="31"/>
      <c r="K1421" s="31"/>
      <c r="L1421" s="31"/>
      <c r="M1421" s="31"/>
      <c r="N1421" s="31"/>
      <c r="O1421" s="31"/>
      <c r="P1421" s="31"/>
      <c r="Q1421" s="31"/>
      <c r="R1421" s="31"/>
      <c r="S1421" s="31"/>
      <c r="T1421" s="31"/>
      <c r="U1421" s="31"/>
      <c r="V1421" s="31"/>
      <c r="W1421" s="31"/>
      <c r="X1421" s="31"/>
      <c r="Y1421" s="31"/>
      <c r="Z1421" s="31"/>
      <c r="AA1421" s="31"/>
      <c r="AB1421" s="31"/>
      <c r="AC1421" s="31"/>
      <c r="AD1421" s="31"/>
      <c r="AE1421" s="31"/>
      <c r="AF1421" s="31"/>
      <c r="AG1421" s="31"/>
      <c r="AH1421" s="31"/>
      <c r="AI1421" s="31"/>
      <c r="AJ1421" s="31"/>
      <c r="AK1421" s="31"/>
      <c r="AL1421" s="28" t="str">
        <f>VLOOKUP($G1421,'[42]Sheet1 (2)'!$A$1:$B$1048440,2,FALSE)</f>
        <v>Sqm</v>
      </c>
      <c r="AM1421" s="32"/>
      <c r="AN1421" s="31"/>
      <c r="AO1421" s="33"/>
    </row>
    <row r="1422" spans="1:41" ht="98" x14ac:dyDescent="0.25">
      <c r="A1422" s="20">
        <v>1279</v>
      </c>
      <c r="B1422" s="21" t="s">
        <v>2308</v>
      </c>
      <c r="C1422" s="22">
        <v>39.840000000000003</v>
      </c>
      <c r="D1422" s="25" t="s">
        <v>2309</v>
      </c>
      <c r="E1422" s="24" t="s">
        <v>2423</v>
      </c>
      <c r="F1422" s="92" t="s">
        <v>2424</v>
      </c>
      <c r="G1422" s="202" t="s">
        <v>621</v>
      </c>
      <c r="H1422" s="26">
        <v>3701</v>
      </c>
      <c r="I1422" s="103">
        <v>583</v>
      </c>
      <c r="J1422" s="31"/>
      <c r="K1422" s="31"/>
      <c r="L1422" s="31"/>
      <c r="M1422" s="31"/>
      <c r="N1422" s="31"/>
      <c r="O1422" s="31"/>
      <c r="P1422" s="31"/>
      <c r="Q1422" s="31"/>
      <c r="R1422" s="31"/>
      <c r="S1422" s="31"/>
      <c r="T1422" s="31"/>
      <c r="U1422" s="31"/>
      <c r="V1422" s="31"/>
      <c r="W1422" s="31"/>
      <c r="X1422" s="31"/>
      <c r="Y1422" s="31"/>
      <c r="Z1422" s="31"/>
      <c r="AA1422" s="31"/>
      <c r="AB1422" s="31"/>
      <c r="AC1422" s="31"/>
      <c r="AD1422" s="31"/>
      <c r="AE1422" s="31"/>
      <c r="AF1422" s="31"/>
      <c r="AG1422" s="31"/>
      <c r="AH1422" s="31"/>
      <c r="AI1422" s="31"/>
      <c r="AJ1422" s="31"/>
      <c r="AK1422" s="31"/>
      <c r="AL1422" s="28" t="str">
        <f>VLOOKUP($G1422,'[42]Sheet1 (2)'!$A$1:$B$1048440,2,FALSE)</f>
        <v>Sqm</v>
      </c>
      <c r="AM1422" s="32"/>
      <c r="AN1422" s="31"/>
      <c r="AO1422" s="33"/>
    </row>
    <row r="1423" spans="1:41" ht="126" x14ac:dyDescent="0.25">
      <c r="A1423" s="20">
        <v>1280</v>
      </c>
      <c r="B1423" s="21" t="s">
        <v>2308</v>
      </c>
      <c r="C1423" s="22">
        <v>39.85</v>
      </c>
      <c r="D1423" s="25" t="s">
        <v>2309</v>
      </c>
      <c r="E1423" s="23" t="s">
        <v>2425</v>
      </c>
      <c r="F1423" s="92" t="s">
        <v>2424</v>
      </c>
      <c r="G1423" s="202" t="s">
        <v>621</v>
      </c>
      <c r="H1423" s="26">
        <v>4449</v>
      </c>
      <c r="I1423" s="103">
        <v>583</v>
      </c>
      <c r="J1423" s="31"/>
      <c r="K1423" s="31"/>
      <c r="L1423" s="31"/>
      <c r="M1423" s="31"/>
      <c r="N1423" s="31"/>
      <c r="O1423" s="31"/>
      <c r="P1423" s="31"/>
      <c r="Q1423" s="31"/>
      <c r="R1423" s="31"/>
      <c r="S1423" s="31"/>
      <c r="T1423" s="31"/>
      <c r="U1423" s="31"/>
      <c r="V1423" s="31"/>
      <c r="W1423" s="31"/>
      <c r="X1423" s="31"/>
      <c r="Y1423" s="31"/>
      <c r="Z1423" s="31"/>
      <c r="AA1423" s="31"/>
      <c r="AB1423" s="31"/>
      <c r="AC1423" s="31"/>
      <c r="AD1423" s="31"/>
      <c r="AE1423" s="31"/>
      <c r="AF1423" s="31"/>
      <c r="AG1423" s="31"/>
      <c r="AH1423" s="31"/>
      <c r="AI1423" s="31"/>
      <c r="AJ1423" s="31"/>
      <c r="AK1423" s="31"/>
      <c r="AL1423" s="28" t="str">
        <f>VLOOKUP($G1423,'[42]Sheet1 (2)'!$A$1:$B$1048440,2,FALSE)</f>
        <v>Sqm</v>
      </c>
      <c r="AM1423" s="32"/>
      <c r="AN1423" s="31"/>
      <c r="AO1423" s="33"/>
    </row>
    <row r="1424" spans="1:41" ht="98" x14ac:dyDescent="0.25">
      <c r="A1424" s="20">
        <v>1281</v>
      </c>
      <c r="B1424" s="21" t="s">
        <v>2308</v>
      </c>
      <c r="C1424" s="22">
        <v>39.86</v>
      </c>
      <c r="D1424" s="25" t="s">
        <v>2309</v>
      </c>
      <c r="E1424" s="24" t="s">
        <v>2426</v>
      </c>
      <c r="F1424" s="92" t="s">
        <v>2427</v>
      </c>
      <c r="G1424" s="202" t="s">
        <v>621</v>
      </c>
      <c r="H1424" s="26">
        <v>2814</v>
      </c>
      <c r="I1424" s="103">
        <v>897</v>
      </c>
      <c r="J1424" s="31"/>
      <c r="K1424" s="31"/>
      <c r="L1424" s="31"/>
      <c r="M1424" s="31"/>
      <c r="N1424" s="31"/>
      <c r="O1424" s="31"/>
      <c r="P1424" s="31"/>
      <c r="Q1424" s="31"/>
      <c r="R1424" s="31"/>
      <c r="S1424" s="31"/>
      <c r="T1424" s="31"/>
      <c r="U1424" s="31"/>
      <c r="V1424" s="31"/>
      <c r="W1424" s="31"/>
      <c r="X1424" s="31"/>
      <c r="Y1424" s="31"/>
      <c r="Z1424" s="31"/>
      <c r="AA1424" s="31"/>
      <c r="AB1424" s="31"/>
      <c r="AC1424" s="31"/>
      <c r="AD1424" s="31"/>
      <c r="AE1424" s="31"/>
      <c r="AF1424" s="31"/>
      <c r="AG1424" s="31"/>
      <c r="AH1424" s="31"/>
      <c r="AI1424" s="31"/>
      <c r="AJ1424" s="31"/>
      <c r="AK1424" s="31"/>
      <c r="AL1424" s="28" t="str">
        <f>VLOOKUP($G1424,'[42]Sheet1 (2)'!$A$1:$B$1048440,2,FALSE)</f>
        <v>Sqm</v>
      </c>
      <c r="AM1424" s="32"/>
      <c r="AN1424" s="31"/>
      <c r="AO1424" s="33"/>
    </row>
    <row r="1425" spans="1:41" ht="98" x14ac:dyDescent="0.25">
      <c r="A1425" s="20">
        <v>1282</v>
      </c>
      <c r="B1425" s="21" t="s">
        <v>2308</v>
      </c>
      <c r="C1425" s="22">
        <v>39.869999999999997</v>
      </c>
      <c r="D1425" s="25" t="s">
        <v>2309</v>
      </c>
      <c r="E1425" s="23" t="s">
        <v>2428</v>
      </c>
      <c r="F1425" s="24" t="s">
        <v>742</v>
      </c>
      <c r="G1425" s="202" t="s">
        <v>621</v>
      </c>
      <c r="H1425" s="26">
        <v>135716</v>
      </c>
      <c r="I1425" s="121">
        <v>21886</v>
      </c>
      <c r="J1425" s="31"/>
      <c r="K1425" s="31"/>
      <c r="L1425" s="31"/>
      <c r="M1425" s="31"/>
      <c r="N1425" s="31"/>
      <c r="O1425" s="31"/>
      <c r="P1425" s="31"/>
      <c r="Q1425" s="31"/>
      <c r="R1425" s="31"/>
      <c r="S1425" s="31"/>
      <c r="T1425" s="31"/>
      <c r="U1425" s="31"/>
      <c r="V1425" s="31"/>
      <c r="W1425" s="31"/>
      <c r="X1425" s="31"/>
      <c r="Y1425" s="31"/>
      <c r="Z1425" s="31"/>
      <c r="AA1425" s="31"/>
      <c r="AB1425" s="31"/>
      <c r="AC1425" s="31"/>
      <c r="AD1425" s="31"/>
      <c r="AE1425" s="31"/>
      <c r="AF1425" s="31"/>
      <c r="AG1425" s="31"/>
      <c r="AH1425" s="31"/>
      <c r="AI1425" s="31"/>
      <c r="AJ1425" s="31"/>
      <c r="AK1425" s="31"/>
      <c r="AL1425" s="28" t="str">
        <f>VLOOKUP($G1425,'[42]Sheet1 (2)'!$A$1:$B$1048440,2,FALSE)</f>
        <v>Sqm</v>
      </c>
      <c r="AM1425" s="32"/>
      <c r="AN1425" s="31"/>
      <c r="AO1425" s="33"/>
    </row>
    <row r="1426" spans="1:41" ht="66.75" customHeight="1" x14ac:dyDescent="0.25">
      <c r="A1426" s="20">
        <v>1283</v>
      </c>
      <c r="B1426" s="21" t="s">
        <v>2308</v>
      </c>
      <c r="C1426" s="22">
        <v>39.880000000000003</v>
      </c>
      <c r="D1426" s="25" t="s">
        <v>2309</v>
      </c>
      <c r="E1426" s="23" t="s">
        <v>2429</v>
      </c>
      <c r="F1426" s="24" t="s">
        <v>742</v>
      </c>
      <c r="G1426" s="202" t="s">
        <v>621</v>
      </c>
      <c r="H1426" s="26">
        <v>1052</v>
      </c>
      <c r="I1426" s="26">
        <v>234</v>
      </c>
      <c r="J1426" s="31"/>
      <c r="K1426" s="31"/>
      <c r="L1426" s="31"/>
      <c r="M1426" s="31"/>
      <c r="N1426" s="31"/>
      <c r="O1426" s="31"/>
      <c r="P1426" s="31"/>
      <c r="Q1426" s="31"/>
      <c r="R1426" s="31"/>
      <c r="S1426" s="31"/>
      <c r="T1426" s="31"/>
      <c r="U1426" s="31"/>
      <c r="V1426" s="31"/>
      <c r="W1426" s="31"/>
      <c r="X1426" s="31"/>
      <c r="Y1426" s="31"/>
      <c r="Z1426" s="31"/>
      <c r="AA1426" s="31"/>
      <c r="AB1426" s="31"/>
      <c r="AC1426" s="31"/>
      <c r="AD1426" s="31"/>
      <c r="AE1426" s="31"/>
      <c r="AF1426" s="31"/>
      <c r="AG1426" s="31"/>
      <c r="AH1426" s="31"/>
      <c r="AI1426" s="31"/>
      <c r="AJ1426" s="31"/>
      <c r="AK1426" s="31"/>
      <c r="AL1426" s="28" t="str">
        <f>VLOOKUP($G1426,'[42]Sheet1 (2)'!$A$1:$B$1048440,2,FALSE)</f>
        <v>Sqm</v>
      </c>
      <c r="AM1426" s="32"/>
      <c r="AN1426" s="31"/>
      <c r="AO1426" s="33"/>
    </row>
    <row r="1427" spans="1:41" ht="70" x14ac:dyDescent="0.25">
      <c r="A1427" s="20">
        <v>1284</v>
      </c>
      <c r="B1427" s="21" t="s">
        <v>2308</v>
      </c>
      <c r="C1427" s="22">
        <v>39.89</v>
      </c>
      <c r="D1427" s="25" t="s">
        <v>2309</v>
      </c>
      <c r="E1427" s="23" t="s">
        <v>2430</v>
      </c>
      <c r="F1427" s="24" t="s">
        <v>742</v>
      </c>
      <c r="G1427" s="202" t="s">
        <v>621</v>
      </c>
      <c r="H1427" s="26">
        <v>4298</v>
      </c>
      <c r="I1427" s="26">
        <v>234</v>
      </c>
      <c r="J1427" s="31"/>
      <c r="K1427" s="31"/>
      <c r="L1427" s="31"/>
      <c r="M1427" s="31"/>
      <c r="N1427" s="31"/>
      <c r="O1427" s="31"/>
      <c r="P1427" s="31"/>
      <c r="Q1427" s="31"/>
      <c r="R1427" s="31"/>
      <c r="S1427" s="31"/>
      <c r="T1427" s="31"/>
      <c r="U1427" s="31"/>
      <c r="V1427" s="31"/>
      <c r="W1427" s="31"/>
      <c r="X1427" s="31"/>
      <c r="Y1427" s="31"/>
      <c r="Z1427" s="31"/>
      <c r="AA1427" s="31"/>
      <c r="AB1427" s="31"/>
      <c r="AC1427" s="31"/>
      <c r="AD1427" s="31"/>
      <c r="AE1427" s="31"/>
      <c r="AF1427" s="31"/>
      <c r="AG1427" s="31"/>
      <c r="AH1427" s="31"/>
      <c r="AI1427" s="31"/>
      <c r="AJ1427" s="31"/>
      <c r="AK1427" s="31"/>
      <c r="AL1427" s="28" t="str">
        <f>VLOOKUP($G1427,'[42]Sheet1 (2)'!$A$1:$B$1048440,2,FALSE)</f>
        <v>Sqm</v>
      </c>
      <c r="AM1427" s="32"/>
      <c r="AN1427" s="31"/>
      <c r="AO1427" s="33"/>
    </row>
    <row r="1428" spans="1:41" ht="56" x14ac:dyDescent="0.25">
      <c r="A1428" s="20">
        <v>1285</v>
      </c>
      <c r="B1428" s="21" t="s">
        <v>2308</v>
      </c>
      <c r="C1428" s="22">
        <v>39.9</v>
      </c>
      <c r="D1428" s="25" t="s">
        <v>2309</v>
      </c>
      <c r="E1428" s="24" t="s">
        <v>2431</v>
      </c>
      <c r="F1428" s="24" t="s">
        <v>742</v>
      </c>
      <c r="G1428" s="202" t="s">
        <v>621</v>
      </c>
      <c r="H1428" s="26">
        <v>649</v>
      </c>
      <c r="I1428" s="26">
        <v>234</v>
      </c>
      <c r="J1428" s="31"/>
      <c r="K1428" s="31"/>
      <c r="L1428" s="31"/>
      <c r="M1428" s="31"/>
      <c r="N1428" s="31"/>
      <c r="O1428" s="31"/>
      <c r="P1428" s="31"/>
      <c r="Q1428" s="31"/>
      <c r="R1428" s="31"/>
      <c r="S1428" s="31"/>
      <c r="T1428" s="31"/>
      <c r="U1428" s="31"/>
      <c r="V1428" s="31"/>
      <c r="W1428" s="31"/>
      <c r="X1428" s="31"/>
      <c r="Y1428" s="31"/>
      <c r="Z1428" s="31"/>
      <c r="AA1428" s="31"/>
      <c r="AB1428" s="31"/>
      <c r="AC1428" s="31"/>
      <c r="AD1428" s="31"/>
      <c r="AE1428" s="31"/>
      <c r="AF1428" s="31"/>
      <c r="AG1428" s="31"/>
      <c r="AH1428" s="31"/>
      <c r="AI1428" s="31"/>
      <c r="AJ1428" s="31"/>
      <c r="AK1428" s="31"/>
      <c r="AL1428" s="28" t="str">
        <f>VLOOKUP($G1428,'[42]Sheet1 (2)'!$A$1:$B$1048440,2,FALSE)</f>
        <v>Sqm</v>
      </c>
      <c r="AM1428" s="32"/>
      <c r="AN1428" s="31"/>
      <c r="AO1428" s="33"/>
    </row>
    <row r="1429" spans="1:41" ht="56" x14ac:dyDescent="0.25">
      <c r="A1429" s="20">
        <v>1286</v>
      </c>
      <c r="B1429" s="21" t="s">
        <v>2308</v>
      </c>
      <c r="C1429" s="22">
        <v>39.92</v>
      </c>
      <c r="D1429" s="25" t="s">
        <v>2309</v>
      </c>
      <c r="E1429" s="24" t="s">
        <v>2432</v>
      </c>
      <c r="F1429" s="35" t="s">
        <v>1839</v>
      </c>
      <c r="G1429" s="238" t="s">
        <v>80</v>
      </c>
      <c r="H1429" s="26">
        <v>1344</v>
      </c>
      <c r="I1429" s="26">
        <v>163</v>
      </c>
      <c r="J1429" s="31"/>
      <c r="K1429" s="31"/>
      <c r="L1429" s="31"/>
      <c r="M1429" s="31"/>
      <c r="N1429" s="31"/>
      <c r="O1429" s="31"/>
      <c r="P1429" s="31"/>
      <c r="Q1429" s="31"/>
      <c r="R1429" s="31"/>
      <c r="S1429" s="31"/>
      <c r="T1429" s="31"/>
      <c r="U1429" s="31"/>
      <c r="V1429" s="31"/>
      <c r="W1429" s="31"/>
      <c r="X1429" s="31"/>
      <c r="Y1429" s="31"/>
      <c r="Z1429" s="31"/>
      <c r="AA1429" s="31"/>
      <c r="AB1429" s="31"/>
      <c r="AC1429" s="31"/>
      <c r="AD1429" s="31"/>
      <c r="AE1429" s="31"/>
      <c r="AF1429" s="31"/>
      <c r="AG1429" s="31"/>
      <c r="AH1429" s="31"/>
      <c r="AI1429" s="31"/>
      <c r="AJ1429" s="31"/>
      <c r="AK1429" s="31"/>
      <c r="AL1429" s="28" t="str">
        <f>VLOOKUP($G1429,'[42]Sheet1 (2)'!$A$1:$B$1048440,2,FALSE)</f>
        <v>Rmt.</v>
      </c>
      <c r="AM1429" s="32"/>
      <c r="AN1429" s="31"/>
      <c r="AO1429" s="33"/>
    </row>
    <row r="1430" spans="1:41" ht="56" x14ac:dyDescent="0.25">
      <c r="A1430" s="20">
        <v>1287</v>
      </c>
      <c r="B1430" s="21" t="s">
        <v>2308</v>
      </c>
      <c r="C1430" s="22">
        <v>39.93</v>
      </c>
      <c r="D1430" s="25" t="s">
        <v>2309</v>
      </c>
      <c r="E1430" s="23" t="s">
        <v>2433</v>
      </c>
      <c r="F1430" s="35" t="s">
        <v>1839</v>
      </c>
      <c r="G1430" s="238" t="s">
        <v>80</v>
      </c>
      <c r="H1430" s="26">
        <v>140</v>
      </c>
      <c r="I1430" s="26">
        <v>39</v>
      </c>
      <c r="J1430" s="31"/>
      <c r="K1430" s="31"/>
      <c r="L1430" s="31"/>
      <c r="M1430" s="31"/>
      <c r="N1430" s="31"/>
      <c r="O1430" s="31"/>
      <c r="P1430" s="31"/>
      <c r="Q1430" s="31"/>
      <c r="R1430" s="31"/>
      <c r="S1430" s="31"/>
      <c r="T1430" s="31"/>
      <c r="U1430" s="31"/>
      <c r="V1430" s="31"/>
      <c r="W1430" s="31"/>
      <c r="X1430" s="31"/>
      <c r="Y1430" s="31"/>
      <c r="Z1430" s="31"/>
      <c r="AA1430" s="31"/>
      <c r="AB1430" s="31"/>
      <c r="AC1430" s="31"/>
      <c r="AD1430" s="31"/>
      <c r="AE1430" s="31"/>
      <c r="AF1430" s="31"/>
      <c r="AG1430" s="31"/>
      <c r="AH1430" s="31"/>
      <c r="AI1430" s="31"/>
      <c r="AJ1430" s="31"/>
      <c r="AK1430" s="31"/>
      <c r="AL1430" s="28" t="str">
        <f>VLOOKUP($G1430,'[42]Sheet1 (2)'!$A$1:$B$1048440,2,FALSE)</f>
        <v>Rmt.</v>
      </c>
      <c r="AM1430" s="32"/>
      <c r="AN1430" s="31"/>
      <c r="AO1430" s="33"/>
    </row>
    <row r="1431" spans="1:41" ht="70" x14ac:dyDescent="0.25">
      <c r="A1431" s="20">
        <v>1288</v>
      </c>
      <c r="B1431" s="21" t="s">
        <v>2308</v>
      </c>
      <c r="C1431" s="22">
        <v>39.94</v>
      </c>
      <c r="D1431" s="25" t="s">
        <v>2309</v>
      </c>
      <c r="E1431" s="24" t="s">
        <v>2434</v>
      </c>
      <c r="F1431" s="24" t="s">
        <v>742</v>
      </c>
      <c r="G1431" s="21" t="s">
        <v>217</v>
      </c>
      <c r="H1431" s="26">
        <v>2859</v>
      </c>
      <c r="I1431" s="26">
        <v>1055</v>
      </c>
      <c r="J1431" s="31"/>
      <c r="K1431" s="31"/>
      <c r="L1431" s="31"/>
      <c r="M1431" s="31"/>
      <c r="N1431" s="31"/>
      <c r="O1431" s="31"/>
      <c r="P1431" s="31"/>
      <c r="Q1431" s="31"/>
      <c r="R1431" s="31"/>
      <c r="S1431" s="31"/>
      <c r="T1431" s="31"/>
      <c r="U1431" s="31"/>
      <c r="V1431" s="31"/>
      <c r="W1431" s="31"/>
      <c r="X1431" s="31"/>
      <c r="Y1431" s="31"/>
      <c r="Z1431" s="31"/>
      <c r="AA1431" s="31"/>
      <c r="AB1431" s="31"/>
      <c r="AC1431" s="31"/>
      <c r="AD1431" s="31"/>
      <c r="AE1431" s="31"/>
      <c r="AF1431" s="31"/>
      <c r="AG1431" s="31"/>
      <c r="AH1431" s="31"/>
      <c r="AI1431" s="31"/>
      <c r="AJ1431" s="31"/>
      <c r="AK1431" s="31"/>
      <c r="AL1431" s="28" t="str">
        <f>VLOOKUP($G1431,'[42]Sheet1 (2)'!$A$1:$B$1048440,2,FALSE)</f>
        <v>Sqm</v>
      </c>
      <c r="AM1431" s="32"/>
      <c r="AN1431" s="31"/>
      <c r="AO1431" s="33"/>
    </row>
    <row r="1432" spans="1:41" ht="98" x14ac:dyDescent="0.25">
      <c r="A1432" s="20">
        <v>1289</v>
      </c>
      <c r="B1432" s="21" t="s">
        <v>2308</v>
      </c>
      <c r="C1432" s="22">
        <v>39.950000000000003</v>
      </c>
      <c r="D1432" s="25" t="s">
        <v>2309</v>
      </c>
      <c r="E1432" s="24" t="s">
        <v>2435</v>
      </c>
      <c r="F1432" s="24" t="s">
        <v>742</v>
      </c>
      <c r="G1432" s="21" t="s">
        <v>217</v>
      </c>
      <c r="H1432" s="26">
        <v>3784</v>
      </c>
      <c r="I1432" s="26">
        <v>931</v>
      </c>
      <c r="J1432" s="31"/>
      <c r="K1432" s="31"/>
      <c r="L1432" s="31"/>
      <c r="M1432" s="31"/>
      <c r="N1432" s="31"/>
      <c r="O1432" s="31"/>
      <c r="P1432" s="31"/>
      <c r="Q1432" s="31"/>
      <c r="R1432" s="31"/>
      <c r="S1432" s="31"/>
      <c r="T1432" s="31"/>
      <c r="U1432" s="31"/>
      <c r="V1432" s="31"/>
      <c r="W1432" s="31"/>
      <c r="X1432" s="31"/>
      <c r="Y1432" s="31"/>
      <c r="Z1432" s="31"/>
      <c r="AA1432" s="31"/>
      <c r="AB1432" s="31"/>
      <c r="AC1432" s="31"/>
      <c r="AD1432" s="31"/>
      <c r="AE1432" s="31"/>
      <c r="AF1432" s="31"/>
      <c r="AG1432" s="31"/>
      <c r="AH1432" s="31"/>
      <c r="AI1432" s="31"/>
      <c r="AJ1432" s="31"/>
      <c r="AK1432" s="31"/>
      <c r="AL1432" s="28" t="str">
        <f>VLOOKUP($G1432,'[42]Sheet1 (2)'!$A$1:$B$1048440,2,FALSE)</f>
        <v>Sqm</v>
      </c>
      <c r="AM1432" s="32"/>
      <c r="AN1432" s="31"/>
      <c r="AO1432" s="33"/>
    </row>
    <row r="1433" spans="1:41" ht="84" x14ac:dyDescent="0.25">
      <c r="A1433" s="20">
        <v>1290</v>
      </c>
      <c r="B1433" s="21" t="s">
        <v>2308</v>
      </c>
      <c r="C1433" s="22">
        <v>39.96</v>
      </c>
      <c r="D1433" s="25" t="s">
        <v>2309</v>
      </c>
      <c r="E1433" s="23" t="s">
        <v>2436</v>
      </c>
      <c r="F1433" s="24" t="s">
        <v>742</v>
      </c>
      <c r="G1433" s="21" t="s">
        <v>217</v>
      </c>
      <c r="H1433" s="26">
        <v>7654</v>
      </c>
      <c r="I1433" s="26">
        <v>1368</v>
      </c>
      <c r="J1433" s="31"/>
      <c r="K1433" s="31"/>
      <c r="L1433" s="31"/>
      <c r="M1433" s="31"/>
      <c r="N1433" s="31"/>
      <c r="O1433" s="31"/>
      <c r="P1433" s="31"/>
      <c r="Q1433" s="31"/>
      <c r="R1433" s="31"/>
      <c r="S1433" s="31"/>
      <c r="T1433" s="31"/>
      <c r="U1433" s="31"/>
      <c r="V1433" s="31"/>
      <c r="W1433" s="31"/>
      <c r="X1433" s="31"/>
      <c r="Y1433" s="31"/>
      <c r="Z1433" s="31"/>
      <c r="AA1433" s="31"/>
      <c r="AB1433" s="31"/>
      <c r="AC1433" s="31"/>
      <c r="AD1433" s="31"/>
      <c r="AE1433" s="31"/>
      <c r="AF1433" s="31"/>
      <c r="AG1433" s="31"/>
      <c r="AH1433" s="31"/>
      <c r="AI1433" s="31"/>
      <c r="AJ1433" s="31"/>
      <c r="AK1433" s="31"/>
      <c r="AL1433" s="28" t="str">
        <f>VLOOKUP($G1433,'[42]Sheet1 (2)'!$A$1:$B$1048440,2,FALSE)</f>
        <v>Sqm</v>
      </c>
      <c r="AM1433" s="32"/>
      <c r="AN1433" s="31"/>
      <c r="AO1433" s="33"/>
    </row>
    <row r="1434" spans="1:41" ht="17.5" x14ac:dyDescent="0.25">
      <c r="A1434" s="204"/>
      <c r="B1434" s="21"/>
      <c r="C1434" s="22"/>
      <c r="D1434" s="165"/>
      <c r="E1434" s="225" t="s">
        <v>2437</v>
      </c>
      <c r="F1434" s="166"/>
      <c r="G1434" s="206"/>
      <c r="H1434" s="167"/>
      <c r="I1434" s="167"/>
      <c r="J1434" s="31"/>
      <c r="K1434" s="31"/>
      <c r="L1434" s="31"/>
      <c r="M1434" s="31"/>
      <c r="N1434" s="31"/>
      <c r="O1434" s="31"/>
      <c r="P1434" s="31"/>
      <c r="Q1434" s="31"/>
      <c r="R1434" s="31"/>
      <c r="S1434" s="31"/>
      <c r="T1434" s="31"/>
      <c r="U1434" s="31"/>
      <c r="V1434" s="31"/>
      <c r="W1434" s="31"/>
      <c r="X1434" s="31"/>
      <c r="Y1434" s="31"/>
      <c r="Z1434" s="31"/>
      <c r="AA1434" s="31"/>
      <c r="AB1434" s="31"/>
      <c r="AC1434" s="31"/>
      <c r="AD1434" s="31"/>
      <c r="AE1434" s="31"/>
      <c r="AF1434" s="31"/>
      <c r="AG1434" s="31"/>
      <c r="AH1434" s="31"/>
      <c r="AI1434" s="31"/>
      <c r="AJ1434" s="31"/>
      <c r="AK1434" s="31"/>
      <c r="AL1434" s="28" t="e">
        <f>VLOOKUP($G1434,'[42]Sheet1 (2)'!$A$1:$B$1048440,2,FALSE)</f>
        <v>#N/A</v>
      </c>
      <c r="AM1434" s="32"/>
      <c r="AN1434" s="31"/>
      <c r="AO1434" s="33"/>
    </row>
    <row r="1435" spans="1:41" ht="56" x14ac:dyDescent="0.25">
      <c r="A1435" s="20">
        <v>1291</v>
      </c>
      <c r="B1435" s="25" t="s">
        <v>2437</v>
      </c>
      <c r="C1435" s="22">
        <v>40.01</v>
      </c>
      <c r="D1435" s="25" t="s">
        <v>2438</v>
      </c>
      <c r="E1435" s="24" t="s">
        <v>2439</v>
      </c>
      <c r="F1435" s="21" t="s">
        <v>2440</v>
      </c>
      <c r="G1435" s="202" t="s">
        <v>621</v>
      </c>
      <c r="H1435" s="26">
        <v>2097</v>
      </c>
      <c r="I1435" s="26">
        <v>316</v>
      </c>
      <c r="J1435" s="31"/>
      <c r="K1435" s="31"/>
      <c r="L1435" s="31"/>
      <c r="M1435" s="31"/>
      <c r="N1435" s="31"/>
      <c r="O1435" s="31"/>
      <c r="P1435" s="31"/>
      <c r="Q1435" s="31"/>
      <c r="R1435" s="31"/>
      <c r="S1435" s="31"/>
      <c r="T1435" s="31"/>
      <c r="U1435" s="31"/>
      <c r="V1435" s="31"/>
      <c r="W1435" s="31"/>
      <c r="X1435" s="31"/>
      <c r="Y1435" s="31"/>
      <c r="Z1435" s="31"/>
      <c r="AA1435" s="31"/>
      <c r="AB1435" s="31"/>
      <c r="AC1435" s="31"/>
      <c r="AD1435" s="31"/>
      <c r="AE1435" s="31"/>
      <c r="AF1435" s="31"/>
      <c r="AG1435" s="31"/>
      <c r="AH1435" s="31"/>
      <c r="AI1435" s="31"/>
      <c r="AJ1435" s="31"/>
      <c r="AK1435" s="31"/>
      <c r="AL1435" s="28" t="str">
        <f>VLOOKUP($G1435,'[42]Sheet1 (2)'!$A$1:$B$1048440,2,FALSE)</f>
        <v>Sqm</v>
      </c>
      <c r="AM1435" s="32"/>
      <c r="AN1435" s="31"/>
      <c r="AO1435" s="33"/>
    </row>
    <row r="1436" spans="1:41" ht="70" x14ac:dyDescent="0.25">
      <c r="A1436" s="20">
        <v>1292</v>
      </c>
      <c r="B1436" s="25" t="s">
        <v>2437</v>
      </c>
      <c r="C1436" s="22">
        <v>40.020000000000003</v>
      </c>
      <c r="D1436" s="25" t="s">
        <v>2441</v>
      </c>
      <c r="E1436" s="24" t="s">
        <v>2442</v>
      </c>
      <c r="F1436" s="21" t="s">
        <v>2440</v>
      </c>
      <c r="G1436" s="202" t="s">
        <v>621</v>
      </c>
      <c r="H1436" s="26">
        <v>1707</v>
      </c>
      <c r="I1436" s="26">
        <v>316</v>
      </c>
      <c r="J1436" s="31"/>
      <c r="K1436" s="31"/>
      <c r="L1436" s="31"/>
      <c r="M1436" s="31"/>
      <c r="N1436" s="31"/>
      <c r="O1436" s="31"/>
      <c r="P1436" s="31"/>
      <c r="Q1436" s="31"/>
      <c r="R1436" s="31"/>
      <c r="S1436" s="31"/>
      <c r="T1436" s="31"/>
      <c r="U1436" s="31"/>
      <c r="V1436" s="31"/>
      <c r="W1436" s="31"/>
      <c r="X1436" s="31"/>
      <c r="Y1436" s="31"/>
      <c r="Z1436" s="31"/>
      <c r="AA1436" s="31"/>
      <c r="AB1436" s="31"/>
      <c r="AC1436" s="31"/>
      <c r="AD1436" s="31"/>
      <c r="AE1436" s="31"/>
      <c r="AF1436" s="31"/>
      <c r="AG1436" s="31"/>
      <c r="AH1436" s="31"/>
      <c r="AI1436" s="31"/>
      <c r="AJ1436" s="31"/>
      <c r="AK1436" s="31"/>
      <c r="AL1436" s="28" t="str">
        <f>VLOOKUP($G1436,'[42]Sheet1 (2)'!$A$1:$B$1048440,2,FALSE)</f>
        <v>Sqm</v>
      </c>
      <c r="AM1436" s="32"/>
      <c r="AN1436" s="31"/>
      <c r="AO1436" s="33"/>
    </row>
    <row r="1437" spans="1:41" ht="98" x14ac:dyDescent="0.25">
      <c r="A1437" s="20">
        <v>1293</v>
      </c>
      <c r="B1437" s="25" t="s">
        <v>2437</v>
      </c>
      <c r="C1437" s="22">
        <v>40.03</v>
      </c>
      <c r="D1437" s="25" t="s">
        <v>2443</v>
      </c>
      <c r="E1437" s="24" t="s">
        <v>2444</v>
      </c>
      <c r="F1437" s="21" t="s">
        <v>2445</v>
      </c>
      <c r="G1437" s="202" t="s">
        <v>621</v>
      </c>
      <c r="H1437" s="26">
        <v>3173</v>
      </c>
      <c r="I1437" s="26">
        <v>287</v>
      </c>
      <c r="J1437" s="31"/>
      <c r="K1437" s="31"/>
      <c r="L1437" s="31"/>
      <c r="M1437" s="31"/>
      <c r="N1437" s="31"/>
      <c r="O1437" s="31"/>
      <c r="P1437" s="31"/>
      <c r="Q1437" s="31"/>
      <c r="R1437" s="31"/>
      <c r="S1437" s="31"/>
      <c r="T1437" s="31"/>
      <c r="U1437" s="31"/>
      <c r="V1437" s="31"/>
      <c r="W1437" s="31"/>
      <c r="X1437" s="31"/>
      <c r="Y1437" s="31"/>
      <c r="Z1437" s="31"/>
      <c r="AA1437" s="31"/>
      <c r="AB1437" s="31"/>
      <c r="AC1437" s="31"/>
      <c r="AD1437" s="31"/>
      <c r="AE1437" s="31"/>
      <c r="AF1437" s="31"/>
      <c r="AG1437" s="31"/>
      <c r="AH1437" s="31"/>
      <c r="AI1437" s="31"/>
      <c r="AJ1437" s="31"/>
      <c r="AK1437" s="31"/>
      <c r="AL1437" s="28" t="str">
        <f>VLOOKUP($G1437,'[42]Sheet1 (2)'!$A$1:$B$1048440,2,FALSE)</f>
        <v>Sqm</v>
      </c>
      <c r="AM1437" s="32"/>
      <c r="AN1437" s="31"/>
      <c r="AO1437" s="33"/>
    </row>
    <row r="1438" spans="1:41" ht="98" x14ac:dyDescent="0.25">
      <c r="A1438" s="20">
        <v>1294</v>
      </c>
      <c r="B1438" s="25" t="s">
        <v>2437</v>
      </c>
      <c r="C1438" s="22">
        <v>40.04</v>
      </c>
      <c r="D1438" s="25" t="s">
        <v>2446</v>
      </c>
      <c r="E1438" s="24" t="s">
        <v>2447</v>
      </c>
      <c r="F1438" s="21" t="s">
        <v>2445</v>
      </c>
      <c r="G1438" s="202" t="s">
        <v>621</v>
      </c>
      <c r="H1438" s="26">
        <v>2792</v>
      </c>
      <c r="I1438" s="26">
        <v>287</v>
      </c>
      <c r="J1438" s="31"/>
      <c r="K1438" s="31"/>
      <c r="L1438" s="31"/>
      <c r="M1438" s="31"/>
      <c r="N1438" s="31"/>
      <c r="O1438" s="31"/>
      <c r="P1438" s="31"/>
      <c r="Q1438" s="31"/>
      <c r="R1438" s="31"/>
      <c r="S1438" s="31"/>
      <c r="T1438" s="31"/>
      <c r="U1438" s="31"/>
      <c r="V1438" s="31"/>
      <c r="W1438" s="31"/>
      <c r="X1438" s="31"/>
      <c r="Y1438" s="31"/>
      <c r="Z1438" s="31"/>
      <c r="AA1438" s="31"/>
      <c r="AB1438" s="31"/>
      <c r="AC1438" s="31"/>
      <c r="AD1438" s="31"/>
      <c r="AE1438" s="31"/>
      <c r="AF1438" s="31"/>
      <c r="AG1438" s="31"/>
      <c r="AH1438" s="31"/>
      <c r="AI1438" s="31"/>
      <c r="AJ1438" s="31"/>
      <c r="AK1438" s="31"/>
      <c r="AL1438" s="28" t="str">
        <f>VLOOKUP($G1438,'[42]Sheet1 (2)'!$A$1:$B$1048440,2,FALSE)</f>
        <v>Sqm</v>
      </c>
      <c r="AM1438" s="32"/>
      <c r="AN1438" s="31"/>
      <c r="AO1438" s="33"/>
    </row>
    <row r="1439" spans="1:41" ht="98" x14ac:dyDescent="0.25">
      <c r="A1439" s="20">
        <v>1295</v>
      </c>
      <c r="B1439" s="25" t="s">
        <v>2437</v>
      </c>
      <c r="C1439" s="22">
        <v>40.049999999999997</v>
      </c>
      <c r="D1439" s="25" t="s">
        <v>1325</v>
      </c>
      <c r="E1439" s="23" t="s">
        <v>2448</v>
      </c>
      <c r="F1439" s="24" t="s">
        <v>742</v>
      </c>
      <c r="G1439" s="21" t="s">
        <v>80</v>
      </c>
      <c r="H1439" s="26">
        <v>917</v>
      </c>
      <c r="I1439" s="26">
        <v>176</v>
      </c>
      <c r="J1439" s="31"/>
      <c r="K1439" s="31"/>
      <c r="L1439" s="31"/>
      <c r="M1439" s="31"/>
      <c r="N1439" s="31"/>
      <c r="O1439" s="31"/>
      <c r="P1439" s="31"/>
      <c r="Q1439" s="31"/>
      <c r="R1439" s="31"/>
      <c r="S1439" s="31"/>
      <c r="T1439" s="31"/>
      <c r="U1439" s="31"/>
      <c r="V1439" s="31"/>
      <c r="W1439" s="31"/>
      <c r="X1439" s="31"/>
      <c r="Y1439" s="31"/>
      <c r="Z1439" s="31"/>
      <c r="AA1439" s="31"/>
      <c r="AB1439" s="31"/>
      <c r="AC1439" s="31"/>
      <c r="AD1439" s="31"/>
      <c r="AE1439" s="31"/>
      <c r="AF1439" s="31"/>
      <c r="AG1439" s="31"/>
      <c r="AH1439" s="31"/>
      <c r="AI1439" s="31"/>
      <c r="AJ1439" s="31"/>
      <c r="AK1439" s="31"/>
      <c r="AL1439" s="28" t="str">
        <f>VLOOKUP($G1439,'[42]Sheet1 (2)'!$A$1:$B$1048440,2,FALSE)</f>
        <v>Rmt.</v>
      </c>
      <c r="AM1439" s="32"/>
      <c r="AN1439" s="31"/>
      <c r="AO1439" s="33"/>
    </row>
    <row r="1440" spans="1:41" ht="70" x14ac:dyDescent="0.25">
      <c r="A1440" s="20">
        <v>1296</v>
      </c>
      <c r="B1440" s="25" t="s">
        <v>2437</v>
      </c>
      <c r="C1440" s="22">
        <v>40.06</v>
      </c>
      <c r="D1440" s="25" t="s">
        <v>1325</v>
      </c>
      <c r="E1440" s="23" t="s">
        <v>2449</v>
      </c>
      <c r="F1440" s="21" t="s">
        <v>352</v>
      </c>
      <c r="G1440" s="21" t="s">
        <v>80</v>
      </c>
      <c r="H1440" s="26">
        <v>1220</v>
      </c>
      <c r="I1440" s="26">
        <v>286</v>
      </c>
      <c r="J1440" s="31"/>
      <c r="K1440" s="31"/>
      <c r="L1440" s="31"/>
      <c r="M1440" s="31"/>
      <c r="N1440" s="31"/>
      <c r="O1440" s="31"/>
      <c r="P1440" s="31"/>
      <c r="Q1440" s="31"/>
      <c r="R1440" s="31"/>
      <c r="S1440" s="31"/>
      <c r="T1440" s="31"/>
      <c r="U1440" s="31"/>
      <c r="V1440" s="31"/>
      <c r="W1440" s="31"/>
      <c r="X1440" s="31"/>
      <c r="Y1440" s="31"/>
      <c r="Z1440" s="31"/>
      <c r="AA1440" s="31"/>
      <c r="AB1440" s="31"/>
      <c r="AC1440" s="31"/>
      <c r="AD1440" s="31"/>
      <c r="AE1440" s="31"/>
      <c r="AF1440" s="31"/>
      <c r="AG1440" s="31"/>
      <c r="AH1440" s="31"/>
      <c r="AI1440" s="31"/>
      <c r="AJ1440" s="31"/>
      <c r="AK1440" s="31"/>
      <c r="AL1440" s="28" t="str">
        <f>VLOOKUP($G1440,'[42]Sheet1 (2)'!$A$1:$B$1048440,2,FALSE)</f>
        <v>Rmt.</v>
      </c>
      <c r="AM1440" s="32"/>
      <c r="AN1440" s="31"/>
      <c r="AO1440" s="33"/>
    </row>
    <row r="1441" spans="1:41" ht="98" x14ac:dyDescent="0.25">
      <c r="A1441" s="20">
        <v>1297</v>
      </c>
      <c r="B1441" s="25" t="s">
        <v>2437</v>
      </c>
      <c r="C1441" s="22">
        <v>40.07</v>
      </c>
      <c r="D1441" s="25" t="s">
        <v>1325</v>
      </c>
      <c r="E1441" s="24" t="s">
        <v>2450</v>
      </c>
      <c r="F1441" s="21" t="s">
        <v>352</v>
      </c>
      <c r="G1441" s="21" t="s">
        <v>80</v>
      </c>
      <c r="H1441" s="26">
        <v>4704</v>
      </c>
      <c r="I1441" s="26">
        <v>476</v>
      </c>
      <c r="J1441" s="31"/>
      <c r="K1441" s="31"/>
      <c r="L1441" s="31"/>
      <c r="M1441" s="31"/>
      <c r="N1441" s="31"/>
      <c r="O1441" s="31"/>
      <c r="P1441" s="31"/>
      <c r="Q1441" s="31"/>
      <c r="R1441" s="31"/>
      <c r="S1441" s="31"/>
      <c r="T1441" s="31"/>
      <c r="U1441" s="31"/>
      <c r="V1441" s="31"/>
      <c r="W1441" s="31"/>
      <c r="X1441" s="31"/>
      <c r="Y1441" s="31"/>
      <c r="Z1441" s="31"/>
      <c r="AA1441" s="31"/>
      <c r="AB1441" s="31"/>
      <c r="AC1441" s="31"/>
      <c r="AD1441" s="31"/>
      <c r="AE1441" s="31"/>
      <c r="AF1441" s="31"/>
      <c r="AG1441" s="31"/>
      <c r="AH1441" s="31"/>
      <c r="AI1441" s="31"/>
      <c r="AJ1441" s="31"/>
      <c r="AK1441" s="31"/>
      <c r="AL1441" s="28" t="str">
        <f>VLOOKUP($G1441,'[42]Sheet1 (2)'!$A$1:$B$1048440,2,FALSE)</f>
        <v>Rmt.</v>
      </c>
      <c r="AM1441" s="32"/>
      <c r="AN1441" s="31"/>
      <c r="AO1441" s="33"/>
    </row>
    <row r="1442" spans="1:41" ht="112" x14ac:dyDescent="0.25">
      <c r="A1442" s="20">
        <v>1298</v>
      </c>
      <c r="B1442" s="25" t="s">
        <v>2437</v>
      </c>
      <c r="C1442" s="22">
        <v>40.08</v>
      </c>
      <c r="D1442" s="25" t="s">
        <v>1325</v>
      </c>
      <c r="E1442" s="24" t="s">
        <v>2451</v>
      </c>
      <c r="F1442" s="21" t="s">
        <v>352</v>
      </c>
      <c r="G1442" s="21" t="s">
        <v>80</v>
      </c>
      <c r="H1442" s="26">
        <v>3545</v>
      </c>
      <c r="I1442" s="26">
        <v>476</v>
      </c>
      <c r="J1442" s="31"/>
      <c r="K1442" s="31"/>
      <c r="L1442" s="31"/>
      <c r="M1442" s="31"/>
      <c r="N1442" s="31"/>
      <c r="O1442" s="31"/>
      <c r="P1442" s="31"/>
      <c r="Q1442" s="31"/>
      <c r="R1442" s="31"/>
      <c r="S1442" s="31"/>
      <c r="T1442" s="31"/>
      <c r="U1442" s="31"/>
      <c r="V1442" s="31"/>
      <c r="W1442" s="31"/>
      <c r="X1442" s="31"/>
      <c r="Y1442" s="31"/>
      <c r="Z1442" s="31"/>
      <c r="AA1442" s="31"/>
      <c r="AB1442" s="31"/>
      <c r="AC1442" s="31"/>
      <c r="AD1442" s="31"/>
      <c r="AE1442" s="31"/>
      <c r="AF1442" s="31"/>
      <c r="AG1442" s="31"/>
      <c r="AH1442" s="31"/>
      <c r="AI1442" s="31"/>
      <c r="AJ1442" s="31"/>
      <c r="AK1442" s="31"/>
      <c r="AL1442" s="28" t="str">
        <f>VLOOKUP($G1442,'[42]Sheet1 (2)'!$A$1:$B$1048440,2,FALSE)</f>
        <v>Rmt.</v>
      </c>
      <c r="AM1442" s="32"/>
      <c r="AN1442" s="31"/>
      <c r="AO1442" s="33"/>
    </row>
    <row r="1443" spans="1:41" ht="98" x14ac:dyDescent="0.25">
      <c r="A1443" s="20">
        <v>1299</v>
      </c>
      <c r="B1443" s="25" t="s">
        <v>2437</v>
      </c>
      <c r="C1443" s="22">
        <v>40.090000000000003</v>
      </c>
      <c r="D1443" s="25" t="s">
        <v>1325</v>
      </c>
      <c r="E1443" s="24" t="s">
        <v>2452</v>
      </c>
      <c r="F1443" s="21" t="s">
        <v>352</v>
      </c>
      <c r="G1443" s="202" t="s">
        <v>621</v>
      </c>
      <c r="H1443" s="26">
        <v>2889</v>
      </c>
      <c r="I1443" s="26">
        <v>792</v>
      </c>
      <c r="J1443" s="31"/>
      <c r="K1443" s="31"/>
      <c r="L1443" s="31"/>
      <c r="M1443" s="31"/>
      <c r="N1443" s="31"/>
      <c r="O1443" s="31"/>
      <c r="P1443" s="31"/>
      <c r="Q1443" s="31"/>
      <c r="R1443" s="31"/>
      <c r="S1443" s="31"/>
      <c r="T1443" s="31"/>
      <c r="U1443" s="31"/>
      <c r="V1443" s="31"/>
      <c r="W1443" s="31"/>
      <c r="X1443" s="31"/>
      <c r="Y1443" s="31"/>
      <c r="Z1443" s="31"/>
      <c r="AA1443" s="31"/>
      <c r="AB1443" s="31"/>
      <c r="AC1443" s="31"/>
      <c r="AD1443" s="31"/>
      <c r="AE1443" s="31"/>
      <c r="AF1443" s="31"/>
      <c r="AG1443" s="31"/>
      <c r="AH1443" s="31"/>
      <c r="AI1443" s="31"/>
      <c r="AJ1443" s="31"/>
      <c r="AK1443" s="31"/>
      <c r="AL1443" s="28" t="str">
        <f>VLOOKUP($G1443,'[42]Sheet1 (2)'!$A$1:$B$1048440,2,FALSE)</f>
        <v>Sqm</v>
      </c>
      <c r="AM1443" s="32"/>
      <c r="AN1443" s="31"/>
      <c r="AO1443" s="33"/>
    </row>
    <row r="1444" spans="1:41" ht="126" x14ac:dyDescent="0.25">
      <c r="A1444" s="20">
        <v>1300</v>
      </c>
      <c r="B1444" s="25" t="s">
        <v>2437</v>
      </c>
      <c r="C1444" s="22">
        <v>40.1</v>
      </c>
      <c r="D1444" s="25" t="s">
        <v>1325</v>
      </c>
      <c r="E1444" s="24" t="s">
        <v>2453</v>
      </c>
      <c r="F1444" s="21" t="s">
        <v>352</v>
      </c>
      <c r="G1444" s="202" t="s">
        <v>621</v>
      </c>
      <c r="H1444" s="26">
        <v>2664</v>
      </c>
      <c r="I1444" s="26">
        <v>792</v>
      </c>
      <c r="J1444" s="31"/>
      <c r="K1444" s="31"/>
      <c r="L1444" s="31"/>
      <c r="M1444" s="31"/>
      <c r="N1444" s="31"/>
      <c r="O1444" s="31"/>
      <c r="P1444" s="31"/>
      <c r="Q1444" s="31"/>
      <c r="R1444" s="31"/>
      <c r="S1444" s="31"/>
      <c r="T1444" s="31"/>
      <c r="U1444" s="31"/>
      <c r="V1444" s="31"/>
      <c r="W1444" s="31"/>
      <c r="X1444" s="31"/>
      <c r="Y1444" s="31"/>
      <c r="Z1444" s="31"/>
      <c r="AA1444" s="31"/>
      <c r="AB1444" s="31"/>
      <c r="AC1444" s="31"/>
      <c r="AD1444" s="31"/>
      <c r="AE1444" s="31"/>
      <c r="AF1444" s="31"/>
      <c r="AG1444" s="31"/>
      <c r="AH1444" s="31"/>
      <c r="AI1444" s="31"/>
      <c r="AJ1444" s="31"/>
      <c r="AK1444" s="31"/>
      <c r="AL1444" s="28" t="str">
        <f>VLOOKUP($G1444,'[42]Sheet1 (2)'!$A$1:$B$1048440,2,FALSE)</f>
        <v>Sqm</v>
      </c>
      <c r="AM1444" s="32"/>
      <c r="AN1444" s="31"/>
      <c r="AO1444" s="33"/>
    </row>
    <row r="1445" spans="1:41" ht="126" x14ac:dyDescent="0.25">
      <c r="A1445" s="20">
        <v>1301</v>
      </c>
      <c r="B1445" s="25" t="s">
        <v>2437</v>
      </c>
      <c r="C1445" s="22">
        <v>40.11</v>
      </c>
      <c r="D1445" s="25" t="s">
        <v>1325</v>
      </c>
      <c r="E1445" s="23" t="s">
        <v>2454</v>
      </c>
      <c r="F1445" s="21" t="s">
        <v>352</v>
      </c>
      <c r="G1445" s="202" t="s">
        <v>621</v>
      </c>
      <c r="H1445" s="26">
        <v>3342</v>
      </c>
      <c r="I1445" s="26">
        <v>792</v>
      </c>
      <c r="J1445" s="31"/>
      <c r="K1445" s="31"/>
      <c r="L1445" s="31"/>
      <c r="M1445" s="31"/>
      <c r="N1445" s="31"/>
      <c r="O1445" s="31"/>
      <c r="P1445" s="31"/>
      <c r="Q1445" s="31"/>
      <c r="R1445" s="31"/>
      <c r="S1445" s="31"/>
      <c r="T1445" s="31"/>
      <c r="U1445" s="31"/>
      <c r="V1445" s="31"/>
      <c r="W1445" s="31"/>
      <c r="X1445" s="31"/>
      <c r="Y1445" s="31"/>
      <c r="Z1445" s="31"/>
      <c r="AA1445" s="31"/>
      <c r="AB1445" s="31"/>
      <c r="AC1445" s="31"/>
      <c r="AD1445" s="31"/>
      <c r="AE1445" s="31"/>
      <c r="AF1445" s="31"/>
      <c r="AG1445" s="31"/>
      <c r="AH1445" s="31"/>
      <c r="AI1445" s="31"/>
      <c r="AJ1445" s="31"/>
      <c r="AK1445" s="31"/>
      <c r="AL1445" s="28" t="str">
        <f>VLOOKUP($G1445,'[42]Sheet1 (2)'!$A$1:$B$1048440,2,FALSE)</f>
        <v>Sqm</v>
      </c>
      <c r="AM1445" s="32"/>
      <c r="AN1445" s="31"/>
      <c r="AO1445" s="33"/>
    </row>
    <row r="1446" spans="1:41" ht="17.5" x14ac:dyDescent="0.25">
      <c r="A1446" s="204"/>
      <c r="B1446" s="25"/>
      <c r="C1446" s="22"/>
      <c r="D1446" s="165"/>
      <c r="E1446" s="225" t="s">
        <v>2455</v>
      </c>
      <c r="F1446" s="206"/>
      <c r="G1446" s="206"/>
      <c r="H1446" s="167"/>
      <c r="I1446" s="167"/>
      <c r="J1446" s="31"/>
      <c r="K1446" s="31"/>
      <c r="L1446" s="31"/>
      <c r="M1446" s="31"/>
      <c r="N1446" s="31"/>
      <c r="O1446" s="31"/>
      <c r="P1446" s="31"/>
      <c r="Q1446" s="31"/>
      <c r="R1446" s="31"/>
      <c r="S1446" s="31"/>
      <c r="T1446" s="31"/>
      <c r="U1446" s="31"/>
      <c r="V1446" s="31"/>
      <c r="W1446" s="31"/>
      <c r="X1446" s="31"/>
      <c r="Y1446" s="31"/>
      <c r="Z1446" s="31"/>
      <c r="AA1446" s="31"/>
      <c r="AB1446" s="31"/>
      <c r="AC1446" s="31"/>
      <c r="AD1446" s="31"/>
      <c r="AE1446" s="31"/>
      <c r="AF1446" s="31"/>
      <c r="AG1446" s="31"/>
      <c r="AH1446" s="31"/>
      <c r="AI1446" s="31"/>
      <c r="AJ1446" s="31"/>
      <c r="AK1446" s="31"/>
      <c r="AL1446" s="28" t="e">
        <f>VLOOKUP($G1446,'[42]Sheet1 (2)'!$A$1:$B$1048440,2,FALSE)</f>
        <v>#N/A</v>
      </c>
      <c r="AM1446" s="32"/>
      <c r="AN1446" s="31"/>
      <c r="AO1446" s="33"/>
    </row>
    <row r="1447" spans="1:41" ht="56" x14ac:dyDescent="0.25">
      <c r="A1447" s="20">
        <v>1302</v>
      </c>
      <c r="B1447" s="25" t="s">
        <v>2456</v>
      </c>
      <c r="C1447" s="22">
        <v>41.01</v>
      </c>
      <c r="D1447" s="25" t="s">
        <v>2457</v>
      </c>
      <c r="E1447" s="24" t="s">
        <v>2458</v>
      </c>
      <c r="F1447" s="21" t="s">
        <v>2459</v>
      </c>
      <c r="G1447" s="21" t="s">
        <v>80</v>
      </c>
      <c r="H1447" s="26">
        <v>1317</v>
      </c>
      <c r="I1447" s="26">
        <v>126</v>
      </c>
      <c r="J1447" s="31"/>
      <c r="K1447" s="31"/>
      <c r="L1447" s="31"/>
      <c r="M1447" s="31"/>
      <c r="N1447" s="31"/>
      <c r="O1447" s="31"/>
      <c r="P1447" s="31"/>
      <c r="Q1447" s="31"/>
      <c r="R1447" s="31"/>
      <c r="S1447" s="31"/>
      <c r="T1447" s="31"/>
      <c r="U1447" s="31"/>
      <c r="V1447" s="31"/>
      <c r="W1447" s="31"/>
      <c r="X1447" s="31"/>
      <c r="Y1447" s="31"/>
      <c r="Z1447" s="31"/>
      <c r="AA1447" s="31"/>
      <c r="AB1447" s="31"/>
      <c r="AC1447" s="31"/>
      <c r="AD1447" s="31"/>
      <c r="AE1447" s="31"/>
      <c r="AF1447" s="31"/>
      <c r="AG1447" s="31"/>
      <c r="AH1447" s="31"/>
      <c r="AI1447" s="31"/>
      <c r="AJ1447" s="31"/>
      <c r="AK1447" s="31"/>
      <c r="AL1447" s="28" t="str">
        <f>VLOOKUP($G1447,'[42]Sheet1 (2)'!$A$1:$B$1048440,2,FALSE)</f>
        <v>Rmt.</v>
      </c>
      <c r="AM1447" s="32"/>
      <c r="AN1447" s="31"/>
      <c r="AO1447" s="33"/>
    </row>
    <row r="1448" spans="1:41" ht="56" x14ac:dyDescent="0.25">
      <c r="A1448" s="20">
        <v>1303</v>
      </c>
      <c r="B1448" s="35" t="s">
        <v>2460</v>
      </c>
      <c r="C1448" s="22">
        <v>41.02</v>
      </c>
      <c r="D1448" s="25" t="s">
        <v>2461</v>
      </c>
      <c r="E1448" s="23" t="s">
        <v>2462</v>
      </c>
      <c r="F1448" s="21" t="s">
        <v>2459</v>
      </c>
      <c r="G1448" s="21" t="s">
        <v>80</v>
      </c>
      <c r="H1448" s="26">
        <v>1629</v>
      </c>
      <c r="I1448" s="26">
        <v>126</v>
      </c>
      <c r="J1448" s="31"/>
      <c r="K1448" s="31"/>
      <c r="L1448" s="31"/>
      <c r="M1448" s="31"/>
      <c r="N1448" s="31"/>
      <c r="O1448" s="31"/>
      <c r="P1448" s="31"/>
      <c r="Q1448" s="31"/>
      <c r="R1448" s="31"/>
      <c r="S1448" s="31"/>
      <c r="T1448" s="31"/>
      <c r="U1448" s="31"/>
      <c r="V1448" s="31"/>
      <c r="W1448" s="31"/>
      <c r="X1448" s="31"/>
      <c r="Y1448" s="31"/>
      <c r="Z1448" s="31"/>
      <c r="AA1448" s="31"/>
      <c r="AB1448" s="31"/>
      <c r="AC1448" s="31"/>
      <c r="AD1448" s="31"/>
      <c r="AE1448" s="31"/>
      <c r="AF1448" s="31"/>
      <c r="AG1448" s="31"/>
      <c r="AH1448" s="31"/>
      <c r="AI1448" s="31"/>
      <c r="AJ1448" s="31"/>
      <c r="AK1448" s="31"/>
      <c r="AL1448" s="28" t="str">
        <f>VLOOKUP($G1448,'[42]Sheet1 (2)'!$A$1:$B$1048440,2,FALSE)</f>
        <v>Rmt.</v>
      </c>
      <c r="AM1448" s="32"/>
      <c r="AN1448" s="31"/>
      <c r="AO1448" s="33"/>
    </row>
    <row r="1449" spans="1:41" ht="56" x14ac:dyDescent="0.25">
      <c r="A1449" s="20">
        <v>1304</v>
      </c>
      <c r="B1449" s="35" t="s">
        <v>2460</v>
      </c>
      <c r="C1449" s="22">
        <v>41.03</v>
      </c>
      <c r="D1449" s="25" t="s">
        <v>2463</v>
      </c>
      <c r="E1449" s="23" t="s">
        <v>2464</v>
      </c>
      <c r="F1449" s="21" t="s">
        <v>2459</v>
      </c>
      <c r="G1449" s="21" t="s">
        <v>80</v>
      </c>
      <c r="H1449" s="26">
        <v>3115</v>
      </c>
      <c r="I1449" s="26">
        <v>460</v>
      </c>
      <c r="J1449" s="31"/>
      <c r="K1449" s="31"/>
      <c r="L1449" s="31"/>
      <c r="M1449" s="31"/>
      <c r="N1449" s="31"/>
      <c r="O1449" s="31"/>
      <c r="P1449" s="31"/>
      <c r="Q1449" s="31"/>
      <c r="R1449" s="31"/>
      <c r="S1449" s="31"/>
      <c r="T1449" s="31"/>
      <c r="U1449" s="31"/>
      <c r="V1449" s="31"/>
      <c r="W1449" s="31"/>
      <c r="X1449" s="31"/>
      <c r="Y1449" s="31"/>
      <c r="Z1449" s="31"/>
      <c r="AA1449" s="31"/>
      <c r="AB1449" s="31"/>
      <c r="AC1449" s="31"/>
      <c r="AD1449" s="31"/>
      <c r="AE1449" s="31"/>
      <c r="AF1449" s="31"/>
      <c r="AG1449" s="31"/>
      <c r="AH1449" s="31"/>
      <c r="AI1449" s="31"/>
      <c r="AJ1449" s="31"/>
      <c r="AK1449" s="31"/>
      <c r="AL1449" s="28" t="str">
        <f>VLOOKUP($G1449,'[42]Sheet1 (2)'!$A$1:$B$1048440,2,FALSE)</f>
        <v>Rmt.</v>
      </c>
      <c r="AM1449" s="32"/>
      <c r="AN1449" s="31"/>
      <c r="AO1449" s="33"/>
    </row>
    <row r="1450" spans="1:41" ht="56" x14ac:dyDescent="0.25">
      <c r="A1450" s="20">
        <v>1305</v>
      </c>
      <c r="B1450" s="35" t="s">
        <v>2460</v>
      </c>
      <c r="C1450" s="22">
        <v>41.04</v>
      </c>
      <c r="D1450" s="25" t="s">
        <v>2465</v>
      </c>
      <c r="E1450" s="24" t="s">
        <v>2466</v>
      </c>
      <c r="F1450" s="21" t="s">
        <v>2467</v>
      </c>
      <c r="G1450" s="25" t="s">
        <v>45</v>
      </c>
      <c r="H1450" s="26">
        <v>752</v>
      </c>
      <c r="I1450" s="26">
        <v>421</v>
      </c>
      <c r="J1450" s="31"/>
      <c r="K1450" s="31"/>
      <c r="L1450" s="31"/>
      <c r="M1450" s="31"/>
      <c r="N1450" s="31"/>
      <c r="O1450" s="31"/>
      <c r="P1450" s="31"/>
      <c r="Q1450" s="31"/>
      <c r="R1450" s="31"/>
      <c r="S1450" s="31"/>
      <c r="T1450" s="31"/>
      <c r="U1450" s="31"/>
      <c r="V1450" s="31"/>
      <c r="W1450" s="31"/>
      <c r="X1450" s="31"/>
      <c r="Y1450" s="31"/>
      <c r="Z1450" s="31"/>
      <c r="AA1450" s="31"/>
      <c r="AB1450" s="31"/>
      <c r="AC1450" s="31"/>
      <c r="AD1450" s="31"/>
      <c r="AE1450" s="31"/>
      <c r="AF1450" s="31"/>
      <c r="AG1450" s="31"/>
      <c r="AH1450" s="31"/>
      <c r="AI1450" s="31"/>
      <c r="AJ1450" s="31"/>
      <c r="AK1450" s="31"/>
      <c r="AL1450" s="28" t="str">
        <f>VLOOKUP($G1450,'[42]Sheet1 (2)'!$A$1:$B$1048440,2,FALSE)</f>
        <v>No.</v>
      </c>
      <c r="AM1450" s="32"/>
      <c r="AN1450" s="31"/>
      <c r="AO1450" s="33"/>
    </row>
    <row r="1451" spans="1:41" ht="56" x14ac:dyDescent="0.25">
      <c r="A1451" s="20">
        <v>1306</v>
      </c>
      <c r="B1451" s="35" t="s">
        <v>2460</v>
      </c>
      <c r="C1451" s="22">
        <v>41.05</v>
      </c>
      <c r="D1451" s="25" t="s">
        <v>2468</v>
      </c>
      <c r="E1451" s="24" t="s">
        <v>2469</v>
      </c>
      <c r="F1451" s="21" t="s">
        <v>2467</v>
      </c>
      <c r="G1451" s="25" t="s">
        <v>45</v>
      </c>
      <c r="H1451" s="26">
        <v>819</v>
      </c>
      <c r="I1451" s="26">
        <v>421</v>
      </c>
      <c r="J1451" s="31"/>
      <c r="K1451" s="31"/>
      <c r="L1451" s="31"/>
      <c r="M1451" s="31"/>
      <c r="N1451" s="31"/>
      <c r="O1451" s="31"/>
      <c r="P1451" s="31"/>
      <c r="Q1451" s="31"/>
      <c r="R1451" s="31"/>
      <c r="S1451" s="31"/>
      <c r="T1451" s="31"/>
      <c r="U1451" s="31"/>
      <c r="V1451" s="31"/>
      <c r="W1451" s="31"/>
      <c r="X1451" s="31"/>
      <c r="Y1451" s="31"/>
      <c r="Z1451" s="31"/>
      <c r="AA1451" s="31"/>
      <c r="AB1451" s="31"/>
      <c r="AC1451" s="31"/>
      <c r="AD1451" s="31"/>
      <c r="AE1451" s="31"/>
      <c r="AF1451" s="31"/>
      <c r="AG1451" s="31"/>
      <c r="AH1451" s="31"/>
      <c r="AI1451" s="31"/>
      <c r="AJ1451" s="31"/>
      <c r="AK1451" s="31"/>
      <c r="AL1451" s="28" t="str">
        <f>VLOOKUP($G1451,'[42]Sheet1 (2)'!$A$1:$B$1048440,2,FALSE)</f>
        <v>No.</v>
      </c>
      <c r="AM1451" s="32"/>
      <c r="AN1451" s="31"/>
      <c r="AO1451" s="33"/>
    </row>
    <row r="1452" spans="1:41" ht="56" x14ac:dyDescent="0.25">
      <c r="A1452" s="20">
        <v>1307</v>
      </c>
      <c r="B1452" s="92" t="s">
        <v>2470</v>
      </c>
      <c r="C1452" s="22">
        <v>41.06</v>
      </c>
      <c r="D1452" s="25" t="s">
        <v>2471</v>
      </c>
      <c r="E1452" s="24" t="s">
        <v>2472</v>
      </c>
      <c r="F1452" s="21" t="s">
        <v>2467</v>
      </c>
      <c r="G1452" s="25" t="s">
        <v>45</v>
      </c>
      <c r="H1452" s="26">
        <v>892</v>
      </c>
      <c r="I1452" s="26">
        <v>421</v>
      </c>
      <c r="J1452" s="31"/>
      <c r="K1452" s="31"/>
      <c r="L1452" s="31"/>
      <c r="M1452" s="31"/>
      <c r="N1452" s="31"/>
      <c r="O1452" s="31"/>
      <c r="P1452" s="31"/>
      <c r="Q1452" s="31"/>
      <c r="R1452" s="31"/>
      <c r="S1452" s="31"/>
      <c r="T1452" s="31"/>
      <c r="U1452" s="31"/>
      <c r="V1452" s="31"/>
      <c r="W1452" s="31"/>
      <c r="X1452" s="31"/>
      <c r="Y1452" s="31"/>
      <c r="Z1452" s="31"/>
      <c r="AA1452" s="31"/>
      <c r="AB1452" s="31"/>
      <c r="AC1452" s="31"/>
      <c r="AD1452" s="31"/>
      <c r="AE1452" s="31"/>
      <c r="AF1452" s="31"/>
      <c r="AG1452" s="31"/>
      <c r="AH1452" s="31"/>
      <c r="AI1452" s="31"/>
      <c r="AJ1452" s="31"/>
      <c r="AK1452" s="31"/>
      <c r="AL1452" s="28" t="str">
        <f>VLOOKUP($G1452,'[42]Sheet1 (2)'!$A$1:$B$1048440,2,FALSE)</f>
        <v>No.</v>
      </c>
      <c r="AM1452" s="32"/>
      <c r="AN1452" s="31"/>
      <c r="AO1452" s="33"/>
    </row>
    <row r="1453" spans="1:41" ht="56" x14ac:dyDescent="0.25">
      <c r="A1453" s="20">
        <v>1308</v>
      </c>
      <c r="B1453" s="92" t="s">
        <v>2470</v>
      </c>
      <c r="C1453" s="22">
        <v>41.07</v>
      </c>
      <c r="D1453" s="25" t="s">
        <v>2473</v>
      </c>
      <c r="E1453" s="24" t="s">
        <v>2474</v>
      </c>
      <c r="F1453" s="21" t="s">
        <v>2475</v>
      </c>
      <c r="G1453" s="25" t="s">
        <v>45</v>
      </c>
      <c r="H1453" s="26">
        <v>235</v>
      </c>
      <c r="I1453" s="26">
        <v>87</v>
      </c>
      <c r="J1453" s="31"/>
      <c r="K1453" s="31"/>
      <c r="L1453" s="31"/>
      <c r="M1453" s="31"/>
      <c r="N1453" s="31"/>
      <c r="O1453" s="31"/>
      <c r="P1453" s="31"/>
      <c r="Q1453" s="31"/>
      <c r="R1453" s="31"/>
      <c r="S1453" s="31"/>
      <c r="T1453" s="31"/>
      <c r="U1453" s="31"/>
      <c r="V1453" s="31"/>
      <c r="W1453" s="31"/>
      <c r="X1453" s="31"/>
      <c r="Y1453" s="31"/>
      <c r="Z1453" s="31"/>
      <c r="AA1453" s="31"/>
      <c r="AB1453" s="31"/>
      <c r="AC1453" s="31"/>
      <c r="AD1453" s="31"/>
      <c r="AE1453" s="31"/>
      <c r="AF1453" s="31"/>
      <c r="AG1453" s="31"/>
      <c r="AH1453" s="31"/>
      <c r="AI1453" s="31"/>
      <c r="AJ1453" s="31"/>
      <c r="AK1453" s="31"/>
      <c r="AL1453" s="28" t="str">
        <f>VLOOKUP($G1453,'[42]Sheet1 (2)'!$A$1:$B$1048440,2,FALSE)</f>
        <v>No.</v>
      </c>
      <c r="AM1453" s="32"/>
      <c r="AN1453" s="31"/>
      <c r="AO1453" s="33"/>
    </row>
    <row r="1454" spans="1:41" ht="56" x14ac:dyDescent="0.25">
      <c r="A1454" s="20">
        <v>1309</v>
      </c>
      <c r="B1454" s="35" t="s">
        <v>2460</v>
      </c>
      <c r="C1454" s="22">
        <v>41.08</v>
      </c>
      <c r="D1454" s="25" t="s">
        <v>2476</v>
      </c>
      <c r="E1454" s="24" t="s">
        <v>2477</v>
      </c>
      <c r="F1454" s="21" t="s">
        <v>2475</v>
      </c>
      <c r="G1454" s="25" t="s">
        <v>45</v>
      </c>
      <c r="H1454" s="26">
        <v>297</v>
      </c>
      <c r="I1454" s="26">
        <v>87</v>
      </c>
      <c r="J1454" s="31"/>
      <c r="K1454" s="31"/>
      <c r="L1454" s="31"/>
      <c r="M1454" s="31"/>
      <c r="N1454" s="31"/>
      <c r="O1454" s="31"/>
      <c r="P1454" s="31"/>
      <c r="Q1454" s="31"/>
      <c r="R1454" s="31"/>
      <c r="S1454" s="31"/>
      <c r="T1454" s="31"/>
      <c r="U1454" s="31"/>
      <c r="V1454" s="31"/>
      <c r="W1454" s="31"/>
      <c r="X1454" s="31"/>
      <c r="Y1454" s="31"/>
      <c r="Z1454" s="31"/>
      <c r="AA1454" s="31"/>
      <c r="AB1454" s="31"/>
      <c r="AC1454" s="31"/>
      <c r="AD1454" s="31"/>
      <c r="AE1454" s="31"/>
      <c r="AF1454" s="31"/>
      <c r="AG1454" s="31"/>
      <c r="AH1454" s="31"/>
      <c r="AI1454" s="31"/>
      <c r="AJ1454" s="31"/>
      <c r="AK1454" s="31"/>
      <c r="AL1454" s="28" t="str">
        <f>VLOOKUP($G1454,'[42]Sheet1 (2)'!$A$1:$B$1048440,2,FALSE)</f>
        <v>No.</v>
      </c>
      <c r="AM1454" s="32"/>
      <c r="AN1454" s="31"/>
      <c r="AO1454" s="33"/>
    </row>
    <row r="1455" spans="1:41" ht="56" x14ac:dyDescent="0.25">
      <c r="A1455" s="20">
        <v>1310</v>
      </c>
      <c r="B1455" s="35" t="s">
        <v>2460</v>
      </c>
      <c r="C1455" s="22">
        <v>41.09</v>
      </c>
      <c r="D1455" s="25" t="s">
        <v>2478</v>
      </c>
      <c r="E1455" s="24" t="s">
        <v>2479</v>
      </c>
      <c r="F1455" s="21" t="s">
        <v>2475</v>
      </c>
      <c r="G1455" s="25" t="s">
        <v>45</v>
      </c>
      <c r="H1455" s="26">
        <v>350</v>
      </c>
      <c r="I1455" s="26">
        <v>129</v>
      </c>
      <c r="J1455" s="31"/>
      <c r="K1455" s="31"/>
      <c r="L1455" s="31"/>
      <c r="M1455" s="31"/>
      <c r="N1455" s="31"/>
      <c r="O1455" s="31"/>
      <c r="P1455" s="31"/>
      <c r="Q1455" s="31"/>
      <c r="R1455" s="31"/>
      <c r="S1455" s="31"/>
      <c r="T1455" s="31"/>
      <c r="U1455" s="31"/>
      <c r="V1455" s="31"/>
      <c r="W1455" s="31"/>
      <c r="X1455" s="31"/>
      <c r="Y1455" s="31"/>
      <c r="Z1455" s="31"/>
      <c r="AA1455" s="31"/>
      <c r="AB1455" s="31"/>
      <c r="AC1455" s="31"/>
      <c r="AD1455" s="31"/>
      <c r="AE1455" s="31"/>
      <c r="AF1455" s="31"/>
      <c r="AG1455" s="31"/>
      <c r="AH1455" s="31"/>
      <c r="AI1455" s="31"/>
      <c r="AJ1455" s="31"/>
      <c r="AK1455" s="31"/>
      <c r="AL1455" s="28" t="str">
        <f>VLOOKUP($G1455,'[42]Sheet1 (2)'!$A$1:$B$1048440,2,FALSE)</f>
        <v>No.</v>
      </c>
      <c r="AM1455" s="32"/>
      <c r="AN1455" s="31"/>
      <c r="AO1455" s="33"/>
    </row>
    <row r="1456" spans="1:41" ht="98" x14ac:dyDescent="0.25">
      <c r="A1456" s="20">
        <v>1311</v>
      </c>
      <c r="B1456" s="25" t="s">
        <v>2456</v>
      </c>
      <c r="C1456" s="22">
        <v>41.1</v>
      </c>
      <c r="D1456" s="25" t="s">
        <v>2480</v>
      </c>
      <c r="E1456" s="24" t="s">
        <v>2481</v>
      </c>
      <c r="F1456" s="21" t="s">
        <v>2482</v>
      </c>
      <c r="G1456" s="21" t="s">
        <v>80</v>
      </c>
      <c r="H1456" s="26">
        <v>454</v>
      </c>
      <c r="I1456" s="26">
        <v>132</v>
      </c>
      <c r="J1456" s="31"/>
      <c r="K1456" s="31"/>
      <c r="L1456" s="31"/>
      <c r="M1456" s="31"/>
      <c r="N1456" s="31"/>
      <c r="O1456" s="31"/>
      <c r="P1456" s="31"/>
      <c r="Q1456" s="31"/>
      <c r="R1456" s="31"/>
      <c r="S1456" s="31"/>
      <c r="T1456" s="31"/>
      <c r="U1456" s="31"/>
      <c r="V1456" s="31"/>
      <c r="W1456" s="31"/>
      <c r="X1456" s="31"/>
      <c r="Y1456" s="31"/>
      <c r="Z1456" s="31"/>
      <c r="AA1456" s="31"/>
      <c r="AB1456" s="31"/>
      <c r="AC1456" s="31"/>
      <c r="AD1456" s="31"/>
      <c r="AE1456" s="31"/>
      <c r="AF1456" s="31"/>
      <c r="AG1456" s="31"/>
      <c r="AH1456" s="31"/>
      <c r="AI1456" s="31"/>
      <c r="AJ1456" s="31"/>
      <c r="AK1456" s="31"/>
      <c r="AL1456" s="28" t="str">
        <f>VLOOKUP($G1456,'[42]Sheet1 (2)'!$A$1:$B$1048440,2,FALSE)</f>
        <v>Rmt.</v>
      </c>
      <c r="AM1456" s="32"/>
      <c r="AN1456" s="31"/>
      <c r="AO1456" s="33"/>
    </row>
    <row r="1457" spans="1:41" ht="98" x14ac:dyDescent="0.25">
      <c r="A1457" s="20">
        <v>1312</v>
      </c>
      <c r="B1457" s="25" t="s">
        <v>2456</v>
      </c>
      <c r="C1457" s="22">
        <v>41.11</v>
      </c>
      <c r="D1457" s="25" t="s">
        <v>2480</v>
      </c>
      <c r="E1457" s="24" t="s">
        <v>2483</v>
      </c>
      <c r="F1457" s="21" t="s">
        <v>2484</v>
      </c>
      <c r="G1457" s="21" t="s">
        <v>80</v>
      </c>
      <c r="H1457" s="26">
        <v>493</v>
      </c>
      <c r="I1457" s="26">
        <v>132</v>
      </c>
      <c r="J1457" s="31"/>
      <c r="K1457" s="31"/>
      <c r="L1457" s="31"/>
      <c r="M1457" s="31"/>
      <c r="N1457" s="31"/>
      <c r="O1457" s="31"/>
      <c r="P1457" s="31"/>
      <c r="Q1457" s="31"/>
      <c r="R1457" s="31"/>
      <c r="S1457" s="31"/>
      <c r="T1457" s="31"/>
      <c r="U1457" s="31"/>
      <c r="V1457" s="31"/>
      <c r="W1457" s="31"/>
      <c r="X1457" s="31"/>
      <c r="Y1457" s="31"/>
      <c r="Z1457" s="31"/>
      <c r="AA1457" s="31"/>
      <c r="AB1457" s="31"/>
      <c r="AC1457" s="31"/>
      <c r="AD1457" s="31"/>
      <c r="AE1457" s="31"/>
      <c r="AF1457" s="31"/>
      <c r="AG1457" s="31"/>
      <c r="AH1457" s="31"/>
      <c r="AI1457" s="31"/>
      <c r="AJ1457" s="31"/>
      <c r="AK1457" s="31"/>
      <c r="AL1457" s="28" t="str">
        <f>VLOOKUP($G1457,'[42]Sheet1 (2)'!$A$1:$B$1048440,2,FALSE)</f>
        <v>Rmt.</v>
      </c>
      <c r="AM1457" s="32"/>
      <c r="AN1457" s="31"/>
      <c r="AO1457" s="33"/>
    </row>
    <row r="1458" spans="1:41" ht="98" x14ac:dyDescent="0.25">
      <c r="A1458" s="20">
        <v>1313</v>
      </c>
      <c r="B1458" s="25" t="s">
        <v>2456</v>
      </c>
      <c r="C1458" s="22">
        <v>41.12</v>
      </c>
      <c r="D1458" s="25" t="s">
        <v>2480</v>
      </c>
      <c r="E1458" s="24" t="s">
        <v>2485</v>
      </c>
      <c r="F1458" s="21" t="s">
        <v>2482</v>
      </c>
      <c r="G1458" s="21" t="s">
        <v>80</v>
      </c>
      <c r="H1458" s="26">
        <v>639</v>
      </c>
      <c r="I1458" s="26">
        <v>132</v>
      </c>
      <c r="J1458" s="31"/>
      <c r="K1458" s="31"/>
      <c r="L1458" s="31"/>
      <c r="M1458" s="31"/>
      <c r="N1458" s="31"/>
      <c r="O1458" s="31"/>
      <c r="P1458" s="31"/>
      <c r="Q1458" s="31"/>
      <c r="R1458" s="31"/>
      <c r="S1458" s="31"/>
      <c r="T1458" s="31"/>
      <c r="U1458" s="31"/>
      <c r="V1458" s="31"/>
      <c r="W1458" s="31"/>
      <c r="X1458" s="31"/>
      <c r="Y1458" s="31"/>
      <c r="Z1458" s="31"/>
      <c r="AA1458" s="31"/>
      <c r="AB1458" s="31"/>
      <c r="AC1458" s="31"/>
      <c r="AD1458" s="31"/>
      <c r="AE1458" s="31"/>
      <c r="AF1458" s="31"/>
      <c r="AG1458" s="31"/>
      <c r="AH1458" s="31"/>
      <c r="AI1458" s="31"/>
      <c r="AJ1458" s="31"/>
      <c r="AK1458" s="31"/>
      <c r="AL1458" s="28" t="str">
        <f>VLOOKUP($G1458,'[42]Sheet1 (2)'!$A$1:$B$1048440,2,FALSE)</f>
        <v>Rmt.</v>
      </c>
      <c r="AM1458" s="32"/>
      <c r="AN1458" s="31"/>
      <c r="AO1458" s="33"/>
    </row>
    <row r="1459" spans="1:41" ht="98" x14ac:dyDescent="0.25">
      <c r="A1459" s="20">
        <v>1314</v>
      </c>
      <c r="B1459" s="25" t="s">
        <v>2456</v>
      </c>
      <c r="C1459" s="22">
        <v>41.13</v>
      </c>
      <c r="D1459" s="25" t="s">
        <v>2480</v>
      </c>
      <c r="E1459" s="24" t="s">
        <v>2486</v>
      </c>
      <c r="F1459" s="21" t="s">
        <v>2482</v>
      </c>
      <c r="G1459" s="21" t="s">
        <v>80</v>
      </c>
      <c r="H1459" s="26">
        <v>696</v>
      </c>
      <c r="I1459" s="26">
        <v>134</v>
      </c>
      <c r="J1459" s="31"/>
      <c r="K1459" s="31"/>
      <c r="L1459" s="31"/>
      <c r="M1459" s="31"/>
      <c r="N1459" s="31"/>
      <c r="O1459" s="31"/>
      <c r="P1459" s="31"/>
      <c r="Q1459" s="31"/>
      <c r="R1459" s="31"/>
      <c r="S1459" s="31"/>
      <c r="T1459" s="31"/>
      <c r="U1459" s="31"/>
      <c r="V1459" s="31"/>
      <c r="W1459" s="31"/>
      <c r="X1459" s="31"/>
      <c r="Y1459" s="31"/>
      <c r="Z1459" s="31"/>
      <c r="AA1459" s="31"/>
      <c r="AB1459" s="31"/>
      <c r="AC1459" s="31"/>
      <c r="AD1459" s="31"/>
      <c r="AE1459" s="31"/>
      <c r="AF1459" s="31"/>
      <c r="AG1459" s="31"/>
      <c r="AH1459" s="31"/>
      <c r="AI1459" s="31"/>
      <c r="AJ1459" s="31"/>
      <c r="AK1459" s="31"/>
      <c r="AL1459" s="28" t="str">
        <f>VLOOKUP($G1459,'[42]Sheet1 (2)'!$A$1:$B$1048440,2,FALSE)</f>
        <v>Rmt.</v>
      </c>
      <c r="AM1459" s="32"/>
      <c r="AN1459" s="31"/>
      <c r="AO1459" s="33"/>
    </row>
    <row r="1460" spans="1:41" ht="126" x14ac:dyDescent="0.25">
      <c r="A1460" s="20">
        <v>1315</v>
      </c>
      <c r="B1460" s="25" t="s">
        <v>2456</v>
      </c>
      <c r="C1460" s="22">
        <v>41.14</v>
      </c>
      <c r="D1460" s="25" t="s">
        <v>2480</v>
      </c>
      <c r="E1460" s="23" t="s">
        <v>2487</v>
      </c>
      <c r="F1460" s="21" t="s">
        <v>2482</v>
      </c>
      <c r="G1460" s="21" t="s">
        <v>80</v>
      </c>
      <c r="H1460" s="26">
        <v>769</v>
      </c>
      <c r="I1460" s="26">
        <v>135</v>
      </c>
      <c r="J1460" s="31"/>
      <c r="K1460" s="31"/>
      <c r="L1460" s="31"/>
      <c r="M1460" s="31"/>
      <c r="N1460" s="31"/>
      <c r="O1460" s="31"/>
      <c r="P1460" s="31"/>
      <c r="Q1460" s="31"/>
      <c r="R1460" s="31"/>
      <c r="S1460" s="31"/>
      <c r="T1460" s="31"/>
      <c r="U1460" s="31"/>
      <c r="V1460" s="31"/>
      <c r="W1460" s="31"/>
      <c r="X1460" s="31"/>
      <c r="Y1460" s="31"/>
      <c r="Z1460" s="31"/>
      <c r="AA1460" s="31"/>
      <c r="AB1460" s="31"/>
      <c r="AC1460" s="31"/>
      <c r="AD1460" s="31"/>
      <c r="AE1460" s="31"/>
      <c r="AF1460" s="31"/>
      <c r="AG1460" s="31"/>
      <c r="AH1460" s="31"/>
      <c r="AI1460" s="31"/>
      <c r="AJ1460" s="31"/>
      <c r="AK1460" s="31"/>
      <c r="AL1460" s="28" t="str">
        <f>VLOOKUP($G1460,'[42]Sheet1 (2)'!$A$1:$B$1048440,2,FALSE)</f>
        <v>Rmt.</v>
      </c>
      <c r="AM1460" s="32"/>
      <c r="AN1460" s="31"/>
      <c r="AO1460" s="33"/>
    </row>
    <row r="1461" spans="1:41" ht="112" x14ac:dyDescent="0.25">
      <c r="A1461" s="20">
        <v>1316</v>
      </c>
      <c r="B1461" s="25" t="s">
        <v>2456</v>
      </c>
      <c r="C1461" s="22">
        <v>41.15</v>
      </c>
      <c r="D1461" s="25" t="s">
        <v>2480</v>
      </c>
      <c r="E1461" s="23" t="s">
        <v>2488</v>
      </c>
      <c r="F1461" s="21" t="s">
        <v>2489</v>
      </c>
      <c r="G1461" s="21" t="s">
        <v>80</v>
      </c>
      <c r="H1461" s="26">
        <v>984</v>
      </c>
      <c r="I1461" s="26">
        <v>137</v>
      </c>
      <c r="J1461" s="31"/>
      <c r="K1461" s="31"/>
      <c r="L1461" s="31"/>
      <c r="M1461" s="31"/>
      <c r="N1461" s="31"/>
      <c r="O1461" s="31"/>
      <c r="P1461" s="31"/>
      <c r="Q1461" s="31"/>
      <c r="R1461" s="31"/>
      <c r="S1461" s="31"/>
      <c r="T1461" s="31"/>
      <c r="U1461" s="31"/>
      <c r="V1461" s="31"/>
      <c r="W1461" s="31"/>
      <c r="X1461" s="31"/>
      <c r="Y1461" s="31"/>
      <c r="Z1461" s="31"/>
      <c r="AA1461" s="31"/>
      <c r="AB1461" s="31"/>
      <c r="AC1461" s="31"/>
      <c r="AD1461" s="31"/>
      <c r="AE1461" s="31"/>
      <c r="AF1461" s="31"/>
      <c r="AG1461" s="31"/>
      <c r="AH1461" s="31"/>
      <c r="AI1461" s="31"/>
      <c r="AJ1461" s="31"/>
      <c r="AK1461" s="31"/>
      <c r="AL1461" s="28" t="str">
        <f>VLOOKUP($G1461,'[42]Sheet1 (2)'!$A$1:$B$1048440,2,FALSE)</f>
        <v>Rmt.</v>
      </c>
      <c r="AM1461" s="32"/>
      <c r="AN1461" s="31"/>
      <c r="AO1461" s="33"/>
    </row>
    <row r="1462" spans="1:41" ht="126" x14ac:dyDescent="0.25">
      <c r="A1462" s="20">
        <v>1317</v>
      </c>
      <c r="B1462" s="25" t="s">
        <v>2456</v>
      </c>
      <c r="C1462" s="22">
        <v>41.16</v>
      </c>
      <c r="D1462" s="25" t="s">
        <v>2480</v>
      </c>
      <c r="E1462" s="23" t="s">
        <v>2490</v>
      </c>
      <c r="F1462" s="21" t="s">
        <v>2482</v>
      </c>
      <c r="G1462" s="21" t="s">
        <v>80</v>
      </c>
      <c r="H1462" s="26">
        <v>1579</v>
      </c>
      <c r="I1462" s="26">
        <v>141</v>
      </c>
      <c r="J1462" s="31"/>
      <c r="K1462" s="31"/>
      <c r="L1462" s="31"/>
      <c r="M1462" s="31"/>
      <c r="N1462" s="31"/>
      <c r="O1462" s="31"/>
      <c r="P1462" s="31"/>
      <c r="Q1462" s="31"/>
      <c r="R1462" s="31"/>
      <c r="S1462" s="31"/>
      <c r="T1462" s="31"/>
      <c r="U1462" s="31"/>
      <c r="V1462" s="31"/>
      <c r="W1462" s="31"/>
      <c r="X1462" s="31"/>
      <c r="Y1462" s="31"/>
      <c r="Z1462" s="31"/>
      <c r="AA1462" s="31"/>
      <c r="AB1462" s="31"/>
      <c r="AC1462" s="31"/>
      <c r="AD1462" s="31"/>
      <c r="AE1462" s="31"/>
      <c r="AF1462" s="31"/>
      <c r="AG1462" s="31"/>
      <c r="AH1462" s="31"/>
      <c r="AI1462" s="31"/>
      <c r="AJ1462" s="31"/>
      <c r="AK1462" s="31"/>
      <c r="AL1462" s="28" t="str">
        <f>VLOOKUP($G1462,'[42]Sheet1 (2)'!$A$1:$B$1048440,2,FALSE)</f>
        <v>Rmt.</v>
      </c>
      <c r="AM1462" s="32"/>
      <c r="AN1462" s="31"/>
      <c r="AO1462" s="33"/>
    </row>
    <row r="1463" spans="1:41" ht="98" x14ac:dyDescent="0.25">
      <c r="A1463" s="20">
        <v>1318</v>
      </c>
      <c r="B1463" s="25" t="s">
        <v>2456</v>
      </c>
      <c r="C1463" s="22">
        <v>41.17</v>
      </c>
      <c r="D1463" s="25" t="s">
        <v>2480</v>
      </c>
      <c r="E1463" s="24" t="s">
        <v>2491</v>
      </c>
      <c r="F1463" s="21" t="s">
        <v>2482</v>
      </c>
      <c r="G1463" s="21" t="s">
        <v>80</v>
      </c>
      <c r="H1463" s="26">
        <v>1722</v>
      </c>
      <c r="I1463" s="26">
        <v>144</v>
      </c>
      <c r="J1463" s="31"/>
      <c r="K1463" s="31"/>
      <c r="L1463" s="31"/>
      <c r="M1463" s="31"/>
      <c r="N1463" s="31"/>
      <c r="O1463" s="31"/>
      <c r="P1463" s="31"/>
      <c r="Q1463" s="31"/>
      <c r="R1463" s="31"/>
      <c r="S1463" s="31"/>
      <c r="T1463" s="31"/>
      <c r="U1463" s="31"/>
      <c r="V1463" s="31"/>
      <c r="W1463" s="31"/>
      <c r="X1463" s="31"/>
      <c r="Y1463" s="31"/>
      <c r="Z1463" s="31"/>
      <c r="AA1463" s="31"/>
      <c r="AB1463" s="31"/>
      <c r="AC1463" s="31"/>
      <c r="AD1463" s="31"/>
      <c r="AE1463" s="31"/>
      <c r="AF1463" s="31"/>
      <c r="AG1463" s="31"/>
      <c r="AH1463" s="31"/>
      <c r="AI1463" s="31"/>
      <c r="AJ1463" s="31"/>
      <c r="AK1463" s="31"/>
      <c r="AL1463" s="28" t="str">
        <f>VLOOKUP($G1463,'[42]Sheet1 (2)'!$A$1:$B$1048440,2,FALSE)</f>
        <v>Rmt.</v>
      </c>
      <c r="AM1463" s="32"/>
      <c r="AN1463" s="31"/>
      <c r="AO1463" s="33"/>
    </row>
    <row r="1464" spans="1:41" ht="112" x14ac:dyDescent="0.25">
      <c r="A1464" s="20">
        <v>1319</v>
      </c>
      <c r="B1464" s="25" t="s">
        <v>2456</v>
      </c>
      <c r="C1464" s="22">
        <v>41.18</v>
      </c>
      <c r="D1464" s="25" t="s">
        <v>2480</v>
      </c>
      <c r="E1464" s="23" t="s">
        <v>2492</v>
      </c>
      <c r="F1464" s="21" t="s">
        <v>2482</v>
      </c>
      <c r="G1464" s="21" t="s">
        <v>80</v>
      </c>
      <c r="H1464" s="26">
        <v>447</v>
      </c>
      <c r="I1464" s="26">
        <v>186</v>
      </c>
      <c r="J1464" s="31"/>
      <c r="K1464" s="31"/>
      <c r="L1464" s="31"/>
      <c r="M1464" s="31"/>
      <c r="N1464" s="31"/>
      <c r="O1464" s="31"/>
      <c r="P1464" s="31"/>
      <c r="Q1464" s="31"/>
      <c r="R1464" s="31"/>
      <c r="S1464" s="31"/>
      <c r="T1464" s="31"/>
      <c r="U1464" s="31"/>
      <c r="V1464" s="31"/>
      <c r="W1464" s="31"/>
      <c r="X1464" s="31"/>
      <c r="Y1464" s="31"/>
      <c r="Z1464" s="31"/>
      <c r="AA1464" s="31"/>
      <c r="AB1464" s="31"/>
      <c r="AC1464" s="31"/>
      <c r="AD1464" s="31"/>
      <c r="AE1464" s="31"/>
      <c r="AF1464" s="31"/>
      <c r="AG1464" s="31"/>
      <c r="AH1464" s="31"/>
      <c r="AI1464" s="31"/>
      <c r="AJ1464" s="31"/>
      <c r="AK1464" s="31"/>
      <c r="AL1464" s="28" t="str">
        <f>VLOOKUP($G1464,'[42]Sheet1 (2)'!$A$1:$B$1048440,2,FALSE)</f>
        <v>Rmt.</v>
      </c>
      <c r="AM1464" s="32"/>
      <c r="AN1464" s="31"/>
      <c r="AO1464" s="33"/>
    </row>
    <row r="1465" spans="1:41" ht="98" x14ac:dyDescent="0.25">
      <c r="A1465" s="20">
        <v>1320</v>
      </c>
      <c r="B1465" s="25" t="s">
        <v>2456</v>
      </c>
      <c r="C1465" s="22">
        <v>41.19</v>
      </c>
      <c r="D1465" s="25" t="s">
        <v>2480</v>
      </c>
      <c r="E1465" s="24" t="s">
        <v>2493</v>
      </c>
      <c r="F1465" s="21" t="s">
        <v>2482</v>
      </c>
      <c r="G1465" s="21" t="s">
        <v>80</v>
      </c>
      <c r="H1465" s="26">
        <v>487</v>
      </c>
      <c r="I1465" s="26">
        <v>186</v>
      </c>
      <c r="J1465" s="31"/>
      <c r="K1465" s="31"/>
      <c r="L1465" s="31"/>
      <c r="M1465" s="31"/>
      <c r="N1465" s="31"/>
      <c r="O1465" s="31"/>
      <c r="P1465" s="31"/>
      <c r="Q1465" s="31"/>
      <c r="R1465" s="31"/>
      <c r="S1465" s="31"/>
      <c r="T1465" s="31"/>
      <c r="U1465" s="31"/>
      <c r="V1465" s="31"/>
      <c r="W1465" s="31"/>
      <c r="X1465" s="31"/>
      <c r="Y1465" s="31"/>
      <c r="Z1465" s="31"/>
      <c r="AA1465" s="31"/>
      <c r="AB1465" s="31"/>
      <c r="AC1465" s="31"/>
      <c r="AD1465" s="31"/>
      <c r="AE1465" s="31"/>
      <c r="AF1465" s="31"/>
      <c r="AG1465" s="31"/>
      <c r="AH1465" s="31"/>
      <c r="AI1465" s="31"/>
      <c r="AJ1465" s="31"/>
      <c r="AK1465" s="31"/>
      <c r="AL1465" s="28" t="str">
        <f>VLOOKUP($G1465,'[42]Sheet1 (2)'!$A$1:$B$1048440,2,FALSE)</f>
        <v>Rmt.</v>
      </c>
      <c r="AM1465" s="32"/>
      <c r="AN1465" s="31"/>
      <c r="AO1465" s="33"/>
    </row>
    <row r="1466" spans="1:41" ht="98" x14ac:dyDescent="0.25">
      <c r="A1466" s="20">
        <v>1321</v>
      </c>
      <c r="B1466" s="25" t="s">
        <v>2456</v>
      </c>
      <c r="C1466" s="22">
        <v>41.2</v>
      </c>
      <c r="D1466" s="25" t="s">
        <v>2480</v>
      </c>
      <c r="E1466" s="24" t="s">
        <v>2494</v>
      </c>
      <c r="F1466" s="21" t="s">
        <v>2482</v>
      </c>
      <c r="G1466" s="21" t="s">
        <v>80</v>
      </c>
      <c r="H1466" s="26">
        <v>526</v>
      </c>
      <c r="I1466" s="26">
        <v>186</v>
      </c>
      <c r="J1466" s="31"/>
      <c r="K1466" s="31"/>
      <c r="L1466" s="31"/>
      <c r="M1466" s="31"/>
      <c r="N1466" s="31"/>
      <c r="O1466" s="31"/>
      <c r="P1466" s="31"/>
      <c r="Q1466" s="31"/>
      <c r="R1466" s="31"/>
      <c r="S1466" s="31"/>
      <c r="T1466" s="31"/>
      <c r="U1466" s="31"/>
      <c r="V1466" s="31"/>
      <c r="W1466" s="31"/>
      <c r="X1466" s="31"/>
      <c r="Y1466" s="31"/>
      <c r="Z1466" s="31"/>
      <c r="AA1466" s="31"/>
      <c r="AB1466" s="31"/>
      <c r="AC1466" s="31"/>
      <c r="AD1466" s="31"/>
      <c r="AE1466" s="31"/>
      <c r="AF1466" s="31"/>
      <c r="AG1466" s="31"/>
      <c r="AH1466" s="31"/>
      <c r="AI1466" s="31"/>
      <c r="AJ1466" s="31"/>
      <c r="AK1466" s="31"/>
      <c r="AL1466" s="28" t="str">
        <f>VLOOKUP($G1466,'[42]Sheet1 (2)'!$A$1:$B$1048440,2,FALSE)</f>
        <v>Rmt.</v>
      </c>
      <c r="AM1466" s="32"/>
      <c r="AN1466" s="31"/>
      <c r="AO1466" s="33"/>
    </row>
    <row r="1467" spans="1:41" ht="98" x14ac:dyDescent="0.25">
      <c r="A1467" s="20">
        <v>1322</v>
      </c>
      <c r="B1467" s="25" t="s">
        <v>2456</v>
      </c>
      <c r="C1467" s="22">
        <v>41.21</v>
      </c>
      <c r="D1467" s="25" t="s">
        <v>2480</v>
      </c>
      <c r="E1467" s="24" t="s">
        <v>2495</v>
      </c>
      <c r="F1467" s="21" t="s">
        <v>2482</v>
      </c>
      <c r="G1467" s="21" t="s">
        <v>80</v>
      </c>
      <c r="H1467" s="26">
        <v>606</v>
      </c>
      <c r="I1467" s="26">
        <v>225</v>
      </c>
      <c r="J1467" s="31"/>
      <c r="K1467" s="31"/>
      <c r="L1467" s="31"/>
      <c r="M1467" s="31"/>
      <c r="N1467" s="31"/>
      <c r="O1467" s="31"/>
      <c r="P1467" s="31"/>
      <c r="Q1467" s="31"/>
      <c r="R1467" s="31"/>
      <c r="S1467" s="31"/>
      <c r="T1467" s="31"/>
      <c r="U1467" s="31"/>
      <c r="V1467" s="31"/>
      <c r="W1467" s="31"/>
      <c r="X1467" s="31"/>
      <c r="Y1467" s="31"/>
      <c r="Z1467" s="31"/>
      <c r="AA1467" s="31"/>
      <c r="AB1467" s="31"/>
      <c r="AC1467" s="31"/>
      <c r="AD1467" s="31"/>
      <c r="AE1467" s="31"/>
      <c r="AF1467" s="31"/>
      <c r="AG1467" s="31"/>
      <c r="AH1467" s="31"/>
      <c r="AI1467" s="31"/>
      <c r="AJ1467" s="31"/>
      <c r="AK1467" s="31"/>
      <c r="AL1467" s="28" t="str">
        <f>VLOOKUP($G1467,'[42]Sheet1 (2)'!$A$1:$B$1048440,2,FALSE)</f>
        <v>Rmt.</v>
      </c>
      <c r="AM1467" s="32"/>
      <c r="AN1467" s="31"/>
      <c r="AO1467" s="33"/>
    </row>
    <row r="1468" spans="1:41" ht="98" x14ac:dyDescent="0.25">
      <c r="A1468" s="20">
        <v>1323</v>
      </c>
      <c r="B1468" s="25" t="s">
        <v>2456</v>
      </c>
      <c r="C1468" s="22">
        <v>41.22</v>
      </c>
      <c r="D1468" s="25" t="s">
        <v>2480</v>
      </c>
      <c r="E1468" s="24" t="s">
        <v>2496</v>
      </c>
      <c r="F1468" s="21" t="s">
        <v>2482</v>
      </c>
      <c r="G1468" s="21" t="s">
        <v>80</v>
      </c>
      <c r="H1468" s="26">
        <v>693</v>
      </c>
      <c r="I1468" s="26">
        <v>240</v>
      </c>
      <c r="J1468" s="31"/>
      <c r="K1468" s="31"/>
      <c r="L1468" s="31"/>
      <c r="M1468" s="31"/>
      <c r="N1468" s="31"/>
      <c r="O1468" s="31"/>
      <c r="P1468" s="31"/>
      <c r="Q1468" s="31"/>
      <c r="R1468" s="31"/>
      <c r="S1468" s="31"/>
      <c r="T1468" s="31"/>
      <c r="U1468" s="31"/>
      <c r="V1468" s="31"/>
      <c r="W1468" s="31"/>
      <c r="X1468" s="31"/>
      <c r="Y1468" s="31"/>
      <c r="Z1468" s="31"/>
      <c r="AA1468" s="31"/>
      <c r="AB1468" s="31"/>
      <c r="AC1468" s="31"/>
      <c r="AD1468" s="31"/>
      <c r="AE1468" s="31"/>
      <c r="AF1468" s="31"/>
      <c r="AG1468" s="31"/>
      <c r="AH1468" s="31"/>
      <c r="AI1468" s="31"/>
      <c r="AJ1468" s="31"/>
      <c r="AK1468" s="31"/>
      <c r="AL1468" s="28" t="str">
        <f>VLOOKUP($G1468,'[42]Sheet1 (2)'!$A$1:$B$1048440,2,FALSE)</f>
        <v>Rmt.</v>
      </c>
      <c r="AM1468" s="32"/>
      <c r="AN1468" s="31"/>
      <c r="AO1468" s="33"/>
    </row>
    <row r="1469" spans="1:41" ht="98" x14ac:dyDescent="0.25">
      <c r="A1469" s="20">
        <v>1324</v>
      </c>
      <c r="B1469" s="25" t="s">
        <v>2456</v>
      </c>
      <c r="C1469" s="22">
        <v>41.23</v>
      </c>
      <c r="D1469" s="25" t="s">
        <v>2480</v>
      </c>
      <c r="E1469" s="24" t="s">
        <v>2497</v>
      </c>
      <c r="F1469" s="21" t="s">
        <v>2482</v>
      </c>
      <c r="G1469" s="21" t="s">
        <v>80</v>
      </c>
      <c r="H1469" s="26">
        <v>853</v>
      </c>
      <c r="I1469" s="26">
        <v>249</v>
      </c>
      <c r="J1469" s="31"/>
      <c r="K1469" s="31"/>
      <c r="L1469" s="31"/>
      <c r="M1469" s="31"/>
      <c r="N1469" s="31"/>
      <c r="O1469" s="31"/>
      <c r="P1469" s="31"/>
      <c r="Q1469" s="31"/>
      <c r="R1469" s="31"/>
      <c r="S1469" s="31"/>
      <c r="T1469" s="31"/>
      <c r="U1469" s="31"/>
      <c r="V1469" s="31"/>
      <c r="W1469" s="31"/>
      <c r="X1469" s="31"/>
      <c r="Y1469" s="31"/>
      <c r="Z1469" s="31"/>
      <c r="AA1469" s="31"/>
      <c r="AB1469" s="31"/>
      <c r="AC1469" s="31"/>
      <c r="AD1469" s="31"/>
      <c r="AE1469" s="31"/>
      <c r="AF1469" s="31"/>
      <c r="AG1469" s="31"/>
      <c r="AH1469" s="31"/>
      <c r="AI1469" s="31"/>
      <c r="AJ1469" s="31"/>
      <c r="AK1469" s="31"/>
      <c r="AL1469" s="28" t="str">
        <f>VLOOKUP($G1469,'[42]Sheet1 (2)'!$A$1:$B$1048440,2,FALSE)</f>
        <v>Rmt.</v>
      </c>
      <c r="AM1469" s="32"/>
      <c r="AN1469" s="31"/>
      <c r="AO1469" s="33"/>
    </row>
    <row r="1470" spans="1:41" ht="98" x14ac:dyDescent="0.25">
      <c r="A1470" s="20">
        <v>1325</v>
      </c>
      <c r="B1470" s="25" t="s">
        <v>2456</v>
      </c>
      <c r="C1470" s="22">
        <v>41.24</v>
      </c>
      <c r="D1470" s="25" t="s">
        <v>2480</v>
      </c>
      <c r="E1470" s="24" t="s">
        <v>2498</v>
      </c>
      <c r="F1470" s="21" t="s">
        <v>2482</v>
      </c>
      <c r="G1470" s="21" t="s">
        <v>80</v>
      </c>
      <c r="H1470" s="26">
        <v>1184</v>
      </c>
      <c r="I1470" s="26">
        <v>253</v>
      </c>
      <c r="J1470" s="31"/>
      <c r="K1470" s="31"/>
      <c r="L1470" s="31"/>
      <c r="M1470" s="31"/>
      <c r="N1470" s="31"/>
      <c r="O1470" s="31"/>
      <c r="P1470" s="31"/>
      <c r="Q1470" s="31"/>
      <c r="R1470" s="31"/>
      <c r="S1470" s="31"/>
      <c r="T1470" s="31"/>
      <c r="U1470" s="31"/>
      <c r="V1470" s="31"/>
      <c r="W1470" s="31"/>
      <c r="X1470" s="31"/>
      <c r="Y1470" s="31"/>
      <c r="Z1470" s="31"/>
      <c r="AA1470" s="31"/>
      <c r="AB1470" s="31"/>
      <c r="AC1470" s="31"/>
      <c r="AD1470" s="31"/>
      <c r="AE1470" s="31"/>
      <c r="AF1470" s="31"/>
      <c r="AG1470" s="31"/>
      <c r="AH1470" s="31"/>
      <c r="AI1470" s="31"/>
      <c r="AJ1470" s="31"/>
      <c r="AK1470" s="31"/>
      <c r="AL1470" s="28" t="str">
        <f>VLOOKUP($G1470,'[42]Sheet1 (2)'!$A$1:$B$1048440,2,FALSE)</f>
        <v>Rmt.</v>
      </c>
      <c r="AM1470" s="32"/>
      <c r="AN1470" s="31"/>
      <c r="AO1470" s="33"/>
    </row>
    <row r="1471" spans="1:41" ht="112" x14ac:dyDescent="0.25">
      <c r="A1471" s="20">
        <v>1326</v>
      </c>
      <c r="B1471" s="25" t="s">
        <v>2456</v>
      </c>
      <c r="C1471" s="22">
        <v>41.25</v>
      </c>
      <c r="D1471" s="25" t="s">
        <v>2480</v>
      </c>
      <c r="E1471" s="24" t="s">
        <v>2499</v>
      </c>
      <c r="F1471" s="21" t="s">
        <v>2482</v>
      </c>
      <c r="G1471" s="21" t="s">
        <v>80</v>
      </c>
      <c r="H1471" s="26">
        <v>1562</v>
      </c>
      <c r="I1471" s="26">
        <v>278</v>
      </c>
      <c r="J1471" s="31"/>
      <c r="K1471" s="31"/>
      <c r="L1471" s="31"/>
      <c r="M1471" s="31"/>
      <c r="N1471" s="31"/>
      <c r="O1471" s="31"/>
      <c r="P1471" s="31"/>
      <c r="Q1471" s="31"/>
      <c r="R1471" s="31"/>
      <c r="S1471" s="31"/>
      <c r="T1471" s="31"/>
      <c r="U1471" s="31"/>
      <c r="V1471" s="31"/>
      <c r="W1471" s="31"/>
      <c r="X1471" s="31"/>
      <c r="Y1471" s="31"/>
      <c r="Z1471" s="31"/>
      <c r="AA1471" s="31"/>
      <c r="AB1471" s="31"/>
      <c r="AC1471" s="31"/>
      <c r="AD1471" s="31"/>
      <c r="AE1471" s="31"/>
      <c r="AF1471" s="31"/>
      <c r="AG1471" s="31"/>
      <c r="AH1471" s="31"/>
      <c r="AI1471" s="31"/>
      <c r="AJ1471" s="31"/>
      <c r="AK1471" s="31"/>
      <c r="AL1471" s="28" t="str">
        <f>VLOOKUP($G1471,'[42]Sheet1 (2)'!$A$1:$B$1048440,2,FALSE)</f>
        <v>Rmt.</v>
      </c>
      <c r="AM1471" s="32"/>
      <c r="AN1471" s="31"/>
      <c r="AO1471" s="33"/>
    </row>
    <row r="1472" spans="1:41" ht="56" x14ac:dyDescent="0.25">
      <c r="A1472" s="20">
        <v>1327</v>
      </c>
      <c r="B1472" s="35" t="s">
        <v>2460</v>
      </c>
      <c r="C1472" s="22">
        <v>41.26</v>
      </c>
      <c r="D1472" s="25" t="s">
        <v>2500</v>
      </c>
      <c r="E1472" s="23" t="s">
        <v>2501</v>
      </c>
      <c r="F1472" s="21" t="s">
        <v>2502</v>
      </c>
      <c r="G1472" s="25" t="s">
        <v>45</v>
      </c>
      <c r="H1472" s="26">
        <v>3770</v>
      </c>
      <c r="I1472" s="26">
        <v>391</v>
      </c>
      <c r="J1472" s="31"/>
      <c r="K1472" s="31"/>
      <c r="L1472" s="31"/>
      <c r="M1472" s="31"/>
      <c r="N1472" s="31"/>
      <c r="O1472" s="31"/>
      <c r="P1472" s="31"/>
      <c r="Q1472" s="31"/>
      <c r="R1472" s="31"/>
      <c r="S1472" s="31"/>
      <c r="T1472" s="31"/>
      <c r="U1472" s="31"/>
      <c r="V1472" s="31"/>
      <c r="W1472" s="31"/>
      <c r="X1472" s="31"/>
      <c r="Y1472" s="31"/>
      <c r="Z1472" s="31"/>
      <c r="AA1472" s="31"/>
      <c r="AB1472" s="31"/>
      <c r="AC1472" s="31"/>
      <c r="AD1472" s="31"/>
      <c r="AE1472" s="31"/>
      <c r="AF1472" s="31"/>
      <c r="AG1472" s="31"/>
      <c r="AH1472" s="31"/>
      <c r="AI1472" s="31"/>
      <c r="AJ1472" s="31"/>
      <c r="AK1472" s="31"/>
      <c r="AL1472" s="28" t="str">
        <f>VLOOKUP($G1472,'[42]Sheet1 (2)'!$A$1:$B$1048440,2,FALSE)</f>
        <v>No.</v>
      </c>
      <c r="AM1472" s="32"/>
      <c r="AN1472" s="31"/>
      <c r="AO1472" s="33"/>
    </row>
    <row r="1473" spans="1:41" ht="56" x14ac:dyDescent="0.25">
      <c r="A1473" s="20">
        <v>1328</v>
      </c>
      <c r="B1473" s="35" t="s">
        <v>2460</v>
      </c>
      <c r="C1473" s="22">
        <v>41.27</v>
      </c>
      <c r="D1473" s="25" t="s">
        <v>2500</v>
      </c>
      <c r="E1473" s="23" t="s">
        <v>2503</v>
      </c>
      <c r="F1473" s="21" t="s">
        <v>2502</v>
      </c>
      <c r="G1473" s="25" t="s">
        <v>45</v>
      </c>
      <c r="H1473" s="26">
        <v>5034</v>
      </c>
      <c r="I1473" s="26">
        <v>391</v>
      </c>
      <c r="J1473" s="31"/>
      <c r="K1473" s="31"/>
      <c r="L1473" s="31"/>
      <c r="M1473" s="31"/>
      <c r="N1473" s="31"/>
      <c r="O1473" s="31"/>
      <c r="P1473" s="31"/>
      <c r="Q1473" s="31"/>
      <c r="R1473" s="31"/>
      <c r="S1473" s="31"/>
      <c r="T1473" s="31"/>
      <c r="U1473" s="31"/>
      <c r="V1473" s="31"/>
      <c r="W1473" s="31"/>
      <c r="X1473" s="31"/>
      <c r="Y1473" s="31"/>
      <c r="Z1473" s="31"/>
      <c r="AA1473" s="31"/>
      <c r="AB1473" s="31"/>
      <c r="AC1473" s="31"/>
      <c r="AD1473" s="31"/>
      <c r="AE1473" s="31"/>
      <c r="AF1473" s="31"/>
      <c r="AG1473" s="31"/>
      <c r="AH1473" s="31"/>
      <c r="AI1473" s="31"/>
      <c r="AJ1473" s="31"/>
      <c r="AK1473" s="31"/>
      <c r="AL1473" s="28" t="str">
        <f>VLOOKUP($G1473,'[42]Sheet1 (2)'!$A$1:$B$1048440,2,FALSE)</f>
        <v>No.</v>
      </c>
      <c r="AM1473" s="32"/>
      <c r="AN1473" s="31"/>
      <c r="AO1473" s="33"/>
    </row>
    <row r="1474" spans="1:41" ht="56" x14ac:dyDescent="0.25">
      <c r="A1474" s="20">
        <v>1329</v>
      </c>
      <c r="B1474" s="35" t="s">
        <v>2460</v>
      </c>
      <c r="C1474" s="22">
        <v>41.28</v>
      </c>
      <c r="D1474" s="25" t="s">
        <v>2500</v>
      </c>
      <c r="E1474" s="23" t="s">
        <v>2504</v>
      </c>
      <c r="F1474" s="21" t="s">
        <v>2502</v>
      </c>
      <c r="G1474" s="25" t="s">
        <v>45</v>
      </c>
      <c r="H1474" s="26">
        <v>7129</v>
      </c>
      <c r="I1474" s="26">
        <v>391</v>
      </c>
      <c r="J1474" s="31"/>
      <c r="K1474" s="31"/>
      <c r="L1474" s="31"/>
      <c r="M1474" s="31"/>
      <c r="N1474" s="31"/>
      <c r="O1474" s="31"/>
      <c r="P1474" s="31"/>
      <c r="Q1474" s="31"/>
      <c r="R1474" s="31"/>
      <c r="S1474" s="31"/>
      <c r="T1474" s="31"/>
      <c r="U1474" s="31"/>
      <c r="V1474" s="31"/>
      <c r="W1474" s="31"/>
      <c r="X1474" s="31"/>
      <c r="Y1474" s="31"/>
      <c r="Z1474" s="31"/>
      <c r="AA1474" s="31"/>
      <c r="AB1474" s="31"/>
      <c r="AC1474" s="31"/>
      <c r="AD1474" s="31"/>
      <c r="AE1474" s="31"/>
      <c r="AF1474" s="31"/>
      <c r="AG1474" s="31"/>
      <c r="AH1474" s="31"/>
      <c r="AI1474" s="31"/>
      <c r="AJ1474" s="31"/>
      <c r="AK1474" s="31"/>
      <c r="AL1474" s="28" t="str">
        <f>VLOOKUP($G1474,'[42]Sheet1 (2)'!$A$1:$B$1048440,2,FALSE)</f>
        <v>No.</v>
      </c>
      <c r="AM1474" s="32"/>
      <c r="AN1474" s="31"/>
      <c r="AO1474" s="33"/>
    </row>
    <row r="1475" spans="1:41" ht="56" x14ac:dyDescent="0.25">
      <c r="A1475" s="20">
        <v>1330</v>
      </c>
      <c r="B1475" s="35" t="s">
        <v>2460</v>
      </c>
      <c r="C1475" s="22">
        <v>41.29</v>
      </c>
      <c r="D1475" s="25" t="s">
        <v>2500</v>
      </c>
      <c r="E1475" s="23" t="s">
        <v>2505</v>
      </c>
      <c r="F1475" s="21" t="s">
        <v>2502</v>
      </c>
      <c r="G1475" s="25" t="s">
        <v>45</v>
      </c>
      <c r="H1475" s="26">
        <v>11831</v>
      </c>
      <c r="I1475" s="26">
        <v>1172</v>
      </c>
      <c r="J1475" s="31"/>
      <c r="K1475" s="31"/>
      <c r="L1475" s="31"/>
      <c r="M1475" s="31"/>
      <c r="N1475" s="31"/>
      <c r="O1475" s="31"/>
      <c r="P1475" s="31"/>
      <c r="Q1475" s="31"/>
      <c r="R1475" s="31"/>
      <c r="S1475" s="31"/>
      <c r="T1475" s="31"/>
      <c r="U1475" s="31"/>
      <c r="V1475" s="31"/>
      <c r="W1475" s="31"/>
      <c r="X1475" s="31"/>
      <c r="Y1475" s="31"/>
      <c r="Z1475" s="31"/>
      <c r="AA1475" s="31"/>
      <c r="AB1475" s="31"/>
      <c r="AC1475" s="31"/>
      <c r="AD1475" s="31"/>
      <c r="AE1475" s="31"/>
      <c r="AF1475" s="31"/>
      <c r="AG1475" s="31"/>
      <c r="AH1475" s="31"/>
      <c r="AI1475" s="31"/>
      <c r="AJ1475" s="31"/>
      <c r="AK1475" s="31"/>
      <c r="AL1475" s="28" t="str">
        <f>VLOOKUP($G1475,'[42]Sheet1 (2)'!$A$1:$B$1048440,2,FALSE)</f>
        <v>No.</v>
      </c>
      <c r="AM1475" s="32"/>
      <c r="AN1475" s="31"/>
      <c r="AO1475" s="33"/>
    </row>
    <row r="1476" spans="1:41" ht="56" x14ac:dyDescent="0.25">
      <c r="A1476" s="20">
        <v>1331</v>
      </c>
      <c r="B1476" s="35" t="s">
        <v>2460</v>
      </c>
      <c r="C1476" s="22">
        <v>41.3</v>
      </c>
      <c r="D1476" s="25" t="s">
        <v>2500</v>
      </c>
      <c r="E1476" s="23" t="s">
        <v>2506</v>
      </c>
      <c r="F1476" s="21" t="s">
        <v>2502</v>
      </c>
      <c r="G1476" s="25" t="s">
        <v>45</v>
      </c>
      <c r="H1476" s="26">
        <v>15551</v>
      </c>
      <c r="I1476" s="26">
        <v>1172</v>
      </c>
      <c r="J1476" s="31"/>
      <c r="K1476" s="31"/>
      <c r="L1476" s="31"/>
      <c r="M1476" s="31"/>
      <c r="N1476" s="31"/>
      <c r="O1476" s="31"/>
      <c r="P1476" s="31"/>
      <c r="Q1476" s="31"/>
      <c r="R1476" s="31"/>
      <c r="S1476" s="31"/>
      <c r="T1476" s="31"/>
      <c r="U1476" s="31"/>
      <c r="V1476" s="31"/>
      <c r="W1476" s="31"/>
      <c r="X1476" s="31"/>
      <c r="Y1476" s="31"/>
      <c r="Z1476" s="31"/>
      <c r="AA1476" s="31"/>
      <c r="AB1476" s="31"/>
      <c r="AC1476" s="31"/>
      <c r="AD1476" s="31"/>
      <c r="AE1476" s="31"/>
      <c r="AF1476" s="31"/>
      <c r="AG1476" s="31"/>
      <c r="AH1476" s="31"/>
      <c r="AI1476" s="31"/>
      <c r="AJ1476" s="31"/>
      <c r="AK1476" s="31"/>
      <c r="AL1476" s="28" t="str">
        <f>VLOOKUP($G1476,'[42]Sheet1 (2)'!$A$1:$B$1048440,2,FALSE)</f>
        <v>No.</v>
      </c>
      <c r="AM1476" s="32"/>
      <c r="AN1476" s="31"/>
      <c r="AO1476" s="33"/>
    </row>
    <row r="1477" spans="1:41" ht="56" x14ac:dyDescent="0.25">
      <c r="A1477" s="20">
        <v>1332</v>
      </c>
      <c r="B1477" s="35" t="s">
        <v>2460</v>
      </c>
      <c r="C1477" s="22">
        <v>41.31</v>
      </c>
      <c r="D1477" s="25" t="s">
        <v>2500</v>
      </c>
      <c r="E1477" s="23" t="s">
        <v>2507</v>
      </c>
      <c r="F1477" s="21" t="s">
        <v>2502</v>
      </c>
      <c r="G1477" s="25" t="s">
        <v>45</v>
      </c>
      <c r="H1477" s="26">
        <v>25685</v>
      </c>
      <c r="I1477" s="26">
        <v>1563</v>
      </c>
      <c r="J1477" s="31"/>
      <c r="K1477" s="31"/>
      <c r="L1477" s="31"/>
      <c r="M1477" s="31"/>
      <c r="N1477" s="31"/>
      <c r="O1477" s="31"/>
      <c r="P1477" s="31"/>
      <c r="Q1477" s="31"/>
      <c r="R1477" s="31"/>
      <c r="S1477" s="31"/>
      <c r="T1477" s="31"/>
      <c r="U1477" s="31"/>
      <c r="V1477" s="31"/>
      <c r="W1477" s="31"/>
      <c r="X1477" s="31"/>
      <c r="Y1477" s="31"/>
      <c r="Z1477" s="31"/>
      <c r="AA1477" s="31"/>
      <c r="AB1477" s="31"/>
      <c r="AC1477" s="31"/>
      <c r="AD1477" s="31"/>
      <c r="AE1477" s="31"/>
      <c r="AF1477" s="31"/>
      <c r="AG1477" s="31"/>
      <c r="AH1477" s="31"/>
      <c r="AI1477" s="31"/>
      <c r="AJ1477" s="31"/>
      <c r="AK1477" s="31"/>
      <c r="AL1477" s="28" t="str">
        <f>VLOOKUP($G1477,'[42]Sheet1 (2)'!$A$1:$B$1048440,2,FALSE)</f>
        <v>No.</v>
      </c>
      <c r="AM1477" s="32"/>
      <c r="AN1477" s="31"/>
      <c r="AO1477" s="33"/>
    </row>
    <row r="1478" spans="1:41" ht="70" x14ac:dyDescent="0.25">
      <c r="A1478" s="20">
        <v>1333</v>
      </c>
      <c r="B1478" s="92" t="s">
        <v>2470</v>
      </c>
      <c r="C1478" s="22">
        <v>41.32</v>
      </c>
      <c r="D1478" s="25" t="s">
        <v>2500</v>
      </c>
      <c r="E1478" s="23" t="s">
        <v>2508</v>
      </c>
      <c r="F1478" s="21" t="s">
        <v>2502</v>
      </c>
      <c r="G1478" s="25" t="s">
        <v>45</v>
      </c>
      <c r="H1478" s="26">
        <v>36538</v>
      </c>
      <c r="I1478" s="26">
        <v>1563</v>
      </c>
      <c r="J1478" s="31"/>
      <c r="K1478" s="31"/>
      <c r="L1478" s="31"/>
      <c r="M1478" s="31"/>
      <c r="N1478" s="31"/>
      <c r="O1478" s="31"/>
      <c r="P1478" s="31"/>
      <c r="Q1478" s="31"/>
      <c r="R1478" s="31"/>
      <c r="S1478" s="31"/>
      <c r="T1478" s="31"/>
      <c r="U1478" s="31"/>
      <c r="V1478" s="31"/>
      <c r="W1478" s="31"/>
      <c r="X1478" s="31"/>
      <c r="Y1478" s="31"/>
      <c r="Z1478" s="31"/>
      <c r="AA1478" s="31"/>
      <c r="AB1478" s="31"/>
      <c r="AC1478" s="31"/>
      <c r="AD1478" s="31"/>
      <c r="AE1478" s="31"/>
      <c r="AF1478" s="31"/>
      <c r="AG1478" s="31"/>
      <c r="AH1478" s="31"/>
      <c r="AI1478" s="31"/>
      <c r="AJ1478" s="31"/>
      <c r="AK1478" s="31"/>
      <c r="AL1478" s="28" t="str">
        <f>VLOOKUP($G1478,'[42]Sheet1 (2)'!$A$1:$B$1048440,2,FALSE)</f>
        <v>No.</v>
      </c>
      <c r="AM1478" s="32"/>
      <c r="AN1478" s="31"/>
      <c r="AO1478" s="33"/>
    </row>
    <row r="1479" spans="1:41" ht="56" x14ac:dyDescent="0.25">
      <c r="A1479" s="20">
        <v>1334</v>
      </c>
      <c r="B1479" s="35" t="s">
        <v>2460</v>
      </c>
      <c r="C1479" s="22">
        <v>41.4</v>
      </c>
      <c r="D1479" s="25" t="s">
        <v>2509</v>
      </c>
      <c r="E1479" s="24" t="s">
        <v>2510</v>
      </c>
      <c r="F1479" s="21" t="s">
        <v>2511</v>
      </c>
      <c r="G1479" s="25" t="s">
        <v>45</v>
      </c>
      <c r="H1479" s="26">
        <v>671</v>
      </c>
      <c r="I1479" s="26">
        <v>105</v>
      </c>
      <c r="J1479" s="31"/>
      <c r="K1479" s="31"/>
      <c r="L1479" s="31"/>
      <c r="M1479" s="31"/>
      <c r="N1479" s="31"/>
      <c r="O1479" s="31"/>
      <c r="P1479" s="31"/>
      <c r="Q1479" s="31"/>
      <c r="R1479" s="31"/>
      <c r="S1479" s="31"/>
      <c r="T1479" s="31"/>
      <c r="U1479" s="31"/>
      <c r="V1479" s="31"/>
      <c r="W1479" s="31"/>
      <c r="X1479" s="31"/>
      <c r="Y1479" s="31"/>
      <c r="Z1479" s="31"/>
      <c r="AA1479" s="31"/>
      <c r="AB1479" s="31"/>
      <c r="AC1479" s="31"/>
      <c r="AD1479" s="31"/>
      <c r="AE1479" s="31"/>
      <c r="AF1479" s="31"/>
      <c r="AG1479" s="31"/>
      <c r="AH1479" s="31"/>
      <c r="AI1479" s="31"/>
      <c r="AJ1479" s="31"/>
      <c r="AK1479" s="31"/>
      <c r="AL1479" s="28" t="str">
        <f>VLOOKUP($G1479,'[42]Sheet1 (2)'!$A$1:$B$1048440,2,FALSE)</f>
        <v>No.</v>
      </c>
      <c r="AM1479" s="32"/>
      <c r="AN1479" s="31"/>
      <c r="AO1479" s="33"/>
    </row>
    <row r="1480" spans="1:41" ht="56" x14ac:dyDescent="0.25">
      <c r="A1480" s="20">
        <v>1335</v>
      </c>
      <c r="B1480" s="92" t="s">
        <v>2470</v>
      </c>
      <c r="C1480" s="22">
        <v>41.41</v>
      </c>
      <c r="D1480" s="25" t="s">
        <v>2509</v>
      </c>
      <c r="E1480" s="24" t="s">
        <v>2512</v>
      </c>
      <c r="F1480" s="21" t="s">
        <v>2511</v>
      </c>
      <c r="G1480" s="25" t="s">
        <v>45</v>
      </c>
      <c r="H1480" s="26">
        <v>970</v>
      </c>
      <c r="I1480" s="26">
        <v>105</v>
      </c>
      <c r="J1480" s="31"/>
      <c r="K1480" s="31"/>
      <c r="L1480" s="31"/>
      <c r="M1480" s="31"/>
      <c r="N1480" s="31"/>
      <c r="O1480" s="31"/>
      <c r="P1480" s="31"/>
      <c r="Q1480" s="31"/>
      <c r="R1480" s="31"/>
      <c r="S1480" s="31"/>
      <c r="T1480" s="31"/>
      <c r="U1480" s="31"/>
      <c r="V1480" s="31"/>
      <c r="W1480" s="31"/>
      <c r="X1480" s="31"/>
      <c r="Y1480" s="31"/>
      <c r="Z1480" s="31"/>
      <c r="AA1480" s="31"/>
      <c r="AB1480" s="31"/>
      <c r="AC1480" s="31"/>
      <c r="AD1480" s="31"/>
      <c r="AE1480" s="31"/>
      <c r="AF1480" s="31"/>
      <c r="AG1480" s="31"/>
      <c r="AH1480" s="31"/>
      <c r="AI1480" s="31"/>
      <c r="AJ1480" s="31"/>
      <c r="AK1480" s="31"/>
      <c r="AL1480" s="28" t="str">
        <f>VLOOKUP($G1480,'[42]Sheet1 (2)'!$A$1:$B$1048440,2,FALSE)</f>
        <v>No.</v>
      </c>
      <c r="AM1480" s="32"/>
      <c r="AN1480" s="31"/>
      <c r="AO1480" s="33"/>
    </row>
    <row r="1481" spans="1:41" ht="56" x14ac:dyDescent="0.25">
      <c r="A1481" s="20">
        <v>1336</v>
      </c>
      <c r="B1481" s="35" t="s">
        <v>2460</v>
      </c>
      <c r="C1481" s="22">
        <v>41.42</v>
      </c>
      <c r="D1481" s="25" t="s">
        <v>2509</v>
      </c>
      <c r="E1481" s="24" t="s">
        <v>2513</v>
      </c>
      <c r="F1481" s="21" t="s">
        <v>2511</v>
      </c>
      <c r="G1481" s="25" t="s">
        <v>45</v>
      </c>
      <c r="H1481" s="26">
        <v>1366</v>
      </c>
      <c r="I1481" s="26">
        <v>105</v>
      </c>
      <c r="J1481" s="31"/>
      <c r="K1481" s="31"/>
      <c r="L1481" s="31"/>
      <c r="M1481" s="31"/>
      <c r="N1481" s="31"/>
      <c r="O1481" s="31"/>
      <c r="P1481" s="31"/>
      <c r="Q1481" s="31"/>
      <c r="R1481" s="31"/>
      <c r="S1481" s="31"/>
      <c r="T1481" s="31"/>
      <c r="U1481" s="31"/>
      <c r="V1481" s="31"/>
      <c r="W1481" s="31"/>
      <c r="X1481" s="31"/>
      <c r="Y1481" s="31"/>
      <c r="Z1481" s="31"/>
      <c r="AA1481" s="31"/>
      <c r="AB1481" s="31"/>
      <c r="AC1481" s="31"/>
      <c r="AD1481" s="31"/>
      <c r="AE1481" s="31"/>
      <c r="AF1481" s="31"/>
      <c r="AG1481" s="31"/>
      <c r="AH1481" s="31"/>
      <c r="AI1481" s="31"/>
      <c r="AJ1481" s="31"/>
      <c r="AK1481" s="31"/>
      <c r="AL1481" s="28" t="str">
        <f>VLOOKUP($G1481,'[42]Sheet1 (2)'!$A$1:$B$1048440,2,FALSE)</f>
        <v>No.</v>
      </c>
      <c r="AM1481" s="32"/>
      <c r="AN1481" s="31"/>
      <c r="AO1481" s="33"/>
    </row>
    <row r="1482" spans="1:41" ht="56" x14ac:dyDescent="0.25">
      <c r="A1482" s="20">
        <v>1337</v>
      </c>
      <c r="B1482" s="35" t="s">
        <v>2460</v>
      </c>
      <c r="C1482" s="22">
        <v>41.43</v>
      </c>
      <c r="D1482" s="25" t="s">
        <v>2514</v>
      </c>
      <c r="E1482" s="24" t="s">
        <v>2515</v>
      </c>
      <c r="F1482" s="21" t="s">
        <v>2516</v>
      </c>
      <c r="G1482" s="25" t="s">
        <v>45</v>
      </c>
      <c r="H1482" s="26">
        <v>516</v>
      </c>
      <c r="I1482" s="26">
        <v>105</v>
      </c>
      <c r="J1482" s="31"/>
      <c r="K1482" s="31"/>
      <c r="L1482" s="31"/>
      <c r="M1482" s="31"/>
      <c r="N1482" s="31"/>
      <c r="O1482" s="31"/>
      <c r="P1482" s="31"/>
      <c r="Q1482" s="31"/>
      <c r="R1482" s="31"/>
      <c r="S1482" s="31"/>
      <c r="T1482" s="31"/>
      <c r="U1482" s="31"/>
      <c r="V1482" s="31"/>
      <c r="W1482" s="31"/>
      <c r="X1482" s="31"/>
      <c r="Y1482" s="31"/>
      <c r="Z1482" s="31"/>
      <c r="AA1482" s="31"/>
      <c r="AB1482" s="31"/>
      <c r="AC1482" s="31"/>
      <c r="AD1482" s="31"/>
      <c r="AE1482" s="31"/>
      <c r="AF1482" s="31"/>
      <c r="AG1482" s="31"/>
      <c r="AH1482" s="31"/>
      <c r="AI1482" s="31"/>
      <c r="AJ1482" s="31"/>
      <c r="AK1482" s="31"/>
      <c r="AL1482" s="28" t="str">
        <f>VLOOKUP($G1482,'[42]Sheet1 (2)'!$A$1:$B$1048440,2,FALSE)</f>
        <v>No.</v>
      </c>
      <c r="AM1482" s="32"/>
      <c r="AN1482" s="31"/>
      <c r="AO1482" s="33"/>
    </row>
    <row r="1483" spans="1:41" ht="56" x14ac:dyDescent="0.25">
      <c r="A1483" s="20">
        <v>1338</v>
      </c>
      <c r="B1483" s="35" t="s">
        <v>2460</v>
      </c>
      <c r="C1483" s="22">
        <v>41.44</v>
      </c>
      <c r="D1483" s="25" t="s">
        <v>2514</v>
      </c>
      <c r="E1483" s="24" t="s">
        <v>2517</v>
      </c>
      <c r="F1483" s="21" t="s">
        <v>2516</v>
      </c>
      <c r="G1483" s="25" t="s">
        <v>45</v>
      </c>
      <c r="H1483" s="26">
        <v>640</v>
      </c>
      <c r="I1483" s="26">
        <v>105</v>
      </c>
      <c r="J1483" s="31"/>
      <c r="K1483" s="31"/>
      <c r="L1483" s="31"/>
      <c r="M1483" s="31"/>
      <c r="N1483" s="31"/>
      <c r="O1483" s="31"/>
      <c r="P1483" s="31"/>
      <c r="Q1483" s="31"/>
      <c r="R1483" s="31"/>
      <c r="S1483" s="31"/>
      <c r="T1483" s="31"/>
      <c r="U1483" s="31"/>
      <c r="V1483" s="31"/>
      <c r="W1483" s="31"/>
      <c r="X1483" s="31"/>
      <c r="Y1483" s="31"/>
      <c r="Z1483" s="31"/>
      <c r="AA1483" s="31"/>
      <c r="AB1483" s="31"/>
      <c r="AC1483" s="31"/>
      <c r="AD1483" s="31"/>
      <c r="AE1483" s="31"/>
      <c r="AF1483" s="31"/>
      <c r="AG1483" s="31"/>
      <c r="AH1483" s="31"/>
      <c r="AI1483" s="31"/>
      <c r="AJ1483" s="31"/>
      <c r="AK1483" s="31"/>
      <c r="AL1483" s="28" t="str">
        <f>VLOOKUP($G1483,'[42]Sheet1 (2)'!$A$1:$B$1048440,2,FALSE)</f>
        <v>No.</v>
      </c>
      <c r="AM1483" s="32"/>
      <c r="AN1483" s="31"/>
      <c r="AO1483" s="33"/>
    </row>
    <row r="1484" spans="1:41" ht="56" x14ac:dyDescent="0.25">
      <c r="A1484" s="20">
        <v>1339</v>
      </c>
      <c r="B1484" s="92" t="s">
        <v>2470</v>
      </c>
      <c r="C1484" s="22">
        <v>41.45</v>
      </c>
      <c r="D1484" s="25" t="s">
        <v>2514</v>
      </c>
      <c r="E1484" s="24" t="s">
        <v>2518</v>
      </c>
      <c r="F1484" s="21" t="s">
        <v>2516</v>
      </c>
      <c r="G1484" s="25" t="s">
        <v>45</v>
      </c>
      <c r="H1484" s="26">
        <v>878</v>
      </c>
      <c r="I1484" s="26">
        <v>105</v>
      </c>
      <c r="J1484" s="31"/>
      <c r="K1484" s="31"/>
      <c r="L1484" s="31"/>
      <c r="M1484" s="31"/>
      <c r="N1484" s="31"/>
      <c r="O1484" s="31"/>
      <c r="P1484" s="31"/>
      <c r="Q1484" s="31"/>
      <c r="R1484" s="31"/>
      <c r="S1484" s="31"/>
      <c r="T1484" s="31"/>
      <c r="U1484" s="31"/>
      <c r="V1484" s="31"/>
      <c r="W1484" s="31"/>
      <c r="X1484" s="31"/>
      <c r="Y1484" s="31"/>
      <c r="Z1484" s="31"/>
      <c r="AA1484" s="31"/>
      <c r="AB1484" s="31"/>
      <c r="AC1484" s="31"/>
      <c r="AD1484" s="31"/>
      <c r="AE1484" s="31"/>
      <c r="AF1484" s="31"/>
      <c r="AG1484" s="31"/>
      <c r="AH1484" s="31"/>
      <c r="AI1484" s="31"/>
      <c r="AJ1484" s="31"/>
      <c r="AK1484" s="31"/>
      <c r="AL1484" s="28" t="str">
        <f>VLOOKUP($G1484,'[42]Sheet1 (2)'!$A$1:$B$1048440,2,FALSE)</f>
        <v>No.</v>
      </c>
      <c r="AM1484" s="32"/>
      <c r="AN1484" s="31"/>
      <c r="AO1484" s="33"/>
    </row>
    <row r="1485" spans="1:41" ht="42.75" customHeight="1" x14ac:dyDescent="0.25">
      <c r="A1485" s="20">
        <v>1340</v>
      </c>
      <c r="B1485" s="35" t="s">
        <v>2460</v>
      </c>
      <c r="C1485" s="22">
        <v>41.46</v>
      </c>
      <c r="D1485" s="25" t="s">
        <v>2514</v>
      </c>
      <c r="E1485" s="24" t="s">
        <v>2519</v>
      </c>
      <c r="F1485" s="21" t="s">
        <v>2516</v>
      </c>
      <c r="G1485" s="25" t="s">
        <v>45</v>
      </c>
      <c r="H1485" s="26">
        <v>981</v>
      </c>
      <c r="I1485" s="26">
        <v>117</v>
      </c>
      <c r="J1485" s="31"/>
      <c r="K1485" s="31"/>
      <c r="L1485" s="31"/>
      <c r="M1485" s="31"/>
      <c r="N1485" s="31"/>
      <c r="O1485" s="31"/>
      <c r="P1485" s="31"/>
      <c r="Q1485" s="31"/>
      <c r="R1485" s="31"/>
      <c r="S1485" s="31"/>
      <c r="T1485" s="31"/>
      <c r="U1485" s="31"/>
      <c r="V1485" s="31"/>
      <c r="W1485" s="31"/>
      <c r="X1485" s="31"/>
      <c r="Y1485" s="31"/>
      <c r="Z1485" s="31"/>
      <c r="AA1485" s="31"/>
      <c r="AB1485" s="31"/>
      <c r="AC1485" s="31"/>
      <c r="AD1485" s="31"/>
      <c r="AE1485" s="31"/>
      <c r="AF1485" s="31"/>
      <c r="AG1485" s="31"/>
      <c r="AH1485" s="31"/>
      <c r="AI1485" s="31"/>
      <c r="AJ1485" s="31"/>
      <c r="AK1485" s="31"/>
      <c r="AL1485" s="28" t="str">
        <f>VLOOKUP($G1485,'[42]Sheet1 (2)'!$A$1:$B$1048440,2,FALSE)</f>
        <v>No.</v>
      </c>
      <c r="AM1485" s="32"/>
      <c r="AN1485" s="31"/>
      <c r="AO1485" s="33"/>
    </row>
    <row r="1486" spans="1:41" ht="42.75" customHeight="1" x14ac:dyDescent="0.25">
      <c r="A1486" s="20">
        <v>1341</v>
      </c>
      <c r="B1486" s="35" t="s">
        <v>2460</v>
      </c>
      <c r="C1486" s="22">
        <v>41.47</v>
      </c>
      <c r="D1486" s="25" t="s">
        <v>2514</v>
      </c>
      <c r="E1486" s="24" t="s">
        <v>2520</v>
      </c>
      <c r="F1486" s="21" t="s">
        <v>2516</v>
      </c>
      <c r="G1486" s="25" t="s">
        <v>45</v>
      </c>
      <c r="H1486" s="26">
        <v>1171</v>
      </c>
      <c r="I1486" s="26">
        <v>117</v>
      </c>
      <c r="J1486" s="31"/>
      <c r="K1486" s="31"/>
      <c r="L1486" s="31"/>
      <c r="M1486" s="31"/>
      <c r="N1486" s="31"/>
      <c r="O1486" s="31"/>
      <c r="P1486" s="31"/>
      <c r="Q1486" s="31"/>
      <c r="R1486" s="31"/>
      <c r="S1486" s="31"/>
      <c r="T1486" s="31"/>
      <c r="U1486" s="31"/>
      <c r="V1486" s="31"/>
      <c r="W1486" s="31"/>
      <c r="X1486" s="31"/>
      <c r="Y1486" s="31"/>
      <c r="Z1486" s="31"/>
      <c r="AA1486" s="31"/>
      <c r="AB1486" s="31"/>
      <c r="AC1486" s="31"/>
      <c r="AD1486" s="31"/>
      <c r="AE1486" s="31"/>
      <c r="AF1486" s="31"/>
      <c r="AG1486" s="31"/>
      <c r="AH1486" s="31"/>
      <c r="AI1486" s="31"/>
      <c r="AJ1486" s="31"/>
      <c r="AK1486" s="31"/>
      <c r="AL1486" s="28" t="str">
        <f>VLOOKUP($G1486,'[42]Sheet1 (2)'!$A$1:$B$1048440,2,FALSE)</f>
        <v>No.</v>
      </c>
      <c r="AM1486" s="32"/>
      <c r="AN1486" s="31"/>
      <c r="AO1486" s="33"/>
    </row>
    <row r="1487" spans="1:41" ht="42.75" customHeight="1" x14ac:dyDescent="0.25">
      <c r="A1487" s="20">
        <v>1342</v>
      </c>
      <c r="B1487" s="35" t="s">
        <v>2460</v>
      </c>
      <c r="C1487" s="22">
        <v>41.48</v>
      </c>
      <c r="D1487" s="25" t="s">
        <v>2514</v>
      </c>
      <c r="E1487" s="24" t="s">
        <v>2521</v>
      </c>
      <c r="F1487" s="21" t="s">
        <v>2516</v>
      </c>
      <c r="G1487" s="25" t="s">
        <v>45</v>
      </c>
      <c r="H1487" s="26">
        <v>1993</v>
      </c>
      <c r="I1487" s="26">
        <v>141</v>
      </c>
      <c r="J1487" s="31"/>
      <c r="K1487" s="31"/>
      <c r="L1487" s="31"/>
      <c r="M1487" s="31"/>
      <c r="N1487" s="31"/>
      <c r="O1487" s="31"/>
      <c r="P1487" s="31"/>
      <c r="Q1487" s="31"/>
      <c r="R1487" s="31"/>
      <c r="S1487" s="31"/>
      <c r="T1487" s="31"/>
      <c r="U1487" s="31"/>
      <c r="V1487" s="31"/>
      <c r="W1487" s="31"/>
      <c r="X1487" s="31"/>
      <c r="Y1487" s="31"/>
      <c r="Z1487" s="31"/>
      <c r="AA1487" s="31"/>
      <c r="AB1487" s="31"/>
      <c r="AC1487" s="31"/>
      <c r="AD1487" s="31"/>
      <c r="AE1487" s="31"/>
      <c r="AF1487" s="31"/>
      <c r="AG1487" s="31"/>
      <c r="AH1487" s="31"/>
      <c r="AI1487" s="31"/>
      <c r="AJ1487" s="31"/>
      <c r="AK1487" s="31"/>
      <c r="AL1487" s="28" t="str">
        <f>VLOOKUP($G1487,'[42]Sheet1 (2)'!$A$1:$B$1048440,2,FALSE)</f>
        <v>No.</v>
      </c>
      <c r="AM1487" s="32"/>
      <c r="AN1487" s="31"/>
      <c r="AO1487" s="33"/>
    </row>
    <row r="1488" spans="1:41" ht="42.75" customHeight="1" x14ac:dyDescent="0.25">
      <c r="A1488" s="20">
        <v>1343</v>
      </c>
      <c r="B1488" s="35" t="s">
        <v>2460</v>
      </c>
      <c r="C1488" s="22">
        <v>41.49</v>
      </c>
      <c r="D1488" s="25" t="s">
        <v>2514</v>
      </c>
      <c r="E1488" s="24" t="s">
        <v>2522</v>
      </c>
      <c r="F1488" s="21" t="s">
        <v>2516</v>
      </c>
      <c r="G1488" s="25" t="s">
        <v>45</v>
      </c>
      <c r="H1488" s="26">
        <v>2713</v>
      </c>
      <c r="I1488" s="26">
        <v>141</v>
      </c>
      <c r="J1488" s="31"/>
      <c r="K1488" s="31"/>
      <c r="L1488" s="31"/>
      <c r="M1488" s="31"/>
      <c r="N1488" s="31"/>
      <c r="O1488" s="31"/>
      <c r="P1488" s="31"/>
      <c r="Q1488" s="31"/>
      <c r="R1488" s="31"/>
      <c r="S1488" s="31"/>
      <c r="T1488" s="31"/>
      <c r="U1488" s="31"/>
      <c r="V1488" s="31"/>
      <c r="W1488" s="31"/>
      <c r="X1488" s="31"/>
      <c r="Y1488" s="31"/>
      <c r="Z1488" s="31"/>
      <c r="AA1488" s="31"/>
      <c r="AB1488" s="31"/>
      <c r="AC1488" s="31"/>
      <c r="AD1488" s="31"/>
      <c r="AE1488" s="31"/>
      <c r="AF1488" s="31"/>
      <c r="AG1488" s="31"/>
      <c r="AH1488" s="31"/>
      <c r="AI1488" s="31"/>
      <c r="AJ1488" s="31"/>
      <c r="AK1488" s="31"/>
      <c r="AL1488" s="28" t="str">
        <f>VLOOKUP($G1488,'[42]Sheet1 (2)'!$A$1:$B$1048440,2,FALSE)</f>
        <v>No.</v>
      </c>
      <c r="AM1488" s="32"/>
      <c r="AN1488" s="31"/>
      <c r="AO1488" s="33"/>
    </row>
    <row r="1489" spans="1:41" ht="56" x14ac:dyDescent="0.25">
      <c r="A1489" s="20">
        <v>1344</v>
      </c>
      <c r="B1489" s="35" t="s">
        <v>2460</v>
      </c>
      <c r="C1489" s="22">
        <v>41.5</v>
      </c>
      <c r="D1489" s="25" t="s">
        <v>2514</v>
      </c>
      <c r="E1489" s="24" t="s">
        <v>2523</v>
      </c>
      <c r="F1489" s="21" t="s">
        <v>2516</v>
      </c>
      <c r="G1489" s="25" t="s">
        <v>45</v>
      </c>
      <c r="H1489" s="26">
        <v>4290</v>
      </c>
      <c r="I1489" s="26">
        <v>141</v>
      </c>
      <c r="J1489" s="31"/>
      <c r="K1489" s="31"/>
      <c r="L1489" s="31"/>
      <c r="M1489" s="31"/>
      <c r="N1489" s="31"/>
      <c r="O1489" s="31"/>
      <c r="P1489" s="31"/>
      <c r="Q1489" s="31"/>
      <c r="R1489" s="31"/>
      <c r="S1489" s="31"/>
      <c r="T1489" s="31"/>
      <c r="U1489" s="31"/>
      <c r="V1489" s="31"/>
      <c r="W1489" s="31"/>
      <c r="X1489" s="31"/>
      <c r="Y1489" s="31"/>
      <c r="Z1489" s="31"/>
      <c r="AA1489" s="31"/>
      <c r="AB1489" s="31"/>
      <c r="AC1489" s="31"/>
      <c r="AD1489" s="31"/>
      <c r="AE1489" s="31"/>
      <c r="AF1489" s="31"/>
      <c r="AG1489" s="31"/>
      <c r="AH1489" s="31"/>
      <c r="AI1489" s="31"/>
      <c r="AJ1489" s="31"/>
      <c r="AK1489" s="31"/>
      <c r="AL1489" s="28" t="str">
        <f>VLOOKUP($G1489,'[42]Sheet1 (2)'!$A$1:$B$1048440,2,FALSE)</f>
        <v>No.</v>
      </c>
      <c r="AM1489" s="32"/>
      <c r="AN1489" s="31"/>
      <c r="AO1489" s="33"/>
    </row>
    <row r="1490" spans="1:41" ht="70" x14ac:dyDescent="0.25">
      <c r="A1490" s="20">
        <v>1345</v>
      </c>
      <c r="B1490" s="35" t="s">
        <v>2460</v>
      </c>
      <c r="C1490" s="22">
        <v>41.51</v>
      </c>
      <c r="D1490" s="25" t="s">
        <v>2524</v>
      </c>
      <c r="E1490" s="24" t="s">
        <v>2525</v>
      </c>
      <c r="F1490" s="92" t="s">
        <v>2526</v>
      </c>
      <c r="G1490" s="25" t="s">
        <v>45</v>
      </c>
      <c r="H1490" s="26">
        <v>528</v>
      </c>
      <c r="I1490" s="26">
        <v>105</v>
      </c>
      <c r="J1490" s="31"/>
      <c r="K1490" s="31"/>
      <c r="L1490" s="31"/>
      <c r="M1490" s="31"/>
      <c r="N1490" s="31"/>
      <c r="O1490" s="31"/>
      <c r="P1490" s="31"/>
      <c r="Q1490" s="31"/>
      <c r="R1490" s="31"/>
      <c r="S1490" s="31"/>
      <c r="T1490" s="31"/>
      <c r="U1490" s="31"/>
      <c r="V1490" s="31"/>
      <c r="W1490" s="31"/>
      <c r="X1490" s="31"/>
      <c r="Y1490" s="31"/>
      <c r="Z1490" s="31"/>
      <c r="AA1490" s="31"/>
      <c r="AB1490" s="31"/>
      <c r="AC1490" s="31"/>
      <c r="AD1490" s="31"/>
      <c r="AE1490" s="31"/>
      <c r="AF1490" s="31"/>
      <c r="AG1490" s="31"/>
      <c r="AH1490" s="31"/>
      <c r="AI1490" s="31"/>
      <c r="AJ1490" s="31"/>
      <c r="AK1490" s="31"/>
      <c r="AL1490" s="28" t="str">
        <f>VLOOKUP($G1490,'[42]Sheet1 (2)'!$A$1:$B$1048440,2,FALSE)</f>
        <v>No.</v>
      </c>
      <c r="AM1490" s="32"/>
      <c r="AN1490" s="31"/>
      <c r="AO1490" s="33"/>
    </row>
    <row r="1491" spans="1:41" ht="42" x14ac:dyDescent="0.25">
      <c r="A1491" s="20">
        <v>1346</v>
      </c>
      <c r="B1491" s="92" t="s">
        <v>2470</v>
      </c>
      <c r="C1491" s="22">
        <v>41.52</v>
      </c>
      <c r="D1491" s="25" t="s">
        <v>2527</v>
      </c>
      <c r="E1491" s="24" t="s">
        <v>2528</v>
      </c>
      <c r="F1491" s="24" t="s">
        <v>2529</v>
      </c>
      <c r="G1491" s="25" t="s">
        <v>45</v>
      </c>
      <c r="H1491" s="26">
        <v>464</v>
      </c>
      <c r="I1491" s="26">
        <v>16</v>
      </c>
      <c r="J1491" s="31"/>
      <c r="K1491" s="31"/>
      <c r="L1491" s="31"/>
      <c r="M1491" s="31"/>
      <c r="N1491" s="31"/>
      <c r="O1491" s="31"/>
      <c r="P1491" s="31"/>
      <c r="Q1491" s="31"/>
      <c r="R1491" s="31"/>
      <c r="S1491" s="31"/>
      <c r="T1491" s="31"/>
      <c r="U1491" s="31"/>
      <c r="V1491" s="31"/>
      <c r="W1491" s="31"/>
      <c r="X1491" s="31"/>
      <c r="Y1491" s="31"/>
      <c r="Z1491" s="31"/>
      <c r="AA1491" s="31"/>
      <c r="AB1491" s="31"/>
      <c r="AC1491" s="31"/>
      <c r="AD1491" s="31"/>
      <c r="AE1491" s="31"/>
      <c r="AF1491" s="31"/>
      <c r="AG1491" s="31"/>
      <c r="AH1491" s="31"/>
      <c r="AI1491" s="31"/>
      <c r="AJ1491" s="31"/>
      <c r="AK1491" s="31"/>
      <c r="AL1491" s="28" t="str">
        <f>VLOOKUP($G1491,'[42]Sheet1 (2)'!$A$1:$B$1048440,2,FALSE)</f>
        <v>No.</v>
      </c>
      <c r="AM1491" s="32"/>
      <c r="AN1491" s="31"/>
      <c r="AO1491" s="33"/>
    </row>
    <row r="1492" spans="1:41" ht="70" x14ac:dyDescent="0.25">
      <c r="A1492" s="20">
        <v>1347</v>
      </c>
      <c r="B1492" s="35" t="s">
        <v>2460</v>
      </c>
      <c r="C1492" s="22">
        <v>41.53</v>
      </c>
      <c r="D1492" s="25" t="s">
        <v>2527</v>
      </c>
      <c r="E1492" s="24" t="s">
        <v>2530</v>
      </c>
      <c r="F1492" s="92" t="s">
        <v>2531</v>
      </c>
      <c r="G1492" s="25" t="s">
        <v>45</v>
      </c>
      <c r="H1492" s="26">
        <v>539</v>
      </c>
      <c r="I1492" s="26">
        <v>156</v>
      </c>
      <c r="J1492" s="31"/>
      <c r="K1492" s="31"/>
      <c r="L1492" s="31"/>
      <c r="M1492" s="31"/>
      <c r="N1492" s="31"/>
      <c r="O1492" s="31"/>
      <c r="P1492" s="31"/>
      <c r="Q1492" s="31"/>
      <c r="R1492" s="31"/>
      <c r="S1492" s="31"/>
      <c r="T1492" s="31"/>
      <c r="U1492" s="31"/>
      <c r="V1492" s="31"/>
      <c r="W1492" s="31"/>
      <c r="X1492" s="31"/>
      <c r="Y1492" s="31"/>
      <c r="Z1492" s="31"/>
      <c r="AA1492" s="31"/>
      <c r="AB1492" s="31"/>
      <c r="AC1492" s="31"/>
      <c r="AD1492" s="31"/>
      <c r="AE1492" s="31"/>
      <c r="AF1492" s="31"/>
      <c r="AG1492" s="31"/>
      <c r="AH1492" s="31"/>
      <c r="AI1492" s="31"/>
      <c r="AJ1492" s="31"/>
      <c r="AK1492" s="31"/>
      <c r="AL1492" s="28" t="str">
        <f>VLOOKUP($G1492,'[42]Sheet1 (2)'!$A$1:$B$1048440,2,FALSE)</f>
        <v>No.</v>
      </c>
      <c r="AM1492" s="32"/>
      <c r="AN1492" s="31"/>
      <c r="AO1492" s="33"/>
    </row>
    <row r="1493" spans="1:41" ht="42" x14ac:dyDescent="0.25">
      <c r="A1493" s="20">
        <v>1348</v>
      </c>
      <c r="B1493" s="92" t="s">
        <v>2470</v>
      </c>
      <c r="C1493" s="22">
        <v>41.54</v>
      </c>
      <c r="D1493" s="25" t="s">
        <v>2532</v>
      </c>
      <c r="E1493" s="24" t="s">
        <v>2533</v>
      </c>
      <c r="F1493" s="24" t="s">
        <v>2090</v>
      </c>
      <c r="G1493" s="25" t="s">
        <v>45</v>
      </c>
      <c r="H1493" s="26">
        <v>454</v>
      </c>
      <c r="I1493" s="26">
        <v>156</v>
      </c>
      <c r="J1493" s="31"/>
      <c r="K1493" s="31"/>
      <c r="L1493" s="31"/>
      <c r="M1493" s="31"/>
      <c r="N1493" s="31"/>
      <c r="O1493" s="31"/>
      <c r="P1493" s="31"/>
      <c r="Q1493" s="31"/>
      <c r="R1493" s="31"/>
      <c r="S1493" s="31"/>
      <c r="T1493" s="31"/>
      <c r="U1493" s="31"/>
      <c r="V1493" s="31"/>
      <c r="W1493" s="31"/>
      <c r="X1493" s="31"/>
      <c r="Y1493" s="31"/>
      <c r="Z1493" s="31"/>
      <c r="AA1493" s="31"/>
      <c r="AB1493" s="31"/>
      <c r="AC1493" s="31"/>
      <c r="AD1493" s="31"/>
      <c r="AE1493" s="31"/>
      <c r="AF1493" s="31"/>
      <c r="AG1493" s="31"/>
      <c r="AH1493" s="31"/>
      <c r="AI1493" s="31"/>
      <c r="AJ1493" s="31"/>
      <c r="AK1493" s="31"/>
      <c r="AL1493" s="28" t="str">
        <f>VLOOKUP($G1493,'[42]Sheet1 (2)'!$A$1:$B$1048440,2,FALSE)</f>
        <v>No.</v>
      </c>
      <c r="AM1493" s="32"/>
      <c r="AN1493" s="31"/>
      <c r="AO1493" s="33"/>
    </row>
    <row r="1494" spans="1:41" ht="56" x14ac:dyDescent="0.25">
      <c r="A1494" s="20">
        <v>1349</v>
      </c>
      <c r="B1494" s="35" t="s">
        <v>2460</v>
      </c>
      <c r="C1494" s="22">
        <v>41.55</v>
      </c>
      <c r="D1494" s="25" t="s">
        <v>2532</v>
      </c>
      <c r="E1494" s="24" t="s">
        <v>2534</v>
      </c>
      <c r="F1494" s="35" t="s">
        <v>2535</v>
      </c>
      <c r="G1494" s="25" t="s">
        <v>45</v>
      </c>
      <c r="H1494" s="26">
        <v>466</v>
      </c>
      <c r="I1494" s="26">
        <v>156</v>
      </c>
      <c r="J1494" s="31"/>
      <c r="K1494" s="31"/>
      <c r="L1494" s="31"/>
      <c r="M1494" s="31"/>
      <c r="N1494" s="31"/>
      <c r="O1494" s="31"/>
      <c r="P1494" s="31"/>
      <c r="Q1494" s="31"/>
      <c r="R1494" s="31"/>
      <c r="S1494" s="31"/>
      <c r="T1494" s="31"/>
      <c r="U1494" s="31"/>
      <c r="V1494" s="31"/>
      <c r="W1494" s="31"/>
      <c r="X1494" s="31"/>
      <c r="Y1494" s="31"/>
      <c r="Z1494" s="31"/>
      <c r="AA1494" s="31"/>
      <c r="AB1494" s="31"/>
      <c r="AC1494" s="31"/>
      <c r="AD1494" s="31"/>
      <c r="AE1494" s="31"/>
      <c r="AF1494" s="31"/>
      <c r="AG1494" s="31"/>
      <c r="AH1494" s="31"/>
      <c r="AI1494" s="31"/>
      <c r="AJ1494" s="31"/>
      <c r="AK1494" s="31"/>
      <c r="AL1494" s="28" t="str">
        <f>VLOOKUP($G1494,'[42]Sheet1 (2)'!$A$1:$B$1048440,2,FALSE)</f>
        <v>No.</v>
      </c>
      <c r="AM1494" s="32"/>
      <c r="AN1494" s="31"/>
      <c r="AO1494" s="33"/>
    </row>
    <row r="1495" spans="1:41" ht="84" x14ac:dyDescent="0.25">
      <c r="A1495" s="20">
        <v>1350</v>
      </c>
      <c r="B1495" s="25" t="s">
        <v>2456</v>
      </c>
      <c r="C1495" s="22">
        <v>41.56</v>
      </c>
      <c r="D1495" s="25" t="s">
        <v>2536</v>
      </c>
      <c r="E1495" s="24" t="s">
        <v>3790</v>
      </c>
      <c r="F1495" s="24" t="s">
        <v>2537</v>
      </c>
      <c r="G1495" s="21" t="s">
        <v>80</v>
      </c>
      <c r="H1495" s="26">
        <v>1128</v>
      </c>
      <c r="I1495" s="26">
        <v>587</v>
      </c>
      <c r="J1495" s="232">
        <f>0.1/20</f>
        <v>5.0000000000000001E-3</v>
      </c>
      <c r="K1495" s="232"/>
      <c r="L1495" s="232"/>
      <c r="M1495" s="232"/>
      <c r="N1495" s="232"/>
      <c r="O1495" s="232"/>
      <c r="P1495" s="232">
        <v>0.01</v>
      </c>
      <c r="Q1495" s="232"/>
      <c r="R1495" s="31"/>
      <c r="S1495" s="31"/>
      <c r="T1495" s="31"/>
      <c r="U1495" s="31"/>
      <c r="V1495" s="31"/>
      <c r="W1495" s="31"/>
      <c r="X1495" s="31"/>
      <c r="Y1495" s="31"/>
      <c r="Z1495" s="31"/>
      <c r="AA1495" s="31"/>
      <c r="AB1495" s="31"/>
      <c r="AC1495" s="31"/>
      <c r="AD1495" s="31"/>
      <c r="AE1495" s="31"/>
      <c r="AF1495" s="31"/>
      <c r="AG1495" s="31"/>
      <c r="AH1495" s="31"/>
      <c r="AI1495" s="31"/>
      <c r="AJ1495" s="31"/>
      <c r="AK1495" s="31"/>
      <c r="AL1495" s="28" t="str">
        <f>VLOOKUP($G1495,'[42]Sheet1 (2)'!$A$1:$B$1048440,2,FALSE)</f>
        <v>Rmt.</v>
      </c>
      <c r="AM1495" s="32" t="s">
        <v>2538</v>
      </c>
      <c r="AN1495" s="31"/>
      <c r="AO1495" s="33"/>
    </row>
    <row r="1496" spans="1:41" ht="84" x14ac:dyDescent="0.25">
      <c r="A1496" s="20">
        <v>1351</v>
      </c>
      <c r="B1496" s="25" t="s">
        <v>2456</v>
      </c>
      <c r="C1496" s="22">
        <v>41.57</v>
      </c>
      <c r="D1496" s="25" t="s">
        <v>2539</v>
      </c>
      <c r="E1496" s="24" t="s">
        <v>2540</v>
      </c>
      <c r="F1496" s="24" t="s">
        <v>2541</v>
      </c>
      <c r="G1496" s="25" t="s">
        <v>45</v>
      </c>
      <c r="H1496" s="26">
        <v>9774</v>
      </c>
      <c r="I1496" s="26">
        <v>1251</v>
      </c>
      <c r="J1496" s="232">
        <f>0.1/20</f>
        <v>5.0000000000000001E-3</v>
      </c>
      <c r="K1496" s="232"/>
      <c r="L1496" s="232"/>
      <c r="M1496" s="232"/>
      <c r="N1496" s="232"/>
      <c r="O1496" s="232"/>
      <c r="P1496" s="232">
        <v>0.01</v>
      </c>
      <c r="Q1496" s="232"/>
      <c r="R1496" s="31"/>
      <c r="S1496" s="31"/>
      <c r="T1496" s="31"/>
      <c r="U1496" s="31"/>
      <c r="V1496" s="31"/>
      <c r="W1496" s="31"/>
      <c r="X1496" s="31"/>
      <c r="Y1496" s="31"/>
      <c r="Z1496" s="31"/>
      <c r="AA1496" s="31"/>
      <c r="AB1496" s="31"/>
      <c r="AC1496" s="31"/>
      <c r="AD1496" s="31"/>
      <c r="AE1496" s="31"/>
      <c r="AF1496" s="31"/>
      <c r="AG1496" s="31"/>
      <c r="AH1496" s="31"/>
      <c r="AI1496" s="31"/>
      <c r="AJ1496" s="31"/>
      <c r="AK1496" s="31"/>
      <c r="AL1496" s="28" t="str">
        <f>VLOOKUP($G1496,'[42]Sheet1 (2)'!$A$1:$B$1048440,2,FALSE)</f>
        <v>No.</v>
      </c>
      <c r="AM1496" s="32" t="s">
        <v>2542</v>
      </c>
      <c r="AN1496" s="31"/>
      <c r="AO1496" s="33"/>
    </row>
    <row r="1497" spans="1:41" ht="98" x14ac:dyDescent="0.25">
      <c r="A1497" s="20">
        <v>1352</v>
      </c>
      <c r="B1497" s="25" t="s">
        <v>2456</v>
      </c>
      <c r="C1497" s="22">
        <v>41.58</v>
      </c>
      <c r="D1497" s="25" t="s">
        <v>2539</v>
      </c>
      <c r="E1497" s="23" t="s">
        <v>2543</v>
      </c>
      <c r="F1497" s="24" t="s">
        <v>2541</v>
      </c>
      <c r="G1497" s="25" t="s">
        <v>45</v>
      </c>
      <c r="H1497" s="26">
        <v>4173</v>
      </c>
      <c r="I1497" s="26">
        <v>1154</v>
      </c>
      <c r="J1497" s="232">
        <f>0.1/20</f>
        <v>5.0000000000000001E-3</v>
      </c>
      <c r="K1497" s="232"/>
      <c r="L1497" s="232"/>
      <c r="M1497" s="232"/>
      <c r="N1497" s="232"/>
      <c r="O1497" s="232"/>
      <c r="P1497" s="232">
        <v>0.01</v>
      </c>
      <c r="Q1497" s="232"/>
      <c r="R1497" s="31"/>
      <c r="S1497" s="31"/>
      <c r="T1497" s="31"/>
      <c r="U1497" s="31"/>
      <c r="V1497" s="31"/>
      <c r="W1497" s="31"/>
      <c r="X1497" s="31"/>
      <c r="Y1497" s="31"/>
      <c r="Z1497" s="31"/>
      <c r="AA1497" s="31"/>
      <c r="AB1497" s="31"/>
      <c r="AC1497" s="31"/>
      <c r="AD1497" s="31"/>
      <c r="AE1497" s="31"/>
      <c r="AF1497" s="31"/>
      <c r="AG1497" s="31"/>
      <c r="AH1497" s="31"/>
      <c r="AI1497" s="31"/>
      <c r="AJ1497" s="31"/>
      <c r="AK1497" s="31"/>
      <c r="AL1497" s="28" t="str">
        <f>VLOOKUP($G1497,'[42]Sheet1 (2)'!$A$1:$B$1048440,2,FALSE)</f>
        <v>No.</v>
      </c>
      <c r="AM1497" s="32" t="s">
        <v>2538</v>
      </c>
      <c r="AN1497" s="31"/>
      <c r="AO1497" s="33"/>
    </row>
    <row r="1498" spans="1:41" ht="84" x14ac:dyDescent="0.25">
      <c r="A1498" s="20">
        <v>1353</v>
      </c>
      <c r="B1498" s="25" t="s">
        <v>2456</v>
      </c>
      <c r="C1498" s="22">
        <v>41.59</v>
      </c>
      <c r="D1498" s="25" t="s">
        <v>2539</v>
      </c>
      <c r="E1498" s="24" t="s">
        <v>2544</v>
      </c>
      <c r="F1498" s="24" t="s">
        <v>2541</v>
      </c>
      <c r="G1498" s="25" t="s">
        <v>45</v>
      </c>
      <c r="H1498" s="26">
        <v>10194</v>
      </c>
      <c r="I1498" s="26">
        <v>1623</v>
      </c>
      <c r="J1498" s="232">
        <f t="shared" ref="J1498:J1499" si="10">0.1/20</f>
        <v>5.0000000000000001E-3</v>
      </c>
      <c r="K1498" s="232"/>
      <c r="L1498" s="232"/>
      <c r="M1498" s="232"/>
      <c r="N1498" s="232"/>
      <c r="O1498" s="232"/>
      <c r="P1498" s="232">
        <v>0.01</v>
      </c>
      <c r="Q1498" s="31"/>
      <c r="R1498" s="31"/>
      <c r="S1498" s="31"/>
      <c r="T1498" s="31"/>
      <c r="U1498" s="31"/>
      <c r="V1498" s="31"/>
      <c r="W1498" s="31"/>
      <c r="X1498" s="31"/>
      <c r="Y1498" s="31"/>
      <c r="Z1498" s="31"/>
      <c r="AA1498" s="31"/>
      <c r="AB1498" s="31"/>
      <c r="AC1498" s="31"/>
      <c r="AD1498" s="31"/>
      <c r="AE1498" s="31"/>
      <c r="AF1498" s="31"/>
      <c r="AG1498" s="31"/>
      <c r="AH1498" s="31"/>
      <c r="AI1498" s="31"/>
      <c r="AJ1498" s="31"/>
      <c r="AK1498" s="31"/>
      <c r="AL1498" s="28" t="str">
        <f>VLOOKUP($G1498,'[42]Sheet1 (2)'!$A$1:$B$1048440,2,FALSE)</f>
        <v>No.</v>
      </c>
      <c r="AM1498" s="32" t="s">
        <v>2545</v>
      </c>
      <c r="AN1498" s="31"/>
      <c r="AO1498" s="33"/>
    </row>
    <row r="1499" spans="1:41" ht="84" x14ac:dyDescent="0.25">
      <c r="A1499" s="20">
        <v>1354</v>
      </c>
      <c r="B1499" s="25" t="s">
        <v>2456</v>
      </c>
      <c r="C1499" s="22">
        <v>41.6</v>
      </c>
      <c r="D1499" s="25" t="s">
        <v>2546</v>
      </c>
      <c r="E1499" s="24" t="s">
        <v>2547</v>
      </c>
      <c r="F1499" s="24" t="s">
        <v>2548</v>
      </c>
      <c r="G1499" s="25" t="s">
        <v>45</v>
      </c>
      <c r="H1499" s="26">
        <v>4788</v>
      </c>
      <c r="I1499" s="26">
        <v>1154</v>
      </c>
      <c r="J1499" s="232">
        <f t="shared" si="10"/>
        <v>5.0000000000000001E-3</v>
      </c>
      <c r="K1499" s="232"/>
      <c r="L1499" s="232"/>
      <c r="M1499" s="232"/>
      <c r="N1499" s="232"/>
      <c r="O1499" s="232"/>
      <c r="P1499" s="232">
        <v>0.01</v>
      </c>
      <c r="Q1499" s="31"/>
      <c r="R1499" s="31"/>
      <c r="S1499" s="31"/>
      <c r="T1499" s="31"/>
      <c r="U1499" s="31"/>
      <c r="V1499" s="31"/>
      <c r="W1499" s="31"/>
      <c r="X1499" s="31"/>
      <c r="Y1499" s="31"/>
      <c r="Z1499" s="31"/>
      <c r="AA1499" s="31"/>
      <c r="AB1499" s="31"/>
      <c r="AC1499" s="31"/>
      <c r="AD1499" s="31"/>
      <c r="AE1499" s="31"/>
      <c r="AF1499" s="31"/>
      <c r="AG1499" s="31"/>
      <c r="AH1499" s="31"/>
      <c r="AI1499" s="31"/>
      <c r="AJ1499" s="31"/>
      <c r="AK1499" s="31"/>
      <c r="AL1499" s="28" t="str">
        <f>VLOOKUP($G1499,'[42]Sheet1 (2)'!$A$1:$B$1048440,2,FALSE)</f>
        <v>No.</v>
      </c>
      <c r="AM1499" s="32" t="s">
        <v>2545</v>
      </c>
      <c r="AN1499" s="31"/>
      <c r="AO1499" s="33"/>
    </row>
    <row r="1500" spans="1:41" ht="98" x14ac:dyDescent="0.25">
      <c r="A1500" s="20">
        <v>1355</v>
      </c>
      <c r="B1500" s="25" t="s">
        <v>2456</v>
      </c>
      <c r="C1500" s="22">
        <v>41.61</v>
      </c>
      <c r="D1500" s="25" t="s">
        <v>2549</v>
      </c>
      <c r="E1500" s="23" t="s">
        <v>2550</v>
      </c>
      <c r="F1500" s="24" t="s">
        <v>2551</v>
      </c>
      <c r="G1500" s="25" t="s">
        <v>45</v>
      </c>
      <c r="H1500" s="26">
        <v>4788</v>
      </c>
      <c r="I1500" s="26">
        <v>1154</v>
      </c>
      <c r="J1500" s="232">
        <f>0.15/20</f>
        <v>7.4999999999999997E-3</v>
      </c>
      <c r="K1500" s="232"/>
      <c r="L1500" s="232">
        <v>0.02</v>
      </c>
      <c r="M1500" s="31"/>
      <c r="N1500" s="31"/>
      <c r="O1500" s="31"/>
      <c r="P1500" s="232">
        <v>0.02</v>
      </c>
      <c r="Q1500" s="31"/>
      <c r="R1500" s="31"/>
      <c r="S1500" s="31"/>
      <c r="T1500" s="31"/>
      <c r="U1500" s="31"/>
      <c r="V1500" s="31"/>
      <c r="W1500" s="31"/>
      <c r="X1500" s="31"/>
      <c r="Y1500" s="31"/>
      <c r="Z1500" s="31"/>
      <c r="AA1500" s="31"/>
      <c r="AB1500" s="31"/>
      <c r="AC1500" s="31"/>
      <c r="AD1500" s="31"/>
      <c r="AE1500" s="31"/>
      <c r="AF1500" s="31"/>
      <c r="AG1500" s="31"/>
      <c r="AH1500" s="31"/>
      <c r="AI1500" s="31"/>
      <c r="AJ1500" s="31"/>
      <c r="AK1500" s="31"/>
      <c r="AL1500" s="28" t="str">
        <f>VLOOKUP($G1500,'[42]Sheet1 (2)'!$A$1:$B$1048440,2,FALSE)</f>
        <v>No.</v>
      </c>
      <c r="AM1500" s="32" t="s">
        <v>2552</v>
      </c>
      <c r="AN1500" s="31"/>
      <c r="AO1500" s="33"/>
    </row>
    <row r="1501" spans="1:41" ht="42" x14ac:dyDescent="0.25">
      <c r="A1501" s="20">
        <v>1356</v>
      </c>
      <c r="B1501" s="35" t="s">
        <v>2460</v>
      </c>
      <c r="C1501" s="22">
        <v>41.62</v>
      </c>
      <c r="D1501" s="25" t="s">
        <v>2553</v>
      </c>
      <c r="E1501" s="24" t="s">
        <v>2554</v>
      </c>
      <c r="F1501" s="24" t="s">
        <v>2555</v>
      </c>
      <c r="G1501" s="21" t="s">
        <v>80</v>
      </c>
      <c r="H1501" s="26">
        <v>447</v>
      </c>
      <c r="I1501" s="26">
        <v>71</v>
      </c>
      <c r="J1501" s="232">
        <f t="shared" ref="J1501:J1511" si="11">0.1/20</f>
        <v>5.0000000000000001E-3</v>
      </c>
      <c r="K1501" s="31"/>
      <c r="L1501" s="31"/>
      <c r="M1501" s="31"/>
      <c r="N1501" s="31"/>
      <c r="O1501" s="31"/>
      <c r="P1501" s="232">
        <v>0.01</v>
      </c>
      <c r="Q1501" s="31"/>
      <c r="R1501" s="31"/>
      <c r="S1501" s="31"/>
      <c r="T1501" s="31"/>
      <c r="U1501" s="31"/>
      <c r="V1501" s="31"/>
      <c r="W1501" s="31"/>
      <c r="X1501" s="31"/>
      <c r="Y1501" s="31"/>
      <c r="Z1501" s="31"/>
      <c r="AA1501" s="31"/>
      <c r="AB1501" s="31"/>
      <c r="AC1501" s="31"/>
      <c r="AD1501" s="31"/>
      <c r="AE1501" s="31"/>
      <c r="AF1501" s="31"/>
      <c r="AG1501" s="31"/>
      <c r="AH1501" s="31"/>
      <c r="AI1501" s="31"/>
      <c r="AJ1501" s="31"/>
      <c r="AK1501" s="31"/>
      <c r="AL1501" s="28" t="str">
        <f>VLOOKUP($G1501,'[42]Sheet1 (2)'!$A$1:$B$1048440,2,FALSE)</f>
        <v>Rmt.</v>
      </c>
      <c r="AM1501" s="32" t="s">
        <v>2556</v>
      </c>
      <c r="AN1501" s="31"/>
      <c r="AO1501" s="33"/>
    </row>
    <row r="1502" spans="1:41" ht="98" x14ac:dyDescent="0.25">
      <c r="A1502" s="20">
        <v>1357</v>
      </c>
      <c r="B1502" s="25" t="s">
        <v>2456</v>
      </c>
      <c r="C1502" s="22">
        <v>41.63</v>
      </c>
      <c r="D1502" s="25" t="s">
        <v>2557</v>
      </c>
      <c r="E1502" s="23" t="s">
        <v>2558</v>
      </c>
      <c r="F1502" s="24" t="s">
        <v>2559</v>
      </c>
      <c r="G1502" s="25" t="s">
        <v>45</v>
      </c>
      <c r="H1502" s="26">
        <v>5599</v>
      </c>
      <c r="I1502" s="26">
        <v>1935</v>
      </c>
      <c r="J1502" s="232">
        <f t="shared" si="11"/>
        <v>5.0000000000000001E-3</v>
      </c>
      <c r="K1502" s="31"/>
      <c r="L1502" s="31"/>
      <c r="M1502" s="31"/>
      <c r="N1502" s="31"/>
      <c r="O1502" s="31"/>
      <c r="P1502" s="232">
        <v>0.01</v>
      </c>
      <c r="Q1502" s="31"/>
      <c r="R1502" s="31"/>
      <c r="S1502" s="31"/>
      <c r="T1502" s="31"/>
      <c r="U1502" s="31"/>
      <c r="V1502" s="31"/>
      <c r="W1502" s="31"/>
      <c r="X1502" s="31"/>
      <c r="Y1502" s="31"/>
      <c r="Z1502" s="31"/>
      <c r="AA1502" s="31"/>
      <c r="AB1502" s="31"/>
      <c r="AC1502" s="31"/>
      <c r="AD1502" s="31"/>
      <c r="AE1502" s="31"/>
      <c r="AF1502" s="31"/>
      <c r="AG1502" s="31"/>
      <c r="AH1502" s="31"/>
      <c r="AI1502" s="31"/>
      <c r="AJ1502" s="31"/>
      <c r="AK1502" s="31"/>
      <c r="AL1502" s="28" t="str">
        <f>VLOOKUP($G1502,'[42]Sheet1 (2)'!$A$1:$B$1048440,2,FALSE)</f>
        <v>No.</v>
      </c>
      <c r="AM1502" s="32" t="s">
        <v>2556</v>
      </c>
      <c r="AN1502" s="31"/>
      <c r="AO1502" s="33"/>
    </row>
    <row r="1503" spans="1:41" ht="84" x14ac:dyDescent="0.25">
      <c r="A1503" s="20">
        <v>1358</v>
      </c>
      <c r="B1503" s="25" t="s">
        <v>2456</v>
      </c>
      <c r="C1503" s="22">
        <v>41.64</v>
      </c>
      <c r="D1503" s="25" t="s">
        <v>2557</v>
      </c>
      <c r="E1503" s="24" t="s">
        <v>2560</v>
      </c>
      <c r="F1503" s="24" t="s">
        <v>2559</v>
      </c>
      <c r="G1503" s="25" t="s">
        <v>45</v>
      </c>
      <c r="H1503" s="26">
        <v>5750</v>
      </c>
      <c r="I1503" s="26">
        <v>1935</v>
      </c>
      <c r="J1503" s="232">
        <f t="shared" si="11"/>
        <v>5.0000000000000001E-3</v>
      </c>
      <c r="K1503" s="31"/>
      <c r="L1503" s="31"/>
      <c r="M1503" s="31"/>
      <c r="N1503" s="31"/>
      <c r="O1503" s="31"/>
      <c r="P1503" s="232">
        <v>0.01</v>
      </c>
      <c r="Q1503" s="31"/>
      <c r="R1503" s="31"/>
      <c r="S1503" s="31"/>
      <c r="T1503" s="31"/>
      <c r="U1503" s="31"/>
      <c r="V1503" s="31"/>
      <c r="W1503" s="31"/>
      <c r="X1503" s="31"/>
      <c r="Y1503" s="31"/>
      <c r="Z1503" s="31"/>
      <c r="AA1503" s="31"/>
      <c r="AB1503" s="31"/>
      <c r="AC1503" s="31"/>
      <c r="AD1503" s="31"/>
      <c r="AE1503" s="31"/>
      <c r="AF1503" s="31"/>
      <c r="AG1503" s="31"/>
      <c r="AH1503" s="31"/>
      <c r="AI1503" s="31"/>
      <c r="AJ1503" s="31"/>
      <c r="AK1503" s="31"/>
      <c r="AL1503" s="28" t="str">
        <f>VLOOKUP($G1503,'[42]Sheet1 (2)'!$A$1:$B$1048440,2,FALSE)</f>
        <v>No.</v>
      </c>
      <c r="AM1503" s="32" t="s">
        <v>2556</v>
      </c>
      <c r="AN1503" s="31"/>
      <c r="AO1503" s="33"/>
    </row>
    <row r="1504" spans="1:41" ht="84" x14ac:dyDescent="0.25">
      <c r="A1504" s="20">
        <v>1359</v>
      </c>
      <c r="B1504" s="25" t="s">
        <v>2456</v>
      </c>
      <c r="C1504" s="22">
        <v>41.65</v>
      </c>
      <c r="D1504" s="25" t="s">
        <v>2557</v>
      </c>
      <c r="E1504" s="23" t="s">
        <v>2561</v>
      </c>
      <c r="F1504" s="24" t="s">
        <v>2559</v>
      </c>
      <c r="G1504" s="25" t="s">
        <v>45</v>
      </c>
      <c r="H1504" s="26">
        <v>7015</v>
      </c>
      <c r="I1504" s="26">
        <v>1935</v>
      </c>
      <c r="J1504" s="232">
        <f t="shared" si="11"/>
        <v>5.0000000000000001E-3</v>
      </c>
      <c r="K1504" s="31"/>
      <c r="L1504" s="31"/>
      <c r="M1504" s="31"/>
      <c r="N1504" s="31"/>
      <c r="O1504" s="31"/>
      <c r="P1504" s="232">
        <v>0.01</v>
      </c>
      <c r="Q1504" s="31"/>
      <c r="R1504" s="31"/>
      <c r="S1504" s="31"/>
      <c r="T1504" s="31"/>
      <c r="U1504" s="31"/>
      <c r="V1504" s="31"/>
      <c r="W1504" s="31"/>
      <c r="X1504" s="31"/>
      <c r="Y1504" s="31"/>
      <c r="Z1504" s="31"/>
      <c r="AA1504" s="31"/>
      <c r="AB1504" s="31"/>
      <c r="AC1504" s="31"/>
      <c r="AD1504" s="31"/>
      <c r="AE1504" s="31"/>
      <c r="AF1504" s="31"/>
      <c r="AG1504" s="31"/>
      <c r="AH1504" s="31"/>
      <c r="AI1504" s="31"/>
      <c r="AJ1504" s="31"/>
      <c r="AK1504" s="31"/>
      <c r="AL1504" s="28" t="str">
        <f>VLOOKUP($G1504,'[42]Sheet1 (2)'!$A$1:$B$1048440,2,FALSE)</f>
        <v>No.</v>
      </c>
      <c r="AM1504" s="32" t="s">
        <v>2556</v>
      </c>
      <c r="AN1504" s="31"/>
      <c r="AO1504" s="33"/>
    </row>
    <row r="1505" spans="1:41" ht="84" x14ac:dyDescent="0.25">
      <c r="A1505" s="20">
        <v>1360</v>
      </c>
      <c r="B1505" s="25" t="s">
        <v>2456</v>
      </c>
      <c r="C1505" s="22">
        <v>41.66</v>
      </c>
      <c r="D1505" s="25" t="s">
        <v>2557</v>
      </c>
      <c r="E1505" s="24" t="s">
        <v>2562</v>
      </c>
      <c r="F1505" s="24" t="s">
        <v>2559</v>
      </c>
      <c r="G1505" s="25" t="s">
        <v>45</v>
      </c>
      <c r="H1505" s="26">
        <v>5986</v>
      </c>
      <c r="I1505" s="26">
        <v>1935</v>
      </c>
      <c r="J1505" s="232">
        <f t="shared" si="11"/>
        <v>5.0000000000000001E-3</v>
      </c>
      <c r="K1505" s="31"/>
      <c r="L1505" s="31"/>
      <c r="M1505" s="31"/>
      <c r="N1505" s="31"/>
      <c r="O1505" s="31"/>
      <c r="P1505" s="232">
        <v>0.01</v>
      </c>
      <c r="Q1505" s="31"/>
      <c r="R1505" s="31"/>
      <c r="S1505" s="31"/>
      <c r="T1505" s="31"/>
      <c r="U1505" s="31"/>
      <c r="V1505" s="31"/>
      <c r="W1505" s="31"/>
      <c r="X1505" s="31"/>
      <c r="Y1505" s="31"/>
      <c r="Z1505" s="31"/>
      <c r="AA1505" s="31"/>
      <c r="AB1505" s="31"/>
      <c r="AC1505" s="31"/>
      <c r="AD1505" s="31"/>
      <c r="AE1505" s="31"/>
      <c r="AF1505" s="31"/>
      <c r="AG1505" s="31"/>
      <c r="AH1505" s="31"/>
      <c r="AI1505" s="31"/>
      <c r="AJ1505" s="31"/>
      <c r="AK1505" s="31"/>
      <c r="AL1505" s="28" t="str">
        <f>VLOOKUP($G1505,'[42]Sheet1 (2)'!$A$1:$B$1048440,2,FALSE)</f>
        <v>No.</v>
      </c>
      <c r="AM1505" s="32" t="s">
        <v>2556</v>
      </c>
      <c r="AN1505" s="31"/>
      <c r="AO1505" s="33"/>
    </row>
    <row r="1506" spans="1:41" ht="84" x14ac:dyDescent="0.25">
      <c r="A1506" s="20">
        <v>1361</v>
      </c>
      <c r="B1506" s="25" t="s">
        <v>2456</v>
      </c>
      <c r="C1506" s="22">
        <v>41.67</v>
      </c>
      <c r="D1506" s="25" t="s">
        <v>2557</v>
      </c>
      <c r="E1506" s="24" t="s">
        <v>2563</v>
      </c>
      <c r="F1506" s="24" t="s">
        <v>2559</v>
      </c>
      <c r="G1506" s="25" t="s">
        <v>45</v>
      </c>
      <c r="H1506" s="26">
        <v>5634</v>
      </c>
      <c r="I1506" s="26">
        <v>1935</v>
      </c>
      <c r="J1506" s="232">
        <f t="shared" si="11"/>
        <v>5.0000000000000001E-3</v>
      </c>
      <c r="K1506" s="31"/>
      <c r="L1506" s="31"/>
      <c r="M1506" s="31"/>
      <c r="N1506" s="31"/>
      <c r="O1506" s="31"/>
      <c r="P1506" s="232">
        <v>0.01</v>
      </c>
      <c r="Q1506" s="31"/>
      <c r="R1506" s="31"/>
      <c r="S1506" s="31"/>
      <c r="T1506" s="31"/>
      <c r="U1506" s="31"/>
      <c r="V1506" s="31"/>
      <c r="W1506" s="31"/>
      <c r="X1506" s="31"/>
      <c r="Y1506" s="31"/>
      <c r="Z1506" s="31"/>
      <c r="AA1506" s="31"/>
      <c r="AB1506" s="31"/>
      <c r="AC1506" s="31"/>
      <c r="AD1506" s="31"/>
      <c r="AE1506" s="31"/>
      <c r="AF1506" s="31"/>
      <c r="AG1506" s="31"/>
      <c r="AH1506" s="31"/>
      <c r="AI1506" s="31"/>
      <c r="AJ1506" s="31"/>
      <c r="AK1506" s="31"/>
      <c r="AL1506" s="28" t="str">
        <f>VLOOKUP($G1506,'[42]Sheet1 (2)'!$A$1:$B$1048440,2,FALSE)</f>
        <v>No.</v>
      </c>
      <c r="AM1506" s="32" t="s">
        <v>2556</v>
      </c>
      <c r="AN1506" s="31"/>
      <c r="AO1506" s="33"/>
    </row>
    <row r="1507" spans="1:41" ht="98" x14ac:dyDescent="0.25">
      <c r="A1507" s="20">
        <v>1362</v>
      </c>
      <c r="B1507" s="25" t="s">
        <v>2456</v>
      </c>
      <c r="C1507" s="22">
        <v>41.69</v>
      </c>
      <c r="D1507" s="25" t="s">
        <v>2532</v>
      </c>
      <c r="E1507" s="23" t="s">
        <v>2564</v>
      </c>
      <c r="F1507" s="92" t="s">
        <v>2565</v>
      </c>
      <c r="G1507" s="25" t="s">
        <v>45</v>
      </c>
      <c r="H1507" s="26">
        <v>6473</v>
      </c>
      <c r="I1507" s="26">
        <v>1834</v>
      </c>
      <c r="J1507" s="232">
        <f t="shared" si="11"/>
        <v>5.0000000000000001E-3</v>
      </c>
      <c r="K1507" s="31"/>
      <c r="L1507" s="31"/>
      <c r="M1507" s="31"/>
      <c r="N1507" s="31"/>
      <c r="O1507" s="31"/>
      <c r="P1507" s="232">
        <v>0.01</v>
      </c>
      <c r="Q1507" s="31"/>
      <c r="R1507" s="31"/>
      <c r="S1507" s="31"/>
      <c r="T1507" s="31"/>
      <c r="U1507" s="31"/>
      <c r="V1507" s="31"/>
      <c r="W1507" s="31"/>
      <c r="X1507" s="31"/>
      <c r="Y1507" s="31"/>
      <c r="Z1507" s="31"/>
      <c r="AA1507" s="31"/>
      <c r="AB1507" s="31"/>
      <c r="AC1507" s="31"/>
      <c r="AD1507" s="31"/>
      <c r="AE1507" s="31"/>
      <c r="AF1507" s="31"/>
      <c r="AG1507" s="31"/>
      <c r="AH1507" s="31"/>
      <c r="AI1507" s="31"/>
      <c r="AJ1507" s="31"/>
      <c r="AK1507" s="31"/>
      <c r="AL1507" s="28" t="str">
        <f>VLOOKUP($G1507,'[42]Sheet1 (2)'!$A$1:$B$1048440,2,FALSE)</f>
        <v>No.</v>
      </c>
      <c r="AM1507" s="32" t="s">
        <v>2556</v>
      </c>
      <c r="AN1507" s="31"/>
      <c r="AO1507" s="33"/>
    </row>
    <row r="1508" spans="1:41" ht="98" x14ac:dyDescent="0.25">
      <c r="A1508" s="20">
        <v>1363</v>
      </c>
      <c r="B1508" s="25" t="s">
        <v>2456</v>
      </c>
      <c r="C1508" s="22">
        <v>41.7</v>
      </c>
      <c r="D1508" s="25" t="s">
        <v>2532</v>
      </c>
      <c r="E1508" s="23" t="s">
        <v>2566</v>
      </c>
      <c r="F1508" s="92" t="s">
        <v>2565</v>
      </c>
      <c r="G1508" s="25" t="s">
        <v>45</v>
      </c>
      <c r="H1508" s="26">
        <v>7113</v>
      </c>
      <c r="I1508" s="26">
        <v>1834</v>
      </c>
      <c r="J1508" s="232">
        <f t="shared" si="11"/>
        <v>5.0000000000000001E-3</v>
      </c>
      <c r="K1508" s="31"/>
      <c r="L1508" s="31"/>
      <c r="M1508" s="31"/>
      <c r="N1508" s="31"/>
      <c r="O1508" s="31"/>
      <c r="P1508" s="232">
        <v>0.01</v>
      </c>
      <c r="Q1508" s="31"/>
      <c r="R1508" s="31"/>
      <c r="S1508" s="31"/>
      <c r="T1508" s="31"/>
      <c r="U1508" s="31"/>
      <c r="V1508" s="31"/>
      <c r="W1508" s="31"/>
      <c r="X1508" s="31"/>
      <c r="Y1508" s="31"/>
      <c r="Z1508" s="31"/>
      <c r="AA1508" s="31"/>
      <c r="AB1508" s="31"/>
      <c r="AC1508" s="31"/>
      <c r="AD1508" s="31"/>
      <c r="AE1508" s="31"/>
      <c r="AF1508" s="31"/>
      <c r="AG1508" s="31"/>
      <c r="AH1508" s="31"/>
      <c r="AI1508" s="31"/>
      <c r="AJ1508" s="31"/>
      <c r="AK1508" s="31"/>
      <c r="AL1508" s="28" t="str">
        <f>VLOOKUP($G1508,'[42]Sheet1 (2)'!$A$1:$B$1048440,2,FALSE)</f>
        <v>No.</v>
      </c>
      <c r="AM1508" s="32" t="s">
        <v>2556</v>
      </c>
      <c r="AN1508" s="31"/>
      <c r="AO1508" s="33"/>
    </row>
    <row r="1509" spans="1:41" ht="98" x14ac:dyDescent="0.25">
      <c r="A1509" s="20">
        <v>1364</v>
      </c>
      <c r="B1509" s="25" t="s">
        <v>2456</v>
      </c>
      <c r="C1509" s="22">
        <v>41.72</v>
      </c>
      <c r="D1509" s="25" t="s">
        <v>2532</v>
      </c>
      <c r="E1509" s="23" t="s">
        <v>2567</v>
      </c>
      <c r="F1509" s="92" t="s">
        <v>2565</v>
      </c>
      <c r="G1509" s="25" t="s">
        <v>45</v>
      </c>
      <c r="H1509" s="26">
        <v>6089</v>
      </c>
      <c r="I1509" s="26">
        <v>1834</v>
      </c>
      <c r="J1509" s="232">
        <f t="shared" si="11"/>
        <v>5.0000000000000001E-3</v>
      </c>
      <c r="K1509" s="31"/>
      <c r="L1509" s="31"/>
      <c r="M1509" s="31"/>
      <c r="N1509" s="31"/>
      <c r="O1509" s="31"/>
      <c r="P1509" s="232">
        <v>0.01</v>
      </c>
      <c r="Q1509" s="31"/>
      <c r="R1509" s="31"/>
      <c r="S1509" s="31"/>
      <c r="T1509" s="31"/>
      <c r="U1509" s="31"/>
      <c r="V1509" s="31"/>
      <c r="W1509" s="31"/>
      <c r="X1509" s="31"/>
      <c r="Y1509" s="31"/>
      <c r="Z1509" s="31"/>
      <c r="AA1509" s="31"/>
      <c r="AB1509" s="31"/>
      <c r="AC1509" s="31"/>
      <c r="AD1509" s="31"/>
      <c r="AE1509" s="31"/>
      <c r="AF1509" s="31"/>
      <c r="AG1509" s="31"/>
      <c r="AH1509" s="31"/>
      <c r="AI1509" s="31"/>
      <c r="AJ1509" s="31"/>
      <c r="AK1509" s="31"/>
      <c r="AL1509" s="28" t="str">
        <f>VLOOKUP($G1509,'[42]Sheet1 (2)'!$A$1:$B$1048440,2,FALSE)</f>
        <v>No.</v>
      </c>
      <c r="AM1509" s="32" t="s">
        <v>2556</v>
      </c>
      <c r="AN1509" s="31"/>
      <c r="AO1509" s="33"/>
    </row>
    <row r="1510" spans="1:41" ht="84" x14ac:dyDescent="0.25">
      <c r="A1510" s="20">
        <v>1365</v>
      </c>
      <c r="B1510" s="25" t="s">
        <v>2456</v>
      </c>
      <c r="C1510" s="22">
        <v>41.74</v>
      </c>
      <c r="D1510" s="25" t="s">
        <v>2557</v>
      </c>
      <c r="E1510" s="23" t="s">
        <v>2568</v>
      </c>
      <c r="F1510" s="24" t="s">
        <v>2559</v>
      </c>
      <c r="G1510" s="25" t="s">
        <v>45</v>
      </c>
      <c r="H1510" s="26">
        <v>6075</v>
      </c>
      <c r="I1510" s="26">
        <v>1563</v>
      </c>
      <c r="J1510" s="232">
        <f t="shared" si="11"/>
        <v>5.0000000000000001E-3</v>
      </c>
      <c r="K1510" s="31"/>
      <c r="L1510" s="31"/>
      <c r="M1510" s="31"/>
      <c r="N1510" s="31"/>
      <c r="O1510" s="31"/>
      <c r="P1510" s="232">
        <v>0.01</v>
      </c>
      <c r="Q1510" s="31"/>
      <c r="R1510" s="31"/>
      <c r="S1510" s="31"/>
      <c r="T1510" s="31"/>
      <c r="U1510" s="31"/>
      <c r="V1510" s="31"/>
      <c r="W1510" s="31"/>
      <c r="X1510" s="31"/>
      <c r="Y1510" s="31"/>
      <c r="Z1510" s="31"/>
      <c r="AA1510" s="31"/>
      <c r="AB1510" s="31"/>
      <c r="AC1510" s="31"/>
      <c r="AD1510" s="31"/>
      <c r="AE1510" s="31"/>
      <c r="AF1510" s="31"/>
      <c r="AG1510" s="31"/>
      <c r="AH1510" s="31"/>
      <c r="AI1510" s="31"/>
      <c r="AJ1510" s="31"/>
      <c r="AK1510" s="31"/>
      <c r="AL1510" s="28" t="str">
        <f>VLOOKUP($G1510,'[42]Sheet1 (2)'!$A$1:$B$1048440,2,FALSE)</f>
        <v>No.</v>
      </c>
      <c r="AM1510" s="32" t="s">
        <v>2569</v>
      </c>
      <c r="AN1510" s="31"/>
      <c r="AO1510" s="33"/>
    </row>
    <row r="1511" spans="1:41" ht="84" x14ac:dyDescent="0.25">
      <c r="A1511" s="20">
        <v>1366</v>
      </c>
      <c r="B1511" s="25" t="s">
        <v>2456</v>
      </c>
      <c r="C1511" s="22">
        <v>41.75</v>
      </c>
      <c r="D1511" s="25" t="s">
        <v>2570</v>
      </c>
      <c r="E1511" s="23" t="s">
        <v>2571</v>
      </c>
      <c r="F1511" s="24" t="s">
        <v>2572</v>
      </c>
      <c r="G1511" s="25" t="s">
        <v>45</v>
      </c>
      <c r="H1511" s="26">
        <v>5675</v>
      </c>
      <c r="I1511" s="26">
        <v>1834</v>
      </c>
      <c r="J1511" s="232">
        <f t="shared" si="11"/>
        <v>5.0000000000000001E-3</v>
      </c>
      <c r="K1511" s="31"/>
      <c r="L1511" s="31"/>
      <c r="M1511" s="31"/>
      <c r="N1511" s="31"/>
      <c r="O1511" s="31"/>
      <c r="P1511" s="232">
        <v>0.01</v>
      </c>
      <c r="Q1511" s="31"/>
      <c r="R1511" s="31"/>
      <c r="S1511" s="31"/>
      <c r="T1511" s="31"/>
      <c r="U1511" s="31"/>
      <c r="V1511" s="31"/>
      <c r="W1511" s="31"/>
      <c r="X1511" s="31"/>
      <c r="Y1511" s="31"/>
      <c r="Z1511" s="31"/>
      <c r="AA1511" s="31"/>
      <c r="AB1511" s="31"/>
      <c r="AC1511" s="31"/>
      <c r="AD1511" s="31"/>
      <c r="AE1511" s="31"/>
      <c r="AF1511" s="31"/>
      <c r="AG1511" s="31"/>
      <c r="AH1511" s="31"/>
      <c r="AI1511" s="31"/>
      <c r="AJ1511" s="31"/>
      <c r="AK1511" s="31"/>
      <c r="AL1511" s="28" t="str">
        <f>VLOOKUP($G1511,'[42]Sheet1 (2)'!$A$1:$B$1048440,2,FALSE)</f>
        <v>No.</v>
      </c>
      <c r="AM1511" s="32" t="s">
        <v>2569</v>
      </c>
      <c r="AN1511" s="31"/>
      <c r="AO1511" s="33"/>
    </row>
    <row r="1512" spans="1:41" ht="48.75" customHeight="1" x14ac:dyDescent="0.25">
      <c r="A1512" s="20">
        <v>1367</v>
      </c>
      <c r="B1512" s="25" t="s">
        <v>2456</v>
      </c>
      <c r="C1512" s="22">
        <v>41.76</v>
      </c>
      <c r="D1512" s="25" t="s">
        <v>2570</v>
      </c>
      <c r="E1512" s="23" t="s">
        <v>2573</v>
      </c>
      <c r="F1512" s="24" t="s">
        <v>2572</v>
      </c>
      <c r="G1512" s="25" t="s">
        <v>45</v>
      </c>
      <c r="H1512" s="26">
        <v>4243</v>
      </c>
      <c r="I1512" s="26">
        <v>1834</v>
      </c>
      <c r="J1512" s="31"/>
      <c r="K1512" s="31"/>
      <c r="L1512" s="31"/>
      <c r="M1512" s="31"/>
      <c r="N1512" s="31"/>
      <c r="O1512" s="31"/>
      <c r="P1512" s="31"/>
      <c r="Q1512" s="31"/>
      <c r="R1512" s="31"/>
      <c r="S1512" s="31"/>
      <c r="T1512" s="31"/>
      <c r="U1512" s="31"/>
      <c r="V1512" s="31"/>
      <c r="W1512" s="31"/>
      <c r="X1512" s="31"/>
      <c r="Y1512" s="31"/>
      <c r="Z1512" s="31"/>
      <c r="AA1512" s="31"/>
      <c r="AB1512" s="31"/>
      <c r="AC1512" s="31"/>
      <c r="AD1512" s="31"/>
      <c r="AE1512" s="31"/>
      <c r="AF1512" s="31"/>
      <c r="AG1512" s="31"/>
      <c r="AH1512" s="31"/>
      <c r="AI1512" s="31"/>
      <c r="AJ1512" s="31"/>
      <c r="AK1512" s="31"/>
      <c r="AL1512" s="28" t="str">
        <f>VLOOKUP($G1512,'[42]Sheet1 (2)'!$A$1:$B$1048440,2,FALSE)</f>
        <v>No.</v>
      </c>
      <c r="AM1512" s="32" t="s">
        <v>2569</v>
      </c>
      <c r="AN1512" s="31"/>
      <c r="AO1512" s="33"/>
    </row>
    <row r="1513" spans="1:41" ht="42" x14ac:dyDescent="0.25">
      <c r="A1513" s="20">
        <v>1368</v>
      </c>
      <c r="B1513" s="92" t="s">
        <v>2470</v>
      </c>
      <c r="C1513" s="22">
        <v>41.77</v>
      </c>
      <c r="D1513" s="25" t="s">
        <v>2532</v>
      </c>
      <c r="E1513" s="24" t="s">
        <v>2574</v>
      </c>
      <c r="F1513" s="24" t="s">
        <v>742</v>
      </c>
      <c r="G1513" s="25" t="s">
        <v>45</v>
      </c>
      <c r="H1513" s="26">
        <v>2612</v>
      </c>
      <c r="I1513" s="26">
        <v>391</v>
      </c>
      <c r="J1513" s="231">
        <f>0.05/20</f>
        <v>2.5000000000000001E-3</v>
      </c>
      <c r="K1513" s="231"/>
      <c r="L1513" s="231"/>
      <c r="M1513" s="231"/>
      <c r="N1513" s="231"/>
      <c r="O1513" s="231"/>
      <c r="P1513" s="231">
        <v>5.0000000000000001E-3</v>
      </c>
      <c r="Q1513" s="232"/>
      <c r="R1513" s="232"/>
      <c r="S1513" s="232"/>
      <c r="T1513" s="232"/>
      <c r="U1513" s="232"/>
      <c r="V1513" s="232"/>
      <c r="W1513" s="232"/>
      <c r="X1513" s="232"/>
      <c r="Y1513" s="232"/>
      <c r="Z1513" s="232"/>
      <c r="AA1513" s="232"/>
      <c r="AB1513" s="232"/>
      <c r="AC1513" s="232"/>
      <c r="AD1513" s="232"/>
      <c r="AE1513" s="232"/>
      <c r="AF1513" s="232"/>
      <c r="AG1513" s="232"/>
      <c r="AH1513" s="232"/>
      <c r="AI1513" s="232"/>
      <c r="AJ1513" s="232"/>
      <c r="AK1513" s="232"/>
      <c r="AL1513" s="28" t="str">
        <f>VLOOKUP($G1513,'[42]Sheet1 (2)'!$A$1:$B$1048440,2,FALSE)</f>
        <v>No.</v>
      </c>
      <c r="AN1513" s="31"/>
      <c r="AO1513" s="33"/>
    </row>
    <row r="1514" spans="1:41" ht="140" x14ac:dyDescent="0.25">
      <c r="A1514" s="20">
        <v>1369</v>
      </c>
      <c r="B1514" s="25" t="s">
        <v>2456</v>
      </c>
      <c r="C1514" s="22">
        <v>41.78</v>
      </c>
      <c r="D1514" s="25" t="s">
        <v>2532</v>
      </c>
      <c r="E1514" s="23" t="s">
        <v>2575</v>
      </c>
      <c r="F1514" s="24" t="s">
        <v>742</v>
      </c>
      <c r="G1514" s="202" t="s">
        <v>621</v>
      </c>
      <c r="H1514" s="26">
        <v>9827</v>
      </c>
      <c r="I1514" s="26">
        <v>1396</v>
      </c>
      <c r="J1514" s="232">
        <f>0.1/20</f>
        <v>5.0000000000000001E-3</v>
      </c>
      <c r="K1514" s="232"/>
      <c r="L1514" s="232"/>
      <c r="M1514" s="232"/>
      <c r="N1514" s="232"/>
      <c r="O1514" s="232"/>
      <c r="P1514" s="232">
        <v>0.01</v>
      </c>
      <c r="Q1514" s="31"/>
      <c r="R1514" s="31"/>
      <c r="S1514" s="31"/>
      <c r="T1514" s="31"/>
      <c r="U1514" s="31"/>
      <c r="V1514" s="31"/>
      <c r="W1514" s="31"/>
      <c r="X1514" s="31"/>
      <c r="Y1514" s="31"/>
      <c r="Z1514" s="31"/>
      <c r="AA1514" s="31"/>
      <c r="AB1514" s="31"/>
      <c r="AC1514" s="31"/>
      <c r="AD1514" s="31"/>
      <c r="AE1514" s="31"/>
      <c r="AF1514" s="31"/>
      <c r="AG1514" s="31"/>
      <c r="AH1514" s="31"/>
      <c r="AI1514" s="31"/>
      <c r="AJ1514" s="31"/>
      <c r="AK1514" s="31"/>
      <c r="AL1514" s="28" t="str">
        <f>VLOOKUP($G1514,'[42]Sheet1 (2)'!$A$1:$B$1048440,2,FALSE)</f>
        <v>Sqm</v>
      </c>
      <c r="AM1514" s="233" t="s">
        <v>2576</v>
      </c>
      <c r="AN1514" s="31"/>
      <c r="AO1514" s="33"/>
    </row>
    <row r="1515" spans="1:41" ht="45" customHeight="1" x14ac:dyDescent="0.25">
      <c r="A1515" s="20">
        <v>1370</v>
      </c>
      <c r="B1515" s="35" t="s">
        <v>2460</v>
      </c>
      <c r="C1515" s="22">
        <v>41.79</v>
      </c>
      <c r="D1515" s="25" t="s">
        <v>2577</v>
      </c>
      <c r="E1515" s="24" t="s">
        <v>2578</v>
      </c>
      <c r="F1515" s="24" t="s">
        <v>2579</v>
      </c>
      <c r="G1515" s="25" t="s">
        <v>45</v>
      </c>
      <c r="H1515" s="26">
        <v>811</v>
      </c>
      <c r="I1515" s="26">
        <v>313</v>
      </c>
      <c r="J1515" s="232">
        <f>0.1/20</f>
        <v>5.0000000000000001E-3</v>
      </c>
      <c r="K1515" s="232"/>
      <c r="L1515" s="232"/>
      <c r="M1515" s="232"/>
      <c r="N1515" s="232"/>
      <c r="O1515" s="232"/>
      <c r="P1515" s="232">
        <v>0.01</v>
      </c>
      <c r="Q1515" s="31"/>
      <c r="R1515" s="31"/>
      <c r="S1515" s="31"/>
      <c r="T1515" s="31"/>
      <c r="U1515" s="31"/>
      <c r="V1515" s="31"/>
      <c r="W1515" s="31"/>
      <c r="X1515" s="31"/>
      <c r="Y1515" s="31"/>
      <c r="Z1515" s="31"/>
      <c r="AA1515" s="31"/>
      <c r="AB1515" s="31"/>
      <c r="AC1515" s="31"/>
      <c r="AD1515" s="31"/>
      <c r="AE1515" s="31"/>
      <c r="AF1515" s="31"/>
      <c r="AG1515" s="31"/>
      <c r="AH1515" s="31"/>
      <c r="AI1515" s="31"/>
      <c r="AJ1515" s="31"/>
      <c r="AK1515" s="31"/>
      <c r="AL1515" s="28" t="str">
        <f>VLOOKUP($G1515,'[42]Sheet1 (2)'!$A$1:$B$1048440,2,FALSE)</f>
        <v>No.</v>
      </c>
      <c r="AM1515" s="32" t="s">
        <v>2580</v>
      </c>
      <c r="AN1515" s="31"/>
      <c r="AO1515" s="33"/>
    </row>
    <row r="1516" spans="1:41" ht="42" x14ac:dyDescent="0.25">
      <c r="A1516" s="20">
        <v>1371</v>
      </c>
      <c r="B1516" s="35" t="s">
        <v>2460</v>
      </c>
      <c r="C1516" s="22">
        <v>41.8</v>
      </c>
      <c r="D1516" s="25" t="s">
        <v>2577</v>
      </c>
      <c r="E1516" s="23" t="s">
        <v>2581</v>
      </c>
      <c r="F1516" s="24" t="s">
        <v>2579</v>
      </c>
      <c r="G1516" s="25" t="s">
        <v>45</v>
      </c>
      <c r="H1516" s="26">
        <v>1127</v>
      </c>
      <c r="I1516" s="26">
        <v>313</v>
      </c>
      <c r="J1516" s="232">
        <f>0.1/20</f>
        <v>5.0000000000000001E-3</v>
      </c>
      <c r="K1516" s="31"/>
      <c r="L1516" s="31"/>
      <c r="M1516" s="31"/>
      <c r="N1516" s="31"/>
      <c r="O1516" s="31"/>
      <c r="P1516" s="232">
        <v>0.02</v>
      </c>
      <c r="Q1516" s="31"/>
      <c r="R1516" s="31"/>
      <c r="S1516" s="31"/>
      <c r="T1516" s="31"/>
      <c r="U1516" s="31">
        <v>31</v>
      </c>
      <c r="V1516" s="31"/>
      <c r="W1516" s="31"/>
      <c r="X1516" s="31"/>
      <c r="Y1516" s="31"/>
      <c r="Z1516" s="31"/>
      <c r="AA1516" s="31"/>
      <c r="AB1516" s="31"/>
      <c r="AC1516" s="31"/>
      <c r="AD1516" s="31"/>
      <c r="AE1516" s="31"/>
      <c r="AF1516" s="31"/>
      <c r="AG1516" s="31"/>
      <c r="AH1516" s="31"/>
      <c r="AI1516" s="31"/>
      <c r="AJ1516" s="31"/>
      <c r="AK1516" s="31"/>
      <c r="AL1516" s="28" t="str">
        <f>VLOOKUP($G1516,'[42]Sheet1 (2)'!$A$1:$B$1048440,2,FALSE)</f>
        <v>No.</v>
      </c>
      <c r="AM1516" s="32" t="s">
        <v>2582</v>
      </c>
      <c r="AN1516" s="31"/>
      <c r="AO1516" s="33"/>
    </row>
    <row r="1517" spans="1:41" ht="56" x14ac:dyDescent="0.25">
      <c r="A1517" s="20">
        <v>1372</v>
      </c>
      <c r="B1517" s="35" t="s">
        <v>2460</v>
      </c>
      <c r="C1517" s="22">
        <v>42.01</v>
      </c>
      <c r="D1517" s="25" t="s">
        <v>2583</v>
      </c>
      <c r="E1517" s="23" t="s">
        <v>2584</v>
      </c>
      <c r="F1517" s="24" t="s">
        <v>2585</v>
      </c>
      <c r="G1517" s="21" t="s">
        <v>80</v>
      </c>
      <c r="H1517" s="26">
        <v>547</v>
      </c>
      <c r="I1517" s="26">
        <v>130</v>
      </c>
      <c r="J1517" s="232">
        <f>0.55/20</f>
        <v>2.7500000000000004E-2</v>
      </c>
      <c r="K1517" s="232"/>
      <c r="L1517" s="232">
        <v>0.05</v>
      </c>
      <c r="M1517" s="232"/>
      <c r="N1517" s="232"/>
      <c r="O1517" s="232"/>
      <c r="P1517" s="232">
        <v>0.08</v>
      </c>
      <c r="Q1517" s="232"/>
      <c r="R1517" s="232"/>
      <c r="S1517" s="232"/>
      <c r="T1517" s="232"/>
      <c r="U1517" s="232">
        <v>52</v>
      </c>
      <c r="V1517" s="31"/>
      <c r="W1517" s="31"/>
      <c r="X1517" s="31"/>
      <c r="Y1517" s="31"/>
      <c r="Z1517" s="31"/>
      <c r="AA1517" s="31"/>
      <c r="AB1517" s="31"/>
      <c r="AC1517" s="31"/>
      <c r="AD1517" s="31"/>
      <c r="AE1517" s="31"/>
      <c r="AF1517" s="31"/>
      <c r="AG1517" s="31"/>
      <c r="AH1517" s="31"/>
      <c r="AI1517" s="31"/>
      <c r="AJ1517" s="31"/>
      <c r="AK1517" s="31">
        <v>1</v>
      </c>
      <c r="AL1517" s="28" t="str">
        <f>VLOOKUP($G1517,'[42]Sheet1 (2)'!$A$1:$B$1048440,2,FALSE)</f>
        <v>Rmt.</v>
      </c>
      <c r="AM1517" s="32" t="s">
        <v>2586</v>
      </c>
      <c r="AN1517" s="31"/>
      <c r="AO1517" s="33"/>
    </row>
    <row r="1518" spans="1:41" ht="84" x14ac:dyDescent="0.25">
      <c r="A1518" s="20">
        <v>1373</v>
      </c>
      <c r="B1518" s="25" t="s">
        <v>2456</v>
      </c>
      <c r="C1518" s="22">
        <v>42.02</v>
      </c>
      <c r="D1518" s="25" t="s">
        <v>2587</v>
      </c>
      <c r="E1518" s="23" t="s">
        <v>2588</v>
      </c>
      <c r="F1518" s="24" t="s">
        <v>2589</v>
      </c>
      <c r="G1518" s="25" t="s">
        <v>45</v>
      </c>
      <c r="H1518" s="26">
        <v>1600</v>
      </c>
      <c r="I1518" s="26">
        <v>313</v>
      </c>
      <c r="J1518" s="158">
        <f>0.035/20</f>
        <v>1.7500000000000003E-3</v>
      </c>
      <c r="K1518" s="31"/>
      <c r="L1518" s="31"/>
      <c r="M1518" s="31"/>
      <c r="N1518" s="31"/>
      <c r="O1518" s="31"/>
      <c r="P1518" s="31"/>
      <c r="Q1518" s="31"/>
      <c r="R1518" s="31"/>
      <c r="S1518" s="31"/>
      <c r="T1518" s="31"/>
      <c r="U1518" s="31"/>
      <c r="V1518" s="31"/>
      <c r="W1518" s="31"/>
      <c r="X1518" s="31"/>
      <c r="Y1518" s="31"/>
      <c r="Z1518" s="31"/>
      <c r="AA1518" s="31"/>
      <c r="AB1518" s="31"/>
      <c r="AC1518" s="31"/>
      <c r="AD1518" s="31"/>
      <c r="AE1518" s="31"/>
      <c r="AF1518" s="31"/>
      <c r="AG1518" s="31"/>
      <c r="AH1518" s="31"/>
      <c r="AI1518" s="31"/>
      <c r="AJ1518" s="31"/>
      <c r="AK1518" s="31">
        <v>1</v>
      </c>
      <c r="AL1518" s="28" t="str">
        <f>VLOOKUP($G1518,'[42]Sheet1 (2)'!$A$1:$B$1048440,2,FALSE)</f>
        <v>No.</v>
      </c>
      <c r="AM1518" s="32" t="s">
        <v>2590</v>
      </c>
      <c r="AN1518" s="31"/>
      <c r="AO1518" s="33"/>
    </row>
    <row r="1519" spans="1:41" ht="56" x14ac:dyDescent="0.25">
      <c r="A1519" s="20">
        <v>1374</v>
      </c>
      <c r="B1519" s="35" t="s">
        <v>2460</v>
      </c>
      <c r="C1519" s="22">
        <v>42.03</v>
      </c>
      <c r="D1519" s="25" t="s">
        <v>2591</v>
      </c>
      <c r="E1519" s="23" t="s">
        <v>2592</v>
      </c>
      <c r="F1519" s="24" t="s">
        <v>2593</v>
      </c>
      <c r="G1519" s="21" t="s">
        <v>80</v>
      </c>
      <c r="H1519" s="26">
        <v>349</v>
      </c>
      <c r="I1519" s="26">
        <v>155</v>
      </c>
      <c r="J1519" s="158">
        <f>0.045/20</f>
        <v>2.2499999999999998E-3</v>
      </c>
      <c r="K1519" s="31"/>
      <c r="L1519" s="31"/>
      <c r="M1519" s="31"/>
      <c r="N1519" s="31"/>
      <c r="O1519" s="31"/>
      <c r="P1519" s="31"/>
      <c r="Q1519" s="31"/>
      <c r="R1519" s="31"/>
      <c r="S1519" s="31"/>
      <c r="T1519" s="31"/>
      <c r="U1519" s="31"/>
      <c r="V1519" s="31"/>
      <c r="W1519" s="31"/>
      <c r="X1519" s="31"/>
      <c r="Y1519" s="31"/>
      <c r="Z1519" s="31"/>
      <c r="AA1519" s="31"/>
      <c r="AB1519" s="31"/>
      <c r="AC1519" s="31"/>
      <c r="AD1519" s="31"/>
      <c r="AE1519" s="31"/>
      <c r="AF1519" s="31"/>
      <c r="AG1519" s="31"/>
      <c r="AH1519" s="31"/>
      <c r="AI1519" s="31"/>
      <c r="AJ1519" s="31"/>
      <c r="AK1519" s="31">
        <v>1</v>
      </c>
      <c r="AL1519" s="28" t="str">
        <f>VLOOKUP($G1519,'[42]Sheet1 (2)'!$A$1:$B$1048440,2,FALSE)</f>
        <v>Rmt.</v>
      </c>
      <c r="AM1519" s="32" t="s">
        <v>2594</v>
      </c>
      <c r="AN1519" s="31"/>
      <c r="AO1519" s="33"/>
    </row>
    <row r="1520" spans="1:41" ht="56" x14ac:dyDescent="0.25">
      <c r="A1520" s="20">
        <v>1375</v>
      </c>
      <c r="B1520" s="35" t="s">
        <v>2460</v>
      </c>
      <c r="C1520" s="22">
        <v>42.04</v>
      </c>
      <c r="D1520" s="25" t="s">
        <v>2591</v>
      </c>
      <c r="E1520" s="23" t="s">
        <v>2595</v>
      </c>
      <c r="F1520" s="24" t="s">
        <v>2593</v>
      </c>
      <c r="G1520" s="21" t="s">
        <v>80</v>
      </c>
      <c r="H1520" s="26">
        <v>413</v>
      </c>
      <c r="I1520" s="26">
        <v>155</v>
      </c>
      <c r="J1520" s="158">
        <f>0.08/20</f>
        <v>4.0000000000000001E-3</v>
      </c>
      <c r="K1520" s="31"/>
      <c r="L1520" s="31"/>
      <c r="M1520" s="31"/>
      <c r="N1520" s="31"/>
      <c r="O1520" s="31"/>
      <c r="P1520" s="31"/>
      <c r="Q1520" s="31"/>
      <c r="R1520" s="31"/>
      <c r="S1520" s="31"/>
      <c r="T1520" s="31"/>
      <c r="U1520" s="31"/>
      <c r="V1520" s="31"/>
      <c r="W1520" s="31"/>
      <c r="X1520" s="31"/>
      <c r="Y1520" s="31"/>
      <c r="Z1520" s="31"/>
      <c r="AA1520" s="31"/>
      <c r="AB1520" s="31"/>
      <c r="AC1520" s="31"/>
      <c r="AD1520" s="31"/>
      <c r="AE1520" s="31"/>
      <c r="AF1520" s="31"/>
      <c r="AG1520" s="31"/>
      <c r="AH1520" s="31"/>
      <c r="AI1520" s="31"/>
      <c r="AJ1520" s="31"/>
      <c r="AK1520" s="31"/>
      <c r="AL1520" s="28" t="str">
        <f>VLOOKUP($G1520,'[42]Sheet1 (2)'!$A$1:$B$1048440,2,FALSE)</f>
        <v>Rmt.</v>
      </c>
      <c r="AM1520" s="32" t="s">
        <v>2596</v>
      </c>
      <c r="AN1520" s="31"/>
      <c r="AO1520" s="33"/>
    </row>
    <row r="1521" spans="1:41" ht="56" x14ac:dyDescent="0.25">
      <c r="A1521" s="20">
        <v>1376</v>
      </c>
      <c r="B1521" s="35" t="s">
        <v>2460</v>
      </c>
      <c r="C1521" s="22">
        <v>42.05</v>
      </c>
      <c r="D1521" s="25" t="s">
        <v>2591</v>
      </c>
      <c r="E1521" s="23" t="s">
        <v>2597</v>
      </c>
      <c r="F1521" s="24" t="s">
        <v>2593</v>
      </c>
      <c r="G1521" s="21" t="s">
        <v>80</v>
      </c>
      <c r="H1521" s="26">
        <v>466</v>
      </c>
      <c r="I1521" s="26">
        <v>155</v>
      </c>
      <c r="J1521" s="31"/>
      <c r="K1521" s="31"/>
      <c r="L1521" s="31"/>
      <c r="M1521" s="31"/>
      <c r="N1521" s="31"/>
      <c r="O1521" s="31"/>
      <c r="P1521" s="31"/>
      <c r="Q1521" s="31"/>
      <c r="R1521" s="31"/>
      <c r="S1521" s="31"/>
      <c r="T1521" s="31"/>
      <c r="U1521" s="31"/>
      <c r="V1521" s="31"/>
      <c r="W1521" s="31"/>
      <c r="X1521" s="31"/>
      <c r="Y1521" s="31"/>
      <c r="Z1521" s="31"/>
      <c r="AA1521" s="31"/>
      <c r="AB1521" s="31"/>
      <c r="AC1521" s="31"/>
      <c r="AD1521" s="31"/>
      <c r="AE1521" s="31"/>
      <c r="AF1521" s="31"/>
      <c r="AG1521" s="31"/>
      <c r="AH1521" s="31"/>
      <c r="AI1521" s="31"/>
      <c r="AJ1521" s="31"/>
      <c r="AK1521" s="31">
        <v>1</v>
      </c>
      <c r="AL1521" s="28" t="str">
        <f>VLOOKUP($G1521,'[42]Sheet1 (2)'!$A$1:$B$1048440,2,FALSE)</f>
        <v>Rmt.</v>
      </c>
      <c r="AM1521" s="32" t="s">
        <v>2598</v>
      </c>
      <c r="AN1521" s="31"/>
      <c r="AO1521" s="33"/>
    </row>
    <row r="1522" spans="1:41" ht="70" x14ac:dyDescent="0.25">
      <c r="A1522" s="20">
        <v>1377</v>
      </c>
      <c r="B1522" s="92" t="s">
        <v>2470</v>
      </c>
      <c r="C1522" s="22">
        <v>42.06</v>
      </c>
      <c r="D1522" s="25" t="s">
        <v>2599</v>
      </c>
      <c r="E1522" s="23" t="s">
        <v>2600</v>
      </c>
      <c r="F1522" s="24" t="s">
        <v>2601</v>
      </c>
      <c r="G1522" s="21" t="s">
        <v>80</v>
      </c>
      <c r="H1522" s="26">
        <v>502</v>
      </c>
      <c r="I1522" s="26">
        <v>258</v>
      </c>
      <c r="J1522" s="31"/>
      <c r="K1522" s="31"/>
      <c r="L1522" s="31"/>
      <c r="M1522" s="31"/>
      <c r="N1522" s="31"/>
      <c r="O1522" s="31"/>
      <c r="P1522" s="31"/>
      <c r="Q1522" s="31"/>
      <c r="R1522" s="31"/>
      <c r="S1522" s="31"/>
      <c r="T1522" s="31"/>
      <c r="U1522" s="31"/>
      <c r="V1522" s="31"/>
      <c r="W1522" s="31"/>
      <c r="X1522" s="31"/>
      <c r="Y1522" s="31"/>
      <c r="Z1522" s="31"/>
      <c r="AA1522" s="31"/>
      <c r="AB1522" s="31"/>
      <c r="AC1522" s="31"/>
      <c r="AD1522" s="31"/>
      <c r="AE1522" s="31"/>
      <c r="AF1522" s="31"/>
      <c r="AG1522" s="31"/>
      <c r="AH1522" s="31"/>
      <c r="AI1522" s="31"/>
      <c r="AJ1522" s="31"/>
      <c r="AK1522" s="31">
        <v>1</v>
      </c>
      <c r="AL1522" s="28" t="str">
        <f>VLOOKUP($G1522,'[42]Sheet1 (2)'!$A$1:$B$1048440,2,FALSE)</f>
        <v>Rmt.</v>
      </c>
      <c r="AM1522" s="3" t="s">
        <v>2602</v>
      </c>
      <c r="AN1522" s="31"/>
      <c r="AO1522" s="33"/>
    </row>
    <row r="1523" spans="1:41" ht="70" x14ac:dyDescent="0.25">
      <c r="A1523" s="20">
        <v>1378</v>
      </c>
      <c r="B1523" s="92" t="s">
        <v>2470</v>
      </c>
      <c r="C1523" s="22">
        <v>42.07</v>
      </c>
      <c r="D1523" s="25" t="s">
        <v>2599</v>
      </c>
      <c r="E1523" s="23" t="s">
        <v>2603</v>
      </c>
      <c r="F1523" s="24" t="s">
        <v>2601</v>
      </c>
      <c r="G1523" s="21" t="s">
        <v>80</v>
      </c>
      <c r="H1523" s="26">
        <v>530</v>
      </c>
      <c r="I1523" s="26">
        <v>283</v>
      </c>
      <c r="J1523" s="31"/>
      <c r="K1523" s="31"/>
      <c r="L1523" s="31"/>
      <c r="M1523" s="31"/>
      <c r="N1523" s="31"/>
      <c r="O1523" s="31"/>
      <c r="P1523" s="31"/>
      <c r="Q1523" s="31"/>
      <c r="R1523" s="31"/>
      <c r="S1523" s="31"/>
      <c r="T1523" s="31"/>
      <c r="U1523" s="31"/>
      <c r="V1523" s="31"/>
      <c r="W1523" s="31"/>
      <c r="X1523" s="31"/>
      <c r="Y1523" s="31"/>
      <c r="Z1523" s="31"/>
      <c r="AA1523" s="31"/>
      <c r="AB1523" s="31"/>
      <c r="AC1523" s="31"/>
      <c r="AD1523" s="31"/>
      <c r="AE1523" s="31"/>
      <c r="AF1523" s="31"/>
      <c r="AG1523" s="31"/>
      <c r="AH1523" s="31"/>
      <c r="AI1523" s="31"/>
      <c r="AJ1523" s="31"/>
      <c r="AK1523" s="31">
        <v>1</v>
      </c>
      <c r="AL1523" s="28" t="str">
        <f>VLOOKUP($G1523,'[42]Sheet1 (2)'!$A$1:$B$1048440,2,FALSE)</f>
        <v>Rmt.</v>
      </c>
      <c r="AM1523" s="3" t="s">
        <v>2604</v>
      </c>
      <c r="AN1523" s="31"/>
      <c r="AO1523" s="33"/>
    </row>
    <row r="1524" spans="1:41" ht="56" x14ac:dyDescent="0.25">
      <c r="A1524" s="20">
        <v>1379</v>
      </c>
      <c r="B1524" s="35" t="s">
        <v>2460</v>
      </c>
      <c r="C1524" s="22">
        <v>42.08</v>
      </c>
      <c r="D1524" s="25" t="s">
        <v>2599</v>
      </c>
      <c r="E1524" s="23" t="s">
        <v>2605</v>
      </c>
      <c r="F1524" s="24" t="s">
        <v>2601</v>
      </c>
      <c r="G1524" s="21" t="s">
        <v>80</v>
      </c>
      <c r="H1524" s="26">
        <v>561</v>
      </c>
      <c r="I1524" s="26">
        <v>283</v>
      </c>
      <c r="J1524" s="31"/>
      <c r="K1524" s="31"/>
      <c r="L1524" s="31"/>
      <c r="M1524" s="31"/>
      <c r="N1524" s="31"/>
      <c r="O1524" s="31"/>
      <c r="P1524" s="31"/>
      <c r="Q1524" s="31"/>
      <c r="R1524" s="31"/>
      <c r="S1524" s="31"/>
      <c r="T1524" s="31"/>
      <c r="U1524" s="31"/>
      <c r="V1524" s="31"/>
      <c r="W1524" s="31"/>
      <c r="X1524" s="31"/>
      <c r="Y1524" s="31"/>
      <c r="Z1524" s="31"/>
      <c r="AA1524" s="31"/>
      <c r="AB1524" s="31"/>
      <c r="AC1524" s="31"/>
      <c r="AD1524" s="31"/>
      <c r="AE1524" s="31"/>
      <c r="AF1524" s="31"/>
      <c r="AG1524" s="31"/>
      <c r="AH1524" s="31"/>
      <c r="AI1524" s="31"/>
      <c r="AJ1524" s="31"/>
      <c r="AK1524" s="31">
        <v>1</v>
      </c>
      <c r="AL1524" s="28" t="str">
        <f>VLOOKUP($G1524,'[42]Sheet1 (2)'!$A$1:$B$1048440,2,FALSE)</f>
        <v>Rmt.</v>
      </c>
      <c r="AM1524" s="3" t="s">
        <v>2606</v>
      </c>
      <c r="AN1524" s="31"/>
      <c r="AO1524" s="33"/>
    </row>
    <row r="1525" spans="1:41" ht="56" x14ac:dyDescent="0.25">
      <c r="A1525" s="20">
        <v>1380</v>
      </c>
      <c r="B1525" s="35" t="s">
        <v>2460</v>
      </c>
      <c r="C1525" s="22">
        <v>42.09</v>
      </c>
      <c r="D1525" s="25" t="s">
        <v>2599</v>
      </c>
      <c r="E1525" s="24" t="s">
        <v>2607</v>
      </c>
      <c r="F1525" s="24" t="s">
        <v>2601</v>
      </c>
      <c r="G1525" s="21" t="s">
        <v>80</v>
      </c>
      <c r="H1525" s="26">
        <v>744</v>
      </c>
      <c r="I1525" s="26">
        <v>292</v>
      </c>
      <c r="J1525" s="232"/>
      <c r="K1525" s="232"/>
      <c r="L1525" s="232"/>
      <c r="M1525" s="232"/>
      <c r="N1525" s="232"/>
      <c r="O1525" s="232"/>
      <c r="P1525" s="232"/>
      <c r="Q1525" s="232"/>
      <c r="R1525" s="232"/>
      <c r="S1525" s="232"/>
      <c r="T1525" s="232"/>
      <c r="U1525" s="232"/>
      <c r="V1525" s="31"/>
      <c r="W1525" s="31"/>
      <c r="X1525" s="31"/>
      <c r="Y1525" s="31"/>
      <c r="Z1525" s="31"/>
      <c r="AA1525" s="31"/>
      <c r="AB1525" s="31"/>
      <c r="AC1525" s="31"/>
      <c r="AD1525" s="31"/>
      <c r="AE1525" s="31"/>
      <c r="AF1525" s="31"/>
      <c r="AG1525" s="31"/>
      <c r="AH1525" s="31"/>
      <c r="AI1525" s="31"/>
      <c r="AJ1525" s="31"/>
      <c r="AK1525" s="31">
        <v>1</v>
      </c>
      <c r="AL1525" s="28" t="str">
        <f>VLOOKUP($G1525,'[42]Sheet1 (2)'!$A$1:$B$1048440,2,FALSE)</f>
        <v>Rmt.</v>
      </c>
      <c r="AM1525" s="3" t="s">
        <v>2608</v>
      </c>
      <c r="AN1525" s="31"/>
      <c r="AO1525" s="33"/>
    </row>
    <row r="1526" spans="1:41" ht="98" x14ac:dyDescent="0.25">
      <c r="A1526" s="20">
        <v>1381</v>
      </c>
      <c r="B1526" s="25" t="s">
        <v>2456</v>
      </c>
      <c r="C1526" s="22">
        <v>42.1</v>
      </c>
      <c r="D1526" s="25" t="s">
        <v>2609</v>
      </c>
      <c r="E1526" s="23" t="s">
        <v>2610</v>
      </c>
      <c r="F1526" s="24" t="s">
        <v>2611</v>
      </c>
      <c r="G1526" s="25" t="s">
        <v>45</v>
      </c>
      <c r="H1526" s="26">
        <v>13472</v>
      </c>
      <c r="I1526" s="26">
        <v>1654</v>
      </c>
      <c r="J1526" s="232">
        <f>2.33/20</f>
        <v>0.11650000000000001</v>
      </c>
      <c r="K1526" s="232"/>
      <c r="L1526" s="232">
        <v>0.19400000000000001</v>
      </c>
      <c r="M1526" s="232"/>
      <c r="N1526" s="232"/>
      <c r="O1526" s="232"/>
      <c r="P1526" s="232">
        <v>0.35</v>
      </c>
      <c r="Q1526" s="232"/>
      <c r="R1526" s="232"/>
      <c r="S1526" s="232"/>
      <c r="T1526" s="232"/>
      <c r="U1526" s="232">
        <v>350</v>
      </c>
      <c r="V1526" s="31"/>
      <c r="W1526" s="31"/>
      <c r="X1526" s="31"/>
      <c r="Y1526" s="31"/>
      <c r="Z1526" s="31"/>
      <c r="AA1526" s="31"/>
      <c r="AB1526" s="31"/>
      <c r="AC1526" s="31"/>
      <c r="AD1526" s="31"/>
      <c r="AE1526" s="31"/>
      <c r="AF1526" s="31"/>
      <c r="AG1526" s="31"/>
      <c r="AH1526" s="31"/>
      <c r="AI1526" s="31"/>
      <c r="AJ1526" s="31"/>
      <c r="AK1526" s="31"/>
      <c r="AL1526" s="28" t="str">
        <f>VLOOKUP($G1526,'[42]Sheet1 (2)'!$A$1:$B$1048440,2,FALSE)</f>
        <v>No.</v>
      </c>
      <c r="AM1526" s="32" t="s">
        <v>2612</v>
      </c>
      <c r="AN1526" s="31"/>
      <c r="AO1526" s="33"/>
    </row>
    <row r="1527" spans="1:41" ht="84" x14ac:dyDescent="0.25">
      <c r="A1527" s="20">
        <v>1382</v>
      </c>
      <c r="B1527" s="25" t="s">
        <v>2456</v>
      </c>
      <c r="C1527" s="22">
        <v>42.11</v>
      </c>
      <c r="D1527" s="25" t="s">
        <v>2609</v>
      </c>
      <c r="E1527" s="24" t="s">
        <v>2613</v>
      </c>
      <c r="F1527" s="24" t="s">
        <v>2614</v>
      </c>
      <c r="G1527" s="25" t="s">
        <v>45</v>
      </c>
      <c r="H1527" s="26">
        <v>14570</v>
      </c>
      <c r="I1527" s="26">
        <v>1887</v>
      </c>
      <c r="J1527" s="158">
        <f>3.53/20</f>
        <v>0.17649999999999999</v>
      </c>
      <c r="K1527" s="31"/>
      <c r="L1527" s="158">
        <v>0.3</v>
      </c>
      <c r="M1527" s="31"/>
      <c r="N1527" s="31"/>
      <c r="O1527" s="31"/>
      <c r="P1527" s="158">
        <v>0.54</v>
      </c>
      <c r="Q1527" s="31"/>
      <c r="R1527" s="31"/>
      <c r="S1527" s="31"/>
      <c r="T1527" s="31"/>
      <c r="U1527" s="31">
        <v>527</v>
      </c>
      <c r="V1527" s="31"/>
      <c r="W1527" s="31"/>
      <c r="X1527" s="31"/>
      <c r="Y1527" s="31"/>
      <c r="Z1527" s="31"/>
      <c r="AA1527" s="31"/>
      <c r="AB1527" s="31"/>
      <c r="AC1527" s="31"/>
      <c r="AD1527" s="31"/>
      <c r="AE1527" s="31"/>
      <c r="AF1527" s="31"/>
      <c r="AG1527" s="31"/>
      <c r="AH1527" s="31"/>
      <c r="AI1527" s="31"/>
      <c r="AJ1527" s="31"/>
      <c r="AK1527" s="31"/>
      <c r="AL1527" s="28" t="str">
        <f>VLOOKUP($G1527,'[42]Sheet1 (2)'!$A$1:$B$1048440,2,FALSE)</f>
        <v>No.</v>
      </c>
      <c r="AM1527" s="32" t="s">
        <v>2615</v>
      </c>
      <c r="AN1527" s="31"/>
      <c r="AO1527" s="33"/>
    </row>
    <row r="1528" spans="1:41" ht="84" x14ac:dyDescent="0.25">
      <c r="A1528" s="20">
        <v>1383</v>
      </c>
      <c r="B1528" s="25" t="s">
        <v>2456</v>
      </c>
      <c r="C1528" s="22">
        <v>42.12</v>
      </c>
      <c r="D1528" s="25" t="s">
        <v>2609</v>
      </c>
      <c r="E1528" s="24" t="s">
        <v>2616</v>
      </c>
      <c r="F1528" s="24" t="s">
        <v>2611</v>
      </c>
      <c r="G1528" s="25" t="s">
        <v>45</v>
      </c>
      <c r="H1528" s="26">
        <v>9160</v>
      </c>
      <c r="I1528" s="121">
        <v>1662</v>
      </c>
      <c r="J1528" s="239">
        <f>3.9/20</f>
        <v>0.19500000000000001</v>
      </c>
      <c r="K1528" s="31"/>
      <c r="L1528" s="239">
        <v>0.45</v>
      </c>
      <c r="M1528" s="31"/>
      <c r="N1528" s="31"/>
      <c r="O1528" s="31"/>
      <c r="P1528" s="239">
        <v>0.56999999999999995</v>
      </c>
      <c r="Q1528" s="31"/>
      <c r="R1528" s="31"/>
      <c r="S1528" s="31"/>
      <c r="T1528" s="31"/>
      <c r="U1528" s="31">
        <v>527</v>
      </c>
      <c r="V1528" s="31"/>
      <c r="W1528" s="31"/>
      <c r="X1528" s="31"/>
      <c r="Y1528" s="31"/>
      <c r="Z1528" s="31"/>
      <c r="AA1528" s="31"/>
      <c r="AB1528" s="31"/>
      <c r="AC1528" s="31"/>
      <c r="AD1528" s="31"/>
      <c r="AE1528" s="31"/>
      <c r="AF1528" s="31"/>
      <c r="AG1528" s="31"/>
      <c r="AH1528" s="31"/>
      <c r="AI1528" s="31"/>
      <c r="AJ1528" s="31"/>
      <c r="AK1528" s="31"/>
      <c r="AL1528" s="28" t="str">
        <f>VLOOKUP($G1528,'[42]Sheet1 (2)'!$A$1:$B$1048440,2,FALSE)</f>
        <v>No.</v>
      </c>
      <c r="AM1528" s="32" t="s">
        <v>2617</v>
      </c>
      <c r="AN1528" s="31"/>
      <c r="AO1528" s="33"/>
    </row>
    <row r="1529" spans="1:41" ht="84" x14ac:dyDescent="0.25">
      <c r="A1529" s="20">
        <v>1384</v>
      </c>
      <c r="B1529" s="25" t="s">
        <v>2456</v>
      </c>
      <c r="C1529" s="22">
        <v>42.13</v>
      </c>
      <c r="D1529" s="25" t="s">
        <v>2609</v>
      </c>
      <c r="E1529" s="24" t="s">
        <v>2618</v>
      </c>
      <c r="F1529" s="24" t="s">
        <v>2611</v>
      </c>
      <c r="G1529" s="25" t="s">
        <v>45</v>
      </c>
      <c r="H1529" s="26">
        <v>10777</v>
      </c>
      <c r="I1529" s="121">
        <v>1902</v>
      </c>
      <c r="J1529" s="239">
        <f>3.9/20</f>
        <v>0.19500000000000001</v>
      </c>
      <c r="K1529" s="31"/>
      <c r="L1529" s="239">
        <v>0.3</v>
      </c>
      <c r="M1529" s="31"/>
      <c r="N1529" s="31"/>
      <c r="O1529" s="31"/>
      <c r="P1529" s="239">
        <v>0.54</v>
      </c>
      <c r="Q1529" s="31"/>
      <c r="R1529" s="31"/>
      <c r="S1529" s="31"/>
      <c r="T1529" s="31"/>
      <c r="U1529" s="31">
        <v>527</v>
      </c>
      <c r="V1529" s="31"/>
      <c r="W1529" s="31"/>
      <c r="X1529" s="31"/>
      <c r="Y1529" s="31"/>
      <c r="Z1529" s="31"/>
      <c r="AA1529" s="31"/>
      <c r="AB1529" s="31"/>
      <c r="AC1529" s="31"/>
      <c r="AD1529" s="31"/>
      <c r="AE1529" s="31"/>
      <c r="AF1529" s="31"/>
      <c r="AG1529" s="31"/>
      <c r="AH1529" s="31"/>
      <c r="AI1529" s="31"/>
      <c r="AJ1529" s="31"/>
      <c r="AK1529" s="31"/>
      <c r="AL1529" s="28" t="str">
        <f>VLOOKUP($G1529,'[42]Sheet1 (2)'!$A$1:$B$1048440,2,FALSE)</f>
        <v>No.</v>
      </c>
      <c r="AM1529" s="32" t="s">
        <v>2619</v>
      </c>
      <c r="AN1529" s="31"/>
      <c r="AO1529" s="33"/>
    </row>
    <row r="1530" spans="1:41" ht="98" x14ac:dyDescent="0.25">
      <c r="A1530" s="20">
        <v>1385</v>
      </c>
      <c r="B1530" s="25" t="s">
        <v>2456</v>
      </c>
      <c r="C1530" s="22">
        <v>42.14</v>
      </c>
      <c r="D1530" s="25" t="s">
        <v>2620</v>
      </c>
      <c r="E1530" s="24" t="s">
        <v>2621</v>
      </c>
      <c r="F1530" s="24" t="s">
        <v>2622</v>
      </c>
      <c r="G1530" s="25" t="s">
        <v>45</v>
      </c>
      <c r="H1530" s="26">
        <v>15181</v>
      </c>
      <c r="I1530" s="121">
        <v>1887</v>
      </c>
      <c r="J1530" s="239">
        <f>3.53/20</f>
        <v>0.17649999999999999</v>
      </c>
      <c r="K1530" s="31"/>
      <c r="L1530" s="239">
        <v>0.3</v>
      </c>
      <c r="M1530" s="31"/>
      <c r="N1530" s="31"/>
      <c r="O1530" s="31"/>
      <c r="P1530" s="239">
        <v>0.54</v>
      </c>
      <c r="Q1530" s="31"/>
      <c r="R1530" s="31"/>
      <c r="S1530" s="31"/>
      <c r="T1530" s="31"/>
      <c r="U1530" s="31">
        <v>527</v>
      </c>
      <c r="V1530" s="31"/>
      <c r="W1530" s="31"/>
      <c r="X1530" s="31"/>
      <c r="Y1530" s="31"/>
      <c r="Z1530" s="31"/>
      <c r="AA1530" s="31"/>
      <c r="AB1530" s="31"/>
      <c r="AC1530" s="31"/>
      <c r="AD1530" s="31"/>
      <c r="AE1530" s="31"/>
      <c r="AF1530" s="31"/>
      <c r="AG1530" s="31"/>
      <c r="AH1530" s="31"/>
      <c r="AI1530" s="31"/>
      <c r="AJ1530" s="31"/>
      <c r="AK1530" s="31"/>
      <c r="AL1530" s="28" t="str">
        <f>VLOOKUP($G1530,'[42]Sheet1 (2)'!$A$1:$B$1048440,2,FALSE)</f>
        <v>No.</v>
      </c>
      <c r="AM1530" s="32" t="s">
        <v>2623</v>
      </c>
      <c r="AN1530" s="31"/>
      <c r="AO1530" s="33"/>
    </row>
    <row r="1531" spans="1:41" ht="98" x14ac:dyDescent="0.25">
      <c r="A1531" s="20">
        <v>1386</v>
      </c>
      <c r="B1531" s="25" t="s">
        <v>2456</v>
      </c>
      <c r="C1531" s="22">
        <v>42.15</v>
      </c>
      <c r="D1531" s="25" t="s">
        <v>2620</v>
      </c>
      <c r="E1531" s="24" t="s">
        <v>2624</v>
      </c>
      <c r="F1531" s="24" t="s">
        <v>2622</v>
      </c>
      <c r="G1531" s="25" t="s">
        <v>45</v>
      </c>
      <c r="H1531" s="26">
        <v>11284</v>
      </c>
      <c r="I1531" s="121">
        <v>1887</v>
      </c>
      <c r="J1531" s="239">
        <f>3.53/20</f>
        <v>0.17649999999999999</v>
      </c>
      <c r="K1531" s="31"/>
      <c r="L1531" s="239">
        <v>0.3</v>
      </c>
      <c r="M1531" s="31"/>
      <c r="N1531" s="31"/>
      <c r="O1531" s="31"/>
      <c r="P1531" s="239">
        <v>0.54</v>
      </c>
      <c r="Q1531" s="31"/>
      <c r="R1531" s="31"/>
      <c r="S1531" s="31"/>
      <c r="T1531" s="31"/>
      <c r="U1531" s="31">
        <v>527</v>
      </c>
      <c r="V1531" s="31"/>
      <c r="W1531" s="31"/>
      <c r="X1531" s="31"/>
      <c r="Y1531" s="31"/>
      <c r="Z1531" s="31"/>
      <c r="AA1531" s="31"/>
      <c r="AB1531" s="31"/>
      <c r="AC1531" s="31"/>
      <c r="AD1531" s="31"/>
      <c r="AE1531" s="31"/>
      <c r="AF1531" s="31"/>
      <c r="AG1531" s="31"/>
      <c r="AH1531" s="31"/>
      <c r="AI1531" s="31"/>
      <c r="AJ1531" s="31"/>
      <c r="AK1531" s="31"/>
      <c r="AL1531" s="28" t="str">
        <f>VLOOKUP($G1531,'[42]Sheet1 (2)'!$A$1:$B$1048440,2,FALSE)</f>
        <v>No.</v>
      </c>
      <c r="AM1531" s="32" t="s">
        <v>2625</v>
      </c>
      <c r="AN1531" s="31"/>
      <c r="AO1531" s="33"/>
    </row>
    <row r="1532" spans="1:41" ht="98" x14ac:dyDescent="0.25">
      <c r="A1532" s="20">
        <v>1387</v>
      </c>
      <c r="B1532" s="25" t="s">
        <v>2456</v>
      </c>
      <c r="C1532" s="22">
        <v>42.16</v>
      </c>
      <c r="D1532" s="25" t="s">
        <v>2532</v>
      </c>
      <c r="E1532" s="23" t="s">
        <v>2626</v>
      </c>
      <c r="F1532" s="24" t="s">
        <v>2614</v>
      </c>
      <c r="G1532" s="25" t="s">
        <v>45</v>
      </c>
      <c r="H1532" s="26">
        <v>9953</v>
      </c>
      <c r="I1532" s="121">
        <v>3184</v>
      </c>
      <c r="J1532" s="239">
        <f>2.33/20</f>
        <v>0.11650000000000001</v>
      </c>
      <c r="K1532" s="31"/>
      <c r="L1532" s="239">
        <v>0.19400000000000001</v>
      </c>
      <c r="M1532" s="31"/>
      <c r="N1532" s="31"/>
      <c r="O1532" s="31"/>
      <c r="P1532" s="239">
        <v>0.35</v>
      </c>
      <c r="Q1532" s="31"/>
      <c r="R1532" s="31"/>
      <c r="S1532" s="31"/>
      <c r="T1532" s="31"/>
      <c r="U1532" s="31">
        <v>350</v>
      </c>
      <c r="V1532" s="31"/>
      <c r="W1532" s="31"/>
      <c r="X1532" s="31"/>
      <c r="Y1532" s="31"/>
      <c r="Z1532" s="31"/>
      <c r="AA1532" s="31"/>
      <c r="AB1532" s="31"/>
      <c r="AC1532" s="31"/>
      <c r="AD1532" s="31"/>
      <c r="AE1532" s="31"/>
      <c r="AF1532" s="31"/>
      <c r="AG1532" s="31"/>
      <c r="AH1532" s="31"/>
      <c r="AI1532" s="31"/>
      <c r="AJ1532" s="31"/>
      <c r="AK1532" s="31"/>
      <c r="AL1532" s="28" t="str">
        <f>VLOOKUP($G1532,'[42]Sheet1 (2)'!$A$1:$B$1048440,2,FALSE)</f>
        <v>No.</v>
      </c>
      <c r="AM1532" s="32" t="s">
        <v>2627</v>
      </c>
      <c r="AN1532" s="31"/>
      <c r="AO1532" s="33"/>
    </row>
    <row r="1533" spans="1:41" ht="48.75" customHeight="1" x14ac:dyDescent="0.25">
      <c r="A1533" s="20">
        <v>1388</v>
      </c>
      <c r="B1533" s="25" t="s">
        <v>2456</v>
      </c>
      <c r="C1533" s="22">
        <v>42.17</v>
      </c>
      <c r="D1533" s="25" t="s">
        <v>2532</v>
      </c>
      <c r="E1533" s="23" t="s">
        <v>2628</v>
      </c>
      <c r="F1533" s="24" t="s">
        <v>2614</v>
      </c>
      <c r="G1533" s="25" t="s">
        <v>45</v>
      </c>
      <c r="H1533" s="26">
        <v>12130</v>
      </c>
      <c r="I1533" s="121">
        <v>3810</v>
      </c>
      <c r="J1533" s="239">
        <f>3.53/20</f>
        <v>0.17649999999999999</v>
      </c>
      <c r="K1533" s="31"/>
      <c r="L1533" s="239">
        <v>0.3</v>
      </c>
      <c r="M1533" s="31"/>
      <c r="N1533" s="31"/>
      <c r="O1533" s="31"/>
      <c r="P1533" s="239">
        <v>0.54</v>
      </c>
      <c r="Q1533" s="31"/>
      <c r="R1533" s="31"/>
      <c r="S1533" s="31"/>
      <c r="T1533" s="31"/>
      <c r="U1533" s="31">
        <v>527</v>
      </c>
      <c r="V1533" s="31"/>
      <c r="W1533" s="31"/>
      <c r="X1533" s="31"/>
      <c r="Y1533" s="31"/>
      <c r="Z1533" s="31"/>
      <c r="AA1533" s="31"/>
      <c r="AB1533" s="31"/>
      <c r="AC1533" s="31"/>
      <c r="AD1533" s="31"/>
      <c r="AE1533" s="31"/>
      <c r="AF1533" s="31"/>
      <c r="AG1533" s="31"/>
      <c r="AH1533" s="31"/>
      <c r="AI1533" s="31"/>
      <c r="AJ1533" s="31"/>
      <c r="AK1533" s="31"/>
      <c r="AL1533" s="28" t="str">
        <f>VLOOKUP($G1533,'[42]Sheet1 (2)'!$A$1:$B$1048440,2,FALSE)</f>
        <v>No.</v>
      </c>
      <c r="AM1533" s="32" t="s">
        <v>2625</v>
      </c>
      <c r="AN1533" s="31"/>
      <c r="AO1533" s="33"/>
    </row>
    <row r="1534" spans="1:41" ht="48.75" customHeight="1" x14ac:dyDescent="0.25">
      <c r="A1534" s="20">
        <v>1389</v>
      </c>
      <c r="B1534" s="92" t="s">
        <v>2470</v>
      </c>
      <c r="C1534" s="22">
        <v>42.18</v>
      </c>
      <c r="D1534" s="25" t="s">
        <v>2629</v>
      </c>
      <c r="E1534" s="24" t="s">
        <v>2630</v>
      </c>
      <c r="F1534" s="24" t="s">
        <v>2631</v>
      </c>
      <c r="G1534" s="25" t="s">
        <v>45</v>
      </c>
      <c r="H1534" s="26">
        <v>16726</v>
      </c>
      <c r="I1534" s="121">
        <v>3896</v>
      </c>
      <c r="J1534" s="31"/>
      <c r="K1534" s="31"/>
      <c r="L1534" s="31"/>
      <c r="M1534" s="31"/>
      <c r="N1534" s="31"/>
      <c r="O1534" s="31"/>
      <c r="P1534" s="31"/>
      <c r="Q1534" s="31"/>
      <c r="R1534" s="31"/>
      <c r="S1534" s="31"/>
      <c r="T1534" s="31"/>
      <c r="U1534" s="31"/>
      <c r="V1534" s="31"/>
      <c r="W1534" s="31"/>
      <c r="X1534" s="31"/>
      <c r="Y1534" s="31"/>
      <c r="Z1534" s="31"/>
      <c r="AA1534" s="31"/>
      <c r="AB1534" s="31"/>
      <c r="AC1534" s="31"/>
      <c r="AD1534" s="31"/>
      <c r="AE1534" s="31"/>
      <c r="AF1534" s="31"/>
      <c r="AG1534" s="31"/>
      <c r="AH1534" s="31"/>
      <c r="AI1534" s="31"/>
      <c r="AJ1534" s="31"/>
      <c r="AK1534" s="31"/>
      <c r="AL1534" s="28" t="str">
        <f>VLOOKUP($G1534,'[42]Sheet1 (2)'!$A$1:$B$1048440,2,FALSE)</f>
        <v>No.</v>
      </c>
      <c r="AM1534" s="32"/>
      <c r="AN1534" s="31"/>
      <c r="AO1534" s="33"/>
    </row>
    <row r="1535" spans="1:41" ht="42" x14ac:dyDescent="0.25">
      <c r="A1535" s="20">
        <v>1390</v>
      </c>
      <c r="B1535" s="35" t="s">
        <v>2460</v>
      </c>
      <c r="C1535" s="22">
        <v>42.19</v>
      </c>
      <c r="D1535" s="25" t="s">
        <v>2632</v>
      </c>
      <c r="E1535" s="24" t="s">
        <v>2633</v>
      </c>
      <c r="F1535" s="24" t="s">
        <v>2634</v>
      </c>
      <c r="G1535" s="25" t="s">
        <v>45</v>
      </c>
      <c r="H1535" s="26">
        <v>2952</v>
      </c>
      <c r="I1535" s="121">
        <v>1122</v>
      </c>
      <c r="J1535" s="31"/>
      <c r="K1535" s="31"/>
      <c r="L1535" s="31"/>
      <c r="M1535" s="31"/>
      <c r="N1535" s="31"/>
      <c r="O1535" s="31"/>
      <c r="P1535" s="31"/>
      <c r="Q1535" s="31"/>
      <c r="R1535" s="31"/>
      <c r="S1535" s="31"/>
      <c r="T1535" s="31"/>
      <c r="U1535" s="31"/>
      <c r="V1535" s="31"/>
      <c r="W1535" s="31"/>
      <c r="X1535" s="31"/>
      <c r="Y1535" s="31"/>
      <c r="Z1535" s="31"/>
      <c r="AA1535" s="31"/>
      <c r="AB1535" s="31"/>
      <c r="AC1535" s="31"/>
      <c r="AD1535" s="31"/>
      <c r="AE1535" s="31"/>
      <c r="AF1535" s="31"/>
      <c r="AG1535" s="31"/>
      <c r="AH1535" s="31"/>
      <c r="AI1535" s="31"/>
      <c r="AJ1535" s="31"/>
      <c r="AK1535" s="31"/>
      <c r="AL1535" s="28" t="str">
        <f>VLOOKUP($G1535,'[42]Sheet1 (2)'!$A$1:$B$1048440,2,FALSE)</f>
        <v>No.</v>
      </c>
      <c r="AM1535" s="32"/>
      <c r="AN1535" s="31"/>
      <c r="AO1535" s="33"/>
    </row>
    <row r="1536" spans="1:41" ht="56" x14ac:dyDescent="0.25">
      <c r="A1536" s="20">
        <v>1391</v>
      </c>
      <c r="B1536" s="35" t="s">
        <v>2460</v>
      </c>
      <c r="C1536" s="22">
        <v>42.2</v>
      </c>
      <c r="D1536" s="25" t="s">
        <v>2532</v>
      </c>
      <c r="E1536" s="24" t="s">
        <v>2635</v>
      </c>
      <c r="F1536" s="35" t="s">
        <v>1839</v>
      </c>
      <c r="G1536" s="25" t="s">
        <v>45</v>
      </c>
      <c r="H1536" s="26">
        <v>861</v>
      </c>
      <c r="I1536" s="26">
        <v>188</v>
      </c>
      <c r="J1536" s="31"/>
      <c r="K1536" s="31"/>
      <c r="L1536" s="31"/>
      <c r="M1536" s="31"/>
      <c r="N1536" s="31"/>
      <c r="O1536" s="31"/>
      <c r="P1536" s="31"/>
      <c r="Q1536" s="31"/>
      <c r="R1536" s="31"/>
      <c r="S1536" s="31"/>
      <c r="T1536" s="31"/>
      <c r="U1536" s="31"/>
      <c r="V1536" s="31"/>
      <c r="W1536" s="31"/>
      <c r="X1536" s="31"/>
      <c r="Y1536" s="31"/>
      <c r="Z1536" s="31"/>
      <c r="AA1536" s="31"/>
      <c r="AB1536" s="31"/>
      <c r="AC1536" s="31"/>
      <c r="AD1536" s="31"/>
      <c r="AE1536" s="31"/>
      <c r="AF1536" s="31"/>
      <c r="AG1536" s="31"/>
      <c r="AH1536" s="31"/>
      <c r="AI1536" s="31"/>
      <c r="AJ1536" s="31"/>
      <c r="AK1536" s="31"/>
      <c r="AL1536" s="28" t="str">
        <f>VLOOKUP($G1536,'[42]Sheet1 (2)'!$A$1:$B$1048440,2,FALSE)</f>
        <v>No.</v>
      </c>
      <c r="AM1536" s="32"/>
      <c r="AN1536" s="31"/>
      <c r="AO1536" s="33"/>
    </row>
    <row r="1537" spans="1:41" ht="84" x14ac:dyDescent="0.25">
      <c r="A1537" s="20">
        <v>1392</v>
      </c>
      <c r="B1537" s="25" t="s">
        <v>2456</v>
      </c>
      <c r="C1537" s="22">
        <v>42.21</v>
      </c>
      <c r="D1537" s="25" t="s">
        <v>2636</v>
      </c>
      <c r="E1537" s="24" t="s">
        <v>2637</v>
      </c>
      <c r="F1537" s="24" t="s">
        <v>742</v>
      </c>
      <c r="G1537" s="21" t="s">
        <v>80</v>
      </c>
      <c r="H1537" s="26">
        <v>82</v>
      </c>
      <c r="I1537" s="26">
        <v>31</v>
      </c>
      <c r="J1537" s="31"/>
      <c r="K1537" s="31"/>
      <c r="L1537" s="31"/>
      <c r="M1537" s="31"/>
      <c r="N1537" s="31"/>
      <c r="O1537" s="31"/>
      <c r="P1537" s="31"/>
      <c r="Q1537" s="31"/>
      <c r="R1537" s="31"/>
      <c r="S1537" s="31"/>
      <c r="T1537" s="31"/>
      <c r="U1537" s="31"/>
      <c r="V1537" s="31"/>
      <c r="W1537" s="31"/>
      <c r="X1537" s="31"/>
      <c r="Y1537" s="31"/>
      <c r="Z1537" s="31"/>
      <c r="AA1537" s="31"/>
      <c r="AB1537" s="31"/>
      <c r="AC1537" s="31"/>
      <c r="AD1537" s="31"/>
      <c r="AE1537" s="31"/>
      <c r="AF1537" s="31"/>
      <c r="AG1537" s="31"/>
      <c r="AH1537" s="31"/>
      <c r="AI1537" s="31"/>
      <c r="AJ1537" s="31"/>
      <c r="AK1537" s="31"/>
      <c r="AL1537" s="28" t="str">
        <f>VLOOKUP($G1537,'[42]Sheet1 (2)'!$A$1:$B$1048440,2,FALSE)</f>
        <v>Rmt.</v>
      </c>
      <c r="AM1537" s="32"/>
      <c r="AN1537" s="31"/>
      <c r="AO1537" s="33"/>
    </row>
    <row r="1538" spans="1:41" ht="84" x14ac:dyDescent="0.25">
      <c r="A1538" s="20">
        <v>1393</v>
      </c>
      <c r="B1538" s="25" t="s">
        <v>2456</v>
      </c>
      <c r="C1538" s="22">
        <v>42.22</v>
      </c>
      <c r="D1538" s="25" t="s">
        <v>2636</v>
      </c>
      <c r="E1538" s="24" t="s">
        <v>2638</v>
      </c>
      <c r="F1538" s="24" t="s">
        <v>742</v>
      </c>
      <c r="G1538" s="21" t="s">
        <v>80</v>
      </c>
      <c r="H1538" s="26">
        <v>126</v>
      </c>
      <c r="I1538" s="26">
        <v>31</v>
      </c>
      <c r="J1538" s="31"/>
      <c r="K1538" s="31"/>
      <c r="L1538" s="31"/>
      <c r="M1538" s="31"/>
      <c r="N1538" s="31"/>
      <c r="O1538" s="31"/>
      <c r="P1538" s="31"/>
      <c r="Q1538" s="31"/>
      <c r="R1538" s="31"/>
      <c r="S1538" s="31"/>
      <c r="T1538" s="31"/>
      <c r="U1538" s="31"/>
      <c r="V1538" s="31"/>
      <c r="W1538" s="31"/>
      <c r="X1538" s="31"/>
      <c r="Y1538" s="31"/>
      <c r="Z1538" s="31"/>
      <c r="AA1538" s="31"/>
      <c r="AB1538" s="31"/>
      <c r="AC1538" s="31"/>
      <c r="AD1538" s="31"/>
      <c r="AE1538" s="31"/>
      <c r="AF1538" s="31"/>
      <c r="AG1538" s="31"/>
      <c r="AH1538" s="31"/>
      <c r="AI1538" s="31"/>
      <c r="AJ1538" s="31"/>
      <c r="AK1538" s="31"/>
      <c r="AL1538" s="28" t="str">
        <f>VLOOKUP($G1538,'[42]Sheet1 (2)'!$A$1:$B$1048440,2,FALSE)</f>
        <v>Rmt.</v>
      </c>
      <c r="AM1538" s="32"/>
      <c r="AN1538" s="31"/>
      <c r="AO1538" s="33"/>
    </row>
    <row r="1539" spans="1:41" ht="84" x14ac:dyDescent="0.25">
      <c r="A1539" s="20">
        <v>1394</v>
      </c>
      <c r="B1539" s="25" t="s">
        <v>2456</v>
      </c>
      <c r="C1539" s="22">
        <v>42.23</v>
      </c>
      <c r="D1539" s="25" t="s">
        <v>2636</v>
      </c>
      <c r="E1539" s="24" t="s">
        <v>2639</v>
      </c>
      <c r="F1539" s="24" t="s">
        <v>742</v>
      </c>
      <c r="G1539" s="21" t="s">
        <v>80</v>
      </c>
      <c r="H1539" s="26">
        <v>157</v>
      </c>
      <c r="I1539" s="26">
        <v>31</v>
      </c>
      <c r="J1539" s="31"/>
      <c r="K1539" s="31"/>
      <c r="L1539" s="31"/>
      <c r="M1539" s="31"/>
      <c r="N1539" s="31"/>
      <c r="O1539" s="31"/>
      <c r="P1539" s="31"/>
      <c r="Q1539" s="31"/>
      <c r="R1539" s="31"/>
      <c r="S1539" s="31"/>
      <c r="T1539" s="31"/>
      <c r="U1539" s="31"/>
      <c r="V1539" s="31"/>
      <c r="W1539" s="31"/>
      <c r="X1539" s="31"/>
      <c r="Y1539" s="31"/>
      <c r="Z1539" s="31"/>
      <c r="AA1539" s="31"/>
      <c r="AB1539" s="31"/>
      <c r="AC1539" s="31"/>
      <c r="AD1539" s="31"/>
      <c r="AE1539" s="31"/>
      <c r="AF1539" s="31"/>
      <c r="AG1539" s="31"/>
      <c r="AH1539" s="31"/>
      <c r="AI1539" s="31"/>
      <c r="AJ1539" s="31"/>
      <c r="AK1539" s="31"/>
      <c r="AL1539" s="28" t="str">
        <f>VLOOKUP($G1539,'[42]Sheet1 (2)'!$A$1:$B$1048440,2,FALSE)</f>
        <v>Rmt.</v>
      </c>
      <c r="AM1539" s="32"/>
      <c r="AN1539" s="31"/>
      <c r="AO1539" s="33"/>
    </row>
    <row r="1540" spans="1:41" ht="84" x14ac:dyDescent="0.25">
      <c r="A1540" s="20">
        <v>1395</v>
      </c>
      <c r="B1540" s="25" t="s">
        <v>2456</v>
      </c>
      <c r="C1540" s="22">
        <v>42.24</v>
      </c>
      <c r="D1540" s="25" t="s">
        <v>2636</v>
      </c>
      <c r="E1540" s="24" t="s">
        <v>2640</v>
      </c>
      <c r="F1540" s="24" t="s">
        <v>742</v>
      </c>
      <c r="G1540" s="21" t="s">
        <v>80</v>
      </c>
      <c r="H1540" s="26">
        <v>226</v>
      </c>
      <c r="I1540" s="26">
        <v>31</v>
      </c>
      <c r="J1540" s="31"/>
      <c r="K1540" s="31"/>
      <c r="L1540" s="31"/>
      <c r="M1540" s="31"/>
      <c r="N1540" s="31"/>
      <c r="O1540" s="31"/>
      <c r="P1540" s="31"/>
      <c r="Q1540" s="31"/>
      <c r="R1540" s="31"/>
      <c r="S1540" s="31"/>
      <c r="T1540" s="31"/>
      <c r="U1540" s="31"/>
      <c r="V1540" s="31"/>
      <c r="W1540" s="31"/>
      <c r="X1540" s="31"/>
      <c r="Y1540" s="31"/>
      <c r="Z1540" s="31"/>
      <c r="AA1540" s="31"/>
      <c r="AB1540" s="31"/>
      <c r="AC1540" s="31"/>
      <c r="AD1540" s="31"/>
      <c r="AE1540" s="31"/>
      <c r="AF1540" s="31"/>
      <c r="AG1540" s="31"/>
      <c r="AH1540" s="31"/>
      <c r="AI1540" s="31"/>
      <c r="AJ1540" s="31"/>
      <c r="AK1540" s="31"/>
      <c r="AL1540" s="28" t="str">
        <f>VLOOKUP($G1540,'[42]Sheet1 (2)'!$A$1:$B$1048440,2,FALSE)</f>
        <v>Rmt.</v>
      </c>
      <c r="AM1540" s="32"/>
      <c r="AN1540" s="31"/>
      <c r="AO1540" s="33"/>
    </row>
    <row r="1541" spans="1:41" ht="84" x14ac:dyDescent="0.25">
      <c r="A1541" s="20">
        <v>1396</v>
      </c>
      <c r="B1541" s="25" t="s">
        <v>2456</v>
      </c>
      <c r="C1541" s="22">
        <v>42.25</v>
      </c>
      <c r="D1541" s="25" t="s">
        <v>2636</v>
      </c>
      <c r="E1541" s="24" t="s">
        <v>2641</v>
      </c>
      <c r="F1541" s="24" t="s">
        <v>742</v>
      </c>
      <c r="G1541" s="21" t="s">
        <v>80</v>
      </c>
      <c r="H1541" s="26">
        <v>301</v>
      </c>
      <c r="I1541" s="26">
        <v>39</v>
      </c>
      <c r="J1541" s="31"/>
      <c r="K1541" s="31"/>
      <c r="L1541" s="31"/>
      <c r="M1541" s="31"/>
      <c r="N1541" s="31"/>
      <c r="O1541" s="31"/>
      <c r="P1541" s="31"/>
      <c r="Q1541" s="31"/>
      <c r="R1541" s="31"/>
      <c r="S1541" s="31"/>
      <c r="T1541" s="31"/>
      <c r="U1541" s="31"/>
      <c r="V1541" s="31"/>
      <c r="W1541" s="31"/>
      <c r="X1541" s="31"/>
      <c r="Y1541" s="31"/>
      <c r="Z1541" s="31"/>
      <c r="AA1541" s="31"/>
      <c r="AB1541" s="31"/>
      <c r="AC1541" s="31"/>
      <c r="AD1541" s="31"/>
      <c r="AE1541" s="31"/>
      <c r="AF1541" s="31"/>
      <c r="AG1541" s="31"/>
      <c r="AH1541" s="31"/>
      <c r="AI1541" s="31"/>
      <c r="AJ1541" s="31"/>
      <c r="AK1541" s="31"/>
      <c r="AL1541" s="28" t="str">
        <f>VLOOKUP($G1541,'[42]Sheet1 (2)'!$A$1:$B$1048440,2,FALSE)</f>
        <v>Rmt.</v>
      </c>
      <c r="AM1541" s="32"/>
      <c r="AN1541" s="31"/>
      <c r="AO1541" s="33"/>
    </row>
    <row r="1542" spans="1:41" ht="84" x14ac:dyDescent="0.25">
      <c r="A1542" s="20">
        <v>1397</v>
      </c>
      <c r="B1542" s="25" t="s">
        <v>2456</v>
      </c>
      <c r="C1542" s="22">
        <v>42.26</v>
      </c>
      <c r="D1542" s="25" t="s">
        <v>2636</v>
      </c>
      <c r="E1542" s="24" t="s">
        <v>2642</v>
      </c>
      <c r="F1542" s="24" t="s">
        <v>742</v>
      </c>
      <c r="G1542" s="21" t="s">
        <v>80</v>
      </c>
      <c r="H1542" s="26">
        <v>422</v>
      </c>
      <c r="I1542" s="26">
        <v>47</v>
      </c>
      <c r="J1542" s="31"/>
      <c r="K1542" s="31"/>
      <c r="L1542" s="31"/>
      <c r="M1542" s="31"/>
      <c r="N1542" s="31"/>
      <c r="O1542" s="31"/>
      <c r="P1542" s="31"/>
      <c r="Q1542" s="31"/>
      <c r="R1542" s="31"/>
      <c r="S1542" s="31"/>
      <c r="T1542" s="31"/>
      <c r="U1542" s="31"/>
      <c r="V1542" s="31"/>
      <c r="W1542" s="31"/>
      <c r="X1542" s="31"/>
      <c r="Y1542" s="31"/>
      <c r="Z1542" s="31"/>
      <c r="AA1542" s="31"/>
      <c r="AB1542" s="31"/>
      <c r="AC1542" s="31"/>
      <c r="AD1542" s="31"/>
      <c r="AE1542" s="31"/>
      <c r="AF1542" s="31"/>
      <c r="AG1542" s="31"/>
      <c r="AH1542" s="31"/>
      <c r="AI1542" s="31"/>
      <c r="AJ1542" s="31"/>
      <c r="AK1542" s="31"/>
      <c r="AL1542" s="28" t="str">
        <f>VLOOKUP($G1542,'[42]Sheet1 (2)'!$A$1:$B$1048440,2,FALSE)</f>
        <v>Rmt.</v>
      </c>
      <c r="AM1542" s="32"/>
      <c r="AN1542" s="31"/>
      <c r="AO1542" s="33"/>
    </row>
    <row r="1543" spans="1:41" ht="84" x14ac:dyDescent="0.25">
      <c r="A1543" s="20">
        <v>1398</v>
      </c>
      <c r="B1543" s="25" t="s">
        <v>2456</v>
      </c>
      <c r="C1543" s="22">
        <v>42.27</v>
      </c>
      <c r="D1543" s="25" t="s">
        <v>2636</v>
      </c>
      <c r="E1543" s="24" t="s">
        <v>2643</v>
      </c>
      <c r="F1543" s="24" t="s">
        <v>742</v>
      </c>
      <c r="G1543" s="21" t="s">
        <v>80</v>
      </c>
      <c r="H1543" s="26">
        <v>431</v>
      </c>
      <c r="I1543" s="26">
        <v>47</v>
      </c>
      <c r="J1543" s="31"/>
      <c r="K1543" s="31"/>
      <c r="L1543" s="31"/>
      <c r="M1543" s="31"/>
      <c r="N1543" s="31"/>
      <c r="O1543" s="31"/>
      <c r="P1543" s="31"/>
      <c r="Q1543" s="31"/>
      <c r="R1543" s="31"/>
      <c r="S1543" s="31"/>
      <c r="T1543" s="31"/>
      <c r="U1543" s="31"/>
      <c r="V1543" s="31"/>
      <c r="W1543" s="31"/>
      <c r="X1543" s="31"/>
      <c r="Y1543" s="31"/>
      <c r="Z1543" s="31"/>
      <c r="AA1543" s="31"/>
      <c r="AB1543" s="31"/>
      <c r="AC1543" s="31"/>
      <c r="AD1543" s="31"/>
      <c r="AE1543" s="31"/>
      <c r="AF1543" s="31"/>
      <c r="AG1543" s="31"/>
      <c r="AH1543" s="31"/>
      <c r="AI1543" s="31"/>
      <c r="AJ1543" s="31"/>
      <c r="AK1543" s="31"/>
      <c r="AL1543" s="28" t="str">
        <f>VLOOKUP($G1543,'[42]Sheet1 (2)'!$A$1:$B$1048440,2,FALSE)</f>
        <v>Rmt.</v>
      </c>
      <c r="AM1543" s="32"/>
      <c r="AN1543" s="31"/>
      <c r="AO1543" s="33"/>
    </row>
    <row r="1544" spans="1:41" ht="84" x14ac:dyDescent="0.25">
      <c r="A1544" s="20">
        <v>1399</v>
      </c>
      <c r="B1544" s="25" t="s">
        <v>2456</v>
      </c>
      <c r="C1544" s="22">
        <v>42.28</v>
      </c>
      <c r="D1544" s="25" t="s">
        <v>2636</v>
      </c>
      <c r="E1544" s="24" t="s">
        <v>2644</v>
      </c>
      <c r="F1544" s="24" t="s">
        <v>742</v>
      </c>
      <c r="G1544" s="21" t="s">
        <v>80</v>
      </c>
      <c r="H1544" s="26">
        <v>594</v>
      </c>
      <c r="I1544" s="26">
        <v>47</v>
      </c>
      <c r="J1544" s="31">
        <f>0.01/20</f>
        <v>5.0000000000000001E-4</v>
      </c>
      <c r="K1544" s="31"/>
      <c r="L1544" s="31"/>
      <c r="M1544" s="31"/>
      <c r="N1544" s="31"/>
      <c r="O1544" s="31"/>
      <c r="P1544" s="31">
        <v>5.0000000000000001E-3</v>
      </c>
      <c r="Q1544" s="31"/>
      <c r="R1544" s="31"/>
      <c r="S1544" s="31"/>
      <c r="T1544" s="31"/>
      <c r="U1544" s="31"/>
      <c r="V1544" s="31"/>
      <c r="W1544" s="31"/>
      <c r="X1544" s="31"/>
      <c r="Y1544" s="31"/>
      <c r="Z1544" s="31"/>
      <c r="AA1544" s="31"/>
      <c r="AB1544" s="31"/>
      <c r="AC1544" s="31"/>
      <c r="AD1544" s="31"/>
      <c r="AE1544" s="31"/>
      <c r="AF1544" s="31"/>
      <c r="AG1544" s="31"/>
      <c r="AH1544" s="31"/>
      <c r="AI1544" s="31"/>
      <c r="AJ1544" s="31"/>
      <c r="AK1544" s="31"/>
      <c r="AL1544" s="28" t="str">
        <f>VLOOKUP($G1544,'[42]Sheet1 (2)'!$A$1:$B$1048440,2,FALSE)</f>
        <v>Rmt.</v>
      </c>
      <c r="AM1544" s="19"/>
      <c r="AN1544" s="31"/>
      <c r="AO1544" s="33"/>
    </row>
    <row r="1545" spans="1:41" ht="56" x14ac:dyDescent="0.25">
      <c r="A1545" s="20">
        <v>1400</v>
      </c>
      <c r="B1545" s="35" t="s">
        <v>2460</v>
      </c>
      <c r="C1545" s="22">
        <v>42.29</v>
      </c>
      <c r="D1545" s="25" t="s">
        <v>2532</v>
      </c>
      <c r="E1545" s="23" t="s">
        <v>2645</v>
      </c>
      <c r="F1545" s="35" t="s">
        <v>1839</v>
      </c>
      <c r="G1545" s="202" t="s">
        <v>621</v>
      </c>
      <c r="H1545" s="26">
        <v>1062</v>
      </c>
      <c r="I1545" s="26">
        <v>207</v>
      </c>
      <c r="J1545" s="232">
        <f>0.25/20</f>
        <v>1.2500000000000001E-2</v>
      </c>
      <c r="K1545" s="31"/>
      <c r="L1545" s="31"/>
      <c r="M1545" s="31"/>
      <c r="N1545" s="31"/>
      <c r="O1545" s="31"/>
      <c r="P1545" s="31"/>
      <c r="Q1545" s="31"/>
      <c r="R1545" s="31"/>
      <c r="S1545" s="31"/>
      <c r="T1545" s="31"/>
      <c r="U1545" s="31"/>
      <c r="V1545" s="31"/>
      <c r="W1545" s="31"/>
      <c r="X1545" s="31"/>
      <c r="Y1545" s="31"/>
      <c r="Z1545" s="31"/>
      <c r="AA1545" s="31"/>
      <c r="AB1545" s="31"/>
      <c r="AC1545" s="31"/>
      <c r="AD1545" s="31"/>
      <c r="AE1545" s="31"/>
      <c r="AF1545" s="31"/>
      <c r="AG1545" s="31"/>
      <c r="AH1545" s="31"/>
      <c r="AI1545" s="31"/>
      <c r="AJ1545" s="31"/>
      <c r="AK1545" s="31"/>
      <c r="AL1545" s="28" t="str">
        <f>VLOOKUP($G1545,'[42]Sheet1 (2)'!$A$1:$B$1048440,2,FALSE)</f>
        <v>Sqm</v>
      </c>
      <c r="AM1545" s="32" t="s">
        <v>2646</v>
      </c>
      <c r="AN1545" s="31"/>
      <c r="AO1545" s="33"/>
    </row>
    <row r="1546" spans="1:41" ht="84" x14ac:dyDescent="0.25">
      <c r="A1546" s="20">
        <v>1401</v>
      </c>
      <c r="B1546" s="25" t="s">
        <v>2456</v>
      </c>
      <c r="C1546" s="22">
        <v>42.3</v>
      </c>
      <c r="D1546" s="25" t="s">
        <v>2532</v>
      </c>
      <c r="E1546" s="23" t="s">
        <v>2647</v>
      </c>
      <c r="F1546" s="24" t="s">
        <v>742</v>
      </c>
      <c r="G1546" s="25" t="s">
        <v>45</v>
      </c>
      <c r="H1546" s="26">
        <v>4007</v>
      </c>
      <c r="I1546" s="26">
        <v>2368</v>
      </c>
      <c r="J1546" s="31"/>
      <c r="K1546" s="31"/>
      <c r="L1546" s="31"/>
      <c r="M1546" s="31"/>
      <c r="N1546" s="31"/>
      <c r="O1546" s="31"/>
      <c r="P1546" s="31"/>
      <c r="Q1546" s="31"/>
      <c r="R1546" s="31"/>
      <c r="S1546" s="31"/>
      <c r="T1546" s="31"/>
      <c r="U1546" s="31"/>
      <c r="V1546" s="31"/>
      <c r="W1546" s="31"/>
      <c r="X1546" s="31"/>
      <c r="Y1546" s="31"/>
      <c r="Z1546" s="31"/>
      <c r="AA1546" s="31"/>
      <c r="AB1546" s="31"/>
      <c r="AC1546" s="31"/>
      <c r="AD1546" s="31"/>
      <c r="AE1546" s="31"/>
      <c r="AF1546" s="31"/>
      <c r="AG1546" s="31"/>
      <c r="AH1546" s="31"/>
      <c r="AI1546" s="31"/>
      <c r="AJ1546" s="31"/>
      <c r="AK1546" s="31"/>
      <c r="AL1546" s="28" t="str">
        <f>VLOOKUP($G1546,'[42]Sheet1 (2)'!$A$1:$B$1048440,2,FALSE)</f>
        <v>No.</v>
      </c>
      <c r="AM1546" s="32" t="s">
        <v>2648</v>
      </c>
      <c r="AN1546" s="31"/>
      <c r="AO1546" s="33"/>
    </row>
    <row r="1547" spans="1:41" ht="42" x14ac:dyDescent="0.25">
      <c r="A1547" s="20">
        <v>1402</v>
      </c>
      <c r="B1547" s="35" t="s">
        <v>2460</v>
      </c>
      <c r="C1547" s="22">
        <v>42.31</v>
      </c>
      <c r="D1547" s="25" t="s">
        <v>2532</v>
      </c>
      <c r="E1547" s="24" t="s">
        <v>2649</v>
      </c>
      <c r="F1547" s="24" t="s">
        <v>742</v>
      </c>
      <c r="G1547" s="25" t="s">
        <v>45</v>
      </c>
      <c r="H1547" s="26">
        <v>299</v>
      </c>
      <c r="I1547" s="26">
        <v>34</v>
      </c>
      <c r="J1547" s="31"/>
      <c r="K1547" s="31"/>
      <c r="L1547" s="31"/>
      <c r="M1547" s="31"/>
      <c r="N1547" s="31"/>
      <c r="O1547" s="31"/>
      <c r="P1547" s="31"/>
      <c r="Q1547" s="31"/>
      <c r="R1547" s="31"/>
      <c r="S1547" s="31"/>
      <c r="T1547" s="31"/>
      <c r="U1547" s="31"/>
      <c r="V1547" s="31"/>
      <c r="W1547" s="31"/>
      <c r="X1547" s="31"/>
      <c r="Y1547" s="31"/>
      <c r="Z1547" s="31"/>
      <c r="AA1547" s="31"/>
      <c r="AB1547" s="31"/>
      <c r="AC1547" s="31"/>
      <c r="AD1547" s="31"/>
      <c r="AE1547" s="31"/>
      <c r="AF1547" s="31"/>
      <c r="AG1547" s="31"/>
      <c r="AH1547" s="31"/>
      <c r="AI1547" s="31"/>
      <c r="AJ1547" s="31"/>
      <c r="AK1547" s="31"/>
      <c r="AL1547" s="28" t="str">
        <f>VLOOKUP($G1547,'[42]Sheet1 (2)'!$A$1:$B$1048440,2,FALSE)</f>
        <v>No.</v>
      </c>
      <c r="AM1547" s="32"/>
      <c r="AN1547" s="31"/>
      <c r="AO1547" s="33"/>
    </row>
    <row r="1548" spans="1:41" ht="56" x14ac:dyDescent="0.25">
      <c r="A1548" s="20">
        <v>1403</v>
      </c>
      <c r="B1548" s="35" t="s">
        <v>2460</v>
      </c>
      <c r="C1548" s="22">
        <v>42.32</v>
      </c>
      <c r="D1548" s="25" t="s">
        <v>2532</v>
      </c>
      <c r="E1548" s="24" t="s">
        <v>2650</v>
      </c>
      <c r="F1548" s="35" t="s">
        <v>1839</v>
      </c>
      <c r="G1548" s="25" t="s">
        <v>45</v>
      </c>
      <c r="H1548" s="26">
        <v>953</v>
      </c>
      <c r="I1548" s="26">
        <v>78</v>
      </c>
      <c r="J1548" s="158">
        <f>0.25/20</f>
        <v>1.2500000000000001E-2</v>
      </c>
      <c r="K1548" s="158"/>
      <c r="L1548" s="158"/>
      <c r="M1548" s="158"/>
      <c r="N1548" s="158"/>
      <c r="O1548" s="158"/>
      <c r="P1548" s="158">
        <v>1.7999999999999999E-2</v>
      </c>
      <c r="Q1548" s="31"/>
      <c r="R1548" s="31"/>
      <c r="S1548" s="31"/>
      <c r="T1548" s="31"/>
      <c r="U1548" s="31"/>
      <c r="V1548" s="31"/>
      <c r="W1548" s="31"/>
      <c r="X1548" s="31"/>
      <c r="Y1548" s="31"/>
      <c r="Z1548" s="31"/>
      <c r="AA1548" s="31"/>
      <c r="AB1548" s="31"/>
      <c r="AC1548" s="31"/>
      <c r="AD1548" s="31"/>
      <c r="AE1548" s="31"/>
      <c r="AF1548" s="31"/>
      <c r="AG1548" s="31"/>
      <c r="AH1548" s="31"/>
      <c r="AI1548" s="31"/>
      <c r="AJ1548" s="31"/>
      <c r="AK1548" s="31"/>
      <c r="AL1548" s="28" t="str">
        <f>VLOOKUP($G1548,'[42]Sheet1 (2)'!$A$1:$B$1048440,2,FALSE)</f>
        <v>No.</v>
      </c>
      <c r="AM1548" s="19"/>
      <c r="AN1548" s="31"/>
      <c r="AO1548" s="33"/>
    </row>
    <row r="1549" spans="1:41" ht="84" x14ac:dyDescent="0.25">
      <c r="A1549" s="20">
        <v>1404</v>
      </c>
      <c r="B1549" s="25" t="s">
        <v>2456</v>
      </c>
      <c r="C1549" s="22">
        <v>42.33</v>
      </c>
      <c r="D1549" s="25" t="s">
        <v>2532</v>
      </c>
      <c r="E1549" s="23" t="s">
        <v>2651</v>
      </c>
      <c r="F1549" s="24" t="s">
        <v>742</v>
      </c>
      <c r="G1549" s="25" t="s">
        <v>45</v>
      </c>
      <c r="H1549" s="26">
        <v>7388</v>
      </c>
      <c r="I1549" s="26">
        <v>1786</v>
      </c>
      <c r="J1549" s="158">
        <f>0.25/20</f>
        <v>1.2500000000000001E-2</v>
      </c>
      <c r="K1549" s="31"/>
      <c r="L1549" s="31"/>
      <c r="M1549" s="31"/>
      <c r="N1549" s="31"/>
      <c r="O1549" s="31"/>
      <c r="P1549" s="158">
        <v>3.5000000000000003E-2</v>
      </c>
      <c r="Q1549" s="31"/>
      <c r="R1549" s="31"/>
      <c r="S1549" s="31"/>
      <c r="T1549" s="31"/>
      <c r="U1549" s="31"/>
      <c r="V1549" s="31"/>
      <c r="W1549" s="31"/>
      <c r="X1549" s="31"/>
      <c r="Y1549" s="31"/>
      <c r="Z1549" s="31"/>
      <c r="AA1549" s="31"/>
      <c r="AB1549" s="31"/>
      <c r="AC1549" s="31"/>
      <c r="AD1549" s="31"/>
      <c r="AE1549" s="31"/>
      <c r="AF1549" s="31"/>
      <c r="AG1549" s="31"/>
      <c r="AH1549" s="31"/>
      <c r="AI1549" s="31"/>
      <c r="AJ1549" s="31"/>
      <c r="AK1549" s="31"/>
      <c r="AL1549" s="28" t="str">
        <f>VLOOKUP($G1549,'[42]Sheet1 (2)'!$A$1:$B$1048440,2,FALSE)</f>
        <v>No.</v>
      </c>
      <c r="AM1549" s="32" t="s">
        <v>2652</v>
      </c>
      <c r="AN1549" s="31"/>
      <c r="AO1549" s="33"/>
    </row>
    <row r="1550" spans="1:41" ht="56" x14ac:dyDescent="0.25">
      <c r="A1550" s="20">
        <v>1405</v>
      </c>
      <c r="B1550" s="35" t="s">
        <v>2460</v>
      </c>
      <c r="C1550" s="22">
        <v>42.34</v>
      </c>
      <c r="D1550" s="25" t="s">
        <v>2532</v>
      </c>
      <c r="E1550" s="23" t="s">
        <v>2653</v>
      </c>
      <c r="F1550" s="24" t="s">
        <v>742</v>
      </c>
      <c r="G1550" s="25" t="s">
        <v>45</v>
      </c>
      <c r="H1550" s="26">
        <v>11200</v>
      </c>
      <c r="I1550" s="26">
        <v>2142</v>
      </c>
      <c r="J1550" s="158">
        <f>0.25/20</f>
        <v>1.2500000000000001E-2</v>
      </c>
      <c r="K1550" s="158"/>
      <c r="L1550" s="158"/>
      <c r="M1550" s="158"/>
      <c r="N1550" s="158"/>
      <c r="O1550" s="158"/>
      <c r="P1550" s="158">
        <v>1.7999999999999999E-2</v>
      </c>
      <c r="Q1550" s="31"/>
      <c r="R1550" s="31"/>
      <c r="S1550" s="31"/>
      <c r="T1550" s="31"/>
      <c r="U1550" s="31"/>
      <c r="V1550" s="31"/>
      <c r="W1550" s="31"/>
      <c r="X1550" s="31"/>
      <c r="Y1550" s="31"/>
      <c r="Z1550" s="31"/>
      <c r="AA1550" s="31"/>
      <c r="AB1550" s="31"/>
      <c r="AC1550" s="31"/>
      <c r="AD1550" s="31"/>
      <c r="AE1550" s="31"/>
      <c r="AF1550" s="31"/>
      <c r="AG1550" s="31"/>
      <c r="AH1550" s="31"/>
      <c r="AI1550" s="31"/>
      <c r="AJ1550" s="31"/>
      <c r="AK1550" s="31"/>
      <c r="AL1550" s="28" t="str">
        <f>VLOOKUP($G1550,'[42]Sheet1 (2)'!$A$1:$B$1048440,2,FALSE)</f>
        <v>No.</v>
      </c>
      <c r="AM1550" s="32" t="s">
        <v>2654</v>
      </c>
      <c r="AN1550" s="31"/>
      <c r="AO1550" s="33"/>
    </row>
    <row r="1551" spans="1:41" ht="84" x14ac:dyDescent="0.25">
      <c r="A1551" s="20">
        <v>1406</v>
      </c>
      <c r="B1551" s="25" t="s">
        <v>2456</v>
      </c>
      <c r="C1551" s="22">
        <v>42.35</v>
      </c>
      <c r="D1551" s="25" t="s">
        <v>2532</v>
      </c>
      <c r="E1551" s="23" t="s">
        <v>2655</v>
      </c>
      <c r="F1551" s="24" t="s">
        <v>742</v>
      </c>
      <c r="G1551" s="25" t="s">
        <v>45</v>
      </c>
      <c r="H1551" s="26">
        <v>10140</v>
      </c>
      <c r="I1551" s="26">
        <v>2111</v>
      </c>
      <c r="J1551" s="31"/>
      <c r="K1551" s="31"/>
      <c r="L1551" s="31"/>
      <c r="M1551" s="31"/>
      <c r="N1551" s="31"/>
      <c r="O1551" s="31"/>
      <c r="P1551" s="31"/>
      <c r="Q1551" s="31"/>
      <c r="R1551" s="31"/>
      <c r="S1551" s="31"/>
      <c r="T1551" s="31"/>
      <c r="U1551" s="31"/>
      <c r="V1551" s="31"/>
      <c r="W1551" s="31"/>
      <c r="X1551" s="31"/>
      <c r="Y1551" s="31"/>
      <c r="Z1551" s="31"/>
      <c r="AA1551" s="31"/>
      <c r="AB1551" s="31"/>
      <c r="AC1551" s="31"/>
      <c r="AD1551" s="31"/>
      <c r="AE1551" s="31"/>
      <c r="AF1551" s="31"/>
      <c r="AG1551" s="31"/>
      <c r="AH1551" s="31"/>
      <c r="AI1551" s="31"/>
      <c r="AJ1551" s="31"/>
      <c r="AK1551" s="31"/>
      <c r="AL1551" s="28" t="str">
        <f>VLOOKUP($G1551,'[42]Sheet1 (2)'!$A$1:$B$1048440,2,FALSE)</f>
        <v>No.</v>
      </c>
      <c r="AM1551" s="32" t="s">
        <v>2656</v>
      </c>
      <c r="AN1551" s="31"/>
      <c r="AO1551" s="33"/>
    </row>
    <row r="1552" spans="1:41" ht="56" x14ac:dyDescent="0.25">
      <c r="A1552" s="20">
        <v>1407</v>
      </c>
      <c r="B1552" s="35" t="s">
        <v>2460</v>
      </c>
      <c r="C1552" s="22">
        <v>42.36</v>
      </c>
      <c r="D1552" s="25" t="s">
        <v>2532</v>
      </c>
      <c r="E1552" s="24" t="s">
        <v>2657</v>
      </c>
      <c r="F1552" s="35" t="s">
        <v>1839</v>
      </c>
      <c r="G1552" s="25" t="s">
        <v>45</v>
      </c>
      <c r="H1552" s="26">
        <v>1210</v>
      </c>
      <c r="I1552" s="26">
        <v>82</v>
      </c>
      <c r="J1552" s="31"/>
      <c r="K1552" s="31"/>
      <c r="L1552" s="31"/>
      <c r="M1552" s="31"/>
      <c r="N1552" s="31"/>
      <c r="O1552" s="31"/>
      <c r="P1552" s="31"/>
      <c r="Q1552" s="31"/>
      <c r="R1552" s="31"/>
      <c r="S1552" s="31"/>
      <c r="T1552" s="31"/>
      <c r="U1552" s="31"/>
      <c r="V1552" s="31"/>
      <c r="W1552" s="31"/>
      <c r="X1552" s="31"/>
      <c r="Y1552" s="31"/>
      <c r="Z1552" s="31"/>
      <c r="AA1552" s="31"/>
      <c r="AB1552" s="31"/>
      <c r="AC1552" s="31"/>
      <c r="AD1552" s="31"/>
      <c r="AE1552" s="31"/>
      <c r="AF1552" s="31"/>
      <c r="AG1552" s="31"/>
      <c r="AH1552" s="31"/>
      <c r="AI1552" s="31"/>
      <c r="AJ1552" s="31"/>
      <c r="AK1552" s="31"/>
      <c r="AL1552" s="28" t="str">
        <f>VLOOKUP($G1552,'[42]Sheet1 (2)'!$A$1:$B$1048440,2,FALSE)</f>
        <v>No.</v>
      </c>
      <c r="AM1552" s="32"/>
      <c r="AN1552" s="31"/>
      <c r="AO1552" s="33"/>
    </row>
    <row r="1553" spans="1:41" ht="42" x14ac:dyDescent="0.25">
      <c r="A1553" s="20">
        <v>1408</v>
      </c>
      <c r="B1553" s="35" t="s">
        <v>2460</v>
      </c>
      <c r="C1553" s="22">
        <v>42.37</v>
      </c>
      <c r="D1553" s="25" t="s">
        <v>2532</v>
      </c>
      <c r="E1553" s="24" t="s">
        <v>2658</v>
      </c>
      <c r="F1553" s="24" t="s">
        <v>742</v>
      </c>
      <c r="G1553" s="25" t="s">
        <v>45</v>
      </c>
      <c r="H1553" s="26">
        <v>487</v>
      </c>
      <c r="I1553" s="26">
        <v>82</v>
      </c>
      <c r="J1553" s="31"/>
      <c r="K1553" s="31"/>
      <c r="L1553" s="31"/>
      <c r="M1553" s="31"/>
      <c r="N1553" s="31"/>
      <c r="O1553" s="31"/>
      <c r="P1553" s="31"/>
      <c r="Q1553" s="31"/>
      <c r="R1553" s="31"/>
      <c r="S1553" s="31"/>
      <c r="T1553" s="31"/>
      <c r="U1553" s="31"/>
      <c r="V1553" s="31"/>
      <c r="W1553" s="31"/>
      <c r="X1553" s="31"/>
      <c r="Y1553" s="31"/>
      <c r="Z1553" s="31"/>
      <c r="AA1553" s="31"/>
      <c r="AB1553" s="31"/>
      <c r="AC1553" s="31"/>
      <c r="AD1553" s="31"/>
      <c r="AE1553" s="31"/>
      <c r="AF1553" s="31"/>
      <c r="AG1553" s="31"/>
      <c r="AH1553" s="31"/>
      <c r="AI1553" s="31"/>
      <c r="AJ1553" s="31"/>
      <c r="AK1553" s="31"/>
      <c r="AL1553" s="28" t="str">
        <f>VLOOKUP($G1553,'[42]Sheet1 (2)'!$A$1:$B$1048440,2,FALSE)</f>
        <v>No.</v>
      </c>
      <c r="AM1553" s="32"/>
      <c r="AN1553" s="31"/>
      <c r="AO1553" s="33"/>
    </row>
    <row r="1554" spans="1:41" ht="84" x14ac:dyDescent="0.25">
      <c r="A1554" s="20">
        <v>1409</v>
      </c>
      <c r="B1554" s="25" t="s">
        <v>2456</v>
      </c>
      <c r="C1554" s="22">
        <v>42.38</v>
      </c>
      <c r="D1554" s="25" t="s">
        <v>2532</v>
      </c>
      <c r="E1554" s="24" t="s">
        <v>3785</v>
      </c>
      <c r="F1554" s="24" t="s">
        <v>742</v>
      </c>
      <c r="G1554" s="25" t="s">
        <v>45</v>
      </c>
      <c r="H1554" s="26">
        <v>488</v>
      </c>
      <c r="I1554" s="26">
        <v>319</v>
      </c>
      <c r="J1554" s="31"/>
      <c r="K1554" s="31"/>
      <c r="L1554" s="31"/>
      <c r="M1554" s="31"/>
      <c r="N1554" s="31"/>
      <c r="O1554" s="31"/>
      <c r="P1554" s="31"/>
      <c r="Q1554" s="31"/>
      <c r="R1554" s="31"/>
      <c r="S1554" s="31"/>
      <c r="T1554" s="31"/>
      <c r="U1554" s="31"/>
      <c r="V1554" s="31"/>
      <c r="W1554" s="31"/>
      <c r="X1554" s="31"/>
      <c r="Y1554" s="31"/>
      <c r="Z1554" s="31"/>
      <c r="AA1554" s="31"/>
      <c r="AB1554" s="31"/>
      <c r="AC1554" s="31"/>
      <c r="AD1554" s="31"/>
      <c r="AE1554" s="31"/>
      <c r="AF1554" s="31"/>
      <c r="AG1554" s="31"/>
      <c r="AH1554" s="31"/>
      <c r="AI1554" s="31"/>
      <c r="AJ1554" s="31"/>
      <c r="AK1554" s="31"/>
      <c r="AL1554" s="28" t="str">
        <f>VLOOKUP($G1554,'[42]Sheet1 (2)'!$A$1:$B$1048440,2,FALSE)</f>
        <v>No.</v>
      </c>
      <c r="AM1554" s="32"/>
      <c r="AN1554" s="31"/>
      <c r="AO1554" s="33"/>
    </row>
    <row r="1555" spans="1:41" ht="84" x14ac:dyDescent="0.25">
      <c r="A1555" s="20">
        <v>1410</v>
      </c>
      <c r="B1555" s="25" t="s">
        <v>2456</v>
      </c>
      <c r="C1555" s="22">
        <v>42.39</v>
      </c>
      <c r="D1555" s="25" t="s">
        <v>2532</v>
      </c>
      <c r="E1555" s="23" t="s">
        <v>2659</v>
      </c>
      <c r="F1555" s="24" t="s">
        <v>742</v>
      </c>
      <c r="G1555" s="25" t="s">
        <v>45</v>
      </c>
      <c r="H1555" s="26">
        <v>615</v>
      </c>
      <c r="I1555" s="26">
        <v>357</v>
      </c>
      <c r="J1555" s="31"/>
      <c r="K1555" s="31"/>
      <c r="L1555" s="31"/>
      <c r="M1555" s="31"/>
      <c r="N1555" s="31"/>
      <c r="O1555" s="31"/>
      <c r="P1555" s="31"/>
      <c r="Q1555" s="31"/>
      <c r="R1555" s="31"/>
      <c r="S1555" s="31"/>
      <c r="T1555" s="31"/>
      <c r="U1555" s="31"/>
      <c r="V1555" s="31"/>
      <c r="W1555" s="31"/>
      <c r="X1555" s="31"/>
      <c r="Y1555" s="31"/>
      <c r="Z1555" s="31"/>
      <c r="AA1555" s="31"/>
      <c r="AB1555" s="31"/>
      <c r="AC1555" s="31"/>
      <c r="AD1555" s="31"/>
      <c r="AE1555" s="31"/>
      <c r="AF1555" s="31"/>
      <c r="AG1555" s="31"/>
      <c r="AH1555" s="31"/>
      <c r="AI1555" s="31"/>
      <c r="AJ1555" s="31"/>
      <c r="AK1555" s="31"/>
      <c r="AL1555" s="28" t="str">
        <f>VLOOKUP($G1555,'[42]Sheet1 (2)'!$A$1:$B$1048440,2,FALSE)</f>
        <v>No.</v>
      </c>
      <c r="AM1555" s="32"/>
      <c r="AN1555" s="31"/>
      <c r="AO1555" s="33"/>
    </row>
    <row r="1556" spans="1:41" ht="84" x14ac:dyDescent="0.25">
      <c r="A1556" s="20">
        <v>1411</v>
      </c>
      <c r="B1556" s="25" t="s">
        <v>2456</v>
      </c>
      <c r="C1556" s="22">
        <v>42.4</v>
      </c>
      <c r="D1556" s="25" t="s">
        <v>2532</v>
      </c>
      <c r="E1556" s="23" t="s">
        <v>2660</v>
      </c>
      <c r="F1556" s="24" t="s">
        <v>742</v>
      </c>
      <c r="G1556" s="25" t="s">
        <v>45</v>
      </c>
      <c r="H1556" s="26">
        <v>646</v>
      </c>
      <c r="I1556" s="26">
        <v>357</v>
      </c>
      <c r="J1556" s="31"/>
      <c r="K1556" s="31"/>
      <c r="L1556" s="31"/>
      <c r="M1556" s="31"/>
      <c r="N1556" s="31"/>
      <c r="O1556" s="31"/>
      <c r="P1556" s="31"/>
      <c r="Q1556" s="31"/>
      <c r="R1556" s="31"/>
      <c r="S1556" s="31"/>
      <c r="T1556" s="31"/>
      <c r="U1556" s="31"/>
      <c r="V1556" s="31"/>
      <c r="W1556" s="31"/>
      <c r="X1556" s="31"/>
      <c r="Y1556" s="31"/>
      <c r="Z1556" s="31"/>
      <c r="AA1556" s="31"/>
      <c r="AB1556" s="31"/>
      <c r="AC1556" s="31"/>
      <c r="AD1556" s="31"/>
      <c r="AE1556" s="31"/>
      <c r="AF1556" s="31"/>
      <c r="AG1556" s="31"/>
      <c r="AH1556" s="31"/>
      <c r="AI1556" s="31"/>
      <c r="AJ1556" s="31"/>
      <c r="AK1556" s="31"/>
      <c r="AL1556" s="28" t="str">
        <f>VLOOKUP($G1556,'[42]Sheet1 (2)'!$A$1:$B$1048440,2,FALSE)</f>
        <v>No.</v>
      </c>
      <c r="AM1556" s="32"/>
      <c r="AN1556" s="31"/>
      <c r="AO1556" s="33"/>
    </row>
    <row r="1557" spans="1:41" ht="84" x14ac:dyDescent="0.25">
      <c r="A1557" s="20">
        <v>1412</v>
      </c>
      <c r="B1557" s="25" t="s">
        <v>2456</v>
      </c>
      <c r="C1557" s="22">
        <v>42.41</v>
      </c>
      <c r="D1557" s="25" t="s">
        <v>2532</v>
      </c>
      <c r="E1557" s="23" t="s">
        <v>2661</v>
      </c>
      <c r="F1557" s="24" t="s">
        <v>742</v>
      </c>
      <c r="G1557" s="25" t="s">
        <v>45</v>
      </c>
      <c r="H1557" s="26">
        <v>813</v>
      </c>
      <c r="I1557" s="26">
        <v>395</v>
      </c>
      <c r="J1557" s="31"/>
      <c r="K1557" s="31"/>
      <c r="L1557" s="31"/>
      <c r="M1557" s="31"/>
      <c r="N1557" s="31"/>
      <c r="O1557" s="31"/>
      <c r="P1557" s="31"/>
      <c r="Q1557" s="31"/>
      <c r="R1557" s="31"/>
      <c r="S1557" s="31"/>
      <c r="T1557" s="31"/>
      <c r="U1557" s="31"/>
      <c r="V1557" s="31"/>
      <c r="W1557" s="31"/>
      <c r="X1557" s="31"/>
      <c r="Y1557" s="31"/>
      <c r="Z1557" s="31"/>
      <c r="AA1557" s="31"/>
      <c r="AB1557" s="31"/>
      <c r="AC1557" s="31"/>
      <c r="AD1557" s="31"/>
      <c r="AE1557" s="31"/>
      <c r="AF1557" s="31"/>
      <c r="AG1557" s="31"/>
      <c r="AH1557" s="31"/>
      <c r="AI1557" s="31"/>
      <c r="AJ1557" s="31"/>
      <c r="AK1557" s="31"/>
      <c r="AL1557" s="28" t="str">
        <f>VLOOKUP($G1557,'[42]Sheet1 (2)'!$A$1:$B$1048440,2,FALSE)</f>
        <v>No.</v>
      </c>
      <c r="AM1557" s="32"/>
      <c r="AN1557" s="31"/>
      <c r="AO1557" s="33"/>
    </row>
    <row r="1558" spans="1:41" ht="84" x14ac:dyDescent="0.25">
      <c r="A1558" s="20">
        <v>1413</v>
      </c>
      <c r="B1558" s="25" t="s">
        <v>2456</v>
      </c>
      <c r="C1558" s="22">
        <v>42.42</v>
      </c>
      <c r="D1558" s="25" t="s">
        <v>2532</v>
      </c>
      <c r="E1558" s="23" t="s">
        <v>2662</v>
      </c>
      <c r="F1558" s="24" t="s">
        <v>742</v>
      </c>
      <c r="G1558" s="25" t="s">
        <v>45</v>
      </c>
      <c r="H1558" s="26">
        <v>975</v>
      </c>
      <c r="I1558" s="26">
        <v>513</v>
      </c>
      <c r="J1558" s="31"/>
      <c r="K1558" s="31"/>
      <c r="L1558" s="31"/>
      <c r="M1558" s="31"/>
      <c r="N1558" s="31"/>
      <c r="O1558" s="31"/>
      <c r="P1558" s="31"/>
      <c r="Q1558" s="31"/>
      <c r="R1558" s="31"/>
      <c r="S1558" s="31"/>
      <c r="T1558" s="31"/>
      <c r="U1558" s="31"/>
      <c r="V1558" s="31"/>
      <c r="W1558" s="31"/>
      <c r="X1558" s="31"/>
      <c r="Y1558" s="31"/>
      <c r="Z1558" s="31"/>
      <c r="AA1558" s="31"/>
      <c r="AB1558" s="31"/>
      <c r="AC1558" s="31"/>
      <c r="AD1558" s="31"/>
      <c r="AE1558" s="31"/>
      <c r="AF1558" s="31"/>
      <c r="AG1558" s="31"/>
      <c r="AH1558" s="31"/>
      <c r="AI1558" s="31"/>
      <c r="AJ1558" s="31"/>
      <c r="AK1558" s="31"/>
      <c r="AL1558" s="28" t="str">
        <f>VLOOKUP($G1558,'[42]Sheet1 (2)'!$A$1:$B$1048440,2,FALSE)</f>
        <v>No.</v>
      </c>
      <c r="AM1558" s="32"/>
      <c r="AN1558" s="31"/>
      <c r="AO1558" s="33"/>
    </row>
    <row r="1559" spans="1:41" ht="84" x14ac:dyDescent="0.25">
      <c r="A1559" s="20">
        <v>1414</v>
      </c>
      <c r="B1559" s="25" t="s">
        <v>2456</v>
      </c>
      <c r="C1559" s="22">
        <v>42.43</v>
      </c>
      <c r="D1559" s="25" t="s">
        <v>2532</v>
      </c>
      <c r="E1559" s="23" t="s">
        <v>2663</v>
      </c>
      <c r="F1559" s="24" t="s">
        <v>742</v>
      </c>
      <c r="G1559" s="25" t="s">
        <v>45</v>
      </c>
      <c r="H1559" s="26">
        <v>1537</v>
      </c>
      <c r="I1559" s="26">
        <v>941</v>
      </c>
      <c r="J1559" s="31"/>
      <c r="K1559" s="31"/>
      <c r="L1559" s="31"/>
      <c r="M1559" s="31"/>
      <c r="N1559" s="31"/>
      <c r="O1559" s="31"/>
      <c r="P1559" s="31"/>
      <c r="Q1559" s="31"/>
      <c r="R1559" s="31"/>
      <c r="S1559" s="31"/>
      <c r="T1559" s="31"/>
      <c r="U1559" s="31"/>
      <c r="V1559" s="31"/>
      <c r="W1559" s="31"/>
      <c r="X1559" s="31"/>
      <c r="Y1559" s="31"/>
      <c r="Z1559" s="31"/>
      <c r="AA1559" s="31"/>
      <c r="AB1559" s="31"/>
      <c r="AC1559" s="31"/>
      <c r="AD1559" s="31"/>
      <c r="AE1559" s="31"/>
      <c r="AF1559" s="31"/>
      <c r="AG1559" s="31"/>
      <c r="AH1559" s="31"/>
      <c r="AI1559" s="31"/>
      <c r="AJ1559" s="31"/>
      <c r="AK1559" s="31"/>
      <c r="AL1559" s="28" t="str">
        <f>VLOOKUP($G1559,'[42]Sheet1 (2)'!$A$1:$B$1048440,2,FALSE)</f>
        <v>No.</v>
      </c>
      <c r="AM1559" s="32"/>
      <c r="AN1559" s="31"/>
      <c r="AO1559" s="33"/>
    </row>
    <row r="1560" spans="1:41" ht="84" x14ac:dyDescent="0.25">
      <c r="A1560" s="20">
        <v>1415</v>
      </c>
      <c r="B1560" s="25" t="s">
        <v>2456</v>
      </c>
      <c r="C1560" s="22">
        <v>42.44</v>
      </c>
      <c r="D1560" s="25" t="s">
        <v>2532</v>
      </c>
      <c r="E1560" s="23" t="s">
        <v>2664</v>
      </c>
      <c r="F1560" s="24" t="s">
        <v>742</v>
      </c>
      <c r="G1560" s="25" t="s">
        <v>45</v>
      </c>
      <c r="H1560" s="26">
        <v>2408</v>
      </c>
      <c r="I1560" s="26">
        <v>1556</v>
      </c>
      <c r="J1560" s="31"/>
      <c r="K1560" s="31"/>
      <c r="L1560" s="31"/>
      <c r="M1560" s="31"/>
      <c r="N1560" s="31"/>
      <c r="O1560" s="31"/>
      <c r="P1560" s="31"/>
      <c r="Q1560" s="31"/>
      <c r="R1560" s="31"/>
      <c r="S1560" s="31"/>
      <c r="T1560" s="31"/>
      <c r="U1560" s="31"/>
      <c r="V1560" s="31"/>
      <c r="W1560" s="31"/>
      <c r="X1560" s="31"/>
      <c r="Y1560" s="31"/>
      <c r="Z1560" s="31"/>
      <c r="AA1560" s="31"/>
      <c r="AB1560" s="31"/>
      <c r="AC1560" s="31"/>
      <c r="AD1560" s="31"/>
      <c r="AE1560" s="31"/>
      <c r="AF1560" s="31"/>
      <c r="AG1560" s="31"/>
      <c r="AH1560" s="31"/>
      <c r="AI1560" s="31"/>
      <c r="AJ1560" s="31"/>
      <c r="AK1560" s="31"/>
      <c r="AL1560" s="28" t="str">
        <f>VLOOKUP($G1560,'[42]Sheet1 (2)'!$A$1:$B$1048440,2,FALSE)</f>
        <v>No.</v>
      </c>
      <c r="AM1560" s="32"/>
      <c r="AN1560" s="31"/>
      <c r="AO1560" s="33"/>
    </row>
    <row r="1561" spans="1:41" ht="84" x14ac:dyDescent="0.25">
      <c r="A1561" s="20">
        <v>1416</v>
      </c>
      <c r="B1561" s="25" t="s">
        <v>2456</v>
      </c>
      <c r="C1561" s="22">
        <v>42.45</v>
      </c>
      <c r="D1561" s="25" t="s">
        <v>2532</v>
      </c>
      <c r="E1561" s="23" t="s">
        <v>2665</v>
      </c>
      <c r="F1561" s="24" t="s">
        <v>742</v>
      </c>
      <c r="G1561" s="67" t="s">
        <v>45</v>
      </c>
      <c r="H1561" s="26">
        <v>2640</v>
      </c>
      <c r="I1561" s="26">
        <v>1746</v>
      </c>
      <c r="J1561" s="31"/>
      <c r="K1561" s="31"/>
      <c r="L1561" s="31"/>
      <c r="M1561" s="31"/>
      <c r="N1561" s="31"/>
      <c r="O1561" s="31"/>
      <c r="P1561" s="31"/>
      <c r="Q1561" s="31"/>
      <c r="R1561" s="31"/>
      <c r="S1561" s="31"/>
      <c r="T1561" s="31"/>
      <c r="U1561" s="31"/>
      <c r="V1561" s="31"/>
      <c r="W1561" s="31"/>
      <c r="X1561" s="31"/>
      <c r="Y1561" s="31"/>
      <c r="Z1561" s="31"/>
      <c r="AA1561" s="31"/>
      <c r="AB1561" s="31"/>
      <c r="AC1561" s="31"/>
      <c r="AD1561" s="31"/>
      <c r="AE1561" s="31"/>
      <c r="AF1561" s="31"/>
      <c r="AG1561" s="31"/>
      <c r="AH1561" s="31"/>
      <c r="AI1561" s="31"/>
      <c r="AJ1561" s="31"/>
      <c r="AK1561" s="31"/>
      <c r="AL1561" s="28" t="str">
        <f>VLOOKUP($G1561,'[42]Sheet1 (2)'!$A$1:$B$1048440,2,FALSE)</f>
        <v>No.</v>
      </c>
      <c r="AM1561" s="32"/>
      <c r="AN1561" s="31"/>
      <c r="AO1561" s="33"/>
    </row>
    <row r="1562" spans="1:41" ht="84" x14ac:dyDescent="0.25">
      <c r="A1562" s="20">
        <v>1417</v>
      </c>
      <c r="B1562" s="25" t="s">
        <v>2456</v>
      </c>
      <c r="C1562" s="22">
        <v>42.46</v>
      </c>
      <c r="D1562" s="25" t="s">
        <v>2532</v>
      </c>
      <c r="E1562" s="24" t="s">
        <v>3791</v>
      </c>
      <c r="F1562" s="24" t="s">
        <v>742</v>
      </c>
      <c r="G1562" s="67" t="s">
        <v>45</v>
      </c>
      <c r="H1562" s="26">
        <v>3607</v>
      </c>
      <c r="I1562" s="26">
        <v>2399</v>
      </c>
      <c r="J1562" s="31"/>
      <c r="K1562" s="31"/>
      <c r="L1562" s="31"/>
      <c r="M1562" s="31"/>
      <c r="N1562" s="31"/>
      <c r="O1562" s="31"/>
      <c r="P1562" s="31"/>
      <c r="Q1562" s="31"/>
      <c r="R1562" s="31"/>
      <c r="S1562" s="31"/>
      <c r="T1562" s="31"/>
      <c r="U1562" s="31"/>
      <c r="V1562" s="31"/>
      <c r="W1562" s="31"/>
      <c r="X1562" s="31"/>
      <c r="Y1562" s="31"/>
      <c r="Z1562" s="31"/>
      <c r="AA1562" s="31"/>
      <c r="AB1562" s="31"/>
      <c r="AC1562" s="31"/>
      <c r="AD1562" s="31"/>
      <c r="AE1562" s="31"/>
      <c r="AF1562" s="31"/>
      <c r="AG1562" s="31"/>
      <c r="AH1562" s="31"/>
      <c r="AI1562" s="31"/>
      <c r="AJ1562" s="31"/>
      <c r="AK1562" s="31"/>
      <c r="AL1562" s="28" t="str">
        <f>VLOOKUP($G1562,'[42]Sheet1 (2)'!$A$1:$B$1048440,2,FALSE)</f>
        <v>No.</v>
      </c>
      <c r="AM1562" s="32"/>
      <c r="AN1562" s="31"/>
      <c r="AO1562" s="33"/>
    </row>
    <row r="1563" spans="1:41" ht="84" x14ac:dyDescent="0.25">
      <c r="A1563" s="20">
        <v>1418</v>
      </c>
      <c r="B1563" s="25" t="s">
        <v>2456</v>
      </c>
      <c r="C1563" s="22">
        <v>42.47</v>
      </c>
      <c r="D1563" s="25" t="s">
        <v>2532</v>
      </c>
      <c r="E1563" s="23" t="s">
        <v>2666</v>
      </c>
      <c r="F1563" s="24" t="s">
        <v>742</v>
      </c>
      <c r="G1563" s="67" t="s">
        <v>2667</v>
      </c>
      <c r="H1563" s="26">
        <v>58</v>
      </c>
      <c r="I1563" s="26">
        <v>40</v>
      </c>
      <c r="J1563" s="31"/>
      <c r="K1563" s="31"/>
      <c r="L1563" s="31"/>
      <c r="M1563" s="31"/>
      <c r="N1563" s="31"/>
      <c r="O1563" s="31"/>
      <c r="P1563" s="31"/>
      <c r="Q1563" s="31"/>
      <c r="R1563" s="31"/>
      <c r="S1563" s="31"/>
      <c r="T1563" s="31"/>
      <c r="U1563" s="31"/>
      <c r="V1563" s="31"/>
      <c r="W1563" s="31"/>
      <c r="X1563" s="31"/>
      <c r="Y1563" s="31"/>
      <c r="Z1563" s="31"/>
      <c r="AA1563" s="31"/>
      <c r="AB1563" s="31"/>
      <c r="AC1563" s="31"/>
      <c r="AD1563" s="31"/>
      <c r="AE1563" s="31"/>
      <c r="AF1563" s="31"/>
      <c r="AG1563" s="31"/>
      <c r="AH1563" s="31"/>
      <c r="AI1563" s="31"/>
      <c r="AJ1563" s="31"/>
      <c r="AK1563" s="31"/>
      <c r="AL1563" s="28" t="str">
        <f>VLOOKUP($G1563,'[42]Sheet1 (2)'!$A$1:$B$1048440,2,FALSE)</f>
        <v>1000 Litre</v>
      </c>
      <c r="AM1563" s="32"/>
      <c r="AN1563" s="31"/>
      <c r="AO1563" s="33"/>
    </row>
    <row r="1564" spans="1:41" ht="84" x14ac:dyDescent="0.25">
      <c r="A1564" s="20">
        <v>1419</v>
      </c>
      <c r="B1564" s="25" t="s">
        <v>2456</v>
      </c>
      <c r="C1564" s="22">
        <v>42.48</v>
      </c>
      <c r="D1564" s="25" t="s">
        <v>2532</v>
      </c>
      <c r="E1564" s="23" t="s">
        <v>2668</v>
      </c>
      <c r="F1564" s="24" t="s">
        <v>742</v>
      </c>
      <c r="G1564" s="67" t="s">
        <v>2667</v>
      </c>
      <c r="H1564" s="26">
        <v>31</v>
      </c>
      <c r="I1564" s="26">
        <v>24</v>
      </c>
      <c r="J1564" s="31"/>
      <c r="K1564" s="31"/>
      <c r="L1564" s="31"/>
      <c r="M1564" s="31"/>
      <c r="N1564" s="31"/>
      <c r="O1564" s="31"/>
      <c r="P1564" s="31"/>
      <c r="Q1564" s="31"/>
      <c r="R1564" s="31"/>
      <c r="S1564" s="31"/>
      <c r="T1564" s="31"/>
      <c r="U1564" s="31"/>
      <c r="V1564" s="31"/>
      <c r="W1564" s="31"/>
      <c r="X1564" s="31"/>
      <c r="Y1564" s="31"/>
      <c r="Z1564" s="31"/>
      <c r="AA1564" s="31"/>
      <c r="AB1564" s="31"/>
      <c r="AC1564" s="31"/>
      <c r="AD1564" s="31"/>
      <c r="AE1564" s="31"/>
      <c r="AF1564" s="31"/>
      <c r="AG1564" s="31"/>
      <c r="AH1564" s="31"/>
      <c r="AI1564" s="31"/>
      <c r="AJ1564" s="31"/>
      <c r="AK1564" s="31"/>
      <c r="AL1564" s="28" t="str">
        <f>VLOOKUP($G1564,'[42]Sheet1 (2)'!$A$1:$B$1048440,2,FALSE)</f>
        <v>1000 Litre</v>
      </c>
      <c r="AM1564" s="32"/>
      <c r="AN1564" s="31"/>
      <c r="AO1564" s="33"/>
    </row>
    <row r="1565" spans="1:41" ht="84" x14ac:dyDescent="0.25">
      <c r="A1565" s="20">
        <v>1420</v>
      </c>
      <c r="B1565" s="25" t="s">
        <v>2456</v>
      </c>
      <c r="C1565" s="22">
        <v>42.49</v>
      </c>
      <c r="D1565" s="25" t="s">
        <v>2532</v>
      </c>
      <c r="E1565" s="23" t="s">
        <v>2669</v>
      </c>
      <c r="F1565" s="24" t="s">
        <v>742</v>
      </c>
      <c r="G1565" s="67" t="s">
        <v>2667</v>
      </c>
      <c r="H1565" s="26">
        <v>25</v>
      </c>
      <c r="I1565" s="26">
        <v>19</v>
      </c>
      <c r="J1565" s="31"/>
      <c r="K1565" s="31"/>
      <c r="L1565" s="31"/>
      <c r="M1565" s="31"/>
      <c r="N1565" s="31"/>
      <c r="O1565" s="31"/>
      <c r="P1565" s="31"/>
      <c r="Q1565" s="31"/>
      <c r="R1565" s="31"/>
      <c r="S1565" s="31"/>
      <c r="T1565" s="31"/>
      <c r="U1565" s="31"/>
      <c r="V1565" s="31"/>
      <c r="W1565" s="31"/>
      <c r="X1565" s="31"/>
      <c r="Y1565" s="31"/>
      <c r="Z1565" s="31"/>
      <c r="AA1565" s="31"/>
      <c r="AB1565" s="31"/>
      <c r="AC1565" s="31"/>
      <c r="AD1565" s="31"/>
      <c r="AE1565" s="31"/>
      <c r="AF1565" s="31"/>
      <c r="AG1565" s="31"/>
      <c r="AH1565" s="31"/>
      <c r="AI1565" s="31"/>
      <c r="AJ1565" s="31"/>
      <c r="AK1565" s="31"/>
      <c r="AL1565" s="28" t="str">
        <f>VLOOKUP($G1565,'[42]Sheet1 (2)'!$A$1:$B$1048440,2,FALSE)</f>
        <v>1000 Litre</v>
      </c>
      <c r="AM1565" s="32"/>
      <c r="AN1565" s="31"/>
      <c r="AO1565" s="33"/>
    </row>
    <row r="1566" spans="1:41" ht="98" x14ac:dyDescent="0.25">
      <c r="A1566" s="20">
        <v>1421</v>
      </c>
      <c r="B1566" s="25" t="s">
        <v>2456</v>
      </c>
      <c r="C1566" s="22">
        <v>42.5</v>
      </c>
      <c r="D1566" s="25" t="s">
        <v>2532</v>
      </c>
      <c r="E1566" s="23" t="s">
        <v>2670</v>
      </c>
      <c r="F1566" s="24" t="s">
        <v>742</v>
      </c>
      <c r="G1566" s="67" t="s">
        <v>2667</v>
      </c>
      <c r="H1566" s="26">
        <v>21</v>
      </c>
      <c r="I1566" s="26">
        <v>15</v>
      </c>
      <c r="J1566" s="31"/>
      <c r="K1566" s="31"/>
      <c r="L1566" s="31"/>
      <c r="M1566" s="31"/>
      <c r="N1566" s="31"/>
      <c r="O1566" s="31"/>
      <c r="P1566" s="31"/>
      <c r="Q1566" s="31"/>
      <c r="R1566" s="31"/>
      <c r="S1566" s="31"/>
      <c r="T1566" s="31"/>
      <c r="U1566" s="31"/>
      <c r="V1566" s="31"/>
      <c r="W1566" s="31"/>
      <c r="X1566" s="31"/>
      <c r="Y1566" s="31"/>
      <c r="Z1566" s="31"/>
      <c r="AA1566" s="31"/>
      <c r="AB1566" s="31"/>
      <c r="AC1566" s="31"/>
      <c r="AD1566" s="31"/>
      <c r="AE1566" s="31"/>
      <c r="AF1566" s="31"/>
      <c r="AG1566" s="31"/>
      <c r="AH1566" s="31"/>
      <c r="AI1566" s="31"/>
      <c r="AJ1566" s="31"/>
      <c r="AK1566" s="31"/>
      <c r="AL1566" s="28" t="str">
        <f>VLOOKUP($G1566,'[42]Sheet1 (2)'!$A$1:$B$1048440,2,FALSE)</f>
        <v>1000 Litre</v>
      </c>
      <c r="AM1566" s="32"/>
      <c r="AN1566" s="31"/>
      <c r="AO1566" s="33"/>
    </row>
    <row r="1567" spans="1:41" ht="56" x14ac:dyDescent="0.25">
      <c r="A1567" s="20">
        <v>1422</v>
      </c>
      <c r="B1567" s="35" t="s">
        <v>2460</v>
      </c>
      <c r="C1567" s="22">
        <v>42.51</v>
      </c>
      <c r="D1567" s="25" t="s">
        <v>2532</v>
      </c>
      <c r="E1567" s="23" t="s">
        <v>2671</v>
      </c>
      <c r="F1567" s="35" t="s">
        <v>1839</v>
      </c>
      <c r="G1567" s="21" t="s">
        <v>80</v>
      </c>
      <c r="H1567" s="26">
        <v>607</v>
      </c>
      <c r="I1567" s="26">
        <v>159</v>
      </c>
      <c r="J1567" s="31"/>
      <c r="K1567" s="31"/>
      <c r="L1567" s="31"/>
      <c r="M1567" s="31"/>
      <c r="N1567" s="31"/>
      <c r="O1567" s="31"/>
      <c r="P1567" s="31"/>
      <c r="Q1567" s="31"/>
      <c r="R1567" s="31"/>
      <c r="S1567" s="31"/>
      <c r="T1567" s="31"/>
      <c r="U1567" s="31"/>
      <c r="V1567" s="31"/>
      <c r="W1567" s="31"/>
      <c r="X1567" s="31"/>
      <c r="Y1567" s="31"/>
      <c r="Z1567" s="31"/>
      <c r="AA1567" s="31"/>
      <c r="AB1567" s="31"/>
      <c r="AC1567" s="31"/>
      <c r="AD1567" s="31"/>
      <c r="AE1567" s="31"/>
      <c r="AF1567" s="31"/>
      <c r="AG1567" s="31"/>
      <c r="AH1567" s="31"/>
      <c r="AI1567" s="31"/>
      <c r="AJ1567" s="31"/>
      <c r="AK1567" s="31"/>
      <c r="AL1567" s="28" t="str">
        <f>VLOOKUP($G1567,'[42]Sheet1 (2)'!$A$1:$B$1048440,2,FALSE)</f>
        <v>Rmt.</v>
      </c>
      <c r="AM1567" s="32"/>
      <c r="AN1567" s="31"/>
      <c r="AO1567" s="33"/>
    </row>
    <row r="1568" spans="1:41" ht="56" x14ac:dyDescent="0.25">
      <c r="A1568" s="20">
        <v>1423</v>
      </c>
      <c r="B1568" s="92" t="s">
        <v>2470</v>
      </c>
      <c r="C1568" s="22">
        <v>42.52</v>
      </c>
      <c r="D1568" s="25" t="s">
        <v>2532</v>
      </c>
      <c r="E1568" s="23" t="s">
        <v>2672</v>
      </c>
      <c r="F1568" s="35" t="s">
        <v>1761</v>
      </c>
      <c r="G1568" s="21" t="s">
        <v>80</v>
      </c>
      <c r="H1568" s="26">
        <v>788</v>
      </c>
      <c r="I1568" s="26">
        <v>159</v>
      </c>
      <c r="J1568" s="31"/>
      <c r="K1568" s="31"/>
      <c r="L1568" s="31"/>
      <c r="M1568" s="31"/>
      <c r="N1568" s="31"/>
      <c r="O1568" s="31"/>
      <c r="P1568" s="31"/>
      <c r="Q1568" s="31"/>
      <c r="R1568" s="31"/>
      <c r="S1568" s="31"/>
      <c r="T1568" s="31"/>
      <c r="U1568" s="31"/>
      <c r="V1568" s="31"/>
      <c r="W1568" s="31"/>
      <c r="X1568" s="31"/>
      <c r="Y1568" s="31"/>
      <c r="Z1568" s="31"/>
      <c r="AA1568" s="31"/>
      <c r="AB1568" s="31"/>
      <c r="AC1568" s="31"/>
      <c r="AD1568" s="31"/>
      <c r="AE1568" s="31"/>
      <c r="AF1568" s="31"/>
      <c r="AG1568" s="31"/>
      <c r="AH1568" s="31"/>
      <c r="AI1568" s="31"/>
      <c r="AJ1568" s="31"/>
      <c r="AK1568" s="31"/>
      <c r="AL1568" s="28" t="str">
        <f>VLOOKUP($G1568,'[42]Sheet1 (2)'!$A$1:$B$1048440,2,FALSE)</f>
        <v>Rmt.</v>
      </c>
      <c r="AM1568" s="32"/>
      <c r="AN1568" s="31"/>
      <c r="AO1568" s="33"/>
    </row>
    <row r="1569" spans="1:41" ht="84" x14ac:dyDescent="0.25">
      <c r="A1569" s="20">
        <v>1424</v>
      </c>
      <c r="B1569" s="25" t="s">
        <v>2456</v>
      </c>
      <c r="C1569" s="22">
        <v>42.53</v>
      </c>
      <c r="D1569" s="25" t="s">
        <v>2532</v>
      </c>
      <c r="E1569" s="23" t="s">
        <v>2673</v>
      </c>
      <c r="F1569" s="24" t="s">
        <v>2674</v>
      </c>
      <c r="G1569" s="25" t="s">
        <v>1752</v>
      </c>
      <c r="H1569" s="26">
        <v>14</v>
      </c>
      <c r="I1569" s="26">
        <v>2</v>
      </c>
      <c r="J1569" s="31"/>
      <c r="K1569" s="31"/>
      <c r="L1569" s="31"/>
      <c r="M1569" s="31"/>
      <c r="N1569" s="31"/>
      <c r="O1569" s="31"/>
      <c r="P1569" s="31"/>
      <c r="Q1569" s="31"/>
      <c r="R1569" s="31"/>
      <c r="S1569" s="31"/>
      <c r="T1569" s="31"/>
      <c r="U1569" s="31"/>
      <c r="V1569" s="31"/>
      <c r="W1569" s="31"/>
      <c r="X1569" s="31"/>
      <c r="Y1569" s="31"/>
      <c r="Z1569" s="31"/>
      <c r="AA1569" s="31"/>
      <c r="AB1569" s="31"/>
      <c r="AC1569" s="31"/>
      <c r="AD1569" s="31"/>
      <c r="AE1569" s="31"/>
      <c r="AF1569" s="31"/>
      <c r="AG1569" s="31"/>
      <c r="AH1569" s="31"/>
      <c r="AI1569" s="31"/>
      <c r="AJ1569" s="31"/>
      <c r="AK1569" s="31"/>
      <c r="AL1569" s="28" t="str">
        <f>VLOOKUP($G1569,'[42]Sheet1 (2)'!$A$1:$B$1048440,2,FALSE)</f>
        <v>One Litre</v>
      </c>
      <c r="AM1569" s="32"/>
      <c r="AN1569" s="31"/>
      <c r="AO1569" s="33"/>
    </row>
    <row r="1570" spans="1:41" ht="84" x14ac:dyDescent="0.25">
      <c r="A1570" s="20">
        <v>1425</v>
      </c>
      <c r="B1570" s="25" t="s">
        <v>2456</v>
      </c>
      <c r="C1570" s="22">
        <v>42.54</v>
      </c>
      <c r="D1570" s="25" t="s">
        <v>2532</v>
      </c>
      <c r="E1570" s="23" t="s">
        <v>2675</v>
      </c>
      <c r="F1570" s="24" t="s">
        <v>2674</v>
      </c>
      <c r="G1570" s="25" t="s">
        <v>1752</v>
      </c>
      <c r="H1570" s="26">
        <v>11</v>
      </c>
      <c r="I1570" s="26">
        <v>1</v>
      </c>
      <c r="J1570" s="31"/>
      <c r="K1570" s="31"/>
      <c r="L1570" s="31"/>
      <c r="M1570" s="31"/>
      <c r="N1570" s="31"/>
      <c r="O1570" s="31"/>
      <c r="P1570" s="31"/>
      <c r="Q1570" s="31"/>
      <c r="R1570" s="31"/>
      <c r="S1570" s="31"/>
      <c r="T1570" s="31"/>
      <c r="U1570" s="31"/>
      <c r="V1570" s="31"/>
      <c r="W1570" s="31"/>
      <c r="X1570" s="31"/>
      <c r="Y1570" s="31"/>
      <c r="Z1570" s="31"/>
      <c r="AA1570" s="31"/>
      <c r="AB1570" s="31"/>
      <c r="AC1570" s="31"/>
      <c r="AD1570" s="31"/>
      <c r="AE1570" s="31"/>
      <c r="AF1570" s="31"/>
      <c r="AG1570" s="31"/>
      <c r="AH1570" s="31"/>
      <c r="AI1570" s="31"/>
      <c r="AJ1570" s="31"/>
      <c r="AK1570" s="31"/>
      <c r="AL1570" s="28" t="str">
        <f>VLOOKUP($G1570,'[42]Sheet1 (2)'!$A$1:$B$1048440,2,FALSE)</f>
        <v>One Litre</v>
      </c>
      <c r="AM1570" s="32"/>
      <c r="AN1570" s="31"/>
      <c r="AO1570" s="33"/>
    </row>
    <row r="1571" spans="1:41" ht="98" x14ac:dyDescent="0.25">
      <c r="A1571" s="20">
        <v>1426</v>
      </c>
      <c r="B1571" s="25" t="s">
        <v>2456</v>
      </c>
      <c r="C1571" s="22">
        <v>42.55</v>
      </c>
      <c r="D1571" s="25" t="s">
        <v>2532</v>
      </c>
      <c r="E1571" s="23" t="s">
        <v>2676</v>
      </c>
      <c r="F1571" s="35" t="s">
        <v>2677</v>
      </c>
      <c r="G1571" s="21" t="s">
        <v>80</v>
      </c>
      <c r="H1571" s="26">
        <v>266</v>
      </c>
      <c r="I1571" s="26">
        <v>177</v>
      </c>
      <c r="J1571" s="31"/>
      <c r="K1571" s="31"/>
      <c r="L1571" s="31"/>
      <c r="M1571" s="31"/>
      <c r="N1571" s="31"/>
      <c r="O1571" s="31"/>
      <c r="P1571" s="31"/>
      <c r="Q1571" s="31"/>
      <c r="R1571" s="31"/>
      <c r="S1571" s="31"/>
      <c r="T1571" s="31"/>
      <c r="U1571" s="31"/>
      <c r="V1571" s="31"/>
      <c r="W1571" s="31"/>
      <c r="X1571" s="31"/>
      <c r="Y1571" s="31"/>
      <c r="Z1571" s="31"/>
      <c r="AA1571" s="31"/>
      <c r="AB1571" s="31"/>
      <c r="AC1571" s="31"/>
      <c r="AD1571" s="31"/>
      <c r="AE1571" s="31"/>
      <c r="AF1571" s="31"/>
      <c r="AG1571" s="31"/>
      <c r="AH1571" s="31"/>
      <c r="AI1571" s="31"/>
      <c r="AJ1571" s="31"/>
      <c r="AK1571" s="31"/>
      <c r="AL1571" s="28" t="str">
        <f>VLOOKUP($G1571,'[42]Sheet1 (2)'!$A$1:$B$1048440,2,FALSE)</f>
        <v>Rmt.</v>
      </c>
      <c r="AM1571" s="32"/>
      <c r="AN1571" s="31"/>
      <c r="AO1571" s="33"/>
    </row>
    <row r="1572" spans="1:41" ht="98" x14ac:dyDescent="0.25">
      <c r="A1572" s="20">
        <v>1427</v>
      </c>
      <c r="B1572" s="25" t="s">
        <v>2456</v>
      </c>
      <c r="C1572" s="22">
        <v>42.56</v>
      </c>
      <c r="D1572" s="25" t="s">
        <v>2480</v>
      </c>
      <c r="E1572" s="24" t="s">
        <v>3796</v>
      </c>
      <c r="F1572" s="35" t="s">
        <v>2677</v>
      </c>
      <c r="G1572" s="21" t="s">
        <v>80</v>
      </c>
      <c r="H1572" s="26">
        <v>41.56</v>
      </c>
      <c r="I1572" s="26">
        <v>185</v>
      </c>
      <c r="J1572" s="31"/>
      <c r="K1572" s="31"/>
      <c r="L1572" s="31"/>
      <c r="M1572" s="31"/>
      <c r="N1572" s="31"/>
      <c r="O1572" s="31"/>
      <c r="P1572" s="31"/>
      <c r="Q1572" s="31"/>
      <c r="R1572" s="31"/>
      <c r="S1572" s="31"/>
      <c r="T1572" s="31"/>
      <c r="U1572" s="31"/>
      <c r="V1572" s="31"/>
      <c r="W1572" s="31"/>
      <c r="X1572" s="31"/>
      <c r="Y1572" s="31"/>
      <c r="Z1572" s="31"/>
      <c r="AA1572" s="31"/>
      <c r="AB1572" s="31"/>
      <c r="AC1572" s="31"/>
      <c r="AD1572" s="31"/>
      <c r="AE1572" s="31"/>
      <c r="AF1572" s="31"/>
      <c r="AG1572" s="31"/>
      <c r="AH1572" s="31"/>
      <c r="AI1572" s="31"/>
      <c r="AJ1572" s="31"/>
      <c r="AK1572" s="31"/>
      <c r="AL1572" s="28" t="str">
        <f>VLOOKUP($G1572,'[42]Sheet1 (2)'!$A$1:$B$1048440,2,FALSE)</f>
        <v>Rmt.</v>
      </c>
      <c r="AM1572" s="32"/>
      <c r="AN1572" s="31"/>
      <c r="AO1572" s="33"/>
    </row>
    <row r="1573" spans="1:41" ht="84" x14ac:dyDescent="0.25">
      <c r="A1573" s="20">
        <v>1428</v>
      </c>
      <c r="B1573" s="25" t="s">
        <v>2456</v>
      </c>
      <c r="C1573" s="22">
        <v>42.57</v>
      </c>
      <c r="D1573" s="25" t="s">
        <v>2480</v>
      </c>
      <c r="E1573" s="24" t="s">
        <v>2678</v>
      </c>
      <c r="F1573" s="23" t="s">
        <v>2679</v>
      </c>
      <c r="G1573" s="21" t="s">
        <v>80</v>
      </c>
      <c r="H1573" s="26">
        <v>375</v>
      </c>
      <c r="I1573" s="26">
        <v>185</v>
      </c>
      <c r="J1573" s="31"/>
      <c r="K1573" s="31"/>
      <c r="L1573" s="31"/>
      <c r="M1573" s="31"/>
      <c r="N1573" s="31"/>
      <c r="O1573" s="31"/>
      <c r="P1573" s="31"/>
      <c r="Q1573" s="31"/>
      <c r="R1573" s="31"/>
      <c r="S1573" s="31"/>
      <c r="T1573" s="31"/>
      <c r="U1573" s="31"/>
      <c r="V1573" s="31"/>
      <c r="W1573" s="31"/>
      <c r="X1573" s="31"/>
      <c r="Y1573" s="31"/>
      <c r="Z1573" s="31"/>
      <c r="AA1573" s="31"/>
      <c r="AB1573" s="31"/>
      <c r="AC1573" s="31"/>
      <c r="AD1573" s="31"/>
      <c r="AE1573" s="31"/>
      <c r="AF1573" s="31"/>
      <c r="AG1573" s="31"/>
      <c r="AH1573" s="31"/>
      <c r="AI1573" s="31"/>
      <c r="AJ1573" s="31"/>
      <c r="AK1573" s="31"/>
      <c r="AL1573" s="28" t="str">
        <f>VLOOKUP($G1573,'[42]Sheet1 (2)'!$A$1:$B$1048440,2,FALSE)</f>
        <v>Rmt.</v>
      </c>
      <c r="AM1573" s="32"/>
      <c r="AN1573" s="31"/>
      <c r="AO1573" s="33"/>
    </row>
    <row r="1574" spans="1:41" ht="98" x14ac:dyDescent="0.25">
      <c r="A1574" s="20">
        <v>1429</v>
      </c>
      <c r="B1574" s="25" t="s">
        <v>2456</v>
      </c>
      <c r="C1574" s="22">
        <v>42.58</v>
      </c>
      <c r="D1574" s="25" t="s">
        <v>2480</v>
      </c>
      <c r="E1574" s="23" t="s">
        <v>2680</v>
      </c>
      <c r="F1574" s="35" t="s">
        <v>2677</v>
      </c>
      <c r="G1574" s="21" t="s">
        <v>80</v>
      </c>
      <c r="H1574" s="26">
        <v>431</v>
      </c>
      <c r="I1574" s="26">
        <v>185</v>
      </c>
      <c r="J1574" s="31"/>
      <c r="K1574" s="31"/>
      <c r="L1574" s="31"/>
      <c r="M1574" s="31"/>
      <c r="N1574" s="31"/>
      <c r="O1574" s="31"/>
      <c r="P1574" s="31"/>
      <c r="Q1574" s="31"/>
      <c r="R1574" s="31"/>
      <c r="S1574" s="31"/>
      <c r="T1574" s="31"/>
      <c r="U1574" s="31"/>
      <c r="V1574" s="31"/>
      <c r="W1574" s="31"/>
      <c r="X1574" s="31"/>
      <c r="Y1574" s="31"/>
      <c r="Z1574" s="31"/>
      <c r="AA1574" s="31"/>
      <c r="AB1574" s="31"/>
      <c r="AC1574" s="31"/>
      <c r="AD1574" s="31"/>
      <c r="AE1574" s="31"/>
      <c r="AF1574" s="31"/>
      <c r="AG1574" s="31"/>
      <c r="AH1574" s="31"/>
      <c r="AI1574" s="31"/>
      <c r="AJ1574" s="31"/>
      <c r="AK1574" s="31"/>
      <c r="AL1574" s="28" t="str">
        <f>VLOOKUP($G1574,'[42]Sheet1 (2)'!$A$1:$B$1048440,2,FALSE)</f>
        <v>Rmt.</v>
      </c>
      <c r="AM1574" s="32"/>
      <c r="AN1574" s="31"/>
      <c r="AO1574" s="33"/>
    </row>
    <row r="1575" spans="1:41" ht="98" x14ac:dyDescent="0.25">
      <c r="A1575" s="20">
        <v>1430</v>
      </c>
      <c r="B1575" s="25" t="s">
        <v>2456</v>
      </c>
      <c r="C1575" s="22">
        <v>42.59</v>
      </c>
      <c r="D1575" s="25" t="s">
        <v>2480</v>
      </c>
      <c r="E1575" s="24" t="s">
        <v>3786</v>
      </c>
      <c r="F1575" s="35" t="s">
        <v>2677</v>
      </c>
      <c r="G1575" s="21" t="s">
        <v>80</v>
      </c>
      <c r="H1575" s="26">
        <v>539</v>
      </c>
      <c r="I1575" s="26">
        <v>185</v>
      </c>
      <c r="J1575" s="31"/>
      <c r="K1575" s="31"/>
      <c r="L1575" s="31"/>
      <c r="M1575" s="31"/>
      <c r="N1575" s="31"/>
      <c r="O1575" s="31"/>
      <c r="P1575" s="31"/>
      <c r="Q1575" s="31"/>
      <c r="R1575" s="31"/>
      <c r="S1575" s="31"/>
      <c r="T1575" s="31"/>
      <c r="U1575" s="31"/>
      <c r="V1575" s="31"/>
      <c r="W1575" s="31"/>
      <c r="X1575" s="31"/>
      <c r="Y1575" s="31"/>
      <c r="Z1575" s="31"/>
      <c r="AA1575" s="31"/>
      <c r="AB1575" s="31"/>
      <c r="AC1575" s="31"/>
      <c r="AD1575" s="31"/>
      <c r="AE1575" s="31"/>
      <c r="AF1575" s="31"/>
      <c r="AG1575" s="31"/>
      <c r="AH1575" s="31"/>
      <c r="AI1575" s="31"/>
      <c r="AJ1575" s="31"/>
      <c r="AK1575" s="31"/>
      <c r="AL1575" s="28" t="str">
        <f>VLOOKUP($G1575,'[42]Sheet1 (2)'!$A$1:$B$1048440,2,FALSE)</f>
        <v>Rmt.</v>
      </c>
      <c r="AM1575" s="32"/>
      <c r="AN1575" s="31"/>
      <c r="AO1575" s="33"/>
    </row>
    <row r="1576" spans="1:41" ht="98" x14ac:dyDescent="0.25">
      <c r="A1576" s="20">
        <v>1431</v>
      </c>
      <c r="B1576" s="25" t="s">
        <v>2456</v>
      </c>
      <c r="C1576" s="22">
        <v>42.6</v>
      </c>
      <c r="D1576" s="25" t="s">
        <v>2480</v>
      </c>
      <c r="E1576" s="24" t="s">
        <v>2681</v>
      </c>
      <c r="F1576" s="35" t="s">
        <v>2677</v>
      </c>
      <c r="G1576" s="21" t="s">
        <v>80</v>
      </c>
      <c r="H1576" s="26">
        <v>741</v>
      </c>
      <c r="I1576" s="26">
        <v>185</v>
      </c>
      <c r="J1576" s="31"/>
      <c r="K1576" s="31"/>
      <c r="L1576" s="31"/>
      <c r="M1576" s="31"/>
      <c r="N1576" s="31"/>
      <c r="O1576" s="31"/>
      <c r="P1576" s="31"/>
      <c r="Q1576" s="31"/>
      <c r="R1576" s="31"/>
      <c r="S1576" s="31"/>
      <c r="T1576" s="31"/>
      <c r="U1576" s="31"/>
      <c r="V1576" s="31"/>
      <c r="W1576" s="31"/>
      <c r="X1576" s="31"/>
      <c r="Y1576" s="31"/>
      <c r="Z1576" s="31"/>
      <c r="AA1576" s="31"/>
      <c r="AB1576" s="31"/>
      <c r="AC1576" s="31"/>
      <c r="AD1576" s="31"/>
      <c r="AE1576" s="31"/>
      <c r="AF1576" s="31"/>
      <c r="AG1576" s="31"/>
      <c r="AH1576" s="31"/>
      <c r="AI1576" s="31"/>
      <c r="AJ1576" s="31"/>
      <c r="AK1576" s="31"/>
      <c r="AL1576" s="28" t="str">
        <f>VLOOKUP($G1576,'[42]Sheet1 (2)'!$A$1:$B$1048440,2,FALSE)</f>
        <v>Rmt.</v>
      </c>
      <c r="AM1576" s="32"/>
      <c r="AN1576" s="31"/>
      <c r="AO1576" s="33"/>
    </row>
    <row r="1577" spans="1:41" ht="98" x14ac:dyDescent="0.25">
      <c r="A1577" s="20">
        <v>1432</v>
      </c>
      <c r="B1577" s="25" t="s">
        <v>2456</v>
      </c>
      <c r="C1577" s="22">
        <v>42.61</v>
      </c>
      <c r="D1577" s="25" t="s">
        <v>2480</v>
      </c>
      <c r="E1577" s="23" t="s">
        <v>2682</v>
      </c>
      <c r="F1577" s="35" t="s">
        <v>2677</v>
      </c>
      <c r="G1577" s="21" t="s">
        <v>80</v>
      </c>
      <c r="H1577" s="26">
        <v>273</v>
      </c>
      <c r="I1577" s="26">
        <v>188</v>
      </c>
      <c r="J1577" s="31"/>
      <c r="K1577" s="31"/>
      <c r="L1577" s="31"/>
      <c r="M1577" s="31"/>
      <c r="N1577" s="31"/>
      <c r="O1577" s="31"/>
      <c r="P1577" s="31"/>
      <c r="Q1577" s="31"/>
      <c r="R1577" s="31"/>
      <c r="S1577" s="31"/>
      <c r="T1577" s="31"/>
      <c r="U1577" s="31"/>
      <c r="V1577" s="31"/>
      <c r="W1577" s="31"/>
      <c r="X1577" s="31"/>
      <c r="Y1577" s="31"/>
      <c r="Z1577" s="31"/>
      <c r="AA1577" s="31"/>
      <c r="AB1577" s="31"/>
      <c r="AC1577" s="31"/>
      <c r="AD1577" s="31"/>
      <c r="AE1577" s="31"/>
      <c r="AF1577" s="31"/>
      <c r="AG1577" s="31"/>
      <c r="AH1577" s="31"/>
      <c r="AI1577" s="31"/>
      <c r="AJ1577" s="31"/>
      <c r="AK1577" s="31"/>
      <c r="AL1577" s="28" t="str">
        <f>VLOOKUP($G1577,'[42]Sheet1 (2)'!$A$1:$B$1048440,2,FALSE)</f>
        <v>Rmt.</v>
      </c>
      <c r="AM1577" s="32"/>
      <c r="AN1577" s="31"/>
      <c r="AO1577" s="33"/>
    </row>
    <row r="1578" spans="1:41" ht="84" x14ac:dyDescent="0.25">
      <c r="A1578" s="20">
        <v>1433</v>
      </c>
      <c r="B1578" s="25" t="s">
        <v>2456</v>
      </c>
      <c r="C1578" s="22">
        <v>42.62</v>
      </c>
      <c r="D1578" s="25" t="s">
        <v>2480</v>
      </c>
      <c r="E1578" s="24" t="s">
        <v>2683</v>
      </c>
      <c r="F1578" s="23" t="s">
        <v>2679</v>
      </c>
      <c r="G1578" s="21" t="s">
        <v>80</v>
      </c>
      <c r="H1578" s="26">
        <v>311</v>
      </c>
      <c r="I1578" s="26">
        <v>190</v>
      </c>
      <c r="J1578" s="31"/>
      <c r="K1578" s="31"/>
      <c r="L1578" s="31"/>
      <c r="M1578" s="31"/>
      <c r="N1578" s="31"/>
      <c r="O1578" s="31"/>
      <c r="P1578" s="31"/>
      <c r="Q1578" s="31"/>
      <c r="R1578" s="31"/>
      <c r="S1578" s="31"/>
      <c r="T1578" s="31"/>
      <c r="U1578" s="31"/>
      <c r="V1578" s="31"/>
      <c r="W1578" s="31"/>
      <c r="X1578" s="31"/>
      <c r="Y1578" s="31"/>
      <c r="Z1578" s="31"/>
      <c r="AA1578" s="31"/>
      <c r="AB1578" s="31"/>
      <c r="AC1578" s="31"/>
      <c r="AD1578" s="31"/>
      <c r="AE1578" s="31"/>
      <c r="AF1578" s="31"/>
      <c r="AG1578" s="31"/>
      <c r="AH1578" s="31"/>
      <c r="AI1578" s="31"/>
      <c r="AJ1578" s="31"/>
      <c r="AK1578" s="31"/>
      <c r="AL1578" s="28" t="str">
        <f>VLOOKUP($G1578,'[42]Sheet1 (2)'!$A$1:$B$1048440,2,FALSE)</f>
        <v>Rmt.</v>
      </c>
      <c r="AM1578" s="32"/>
      <c r="AN1578" s="31"/>
      <c r="AO1578" s="33"/>
    </row>
    <row r="1579" spans="1:41" ht="98" x14ac:dyDescent="0.25">
      <c r="A1579" s="20">
        <v>1434</v>
      </c>
      <c r="B1579" s="25" t="s">
        <v>2456</v>
      </c>
      <c r="C1579" s="22">
        <v>42.63</v>
      </c>
      <c r="D1579" s="25" t="s">
        <v>2480</v>
      </c>
      <c r="E1579" s="23" t="s">
        <v>2684</v>
      </c>
      <c r="F1579" s="35" t="s">
        <v>2677</v>
      </c>
      <c r="G1579" s="21" t="s">
        <v>80</v>
      </c>
      <c r="H1579" s="26">
        <v>423</v>
      </c>
      <c r="I1579" s="26">
        <v>233</v>
      </c>
      <c r="J1579" s="31"/>
      <c r="K1579" s="31"/>
      <c r="L1579" s="31"/>
      <c r="M1579" s="31"/>
      <c r="N1579" s="31"/>
      <c r="O1579" s="31"/>
      <c r="P1579" s="31"/>
      <c r="Q1579" s="31"/>
      <c r="R1579" s="31"/>
      <c r="S1579" s="31"/>
      <c r="T1579" s="31"/>
      <c r="U1579" s="31"/>
      <c r="V1579" s="31"/>
      <c r="W1579" s="31"/>
      <c r="X1579" s="31"/>
      <c r="Y1579" s="31"/>
      <c r="Z1579" s="31"/>
      <c r="AA1579" s="31"/>
      <c r="AB1579" s="31"/>
      <c r="AC1579" s="31"/>
      <c r="AD1579" s="31"/>
      <c r="AE1579" s="31"/>
      <c r="AF1579" s="31"/>
      <c r="AG1579" s="31"/>
      <c r="AH1579" s="31"/>
      <c r="AI1579" s="31"/>
      <c r="AJ1579" s="31"/>
      <c r="AK1579" s="31"/>
      <c r="AL1579" s="28" t="str">
        <f>VLOOKUP($G1579,'[42]Sheet1 (2)'!$A$1:$B$1048440,2,FALSE)</f>
        <v>Rmt.</v>
      </c>
      <c r="AM1579" s="32"/>
      <c r="AN1579" s="31"/>
      <c r="AO1579" s="33"/>
    </row>
    <row r="1580" spans="1:41" ht="84" x14ac:dyDescent="0.25">
      <c r="A1580" s="20">
        <v>1435</v>
      </c>
      <c r="B1580" s="25" t="s">
        <v>2456</v>
      </c>
      <c r="C1580" s="22">
        <v>42.64</v>
      </c>
      <c r="D1580" s="25" t="s">
        <v>2480</v>
      </c>
      <c r="E1580" s="24" t="s">
        <v>2685</v>
      </c>
      <c r="F1580" s="23" t="s">
        <v>2679</v>
      </c>
      <c r="G1580" s="21" t="s">
        <v>80</v>
      </c>
      <c r="H1580" s="26">
        <v>479</v>
      </c>
      <c r="I1580" s="26">
        <v>233</v>
      </c>
      <c r="J1580" s="31"/>
      <c r="K1580" s="31"/>
      <c r="L1580" s="31"/>
      <c r="M1580" s="31"/>
      <c r="N1580" s="31"/>
      <c r="O1580" s="31"/>
      <c r="P1580" s="31"/>
      <c r="Q1580" s="31"/>
      <c r="R1580" s="31"/>
      <c r="S1580" s="31"/>
      <c r="T1580" s="31"/>
      <c r="U1580" s="31"/>
      <c r="V1580" s="31"/>
      <c r="W1580" s="31"/>
      <c r="X1580" s="31"/>
      <c r="Y1580" s="31"/>
      <c r="Z1580" s="31"/>
      <c r="AA1580" s="31"/>
      <c r="AB1580" s="31"/>
      <c r="AC1580" s="31"/>
      <c r="AD1580" s="31"/>
      <c r="AE1580" s="31"/>
      <c r="AF1580" s="31"/>
      <c r="AG1580" s="31"/>
      <c r="AH1580" s="31"/>
      <c r="AI1580" s="31"/>
      <c r="AJ1580" s="31"/>
      <c r="AK1580" s="31"/>
      <c r="AL1580" s="28" t="str">
        <f>VLOOKUP($G1580,'[42]Sheet1 (2)'!$A$1:$B$1048440,2,FALSE)</f>
        <v>Rmt.</v>
      </c>
      <c r="AM1580" s="32"/>
      <c r="AN1580" s="31"/>
      <c r="AO1580" s="33"/>
    </row>
    <row r="1581" spans="1:41" ht="84" x14ac:dyDescent="0.25">
      <c r="A1581" s="20">
        <v>1436</v>
      </c>
      <c r="B1581" s="25" t="s">
        <v>2456</v>
      </c>
      <c r="C1581" s="22">
        <v>42.65</v>
      </c>
      <c r="D1581" s="25" t="s">
        <v>2480</v>
      </c>
      <c r="E1581" s="24" t="s">
        <v>2686</v>
      </c>
      <c r="F1581" s="23" t="s">
        <v>2679</v>
      </c>
      <c r="G1581" s="21" t="s">
        <v>80</v>
      </c>
      <c r="H1581" s="26">
        <v>587</v>
      </c>
      <c r="I1581" s="26">
        <v>233</v>
      </c>
      <c r="J1581" s="31"/>
      <c r="K1581" s="31"/>
      <c r="L1581" s="31"/>
      <c r="M1581" s="31"/>
      <c r="N1581" s="31"/>
      <c r="O1581" s="31"/>
      <c r="P1581" s="31"/>
      <c r="Q1581" s="31"/>
      <c r="R1581" s="31"/>
      <c r="S1581" s="31"/>
      <c r="T1581" s="31"/>
      <c r="U1581" s="31"/>
      <c r="V1581" s="31"/>
      <c r="W1581" s="31"/>
      <c r="X1581" s="31"/>
      <c r="Y1581" s="31"/>
      <c r="Z1581" s="31"/>
      <c r="AA1581" s="31"/>
      <c r="AB1581" s="31"/>
      <c r="AC1581" s="31"/>
      <c r="AD1581" s="31"/>
      <c r="AE1581" s="31"/>
      <c r="AF1581" s="31"/>
      <c r="AG1581" s="31"/>
      <c r="AH1581" s="31"/>
      <c r="AI1581" s="31"/>
      <c r="AJ1581" s="31"/>
      <c r="AK1581" s="31"/>
      <c r="AL1581" s="28" t="str">
        <f>VLOOKUP($G1581,'[42]Sheet1 (2)'!$A$1:$B$1048440,2,FALSE)</f>
        <v>Rmt.</v>
      </c>
      <c r="AM1581" s="32"/>
      <c r="AN1581" s="31"/>
      <c r="AO1581" s="33"/>
    </row>
    <row r="1582" spans="1:41" ht="98" x14ac:dyDescent="0.25">
      <c r="A1582" s="20">
        <v>1437</v>
      </c>
      <c r="B1582" s="25" t="s">
        <v>2456</v>
      </c>
      <c r="C1582" s="22">
        <v>42.66</v>
      </c>
      <c r="D1582" s="25" t="s">
        <v>2480</v>
      </c>
      <c r="E1582" s="23" t="s">
        <v>2687</v>
      </c>
      <c r="F1582" s="35" t="s">
        <v>2677</v>
      </c>
      <c r="G1582" s="21" t="s">
        <v>80</v>
      </c>
      <c r="H1582" s="26">
        <v>783</v>
      </c>
      <c r="I1582" s="26">
        <v>233</v>
      </c>
      <c r="J1582" s="31"/>
      <c r="K1582" s="31"/>
      <c r="L1582" s="31"/>
      <c r="M1582" s="31"/>
      <c r="N1582" s="31"/>
      <c r="O1582" s="31"/>
      <c r="P1582" s="31"/>
      <c r="Q1582" s="31"/>
      <c r="R1582" s="31"/>
      <c r="S1582" s="31"/>
      <c r="T1582" s="31"/>
      <c r="U1582" s="31"/>
      <c r="V1582" s="31"/>
      <c r="W1582" s="31"/>
      <c r="X1582" s="31"/>
      <c r="Y1582" s="31"/>
      <c r="Z1582" s="31"/>
      <c r="AA1582" s="31"/>
      <c r="AB1582" s="31"/>
      <c r="AC1582" s="31"/>
      <c r="AD1582" s="31"/>
      <c r="AE1582" s="31"/>
      <c r="AF1582" s="31"/>
      <c r="AG1582" s="31"/>
      <c r="AH1582" s="31"/>
      <c r="AI1582" s="31"/>
      <c r="AJ1582" s="31"/>
      <c r="AK1582" s="31"/>
      <c r="AL1582" s="28" t="str">
        <f>VLOOKUP($G1582,'[42]Sheet1 (2)'!$A$1:$B$1048440,2,FALSE)</f>
        <v>Rmt.</v>
      </c>
      <c r="AM1582" s="32"/>
      <c r="AN1582" s="31"/>
      <c r="AO1582" s="33"/>
    </row>
    <row r="1583" spans="1:41" ht="84" x14ac:dyDescent="0.25">
      <c r="A1583" s="20">
        <v>1438</v>
      </c>
      <c r="B1583" s="25" t="s">
        <v>2456</v>
      </c>
      <c r="C1583" s="22">
        <v>42.67</v>
      </c>
      <c r="D1583" s="25" t="s">
        <v>2577</v>
      </c>
      <c r="E1583" s="24" t="s">
        <v>2688</v>
      </c>
      <c r="F1583" s="25" t="s">
        <v>2689</v>
      </c>
      <c r="G1583" s="25" t="s">
        <v>45</v>
      </c>
      <c r="H1583" s="26">
        <v>539</v>
      </c>
      <c r="I1583" s="26">
        <v>313</v>
      </c>
      <c r="J1583" s="31"/>
      <c r="K1583" s="31"/>
      <c r="L1583" s="31"/>
      <c r="M1583" s="31"/>
      <c r="N1583" s="31"/>
      <c r="O1583" s="31"/>
      <c r="P1583" s="31"/>
      <c r="Q1583" s="31"/>
      <c r="R1583" s="31"/>
      <c r="S1583" s="31"/>
      <c r="T1583" s="31"/>
      <c r="U1583" s="31"/>
      <c r="V1583" s="31"/>
      <c r="W1583" s="31"/>
      <c r="X1583" s="31"/>
      <c r="Y1583" s="31"/>
      <c r="Z1583" s="31"/>
      <c r="AA1583" s="31"/>
      <c r="AB1583" s="31"/>
      <c r="AC1583" s="31"/>
      <c r="AD1583" s="31"/>
      <c r="AE1583" s="31"/>
      <c r="AF1583" s="31"/>
      <c r="AG1583" s="31"/>
      <c r="AH1583" s="31"/>
      <c r="AI1583" s="31"/>
      <c r="AJ1583" s="31"/>
      <c r="AK1583" s="31"/>
      <c r="AL1583" s="28" t="str">
        <f>VLOOKUP($G1583,'[42]Sheet1 (2)'!$A$1:$B$1048440,2,FALSE)</f>
        <v>No.</v>
      </c>
      <c r="AM1583" s="32"/>
      <c r="AN1583" s="31"/>
      <c r="AO1583" s="33"/>
    </row>
    <row r="1584" spans="1:41" ht="56" x14ac:dyDescent="0.25">
      <c r="A1584" s="20">
        <v>1439</v>
      </c>
      <c r="B1584" s="92" t="s">
        <v>2470</v>
      </c>
      <c r="C1584" s="22">
        <v>42.68</v>
      </c>
      <c r="D1584" s="25" t="s">
        <v>2532</v>
      </c>
      <c r="E1584" s="24" t="s">
        <v>2690</v>
      </c>
      <c r="F1584" s="35" t="s">
        <v>1761</v>
      </c>
      <c r="G1584" s="25" t="s">
        <v>45</v>
      </c>
      <c r="H1584" s="26">
        <v>5641</v>
      </c>
      <c r="I1584" s="26">
        <v>353</v>
      </c>
      <c r="J1584" s="31"/>
      <c r="K1584" s="31"/>
      <c r="L1584" s="31"/>
      <c r="M1584" s="31"/>
      <c r="N1584" s="31"/>
      <c r="O1584" s="31"/>
      <c r="P1584" s="31"/>
      <c r="Q1584" s="31"/>
      <c r="R1584" s="31"/>
      <c r="S1584" s="31"/>
      <c r="T1584" s="31"/>
      <c r="U1584" s="31"/>
      <c r="V1584" s="31"/>
      <c r="W1584" s="31"/>
      <c r="X1584" s="31"/>
      <c r="Y1584" s="31"/>
      <c r="Z1584" s="31"/>
      <c r="AA1584" s="31"/>
      <c r="AB1584" s="31"/>
      <c r="AC1584" s="31"/>
      <c r="AD1584" s="31"/>
      <c r="AE1584" s="31"/>
      <c r="AF1584" s="31"/>
      <c r="AG1584" s="31"/>
      <c r="AH1584" s="31"/>
      <c r="AI1584" s="31"/>
      <c r="AJ1584" s="31"/>
      <c r="AK1584" s="31"/>
      <c r="AL1584" s="28" t="str">
        <f>VLOOKUP($G1584,'[42]Sheet1 (2)'!$A$1:$B$1048440,2,FALSE)</f>
        <v>No.</v>
      </c>
      <c r="AM1584" s="32"/>
      <c r="AN1584" s="31"/>
      <c r="AO1584" s="33"/>
    </row>
    <row r="1585" spans="1:41" ht="56" x14ac:dyDescent="0.25">
      <c r="A1585" s="20">
        <v>1440</v>
      </c>
      <c r="B1585" s="92" t="s">
        <v>2470</v>
      </c>
      <c r="C1585" s="22">
        <v>42.69</v>
      </c>
      <c r="D1585" s="25" t="s">
        <v>2532</v>
      </c>
      <c r="E1585" s="24" t="s">
        <v>2691</v>
      </c>
      <c r="F1585" s="35" t="s">
        <v>1761</v>
      </c>
      <c r="G1585" s="25" t="s">
        <v>45</v>
      </c>
      <c r="H1585" s="26">
        <v>4072</v>
      </c>
      <c r="I1585" s="26">
        <v>602</v>
      </c>
      <c r="J1585" s="31"/>
      <c r="K1585" s="31"/>
      <c r="L1585" s="31"/>
      <c r="M1585" s="31"/>
      <c r="N1585" s="31"/>
      <c r="O1585" s="31"/>
      <c r="P1585" s="31"/>
      <c r="Q1585" s="31"/>
      <c r="R1585" s="31"/>
      <c r="S1585" s="31"/>
      <c r="T1585" s="31"/>
      <c r="U1585" s="31"/>
      <c r="V1585" s="31"/>
      <c r="W1585" s="31"/>
      <c r="X1585" s="31"/>
      <c r="Y1585" s="31"/>
      <c r="Z1585" s="31"/>
      <c r="AA1585" s="31"/>
      <c r="AB1585" s="31"/>
      <c r="AC1585" s="31"/>
      <c r="AD1585" s="31"/>
      <c r="AE1585" s="31"/>
      <c r="AF1585" s="31"/>
      <c r="AG1585" s="31"/>
      <c r="AH1585" s="31"/>
      <c r="AI1585" s="31"/>
      <c r="AJ1585" s="31"/>
      <c r="AK1585" s="31"/>
      <c r="AL1585" s="28" t="str">
        <f>VLOOKUP($G1585,'[42]Sheet1 (2)'!$A$1:$B$1048440,2,FALSE)</f>
        <v>No.</v>
      </c>
      <c r="AM1585" s="32"/>
      <c r="AN1585" s="31"/>
      <c r="AO1585" s="33"/>
    </row>
    <row r="1586" spans="1:41" ht="56" x14ac:dyDescent="0.25">
      <c r="A1586" s="20">
        <v>1441</v>
      </c>
      <c r="B1586" s="35" t="s">
        <v>2460</v>
      </c>
      <c r="C1586" s="22">
        <v>42.7</v>
      </c>
      <c r="D1586" s="25" t="s">
        <v>2532</v>
      </c>
      <c r="E1586" s="24" t="s">
        <v>2692</v>
      </c>
      <c r="F1586" s="35" t="s">
        <v>1839</v>
      </c>
      <c r="G1586" s="25" t="s">
        <v>45</v>
      </c>
      <c r="H1586" s="26">
        <v>5336</v>
      </c>
      <c r="I1586" s="26">
        <v>564</v>
      </c>
      <c r="J1586" s="31"/>
      <c r="K1586" s="31"/>
      <c r="L1586" s="31"/>
      <c r="M1586" s="31"/>
      <c r="N1586" s="31"/>
      <c r="O1586" s="31"/>
      <c r="P1586" s="31"/>
      <c r="Q1586" s="31"/>
      <c r="R1586" s="31"/>
      <c r="S1586" s="31"/>
      <c r="T1586" s="31"/>
      <c r="U1586" s="31"/>
      <c r="V1586" s="31"/>
      <c r="W1586" s="31"/>
      <c r="X1586" s="31"/>
      <c r="Y1586" s="31"/>
      <c r="Z1586" s="31"/>
      <c r="AA1586" s="31"/>
      <c r="AB1586" s="31"/>
      <c r="AC1586" s="31"/>
      <c r="AD1586" s="31"/>
      <c r="AE1586" s="31"/>
      <c r="AF1586" s="31"/>
      <c r="AG1586" s="31"/>
      <c r="AH1586" s="31"/>
      <c r="AI1586" s="31"/>
      <c r="AJ1586" s="31"/>
      <c r="AK1586" s="31"/>
      <c r="AL1586" s="28" t="str">
        <f>VLOOKUP($G1586,'[42]Sheet1 (2)'!$A$1:$B$1048440,2,FALSE)</f>
        <v>No.</v>
      </c>
      <c r="AM1586" s="32"/>
      <c r="AN1586" s="31"/>
      <c r="AO1586" s="33"/>
    </row>
    <row r="1587" spans="1:41" ht="56" x14ac:dyDescent="0.25">
      <c r="A1587" s="20">
        <v>1442</v>
      </c>
      <c r="B1587" s="35" t="s">
        <v>2460</v>
      </c>
      <c r="C1587" s="22">
        <v>42.71</v>
      </c>
      <c r="D1587" s="25" t="s">
        <v>2532</v>
      </c>
      <c r="E1587" s="24" t="s">
        <v>2693</v>
      </c>
      <c r="F1587" s="35" t="s">
        <v>1839</v>
      </c>
      <c r="G1587" s="25" t="s">
        <v>45</v>
      </c>
      <c r="H1587" s="26">
        <v>3575</v>
      </c>
      <c r="I1587" s="26">
        <v>564</v>
      </c>
      <c r="J1587" s="31"/>
      <c r="K1587" s="31"/>
      <c r="L1587" s="31"/>
      <c r="M1587" s="31"/>
      <c r="N1587" s="31"/>
      <c r="O1587" s="31"/>
      <c r="P1587" s="31"/>
      <c r="Q1587" s="31"/>
      <c r="R1587" s="31"/>
      <c r="S1587" s="31"/>
      <c r="T1587" s="31"/>
      <c r="U1587" s="31"/>
      <c r="V1587" s="31"/>
      <c r="W1587" s="31"/>
      <c r="X1587" s="31"/>
      <c r="Y1587" s="31"/>
      <c r="Z1587" s="31"/>
      <c r="AA1587" s="31"/>
      <c r="AB1587" s="31"/>
      <c r="AC1587" s="31"/>
      <c r="AD1587" s="31"/>
      <c r="AE1587" s="31"/>
      <c r="AF1587" s="31"/>
      <c r="AG1587" s="31"/>
      <c r="AH1587" s="31"/>
      <c r="AI1587" s="31"/>
      <c r="AJ1587" s="31"/>
      <c r="AK1587" s="31"/>
      <c r="AL1587" s="28" t="str">
        <f>VLOOKUP($G1587,'[42]Sheet1 (2)'!$A$1:$B$1048440,2,FALSE)</f>
        <v>No.</v>
      </c>
      <c r="AM1587" s="32"/>
      <c r="AN1587" s="31"/>
      <c r="AO1587" s="33"/>
    </row>
    <row r="1588" spans="1:41" ht="70" x14ac:dyDescent="0.25">
      <c r="A1588" s="20">
        <v>1443</v>
      </c>
      <c r="B1588" s="92" t="s">
        <v>2470</v>
      </c>
      <c r="C1588" s="22">
        <v>42.72</v>
      </c>
      <c r="D1588" s="25" t="s">
        <v>2694</v>
      </c>
      <c r="E1588" s="23" t="s">
        <v>2695</v>
      </c>
      <c r="F1588" s="25" t="s">
        <v>2696</v>
      </c>
      <c r="G1588" s="25" t="s">
        <v>45</v>
      </c>
      <c r="H1588" s="26">
        <v>1248</v>
      </c>
      <c r="I1588" s="26">
        <v>502</v>
      </c>
      <c r="J1588" s="31"/>
      <c r="K1588" s="31"/>
      <c r="L1588" s="31"/>
      <c r="M1588" s="31"/>
      <c r="N1588" s="31"/>
      <c r="O1588" s="31"/>
      <c r="P1588" s="31"/>
      <c r="Q1588" s="31"/>
      <c r="R1588" s="31"/>
      <c r="S1588" s="31"/>
      <c r="T1588" s="31"/>
      <c r="U1588" s="31"/>
      <c r="V1588" s="31"/>
      <c r="W1588" s="31"/>
      <c r="X1588" s="31"/>
      <c r="Y1588" s="31"/>
      <c r="Z1588" s="31"/>
      <c r="AA1588" s="31"/>
      <c r="AB1588" s="31"/>
      <c r="AC1588" s="31"/>
      <c r="AD1588" s="31"/>
      <c r="AE1588" s="31"/>
      <c r="AF1588" s="31"/>
      <c r="AG1588" s="31"/>
      <c r="AH1588" s="31"/>
      <c r="AI1588" s="31"/>
      <c r="AJ1588" s="31"/>
      <c r="AK1588" s="31"/>
      <c r="AL1588" s="28" t="str">
        <f>VLOOKUP($G1588,'[42]Sheet1 (2)'!$A$1:$B$1048440,2,FALSE)</f>
        <v>No.</v>
      </c>
      <c r="AM1588" s="32"/>
      <c r="AN1588" s="31"/>
      <c r="AO1588" s="33"/>
    </row>
    <row r="1589" spans="1:41" ht="56" x14ac:dyDescent="0.25">
      <c r="A1589" s="20">
        <v>1444</v>
      </c>
      <c r="B1589" s="35" t="s">
        <v>2460</v>
      </c>
      <c r="C1589" s="22">
        <v>42.73</v>
      </c>
      <c r="D1589" s="25" t="s">
        <v>2694</v>
      </c>
      <c r="E1589" s="23" t="s">
        <v>2697</v>
      </c>
      <c r="F1589" s="25" t="s">
        <v>2696</v>
      </c>
      <c r="G1589" s="25" t="s">
        <v>45</v>
      </c>
      <c r="H1589" s="26">
        <v>1702</v>
      </c>
      <c r="I1589" s="26">
        <v>502</v>
      </c>
      <c r="J1589" s="31"/>
      <c r="K1589" s="31"/>
      <c r="L1589" s="31"/>
      <c r="M1589" s="31"/>
      <c r="N1589" s="31"/>
      <c r="O1589" s="31"/>
      <c r="P1589" s="31"/>
      <c r="Q1589" s="31"/>
      <c r="R1589" s="31"/>
      <c r="S1589" s="31"/>
      <c r="T1589" s="31"/>
      <c r="U1589" s="31"/>
      <c r="V1589" s="31"/>
      <c r="W1589" s="31"/>
      <c r="X1589" s="31"/>
      <c r="Y1589" s="31"/>
      <c r="Z1589" s="31"/>
      <c r="AA1589" s="31"/>
      <c r="AB1589" s="31"/>
      <c r="AC1589" s="31"/>
      <c r="AD1589" s="31"/>
      <c r="AE1589" s="31"/>
      <c r="AF1589" s="31"/>
      <c r="AG1589" s="31"/>
      <c r="AH1589" s="31"/>
      <c r="AI1589" s="31"/>
      <c r="AJ1589" s="31"/>
      <c r="AK1589" s="31"/>
      <c r="AL1589" s="28" t="str">
        <f>VLOOKUP($G1589,'[42]Sheet1 (2)'!$A$1:$B$1048440,2,FALSE)</f>
        <v>No.</v>
      </c>
      <c r="AM1589" s="32"/>
      <c r="AN1589" s="31"/>
      <c r="AO1589" s="33"/>
    </row>
    <row r="1590" spans="1:41" ht="56" x14ac:dyDescent="0.25">
      <c r="A1590" s="20">
        <v>1445</v>
      </c>
      <c r="B1590" s="35" t="s">
        <v>2460</v>
      </c>
      <c r="C1590" s="22">
        <v>42.74</v>
      </c>
      <c r="D1590" s="25" t="s">
        <v>2694</v>
      </c>
      <c r="E1590" s="23" t="s">
        <v>2698</v>
      </c>
      <c r="F1590" s="25" t="s">
        <v>2696</v>
      </c>
      <c r="G1590" s="25" t="s">
        <v>45</v>
      </c>
      <c r="H1590" s="26">
        <v>2517</v>
      </c>
      <c r="I1590" s="26">
        <v>502</v>
      </c>
      <c r="J1590" s="31"/>
      <c r="K1590" s="31"/>
      <c r="L1590" s="31"/>
      <c r="M1590" s="31"/>
      <c r="N1590" s="31"/>
      <c r="O1590" s="31"/>
      <c r="P1590" s="31"/>
      <c r="Q1590" s="31"/>
      <c r="R1590" s="31"/>
      <c r="S1590" s="31"/>
      <c r="T1590" s="31"/>
      <c r="U1590" s="31"/>
      <c r="V1590" s="31"/>
      <c r="W1590" s="31"/>
      <c r="X1590" s="31"/>
      <c r="Y1590" s="31"/>
      <c r="Z1590" s="31"/>
      <c r="AA1590" s="31"/>
      <c r="AB1590" s="31"/>
      <c r="AC1590" s="31"/>
      <c r="AD1590" s="31"/>
      <c r="AE1590" s="31"/>
      <c r="AF1590" s="31"/>
      <c r="AG1590" s="31"/>
      <c r="AH1590" s="31"/>
      <c r="AI1590" s="31"/>
      <c r="AJ1590" s="31"/>
      <c r="AK1590" s="31"/>
      <c r="AL1590" s="28" t="str">
        <f>VLOOKUP($G1590,'[42]Sheet1 (2)'!$A$1:$B$1048440,2,FALSE)</f>
        <v>No.</v>
      </c>
      <c r="AM1590" s="32"/>
      <c r="AN1590" s="31"/>
      <c r="AO1590" s="33"/>
    </row>
    <row r="1591" spans="1:41" ht="56" x14ac:dyDescent="0.25">
      <c r="A1591" s="20">
        <v>1446</v>
      </c>
      <c r="B1591" s="35" t="s">
        <v>2460</v>
      </c>
      <c r="C1591" s="22">
        <v>42.75</v>
      </c>
      <c r="D1591" s="25" t="s">
        <v>2694</v>
      </c>
      <c r="E1591" s="23" t="s">
        <v>2699</v>
      </c>
      <c r="F1591" s="25" t="s">
        <v>2696</v>
      </c>
      <c r="G1591" s="25" t="s">
        <v>45</v>
      </c>
      <c r="H1591" s="26">
        <v>3955</v>
      </c>
      <c r="I1591" s="26">
        <v>502</v>
      </c>
      <c r="J1591" s="31"/>
      <c r="K1591" s="31"/>
      <c r="L1591" s="31"/>
      <c r="M1591" s="31"/>
      <c r="N1591" s="31"/>
      <c r="O1591" s="31"/>
      <c r="P1591" s="31"/>
      <c r="Q1591" s="31"/>
      <c r="R1591" s="31"/>
      <c r="S1591" s="31"/>
      <c r="T1591" s="31"/>
      <c r="U1591" s="31"/>
      <c r="V1591" s="31"/>
      <c r="W1591" s="31"/>
      <c r="X1591" s="31"/>
      <c r="Y1591" s="31"/>
      <c r="Z1591" s="31"/>
      <c r="AA1591" s="31"/>
      <c r="AB1591" s="31"/>
      <c r="AC1591" s="31"/>
      <c r="AD1591" s="31"/>
      <c r="AE1591" s="31"/>
      <c r="AF1591" s="31"/>
      <c r="AG1591" s="31"/>
      <c r="AH1591" s="31"/>
      <c r="AI1591" s="31"/>
      <c r="AJ1591" s="31"/>
      <c r="AK1591" s="31"/>
      <c r="AL1591" s="28" t="str">
        <f>VLOOKUP($G1591,'[42]Sheet1 (2)'!$A$1:$B$1048440,2,FALSE)</f>
        <v>No.</v>
      </c>
      <c r="AM1591" s="32"/>
      <c r="AN1591" s="31"/>
      <c r="AO1591" s="33"/>
    </row>
    <row r="1592" spans="1:41" ht="70" x14ac:dyDescent="0.25">
      <c r="A1592" s="20">
        <v>1447</v>
      </c>
      <c r="B1592" s="92" t="s">
        <v>2470</v>
      </c>
      <c r="C1592" s="22">
        <v>42.76</v>
      </c>
      <c r="D1592" s="25" t="s">
        <v>2694</v>
      </c>
      <c r="E1592" s="23" t="s">
        <v>2700</v>
      </c>
      <c r="F1592" s="25" t="s">
        <v>2696</v>
      </c>
      <c r="G1592" s="25" t="s">
        <v>45</v>
      </c>
      <c r="H1592" s="26">
        <v>5440</v>
      </c>
      <c r="I1592" s="26">
        <v>502</v>
      </c>
      <c r="J1592" s="31"/>
      <c r="K1592" s="31"/>
      <c r="L1592" s="31"/>
      <c r="M1592" s="31"/>
      <c r="N1592" s="31"/>
      <c r="O1592" s="31"/>
      <c r="P1592" s="31"/>
      <c r="Q1592" s="31"/>
      <c r="R1592" s="31"/>
      <c r="S1592" s="31"/>
      <c r="T1592" s="31"/>
      <c r="U1592" s="31"/>
      <c r="V1592" s="31"/>
      <c r="W1592" s="31"/>
      <c r="X1592" s="31"/>
      <c r="Y1592" s="31"/>
      <c r="Z1592" s="31"/>
      <c r="AA1592" s="31"/>
      <c r="AB1592" s="31"/>
      <c r="AC1592" s="31"/>
      <c r="AD1592" s="31"/>
      <c r="AE1592" s="31"/>
      <c r="AF1592" s="31"/>
      <c r="AG1592" s="31"/>
      <c r="AH1592" s="31"/>
      <c r="AI1592" s="31"/>
      <c r="AJ1592" s="31"/>
      <c r="AK1592" s="31"/>
      <c r="AL1592" s="28" t="str">
        <f>VLOOKUP($G1592,'[42]Sheet1 (2)'!$A$1:$B$1048440,2,FALSE)</f>
        <v>No.</v>
      </c>
      <c r="AM1592" s="32"/>
      <c r="AN1592" s="31"/>
      <c r="AO1592" s="33"/>
    </row>
    <row r="1593" spans="1:41" ht="56" x14ac:dyDescent="0.25">
      <c r="A1593" s="20">
        <v>1448</v>
      </c>
      <c r="B1593" s="35" t="s">
        <v>2460</v>
      </c>
      <c r="C1593" s="22">
        <v>42.77</v>
      </c>
      <c r="D1593" s="25" t="s">
        <v>2694</v>
      </c>
      <c r="E1593" s="23" t="s">
        <v>2701</v>
      </c>
      <c r="F1593" s="25" t="s">
        <v>2696</v>
      </c>
      <c r="G1593" s="25" t="s">
        <v>45</v>
      </c>
      <c r="H1593" s="26">
        <v>8944</v>
      </c>
      <c r="I1593" s="26">
        <v>502</v>
      </c>
      <c r="J1593" s="31"/>
      <c r="K1593" s="31"/>
      <c r="L1593" s="31"/>
      <c r="M1593" s="31"/>
      <c r="N1593" s="31"/>
      <c r="O1593" s="31"/>
      <c r="P1593" s="31"/>
      <c r="Q1593" s="31"/>
      <c r="R1593" s="31"/>
      <c r="S1593" s="31"/>
      <c r="T1593" s="31"/>
      <c r="U1593" s="31"/>
      <c r="V1593" s="31"/>
      <c r="W1593" s="31"/>
      <c r="X1593" s="31"/>
      <c r="Y1593" s="31"/>
      <c r="Z1593" s="31"/>
      <c r="AA1593" s="31"/>
      <c r="AB1593" s="31"/>
      <c r="AC1593" s="31"/>
      <c r="AD1593" s="31"/>
      <c r="AE1593" s="31"/>
      <c r="AF1593" s="31"/>
      <c r="AG1593" s="31"/>
      <c r="AH1593" s="31"/>
      <c r="AI1593" s="31"/>
      <c r="AJ1593" s="31"/>
      <c r="AK1593" s="31"/>
      <c r="AL1593" s="28" t="str">
        <f>VLOOKUP($G1593,'[42]Sheet1 (2)'!$A$1:$B$1048440,2,FALSE)</f>
        <v>No.</v>
      </c>
      <c r="AM1593" s="32"/>
      <c r="AN1593" s="31"/>
      <c r="AO1593" s="33"/>
    </row>
    <row r="1594" spans="1:41" ht="45" customHeight="1" x14ac:dyDescent="0.25">
      <c r="A1594" s="20">
        <v>1449</v>
      </c>
      <c r="B1594" s="35" t="s">
        <v>2460</v>
      </c>
      <c r="C1594" s="22">
        <v>42.78</v>
      </c>
      <c r="D1594" s="25" t="s">
        <v>2694</v>
      </c>
      <c r="E1594" s="24" t="s">
        <v>2702</v>
      </c>
      <c r="F1594" s="35" t="s">
        <v>1742</v>
      </c>
      <c r="G1594" s="25" t="s">
        <v>45</v>
      </c>
      <c r="H1594" s="26">
        <v>19900</v>
      </c>
      <c r="I1594" s="26">
        <v>2782</v>
      </c>
      <c r="J1594" s="31"/>
      <c r="K1594" s="31"/>
      <c r="L1594" s="31"/>
      <c r="M1594" s="31"/>
      <c r="N1594" s="31"/>
      <c r="O1594" s="31"/>
      <c r="P1594" s="31"/>
      <c r="Q1594" s="31"/>
      <c r="R1594" s="31"/>
      <c r="S1594" s="31"/>
      <c r="T1594" s="31"/>
      <c r="U1594" s="31"/>
      <c r="V1594" s="31"/>
      <c r="W1594" s="31"/>
      <c r="X1594" s="31"/>
      <c r="Y1594" s="31"/>
      <c r="Z1594" s="31"/>
      <c r="AA1594" s="31"/>
      <c r="AB1594" s="31"/>
      <c r="AC1594" s="31"/>
      <c r="AD1594" s="31"/>
      <c r="AE1594" s="31"/>
      <c r="AF1594" s="31"/>
      <c r="AG1594" s="31"/>
      <c r="AH1594" s="31"/>
      <c r="AI1594" s="31"/>
      <c r="AJ1594" s="31"/>
      <c r="AK1594" s="31"/>
      <c r="AL1594" s="28" t="str">
        <f>VLOOKUP($G1594,'[42]Sheet1 (2)'!$A$1:$B$1048440,2,FALSE)</f>
        <v>No.</v>
      </c>
      <c r="AM1594" s="32"/>
      <c r="AN1594" s="31"/>
      <c r="AO1594" s="33"/>
    </row>
    <row r="1595" spans="1:41" ht="42" x14ac:dyDescent="0.25">
      <c r="A1595" s="20">
        <v>1450</v>
      </c>
      <c r="B1595" s="35" t="s">
        <v>2460</v>
      </c>
      <c r="C1595" s="22">
        <v>42.79</v>
      </c>
      <c r="D1595" s="25" t="s">
        <v>2532</v>
      </c>
      <c r="E1595" s="24" t="s">
        <v>2703</v>
      </c>
      <c r="F1595" s="24" t="s">
        <v>44</v>
      </c>
      <c r="G1595" s="25" t="s">
        <v>45</v>
      </c>
      <c r="H1595" s="26">
        <v>2687</v>
      </c>
      <c r="I1595" s="26">
        <v>238</v>
      </c>
      <c r="J1595" s="31"/>
      <c r="K1595" s="31"/>
      <c r="L1595" s="31"/>
      <c r="M1595" s="31"/>
      <c r="N1595" s="31"/>
      <c r="O1595" s="31"/>
      <c r="P1595" s="31"/>
      <c r="Q1595" s="31"/>
      <c r="R1595" s="31"/>
      <c r="S1595" s="31"/>
      <c r="T1595" s="31"/>
      <c r="U1595" s="31"/>
      <c r="V1595" s="31"/>
      <c r="W1595" s="31"/>
      <c r="X1595" s="31"/>
      <c r="Y1595" s="31"/>
      <c r="Z1595" s="31"/>
      <c r="AA1595" s="31"/>
      <c r="AB1595" s="31"/>
      <c r="AC1595" s="31"/>
      <c r="AD1595" s="31"/>
      <c r="AE1595" s="31"/>
      <c r="AF1595" s="31"/>
      <c r="AG1595" s="31"/>
      <c r="AH1595" s="31"/>
      <c r="AI1595" s="31"/>
      <c r="AJ1595" s="31"/>
      <c r="AK1595" s="31"/>
      <c r="AL1595" s="28" t="str">
        <f>VLOOKUP($G1595,'[42]Sheet1 (2)'!$A$1:$B$1048440,2,FALSE)</f>
        <v>No.</v>
      </c>
      <c r="AM1595" s="32"/>
      <c r="AN1595" s="31"/>
      <c r="AO1595" s="33"/>
    </row>
    <row r="1596" spans="1:41" ht="56" x14ac:dyDescent="0.25">
      <c r="A1596" s="20">
        <v>1451</v>
      </c>
      <c r="B1596" s="35" t="s">
        <v>2460</v>
      </c>
      <c r="C1596" s="22">
        <v>42.8</v>
      </c>
      <c r="D1596" s="25" t="s">
        <v>2532</v>
      </c>
      <c r="E1596" s="24" t="s">
        <v>2704</v>
      </c>
      <c r="F1596" s="35" t="s">
        <v>1742</v>
      </c>
      <c r="G1596" s="25" t="s">
        <v>45</v>
      </c>
      <c r="H1596" s="26">
        <v>1459</v>
      </c>
      <c r="I1596" s="26">
        <v>238</v>
      </c>
      <c r="J1596" s="31"/>
      <c r="K1596" s="31"/>
      <c r="L1596" s="31"/>
      <c r="M1596" s="31"/>
      <c r="N1596" s="31"/>
      <c r="O1596" s="31"/>
      <c r="P1596" s="31"/>
      <c r="Q1596" s="31"/>
      <c r="R1596" s="31"/>
      <c r="S1596" s="31"/>
      <c r="T1596" s="31"/>
      <c r="U1596" s="31"/>
      <c r="V1596" s="31"/>
      <c r="W1596" s="31"/>
      <c r="X1596" s="31"/>
      <c r="Y1596" s="31"/>
      <c r="Z1596" s="31"/>
      <c r="AA1596" s="31"/>
      <c r="AB1596" s="31"/>
      <c r="AC1596" s="31"/>
      <c r="AD1596" s="31"/>
      <c r="AE1596" s="31"/>
      <c r="AF1596" s="31"/>
      <c r="AG1596" s="31"/>
      <c r="AH1596" s="31"/>
      <c r="AI1596" s="31"/>
      <c r="AJ1596" s="31"/>
      <c r="AK1596" s="31"/>
      <c r="AL1596" s="28" t="str">
        <f>VLOOKUP($G1596,'[42]Sheet1 (2)'!$A$1:$B$1048440,2,FALSE)</f>
        <v>No.</v>
      </c>
      <c r="AM1596" s="32"/>
      <c r="AN1596" s="31"/>
      <c r="AO1596" s="33"/>
    </row>
    <row r="1597" spans="1:41" ht="56" x14ac:dyDescent="0.25">
      <c r="A1597" s="20">
        <v>1452</v>
      </c>
      <c r="B1597" s="25" t="s">
        <v>2456</v>
      </c>
      <c r="C1597" s="22">
        <v>42.81</v>
      </c>
      <c r="D1597" s="25" t="s">
        <v>2532</v>
      </c>
      <c r="E1597" s="23" t="s">
        <v>2705</v>
      </c>
      <c r="F1597" s="25" t="s">
        <v>44</v>
      </c>
      <c r="G1597" s="25" t="s">
        <v>45</v>
      </c>
      <c r="H1597" s="26">
        <v>4738</v>
      </c>
      <c r="I1597" s="26">
        <v>476</v>
      </c>
      <c r="J1597" s="31"/>
      <c r="K1597" s="31"/>
      <c r="L1597" s="31"/>
      <c r="M1597" s="31"/>
      <c r="N1597" s="31"/>
      <c r="O1597" s="31"/>
      <c r="P1597" s="31"/>
      <c r="Q1597" s="31"/>
      <c r="R1597" s="31"/>
      <c r="S1597" s="31"/>
      <c r="T1597" s="31"/>
      <c r="U1597" s="31"/>
      <c r="V1597" s="31"/>
      <c r="W1597" s="31"/>
      <c r="X1597" s="31"/>
      <c r="Y1597" s="31"/>
      <c r="Z1597" s="31"/>
      <c r="AA1597" s="31"/>
      <c r="AB1597" s="31"/>
      <c r="AC1597" s="31"/>
      <c r="AD1597" s="31"/>
      <c r="AE1597" s="31"/>
      <c r="AF1597" s="31"/>
      <c r="AG1597" s="31"/>
      <c r="AH1597" s="31"/>
      <c r="AI1597" s="31"/>
      <c r="AJ1597" s="31"/>
      <c r="AK1597" s="31"/>
      <c r="AL1597" s="28" t="str">
        <f>VLOOKUP($G1597,'[42]Sheet1 (2)'!$A$1:$B$1048440,2,FALSE)</f>
        <v>No.</v>
      </c>
      <c r="AM1597" s="32"/>
      <c r="AN1597" s="31"/>
      <c r="AO1597" s="33"/>
    </row>
    <row r="1598" spans="1:41" ht="56" x14ac:dyDescent="0.25">
      <c r="A1598" s="20">
        <v>1453</v>
      </c>
      <c r="B1598" s="92" t="s">
        <v>2470</v>
      </c>
      <c r="C1598" s="22">
        <v>42.82</v>
      </c>
      <c r="D1598" s="25" t="s">
        <v>2532</v>
      </c>
      <c r="E1598" s="24" t="s">
        <v>2706</v>
      </c>
      <c r="F1598" s="35" t="s">
        <v>64</v>
      </c>
      <c r="G1598" s="25" t="s">
        <v>45</v>
      </c>
      <c r="H1598" s="26">
        <v>1625</v>
      </c>
      <c r="I1598" s="26">
        <v>238</v>
      </c>
      <c r="J1598" s="31"/>
      <c r="K1598" s="31"/>
      <c r="L1598" s="31"/>
      <c r="M1598" s="31"/>
      <c r="N1598" s="31"/>
      <c r="O1598" s="31"/>
      <c r="P1598" s="31"/>
      <c r="Q1598" s="31"/>
      <c r="R1598" s="31"/>
      <c r="S1598" s="31"/>
      <c r="T1598" s="31"/>
      <c r="U1598" s="31"/>
      <c r="V1598" s="31"/>
      <c r="W1598" s="31"/>
      <c r="X1598" s="31"/>
      <c r="Y1598" s="31"/>
      <c r="Z1598" s="31"/>
      <c r="AA1598" s="31"/>
      <c r="AB1598" s="31"/>
      <c r="AC1598" s="31"/>
      <c r="AD1598" s="31"/>
      <c r="AE1598" s="31"/>
      <c r="AF1598" s="31"/>
      <c r="AG1598" s="31"/>
      <c r="AH1598" s="31"/>
      <c r="AI1598" s="31"/>
      <c r="AJ1598" s="31"/>
      <c r="AK1598" s="31"/>
      <c r="AL1598" s="28" t="str">
        <f>VLOOKUP($G1598,'[42]Sheet1 (2)'!$A$1:$B$1048440,2,FALSE)</f>
        <v>No.</v>
      </c>
      <c r="AM1598" s="32"/>
      <c r="AN1598" s="31"/>
      <c r="AO1598" s="33"/>
    </row>
    <row r="1599" spans="1:41" ht="56" x14ac:dyDescent="0.25">
      <c r="A1599" s="20">
        <v>1454</v>
      </c>
      <c r="B1599" s="35" t="s">
        <v>2460</v>
      </c>
      <c r="C1599" s="22">
        <v>42.83</v>
      </c>
      <c r="D1599" s="25" t="s">
        <v>2532</v>
      </c>
      <c r="E1599" s="24" t="s">
        <v>2707</v>
      </c>
      <c r="F1599" s="35" t="s">
        <v>1742</v>
      </c>
      <c r="G1599" s="25" t="s">
        <v>45</v>
      </c>
      <c r="H1599" s="26">
        <v>1108</v>
      </c>
      <c r="I1599" s="26">
        <v>279</v>
      </c>
      <c r="J1599" s="31"/>
      <c r="K1599" s="31"/>
      <c r="L1599" s="31"/>
      <c r="M1599" s="31"/>
      <c r="N1599" s="31"/>
      <c r="O1599" s="31"/>
      <c r="P1599" s="31"/>
      <c r="Q1599" s="31"/>
      <c r="R1599" s="31"/>
      <c r="S1599" s="31"/>
      <c r="T1599" s="31"/>
      <c r="U1599" s="31"/>
      <c r="V1599" s="31"/>
      <c r="W1599" s="31"/>
      <c r="X1599" s="31"/>
      <c r="Y1599" s="31"/>
      <c r="Z1599" s="31"/>
      <c r="AA1599" s="31"/>
      <c r="AB1599" s="31"/>
      <c r="AC1599" s="31"/>
      <c r="AD1599" s="31"/>
      <c r="AE1599" s="31"/>
      <c r="AF1599" s="31"/>
      <c r="AG1599" s="31"/>
      <c r="AH1599" s="31"/>
      <c r="AI1599" s="31"/>
      <c r="AJ1599" s="31"/>
      <c r="AK1599" s="31"/>
      <c r="AL1599" s="28" t="str">
        <f>VLOOKUP($G1599,'[42]Sheet1 (2)'!$A$1:$B$1048440,2,FALSE)</f>
        <v>No.</v>
      </c>
      <c r="AM1599" s="32"/>
      <c r="AN1599" s="31"/>
      <c r="AO1599" s="33"/>
    </row>
    <row r="1600" spans="1:41" ht="56" x14ac:dyDescent="0.25">
      <c r="A1600" s="20">
        <v>1455</v>
      </c>
      <c r="B1600" s="92" t="s">
        <v>2470</v>
      </c>
      <c r="C1600" s="22">
        <v>42.84</v>
      </c>
      <c r="D1600" s="25" t="s">
        <v>2532</v>
      </c>
      <c r="E1600" s="24" t="s">
        <v>2708</v>
      </c>
      <c r="F1600" s="35" t="s">
        <v>64</v>
      </c>
      <c r="G1600" s="25" t="s">
        <v>45</v>
      </c>
      <c r="H1600" s="26">
        <v>2145</v>
      </c>
      <c r="I1600" s="26">
        <v>238</v>
      </c>
      <c r="J1600" s="31"/>
      <c r="K1600" s="31"/>
      <c r="L1600" s="31"/>
      <c r="M1600" s="31"/>
      <c r="N1600" s="31"/>
      <c r="O1600" s="31"/>
      <c r="P1600" s="31"/>
      <c r="Q1600" s="31"/>
      <c r="R1600" s="31"/>
      <c r="S1600" s="31"/>
      <c r="T1600" s="31"/>
      <c r="U1600" s="31"/>
      <c r="V1600" s="31"/>
      <c r="W1600" s="31"/>
      <c r="X1600" s="31"/>
      <c r="Y1600" s="31"/>
      <c r="Z1600" s="31"/>
      <c r="AA1600" s="31"/>
      <c r="AB1600" s="31"/>
      <c r="AC1600" s="31"/>
      <c r="AD1600" s="31"/>
      <c r="AE1600" s="31"/>
      <c r="AF1600" s="31"/>
      <c r="AG1600" s="31"/>
      <c r="AH1600" s="31"/>
      <c r="AI1600" s="31"/>
      <c r="AJ1600" s="31"/>
      <c r="AK1600" s="31"/>
      <c r="AL1600" s="28" t="str">
        <f>VLOOKUP($G1600,'[42]Sheet1 (2)'!$A$1:$B$1048440,2,FALSE)</f>
        <v>No.</v>
      </c>
      <c r="AM1600" s="32"/>
      <c r="AN1600" s="31"/>
      <c r="AO1600" s="33"/>
    </row>
    <row r="1601" spans="1:41" ht="196" x14ac:dyDescent="0.25">
      <c r="A1601" s="20">
        <v>1456</v>
      </c>
      <c r="B1601" s="25" t="s">
        <v>2456</v>
      </c>
      <c r="C1601" s="22">
        <v>42.85</v>
      </c>
      <c r="D1601" s="25" t="s">
        <v>2532</v>
      </c>
      <c r="E1601" s="23" t="s">
        <v>2709</v>
      </c>
      <c r="F1601" s="21" t="s">
        <v>352</v>
      </c>
      <c r="G1601" s="21" t="s">
        <v>80</v>
      </c>
      <c r="H1601" s="26">
        <v>1481</v>
      </c>
      <c r="I1601" s="26">
        <v>239</v>
      </c>
      <c r="J1601" s="31"/>
      <c r="K1601" s="31"/>
      <c r="L1601" s="31"/>
      <c r="M1601" s="31"/>
      <c r="N1601" s="31"/>
      <c r="O1601" s="31"/>
      <c r="P1601" s="31"/>
      <c r="Q1601" s="31"/>
      <c r="R1601" s="31"/>
      <c r="S1601" s="31"/>
      <c r="T1601" s="31"/>
      <c r="U1601" s="31"/>
      <c r="V1601" s="31"/>
      <c r="W1601" s="31"/>
      <c r="X1601" s="31"/>
      <c r="Y1601" s="31"/>
      <c r="Z1601" s="31"/>
      <c r="AA1601" s="31"/>
      <c r="AB1601" s="31"/>
      <c r="AC1601" s="31"/>
      <c r="AD1601" s="31"/>
      <c r="AE1601" s="31"/>
      <c r="AF1601" s="31"/>
      <c r="AG1601" s="31"/>
      <c r="AH1601" s="31"/>
      <c r="AI1601" s="31"/>
      <c r="AJ1601" s="31"/>
      <c r="AK1601" s="31"/>
      <c r="AL1601" s="28" t="str">
        <f>VLOOKUP($G1601,'[42]Sheet1 (2)'!$A$1:$B$1048440,2,FALSE)</f>
        <v>Rmt.</v>
      </c>
      <c r="AM1601" s="32"/>
      <c r="AN1601" s="31"/>
      <c r="AO1601" s="33"/>
    </row>
    <row r="1602" spans="1:41" ht="84" x14ac:dyDescent="0.25">
      <c r="A1602" s="20">
        <v>1457</v>
      </c>
      <c r="B1602" s="25" t="s">
        <v>2456</v>
      </c>
      <c r="C1602" s="22">
        <v>42.86</v>
      </c>
      <c r="D1602" s="25" t="s">
        <v>2532</v>
      </c>
      <c r="E1602" s="24" t="s">
        <v>2710</v>
      </c>
      <c r="F1602" s="21" t="s">
        <v>352</v>
      </c>
      <c r="G1602" s="25" t="s">
        <v>45</v>
      </c>
      <c r="H1602" s="26">
        <v>15026</v>
      </c>
      <c r="I1602" s="26">
        <v>2120</v>
      </c>
      <c r="J1602" s="31"/>
      <c r="K1602" s="31"/>
      <c r="L1602" s="31"/>
      <c r="M1602" s="31"/>
      <c r="N1602" s="31"/>
      <c r="O1602" s="31"/>
      <c r="P1602" s="31"/>
      <c r="Q1602" s="31"/>
      <c r="R1602" s="31"/>
      <c r="S1602" s="31"/>
      <c r="T1602" s="31"/>
      <c r="U1602" s="31"/>
      <c r="V1602" s="31"/>
      <c r="W1602" s="31"/>
      <c r="X1602" s="31"/>
      <c r="Y1602" s="31"/>
      <c r="Z1602" s="31"/>
      <c r="AA1602" s="31"/>
      <c r="AB1602" s="31"/>
      <c r="AC1602" s="31"/>
      <c r="AD1602" s="31"/>
      <c r="AE1602" s="31"/>
      <c r="AF1602" s="31"/>
      <c r="AG1602" s="31"/>
      <c r="AH1602" s="31"/>
      <c r="AI1602" s="31"/>
      <c r="AJ1602" s="31"/>
      <c r="AK1602" s="31"/>
      <c r="AL1602" s="28" t="str">
        <f>VLOOKUP($G1602,'[42]Sheet1 (2)'!$A$1:$B$1048440,2,FALSE)</f>
        <v>No.</v>
      </c>
      <c r="AM1602" s="32"/>
      <c r="AN1602" s="31"/>
      <c r="AO1602" s="33"/>
    </row>
    <row r="1603" spans="1:41" ht="196" x14ac:dyDescent="0.25">
      <c r="A1603" s="20">
        <v>1458</v>
      </c>
      <c r="B1603" s="25" t="s">
        <v>2456</v>
      </c>
      <c r="C1603" s="22">
        <v>42.87</v>
      </c>
      <c r="D1603" s="25" t="s">
        <v>2532</v>
      </c>
      <c r="E1603" s="24" t="s">
        <v>3799</v>
      </c>
      <c r="F1603" s="21" t="s">
        <v>352</v>
      </c>
      <c r="G1603" s="21" t="s">
        <v>80</v>
      </c>
      <c r="H1603" s="26">
        <v>569</v>
      </c>
      <c r="I1603" s="26">
        <v>159</v>
      </c>
      <c r="J1603" s="31"/>
      <c r="K1603" s="31"/>
      <c r="L1603" s="31"/>
      <c r="M1603" s="31"/>
      <c r="N1603" s="31"/>
      <c r="O1603" s="31"/>
      <c r="P1603" s="31"/>
      <c r="Q1603" s="31"/>
      <c r="R1603" s="31"/>
      <c r="S1603" s="31"/>
      <c r="T1603" s="31"/>
      <c r="U1603" s="31"/>
      <c r="V1603" s="31"/>
      <c r="W1603" s="31"/>
      <c r="X1603" s="31"/>
      <c r="Y1603" s="31"/>
      <c r="Z1603" s="31"/>
      <c r="AA1603" s="31"/>
      <c r="AB1603" s="31"/>
      <c r="AC1603" s="31"/>
      <c r="AD1603" s="31"/>
      <c r="AE1603" s="31"/>
      <c r="AF1603" s="31"/>
      <c r="AG1603" s="31"/>
      <c r="AH1603" s="31"/>
      <c r="AI1603" s="31"/>
      <c r="AJ1603" s="31"/>
      <c r="AK1603" s="31"/>
      <c r="AL1603" s="28" t="str">
        <f>VLOOKUP($G1603,'[42]Sheet1 (2)'!$A$1:$B$1048440,2,FALSE)</f>
        <v>Rmt.</v>
      </c>
      <c r="AM1603" s="32"/>
      <c r="AN1603" s="31"/>
      <c r="AO1603" s="33"/>
    </row>
    <row r="1604" spans="1:41" ht="126" x14ac:dyDescent="0.25">
      <c r="A1604" s="20">
        <v>1459</v>
      </c>
      <c r="B1604" s="25" t="s">
        <v>2456</v>
      </c>
      <c r="C1604" s="22">
        <v>42.88</v>
      </c>
      <c r="D1604" s="25" t="s">
        <v>2532</v>
      </c>
      <c r="E1604" s="24" t="s">
        <v>2711</v>
      </c>
      <c r="F1604" s="24" t="s">
        <v>44</v>
      </c>
      <c r="G1604" s="25" t="s">
        <v>45</v>
      </c>
      <c r="H1604" s="26">
        <v>8799</v>
      </c>
      <c r="I1604" s="26">
        <v>159</v>
      </c>
      <c r="J1604" s="31">
        <f>0.1/20</f>
        <v>5.0000000000000001E-3</v>
      </c>
      <c r="K1604" s="31"/>
      <c r="L1604" s="31"/>
      <c r="M1604" s="31"/>
      <c r="N1604" s="31"/>
      <c r="O1604" s="31"/>
      <c r="P1604" s="158">
        <v>1E-3</v>
      </c>
      <c r="Q1604" s="31"/>
      <c r="R1604" s="31"/>
      <c r="S1604" s="31"/>
      <c r="T1604" s="31"/>
      <c r="U1604" s="31"/>
      <c r="V1604" s="31"/>
      <c r="W1604" s="31"/>
      <c r="X1604" s="31"/>
      <c r="Y1604" s="31"/>
      <c r="Z1604" s="31"/>
      <c r="AA1604" s="31"/>
      <c r="AB1604" s="31"/>
      <c r="AC1604" s="31"/>
      <c r="AD1604" s="31"/>
      <c r="AE1604" s="31"/>
      <c r="AF1604" s="31"/>
      <c r="AG1604" s="31"/>
      <c r="AH1604" s="31"/>
      <c r="AI1604" s="31"/>
      <c r="AJ1604" s="31"/>
      <c r="AK1604" s="31"/>
      <c r="AL1604" s="28" t="str">
        <f>VLOOKUP($G1604,'[42]Sheet1 (2)'!$A$1:$B$1048440,2,FALSE)</f>
        <v>No.</v>
      </c>
      <c r="AM1604" s="32" t="s">
        <v>2712</v>
      </c>
      <c r="AN1604" s="31"/>
      <c r="AO1604" s="33"/>
    </row>
    <row r="1605" spans="1:41" ht="98" x14ac:dyDescent="0.25">
      <c r="A1605" s="20">
        <v>1460</v>
      </c>
      <c r="B1605" s="25" t="s">
        <v>2456</v>
      </c>
      <c r="C1605" s="22">
        <v>42.89</v>
      </c>
      <c r="D1605" s="25" t="s">
        <v>2532</v>
      </c>
      <c r="E1605" s="23" t="s">
        <v>2713</v>
      </c>
      <c r="F1605" s="35" t="s">
        <v>2677</v>
      </c>
      <c r="G1605" s="21" t="s">
        <v>80</v>
      </c>
      <c r="H1605" s="103">
        <v>245</v>
      </c>
      <c r="I1605" s="26">
        <v>177</v>
      </c>
      <c r="J1605" s="31"/>
      <c r="K1605" s="31"/>
      <c r="L1605" s="31"/>
      <c r="M1605" s="31"/>
      <c r="N1605" s="31"/>
      <c r="O1605" s="31"/>
      <c r="P1605" s="31"/>
      <c r="Q1605" s="31"/>
      <c r="R1605" s="31"/>
      <c r="S1605" s="31"/>
      <c r="T1605" s="31"/>
      <c r="U1605" s="31"/>
      <c r="V1605" s="31"/>
      <c r="W1605" s="31"/>
      <c r="X1605" s="31"/>
      <c r="Y1605" s="31"/>
      <c r="Z1605" s="31"/>
      <c r="AA1605" s="31"/>
      <c r="AB1605" s="31"/>
      <c r="AC1605" s="31"/>
      <c r="AD1605" s="31"/>
      <c r="AE1605" s="31"/>
      <c r="AF1605" s="31"/>
      <c r="AG1605" s="31"/>
      <c r="AH1605" s="31"/>
      <c r="AI1605" s="31"/>
      <c r="AJ1605" s="31"/>
      <c r="AK1605" s="31"/>
      <c r="AL1605" s="28" t="str">
        <f>VLOOKUP($G1605,'[42]Sheet1 (2)'!$A$1:$B$1048440,2,FALSE)</f>
        <v>Rmt.</v>
      </c>
      <c r="AM1605" s="32"/>
      <c r="AN1605" s="31"/>
      <c r="AO1605" s="33"/>
    </row>
    <row r="1606" spans="1:41" ht="98" x14ac:dyDescent="0.25">
      <c r="A1606" s="20">
        <v>1461</v>
      </c>
      <c r="B1606" s="25" t="s">
        <v>2456</v>
      </c>
      <c r="C1606" s="22">
        <v>42.9</v>
      </c>
      <c r="D1606" s="25" t="s">
        <v>2480</v>
      </c>
      <c r="E1606" s="23" t="s">
        <v>2714</v>
      </c>
      <c r="F1606" s="35" t="s">
        <v>2677</v>
      </c>
      <c r="G1606" s="21" t="s">
        <v>80</v>
      </c>
      <c r="H1606" s="103">
        <v>289</v>
      </c>
      <c r="I1606" s="26">
        <v>185</v>
      </c>
      <c r="J1606" s="31"/>
      <c r="K1606" s="31"/>
      <c r="L1606" s="31"/>
      <c r="M1606" s="31"/>
      <c r="N1606" s="31"/>
      <c r="O1606" s="31"/>
      <c r="P1606" s="31"/>
      <c r="Q1606" s="31"/>
      <c r="R1606" s="31"/>
      <c r="S1606" s="31"/>
      <c r="T1606" s="31"/>
      <c r="U1606" s="31"/>
      <c r="V1606" s="31"/>
      <c r="W1606" s="31"/>
      <c r="X1606" s="31"/>
      <c r="Y1606" s="31"/>
      <c r="Z1606" s="31"/>
      <c r="AA1606" s="31"/>
      <c r="AB1606" s="31"/>
      <c r="AC1606" s="31"/>
      <c r="AD1606" s="31"/>
      <c r="AE1606" s="31"/>
      <c r="AF1606" s="31"/>
      <c r="AG1606" s="31"/>
      <c r="AH1606" s="31"/>
      <c r="AI1606" s="31"/>
      <c r="AJ1606" s="31"/>
      <c r="AK1606" s="31"/>
      <c r="AL1606" s="28" t="str">
        <f>VLOOKUP($G1606,'[42]Sheet1 (2)'!$A$1:$B$1048440,2,FALSE)</f>
        <v>Rmt.</v>
      </c>
      <c r="AM1606" s="32"/>
      <c r="AN1606" s="31"/>
      <c r="AO1606" s="33"/>
    </row>
    <row r="1607" spans="1:41" ht="84" x14ac:dyDescent="0.25">
      <c r="A1607" s="20">
        <v>1462</v>
      </c>
      <c r="B1607" s="25" t="s">
        <v>2456</v>
      </c>
      <c r="C1607" s="22">
        <v>42.91</v>
      </c>
      <c r="D1607" s="25" t="s">
        <v>2480</v>
      </c>
      <c r="E1607" s="24" t="s">
        <v>2715</v>
      </c>
      <c r="F1607" s="23" t="s">
        <v>2679</v>
      </c>
      <c r="G1607" s="21" t="s">
        <v>80</v>
      </c>
      <c r="H1607" s="103">
        <v>355</v>
      </c>
      <c r="I1607" s="26">
        <v>185</v>
      </c>
      <c r="J1607" s="31"/>
      <c r="K1607" s="31"/>
      <c r="L1607" s="31"/>
      <c r="M1607" s="31"/>
      <c r="N1607" s="31"/>
      <c r="O1607" s="31"/>
      <c r="P1607" s="31"/>
      <c r="Q1607" s="31"/>
      <c r="R1607" s="31"/>
      <c r="S1607" s="31"/>
      <c r="T1607" s="31"/>
      <c r="U1607" s="31"/>
      <c r="V1607" s="31"/>
      <c r="W1607" s="31"/>
      <c r="X1607" s="31"/>
      <c r="Y1607" s="31"/>
      <c r="Z1607" s="31"/>
      <c r="AA1607" s="31"/>
      <c r="AB1607" s="31"/>
      <c r="AC1607" s="31"/>
      <c r="AD1607" s="31"/>
      <c r="AE1607" s="31"/>
      <c r="AF1607" s="31"/>
      <c r="AG1607" s="31"/>
      <c r="AH1607" s="31"/>
      <c r="AI1607" s="31"/>
      <c r="AJ1607" s="31"/>
      <c r="AK1607" s="31"/>
      <c r="AL1607" s="28" t="str">
        <f>VLOOKUP($G1607,'[42]Sheet1 (2)'!$A$1:$B$1048440,2,FALSE)</f>
        <v>Rmt.</v>
      </c>
      <c r="AM1607" s="32"/>
      <c r="AN1607" s="31"/>
      <c r="AO1607" s="33"/>
    </row>
    <row r="1608" spans="1:41" ht="98" x14ac:dyDescent="0.25">
      <c r="A1608" s="20">
        <v>1463</v>
      </c>
      <c r="B1608" s="25" t="s">
        <v>2456</v>
      </c>
      <c r="C1608" s="22">
        <v>42.92</v>
      </c>
      <c r="D1608" s="25" t="s">
        <v>2480</v>
      </c>
      <c r="E1608" s="23" t="s">
        <v>2716</v>
      </c>
      <c r="F1608" s="35" t="s">
        <v>2677</v>
      </c>
      <c r="G1608" s="21" t="s">
        <v>80</v>
      </c>
      <c r="H1608" s="103">
        <v>412</v>
      </c>
      <c r="I1608" s="26">
        <v>185</v>
      </c>
      <c r="J1608" s="31"/>
      <c r="K1608" s="31"/>
      <c r="L1608" s="31"/>
      <c r="M1608" s="31"/>
      <c r="N1608" s="31"/>
      <c r="O1608" s="31"/>
      <c r="P1608" s="31"/>
      <c r="Q1608" s="31"/>
      <c r="R1608" s="31"/>
      <c r="S1608" s="31"/>
      <c r="T1608" s="31"/>
      <c r="U1608" s="31"/>
      <c r="V1608" s="31"/>
      <c r="W1608" s="31"/>
      <c r="X1608" s="31"/>
      <c r="Y1608" s="31"/>
      <c r="Z1608" s="31"/>
      <c r="AA1608" s="31"/>
      <c r="AB1608" s="31"/>
      <c r="AC1608" s="31"/>
      <c r="AD1608" s="31"/>
      <c r="AE1608" s="31"/>
      <c r="AF1608" s="31"/>
      <c r="AG1608" s="31"/>
      <c r="AH1608" s="31"/>
      <c r="AI1608" s="31"/>
      <c r="AJ1608" s="31"/>
      <c r="AK1608" s="31"/>
      <c r="AL1608" s="28" t="str">
        <f>VLOOKUP($G1608,'[42]Sheet1 (2)'!$A$1:$B$1048440,2,FALSE)</f>
        <v>Rmt.</v>
      </c>
      <c r="AM1608" s="32"/>
      <c r="AN1608" s="31"/>
      <c r="AO1608" s="33"/>
    </row>
    <row r="1609" spans="1:41" ht="98" x14ac:dyDescent="0.25">
      <c r="A1609" s="20">
        <v>1464</v>
      </c>
      <c r="B1609" s="25" t="s">
        <v>2456</v>
      </c>
      <c r="C1609" s="22">
        <v>42.93</v>
      </c>
      <c r="D1609" s="25" t="s">
        <v>2480</v>
      </c>
      <c r="E1609" s="23" t="s">
        <v>2717</v>
      </c>
      <c r="F1609" s="35" t="s">
        <v>2677</v>
      </c>
      <c r="G1609" s="21" t="s">
        <v>80</v>
      </c>
      <c r="H1609" s="103">
        <v>520</v>
      </c>
      <c r="I1609" s="26">
        <v>185</v>
      </c>
      <c r="J1609" s="31"/>
      <c r="K1609" s="31"/>
      <c r="L1609" s="31"/>
      <c r="M1609" s="31"/>
      <c r="N1609" s="31"/>
      <c r="O1609" s="31"/>
      <c r="P1609" s="31"/>
      <c r="Q1609" s="31"/>
      <c r="R1609" s="31"/>
      <c r="S1609" s="31"/>
      <c r="T1609" s="31"/>
      <c r="U1609" s="31"/>
      <c r="V1609" s="31"/>
      <c r="W1609" s="31"/>
      <c r="X1609" s="31"/>
      <c r="Y1609" s="31"/>
      <c r="Z1609" s="31"/>
      <c r="AA1609" s="31"/>
      <c r="AB1609" s="31"/>
      <c r="AC1609" s="31"/>
      <c r="AD1609" s="31"/>
      <c r="AE1609" s="31"/>
      <c r="AF1609" s="31"/>
      <c r="AG1609" s="31"/>
      <c r="AH1609" s="31"/>
      <c r="AI1609" s="31"/>
      <c r="AJ1609" s="31"/>
      <c r="AK1609" s="31"/>
      <c r="AL1609" s="28" t="str">
        <f>VLOOKUP($G1609,'[42]Sheet1 (2)'!$A$1:$B$1048440,2,FALSE)</f>
        <v>Rmt.</v>
      </c>
      <c r="AM1609" s="32"/>
      <c r="AN1609" s="31"/>
      <c r="AO1609" s="33"/>
    </row>
    <row r="1610" spans="1:41" ht="98" x14ac:dyDescent="0.25">
      <c r="A1610" s="20">
        <v>1465</v>
      </c>
      <c r="B1610" s="25" t="s">
        <v>2456</v>
      </c>
      <c r="C1610" s="22">
        <v>42.94</v>
      </c>
      <c r="D1610" s="25" t="s">
        <v>2480</v>
      </c>
      <c r="E1610" s="24" t="s">
        <v>2718</v>
      </c>
      <c r="F1610" s="35" t="s">
        <v>2677</v>
      </c>
      <c r="G1610" s="21" t="s">
        <v>80</v>
      </c>
      <c r="H1610" s="103">
        <v>722</v>
      </c>
      <c r="I1610" s="26">
        <v>185</v>
      </c>
      <c r="J1610" s="31"/>
      <c r="K1610" s="31"/>
      <c r="L1610" s="31"/>
      <c r="M1610" s="31"/>
      <c r="N1610" s="31"/>
      <c r="O1610" s="31"/>
      <c r="P1610" s="31"/>
      <c r="Q1610" s="31"/>
      <c r="R1610" s="31"/>
      <c r="S1610" s="31"/>
      <c r="T1610" s="31"/>
      <c r="U1610" s="31"/>
      <c r="V1610" s="31"/>
      <c r="W1610" s="31"/>
      <c r="X1610" s="31"/>
      <c r="Y1610" s="31"/>
      <c r="Z1610" s="31"/>
      <c r="AA1610" s="31"/>
      <c r="AB1610" s="31"/>
      <c r="AC1610" s="31"/>
      <c r="AD1610" s="31"/>
      <c r="AE1610" s="31"/>
      <c r="AF1610" s="31"/>
      <c r="AG1610" s="31"/>
      <c r="AH1610" s="31"/>
      <c r="AI1610" s="31"/>
      <c r="AJ1610" s="31"/>
      <c r="AK1610" s="31"/>
      <c r="AL1610" s="28" t="str">
        <f>VLOOKUP($G1610,'[42]Sheet1 (2)'!$A$1:$B$1048440,2,FALSE)</f>
        <v>Rmt.</v>
      </c>
      <c r="AM1610" s="32"/>
      <c r="AN1610" s="31"/>
      <c r="AO1610" s="33"/>
    </row>
    <row r="1611" spans="1:41" ht="98" x14ac:dyDescent="0.25">
      <c r="A1611" s="20">
        <v>1466</v>
      </c>
      <c r="B1611" s="25" t="s">
        <v>2456</v>
      </c>
      <c r="C1611" s="22">
        <v>42.95</v>
      </c>
      <c r="D1611" s="25" t="s">
        <v>2480</v>
      </c>
      <c r="E1611" s="23" t="s">
        <v>2719</v>
      </c>
      <c r="F1611" s="35" t="s">
        <v>2677</v>
      </c>
      <c r="G1611" s="21" t="s">
        <v>80</v>
      </c>
      <c r="H1611" s="103">
        <v>253</v>
      </c>
      <c r="I1611" s="26">
        <v>188</v>
      </c>
      <c r="J1611" s="31"/>
      <c r="K1611" s="31"/>
      <c r="L1611" s="31"/>
      <c r="M1611" s="31"/>
      <c r="N1611" s="31"/>
      <c r="O1611" s="31"/>
      <c r="P1611" s="31"/>
      <c r="Q1611" s="31"/>
      <c r="R1611" s="31"/>
      <c r="S1611" s="31"/>
      <c r="T1611" s="31"/>
      <c r="U1611" s="31"/>
      <c r="V1611" s="31"/>
      <c r="W1611" s="31"/>
      <c r="X1611" s="31"/>
      <c r="Y1611" s="31"/>
      <c r="Z1611" s="31"/>
      <c r="AA1611" s="31"/>
      <c r="AB1611" s="31"/>
      <c r="AC1611" s="31"/>
      <c r="AD1611" s="31"/>
      <c r="AE1611" s="31"/>
      <c r="AF1611" s="31"/>
      <c r="AG1611" s="31"/>
      <c r="AH1611" s="31"/>
      <c r="AI1611" s="31"/>
      <c r="AJ1611" s="31"/>
      <c r="AK1611" s="31"/>
      <c r="AL1611" s="28" t="str">
        <f>VLOOKUP($G1611,'[42]Sheet1 (2)'!$A$1:$B$1048440,2,FALSE)</f>
        <v>Rmt.</v>
      </c>
      <c r="AM1611" s="32"/>
      <c r="AN1611" s="31"/>
      <c r="AO1611" s="33"/>
    </row>
    <row r="1612" spans="1:41" ht="84" x14ac:dyDescent="0.25">
      <c r="A1612" s="20">
        <v>1467</v>
      </c>
      <c r="B1612" s="25" t="s">
        <v>2456</v>
      </c>
      <c r="C1612" s="22">
        <v>42.96</v>
      </c>
      <c r="D1612" s="25" t="s">
        <v>2480</v>
      </c>
      <c r="E1612" s="24" t="s">
        <v>2720</v>
      </c>
      <c r="F1612" s="23" t="s">
        <v>2679</v>
      </c>
      <c r="G1612" s="21" t="s">
        <v>80</v>
      </c>
      <c r="H1612" s="103">
        <v>291</v>
      </c>
      <c r="I1612" s="26">
        <v>190</v>
      </c>
      <c r="J1612" s="31"/>
      <c r="K1612" s="31"/>
      <c r="L1612" s="31"/>
      <c r="M1612" s="31"/>
      <c r="N1612" s="31"/>
      <c r="O1612" s="31"/>
      <c r="P1612" s="31"/>
      <c r="Q1612" s="31"/>
      <c r="R1612" s="31"/>
      <c r="S1612" s="31"/>
      <c r="T1612" s="31"/>
      <c r="U1612" s="31"/>
      <c r="V1612" s="31"/>
      <c r="W1612" s="31"/>
      <c r="X1612" s="31"/>
      <c r="Y1612" s="31"/>
      <c r="Z1612" s="31"/>
      <c r="AA1612" s="31"/>
      <c r="AB1612" s="31"/>
      <c r="AC1612" s="31"/>
      <c r="AD1612" s="31"/>
      <c r="AE1612" s="31"/>
      <c r="AF1612" s="31"/>
      <c r="AG1612" s="31"/>
      <c r="AH1612" s="31"/>
      <c r="AI1612" s="31"/>
      <c r="AJ1612" s="31"/>
      <c r="AK1612" s="31"/>
      <c r="AL1612" s="28" t="str">
        <f>VLOOKUP($G1612,'[42]Sheet1 (2)'!$A$1:$B$1048440,2,FALSE)</f>
        <v>Rmt.</v>
      </c>
      <c r="AM1612" s="32"/>
      <c r="AN1612" s="31"/>
      <c r="AO1612" s="33"/>
    </row>
    <row r="1613" spans="1:41" ht="98" x14ac:dyDescent="0.25">
      <c r="A1613" s="20">
        <v>1468</v>
      </c>
      <c r="B1613" s="25" t="s">
        <v>2456</v>
      </c>
      <c r="C1613" s="22">
        <v>42.97</v>
      </c>
      <c r="D1613" s="25" t="s">
        <v>2480</v>
      </c>
      <c r="E1613" s="23" t="s">
        <v>2721</v>
      </c>
      <c r="F1613" s="35" t="s">
        <v>2677</v>
      </c>
      <c r="G1613" s="21" t="s">
        <v>80</v>
      </c>
      <c r="H1613" s="103">
        <v>403</v>
      </c>
      <c r="I1613" s="26">
        <v>233</v>
      </c>
      <c r="J1613" s="31"/>
      <c r="K1613" s="31"/>
      <c r="L1613" s="31"/>
      <c r="M1613" s="31"/>
      <c r="N1613" s="31"/>
      <c r="O1613" s="31"/>
      <c r="P1613" s="31"/>
      <c r="Q1613" s="31"/>
      <c r="R1613" s="31"/>
      <c r="S1613" s="31"/>
      <c r="T1613" s="31"/>
      <c r="U1613" s="31"/>
      <c r="V1613" s="31"/>
      <c r="W1613" s="31"/>
      <c r="X1613" s="31"/>
      <c r="Y1613" s="31"/>
      <c r="Z1613" s="31"/>
      <c r="AA1613" s="31"/>
      <c r="AB1613" s="31"/>
      <c r="AC1613" s="31"/>
      <c r="AD1613" s="31"/>
      <c r="AE1613" s="31"/>
      <c r="AF1613" s="31"/>
      <c r="AG1613" s="31"/>
      <c r="AH1613" s="31"/>
      <c r="AI1613" s="31"/>
      <c r="AJ1613" s="31"/>
      <c r="AK1613" s="31"/>
      <c r="AL1613" s="28" t="str">
        <f>VLOOKUP($G1613,'[42]Sheet1 (2)'!$A$1:$B$1048440,2,FALSE)</f>
        <v>Rmt.</v>
      </c>
      <c r="AM1613" s="32"/>
      <c r="AN1613" s="31"/>
      <c r="AO1613" s="33"/>
    </row>
    <row r="1614" spans="1:41" ht="84" x14ac:dyDescent="0.25">
      <c r="A1614" s="20">
        <v>1469</v>
      </c>
      <c r="B1614" s="25" t="s">
        <v>2456</v>
      </c>
      <c r="C1614" s="127">
        <v>42.98</v>
      </c>
      <c r="D1614" s="25" t="s">
        <v>2480</v>
      </c>
      <c r="E1614" s="24" t="s">
        <v>2722</v>
      </c>
      <c r="F1614" s="23" t="s">
        <v>2679</v>
      </c>
      <c r="G1614" s="21" t="s">
        <v>80</v>
      </c>
      <c r="H1614" s="103">
        <v>460</v>
      </c>
      <c r="I1614" s="26">
        <v>233</v>
      </c>
      <c r="J1614" s="31"/>
      <c r="K1614" s="31"/>
      <c r="L1614" s="31"/>
      <c r="M1614" s="31"/>
      <c r="N1614" s="31"/>
      <c r="O1614" s="31"/>
      <c r="P1614" s="31"/>
      <c r="Q1614" s="31"/>
      <c r="R1614" s="31"/>
      <c r="S1614" s="31"/>
      <c r="T1614" s="31"/>
      <c r="U1614" s="31"/>
      <c r="V1614" s="31"/>
      <c r="W1614" s="31"/>
      <c r="X1614" s="31"/>
      <c r="Y1614" s="31"/>
      <c r="Z1614" s="31"/>
      <c r="AA1614" s="31"/>
      <c r="AB1614" s="31"/>
      <c r="AC1614" s="31"/>
      <c r="AD1614" s="31"/>
      <c r="AE1614" s="31"/>
      <c r="AF1614" s="31"/>
      <c r="AG1614" s="31"/>
      <c r="AH1614" s="31"/>
      <c r="AI1614" s="31"/>
      <c r="AJ1614" s="31"/>
      <c r="AK1614" s="31"/>
      <c r="AL1614" s="28" t="str">
        <f>VLOOKUP($G1614,'[42]Sheet1 (2)'!$A$1:$B$1048440,2,FALSE)</f>
        <v>Rmt.</v>
      </c>
      <c r="AM1614" s="32"/>
      <c r="AN1614" s="31"/>
      <c r="AO1614" s="33"/>
    </row>
    <row r="1615" spans="1:41" ht="84" x14ac:dyDescent="0.25">
      <c r="A1615" s="20">
        <v>1470</v>
      </c>
      <c r="B1615" s="25" t="s">
        <v>2456</v>
      </c>
      <c r="C1615" s="127">
        <v>42.99</v>
      </c>
      <c r="D1615" s="25" t="s">
        <v>2480</v>
      </c>
      <c r="E1615" s="24" t="s">
        <v>2723</v>
      </c>
      <c r="F1615" s="23" t="s">
        <v>2679</v>
      </c>
      <c r="G1615" s="21" t="s">
        <v>80</v>
      </c>
      <c r="H1615" s="103">
        <v>568</v>
      </c>
      <c r="I1615" s="26">
        <v>233</v>
      </c>
      <c r="J1615" s="31"/>
      <c r="K1615" s="31"/>
      <c r="L1615" s="31"/>
      <c r="M1615" s="31"/>
      <c r="N1615" s="31"/>
      <c r="O1615" s="31"/>
      <c r="P1615" s="31"/>
      <c r="Q1615" s="31"/>
      <c r="R1615" s="31"/>
      <c r="S1615" s="31"/>
      <c r="T1615" s="31"/>
      <c r="U1615" s="31"/>
      <c r="V1615" s="31"/>
      <c r="W1615" s="31"/>
      <c r="X1615" s="31"/>
      <c r="Y1615" s="31"/>
      <c r="Z1615" s="31"/>
      <c r="AA1615" s="31"/>
      <c r="AB1615" s="31"/>
      <c r="AC1615" s="31"/>
      <c r="AD1615" s="31"/>
      <c r="AE1615" s="31"/>
      <c r="AF1615" s="31"/>
      <c r="AG1615" s="31"/>
      <c r="AH1615" s="31"/>
      <c r="AI1615" s="31"/>
      <c r="AJ1615" s="31"/>
      <c r="AK1615" s="31"/>
      <c r="AL1615" s="28" t="str">
        <f>VLOOKUP($G1615,'[42]Sheet1 (2)'!$A$1:$B$1048440,2,FALSE)</f>
        <v>Rmt.</v>
      </c>
      <c r="AM1615" s="32"/>
      <c r="AN1615" s="31"/>
      <c r="AO1615" s="33"/>
    </row>
    <row r="1616" spans="1:41" ht="98" x14ac:dyDescent="0.25">
      <c r="A1616" s="20">
        <v>1471</v>
      </c>
      <c r="B1616" s="25" t="s">
        <v>2456</v>
      </c>
      <c r="C1616" s="240">
        <v>42.1</v>
      </c>
      <c r="D1616" s="25" t="s">
        <v>2480</v>
      </c>
      <c r="E1616" s="23" t="s">
        <v>2724</v>
      </c>
      <c r="F1616" s="35" t="s">
        <v>2677</v>
      </c>
      <c r="G1616" s="21" t="s">
        <v>80</v>
      </c>
      <c r="H1616" s="103">
        <v>765</v>
      </c>
      <c r="I1616" s="26">
        <v>233</v>
      </c>
      <c r="J1616" s="31"/>
      <c r="K1616" s="31"/>
      <c r="L1616" s="31"/>
      <c r="M1616" s="31"/>
      <c r="N1616" s="31"/>
      <c r="O1616" s="31"/>
      <c r="P1616" s="31"/>
      <c r="Q1616" s="31"/>
      <c r="R1616" s="31"/>
      <c r="S1616" s="31"/>
      <c r="T1616" s="31"/>
      <c r="U1616" s="31"/>
      <c r="V1616" s="31"/>
      <c r="W1616" s="31"/>
      <c r="X1616" s="31"/>
      <c r="Y1616" s="31"/>
      <c r="Z1616" s="31"/>
      <c r="AA1616" s="31"/>
      <c r="AB1616" s="31"/>
      <c r="AC1616" s="31"/>
      <c r="AD1616" s="31"/>
      <c r="AE1616" s="31"/>
      <c r="AF1616" s="31"/>
      <c r="AG1616" s="31"/>
      <c r="AH1616" s="31"/>
      <c r="AI1616" s="31"/>
      <c r="AJ1616" s="31"/>
      <c r="AK1616" s="31"/>
      <c r="AL1616" s="28" t="str">
        <f>VLOOKUP($G1616,'[42]Sheet1 (2)'!$A$1:$B$1048440,2,FALSE)</f>
        <v>Rmt.</v>
      </c>
      <c r="AM1616" s="32"/>
      <c r="AN1616" s="31"/>
      <c r="AO1616" s="33"/>
    </row>
    <row r="1617" spans="1:41" ht="112" x14ac:dyDescent="0.25">
      <c r="A1617" s="20">
        <v>1472</v>
      </c>
      <c r="B1617" s="25" t="s">
        <v>2456</v>
      </c>
      <c r="C1617" s="22">
        <v>43.01</v>
      </c>
      <c r="D1617" s="25" t="s">
        <v>2480</v>
      </c>
      <c r="E1617" s="23" t="s">
        <v>2725</v>
      </c>
      <c r="F1617" s="21" t="s">
        <v>2482</v>
      </c>
      <c r="G1617" s="21" t="s">
        <v>80</v>
      </c>
      <c r="H1617" s="103">
        <v>370</v>
      </c>
      <c r="I1617" s="26">
        <v>132</v>
      </c>
      <c r="J1617" s="31"/>
      <c r="K1617" s="31"/>
      <c r="L1617" s="31"/>
      <c r="M1617" s="31"/>
      <c r="N1617" s="31"/>
      <c r="O1617" s="31"/>
      <c r="P1617" s="31"/>
      <c r="Q1617" s="31"/>
      <c r="R1617" s="31"/>
      <c r="S1617" s="31"/>
      <c r="T1617" s="31"/>
      <c r="U1617" s="31"/>
      <c r="V1617" s="31"/>
      <c r="W1617" s="31"/>
      <c r="X1617" s="31"/>
      <c r="Y1617" s="31"/>
      <c r="Z1617" s="31"/>
      <c r="AA1617" s="31"/>
      <c r="AB1617" s="31"/>
      <c r="AC1617" s="31"/>
      <c r="AD1617" s="31"/>
      <c r="AE1617" s="31"/>
      <c r="AF1617" s="31"/>
      <c r="AG1617" s="31"/>
      <c r="AH1617" s="31"/>
      <c r="AI1617" s="31"/>
      <c r="AJ1617" s="31"/>
      <c r="AK1617" s="31"/>
      <c r="AL1617" s="28" t="str">
        <f>VLOOKUP($G1617,'[42]Sheet1 (2)'!$A$1:$B$1048440,2,FALSE)</f>
        <v>Rmt.</v>
      </c>
      <c r="AM1617" s="32"/>
      <c r="AN1617" s="31"/>
      <c r="AO1617" s="33"/>
    </row>
    <row r="1618" spans="1:41" ht="112" x14ac:dyDescent="0.25">
      <c r="A1618" s="20">
        <v>1473</v>
      </c>
      <c r="B1618" s="25" t="s">
        <v>2456</v>
      </c>
      <c r="C1618" s="22">
        <v>43.02</v>
      </c>
      <c r="D1618" s="25" t="s">
        <v>2480</v>
      </c>
      <c r="E1618" s="23" t="s">
        <v>2726</v>
      </c>
      <c r="F1618" s="21" t="s">
        <v>2482</v>
      </c>
      <c r="G1618" s="21" t="s">
        <v>80</v>
      </c>
      <c r="H1618" s="103">
        <v>416</v>
      </c>
      <c r="I1618" s="26">
        <v>176</v>
      </c>
      <c r="J1618" s="31"/>
      <c r="K1618" s="31"/>
      <c r="L1618" s="31"/>
      <c r="M1618" s="31"/>
      <c r="N1618" s="31"/>
      <c r="O1618" s="31"/>
      <c r="P1618" s="31"/>
      <c r="Q1618" s="31"/>
      <c r="R1618" s="31"/>
      <c r="S1618" s="31"/>
      <c r="T1618" s="31"/>
      <c r="U1618" s="31"/>
      <c r="V1618" s="31"/>
      <c r="W1618" s="31"/>
      <c r="X1618" s="31"/>
      <c r="Y1618" s="31"/>
      <c r="Z1618" s="31"/>
      <c r="AA1618" s="31"/>
      <c r="AB1618" s="31"/>
      <c r="AC1618" s="31"/>
      <c r="AD1618" s="31"/>
      <c r="AE1618" s="31"/>
      <c r="AF1618" s="31"/>
      <c r="AG1618" s="31"/>
      <c r="AH1618" s="31"/>
      <c r="AI1618" s="31"/>
      <c r="AJ1618" s="31"/>
      <c r="AK1618" s="31"/>
      <c r="AL1618" s="28" t="str">
        <f>VLOOKUP($G1618,'[42]Sheet1 (2)'!$A$1:$B$1048440,2,FALSE)</f>
        <v>Rmt.</v>
      </c>
      <c r="AM1618" s="32"/>
      <c r="AN1618" s="31"/>
      <c r="AO1618" s="33"/>
    </row>
    <row r="1619" spans="1:41" ht="112" x14ac:dyDescent="0.25">
      <c r="A1619" s="20">
        <v>1474</v>
      </c>
      <c r="B1619" s="25" t="s">
        <v>2456</v>
      </c>
      <c r="C1619" s="22">
        <v>43.03</v>
      </c>
      <c r="D1619" s="25" t="s">
        <v>2480</v>
      </c>
      <c r="E1619" s="23" t="s">
        <v>2727</v>
      </c>
      <c r="F1619" s="21" t="s">
        <v>2482</v>
      </c>
      <c r="G1619" s="21" t="s">
        <v>80</v>
      </c>
      <c r="H1619" s="103">
        <v>478</v>
      </c>
      <c r="I1619" s="26">
        <v>133</v>
      </c>
      <c r="J1619" s="31"/>
      <c r="K1619" s="31"/>
      <c r="L1619" s="31"/>
      <c r="M1619" s="31"/>
      <c r="N1619" s="31"/>
      <c r="O1619" s="31"/>
      <c r="P1619" s="31"/>
      <c r="Q1619" s="31"/>
      <c r="R1619" s="31"/>
      <c r="S1619" s="31"/>
      <c r="T1619" s="31"/>
      <c r="U1619" s="31"/>
      <c r="V1619" s="31"/>
      <c r="W1619" s="31"/>
      <c r="X1619" s="31"/>
      <c r="Y1619" s="31"/>
      <c r="Z1619" s="31"/>
      <c r="AA1619" s="31"/>
      <c r="AB1619" s="31"/>
      <c r="AC1619" s="31"/>
      <c r="AD1619" s="31"/>
      <c r="AE1619" s="31"/>
      <c r="AF1619" s="31"/>
      <c r="AG1619" s="31"/>
      <c r="AH1619" s="31"/>
      <c r="AI1619" s="31"/>
      <c r="AJ1619" s="31"/>
      <c r="AK1619" s="31"/>
      <c r="AL1619" s="28" t="str">
        <f>VLOOKUP($G1619,'[42]Sheet1 (2)'!$A$1:$B$1048440,2,FALSE)</f>
        <v>Rmt.</v>
      </c>
      <c r="AM1619" s="32"/>
      <c r="AN1619" s="31"/>
      <c r="AO1619" s="33"/>
    </row>
    <row r="1620" spans="1:41" ht="112" x14ac:dyDescent="0.25">
      <c r="A1620" s="20">
        <v>1475</v>
      </c>
      <c r="B1620" s="25" t="s">
        <v>2456</v>
      </c>
      <c r="C1620" s="22">
        <v>43.04</v>
      </c>
      <c r="D1620" s="25" t="s">
        <v>2480</v>
      </c>
      <c r="E1620" s="23" t="s">
        <v>2728</v>
      </c>
      <c r="F1620" s="21" t="s">
        <v>2482</v>
      </c>
      <c r="G1620" s="21" t="s">
        <v>80</v>
      </c>
      <c r="H1620" s="103">
        <v>575</v>
      </c>
      <c r="I1620" s="26">
        <v>134</v>
      </c>
      <c r="J1620" s="158">
        <f>0.1/20</f>
        <v>5.0000000000000001E-3</v>
      </c>
      <c r="K1620" s="158"/>
      <c r="L1620" s="158"/>
      <c r="M1620" s="158"/>
      <c r="N1620" s="158"/>
      <c r="O1620" s="158"/>
      <c r="P1620" s="158">
        <v>0.01</v>
      </c>
      <c r="Q1620" s="31"/>
      <c r="R1620" s="31"/>
      <c r="S1620" s="31"/>
      <c r="T1620" s="31"/>
      <c r="U1620" s="31"/>
      <c r="V1620" s="31"/>
      <c r="W1620" s="31"/>
      <c r="X1620" s="31"/>
      <c r="Y1620" s="31"/>
      <c r="Z1620" s="31"/>
      <c r="AA1620" s="31"/>
      <c r="AB1620" s="31"/>
      <c r="AC1620" s="31"/>
      <c r="AD1620" s="31"/>
      <c r="AE1620" s="31"/>
      <c r="AF1620" s="31"/>
      <c r="AG1620" s="31"/>
      <c r="AH1620" s="31"/>
      <c r="AI1620" s="31"/>
      <c r="AJ1620" s="31"/>
      <c r="AK1620" s="31"/>
      <c r="AL1620" s="28" t="str">
        <f>VLOOKUP($G1620,'[42]Sheet1 (2)'!$A$1:$B$1048440,2,FALSE)</f>
        <v>Rmt.</v>
      </c>
      <c r="AN1620" s="31"/>
      <c r="AO1620" s="33"/>
    </row>
    <row r="1621" spans="1:41" ht="112" x14ac:dyDescent="0.25">
      <c r="A1621" s="20">
        <v>1476</v>
      </c>
      <c r="B1621" s="25" t="s">
        <v>2456</v>
      </c>
      <c r="C1621" s="22">
        <v>43.05</v>
      </c>
      <c r="D1621" s="25" t="s">
        <v>2480</v>
      </c>
      <c r="E1621" s="23" t="s">
        <v>2729</v>
      </c>
      <c r="F1621" s="21" t="s">
        <v>2482</v>
      </c>
      <c r="G1621" s="21" t="s">
        <v>80</v>
      </c>
      <c r="H1621" s="103">
        <v>638</v>
      </c>
      <c r="I1621" s="26">
        <v>135</v>
      </c>
      <c r="J1621" s="158">
        <f>0.1/20</f>
        <v>5.0000000000000001E-3</v>
      </c>
      <c r="K1621" s="158"/>
      <c r="L1621" s="158"/>
      <c r="M1621" s="158"/>
      <c r="N1621" s="158"/>
      <c r="O1621" s="158"/>
      <c r="P1621" s="158">
        <v>0.01</v>
      </c>
      <c r="Q1621" s="31"/>
      <c r="R1621" s="31"/>
      <c r="S1621" s="31"/>
      <c r="T1621" s="31"/>
      <c r="U1621" s="31"/>
      <c r="V1621" s="31"/>
      <c r="W1621" s="31"/>
      <c r="X1621" s="31"/>
      <c r="Y1621" s="31"/>
      <c r="Z1621" s="31"/>
      <c r="AA1621" s="31"/>
      <c r="AB1621" s="31"/>
      <c r="AC1621" s="31"/>
      <c r="AD1621" s="31"/>
      <c r="AE1621" s="31"/>
      <c r="AF1621" s="31"/>
      <c r="AG1621" s="31"/>
      <c r="AH1621" s="31"/>
      <c r="AI1621" s="31"/>
      <c r="AJ1621" s="31"/>
      <c r="AK1621" s="31"/>
      <c r="AL1621" s="28" t="str">
        <f>VLOOKUP($G1621,'[42]Sheet1 (2)'!$A$1:$B$1048440,2,FALSE)</f>
        <v>Rmt.</v>
      </c>
      <c r="AN1621" s="31"/>
      <c r="AO1621" s="33"/>
    </row>
    <row r="1622" spans="1:41" ht="112" x14ac:dyDescent="0.25">
      <c r="A1622" s="20">
        <v>1477</v>
      </c>
      <c r="B1622" s="25" t="s">
        <v>2456</v>
      </c>
      <c r="C1622" s="22">
        <v>43.06</v>
      </c>
      <c r="D1622" s="25" t="s">
        <v>2480</v>
      </c>
      <c r="E1622" s="23" t="s">
        <v>2730</v>
      </c>
      <c r="F1622" s="21" t="s">
        <v>2482</v>
      </c>
      <c r="G1622" s="21" t="s">
        <v>80</v>
      </c>
      <c r="H1622" s="103">
        <v>806</v>
      </c>
      <c r="I1622" s="26">
        <v>137</v>
      </c>
      <c r="J1622" s="31"/>
      <c r="K1622" s="31"/>
      <c r="L1622" s="31"/>
      <c r="M1622" s="31"/>
      <c r="N1622" s="31"/>
      <c r="O1622" s="31"/>
      <c r="P1622" s="31"/>
      <c r="Q1622" s="31"/>
      <c r="R1622" s="31"/>
      <c r="S1622" s="31"/>
      <c r="T1622" s="31"/>
      <c r="U1622" s="31"/>
      <c r="V1622" s="31"/>
      <c r="W1622" s="31"/>
      <c r="X1622" s="31"/>
      <c r="Y1622" s="31"/>
      <c r="Z1622" s="31"/>
      <c r="AA1622" s="31"/>
      <c r="AB1622" s="31"/>
      <c r="AC1622" s="31"/>
      <c r="AD1622" s="31"/>
      <c r="AE1622" s="31"/>
      <c r="AF1622" s="31"/>
      <c r="AG1622" s="31"/>
      <c r="AH1622" s="31"/>
      <c r="AI1622" s="31"/>
      <c r="AJ1622" s="31"/>
      <c r="AK1622" s="31"/>
      <c r="AL1622" s="28" t="str">
        <f>VLOOKUP($G1622,'[42]Sheet1 (2)'!$A$1:$B$1048440,2,FALSE)</f>
        <v>Rmt.</v>
      </c>
      <c r="AM1622" s="32"/>
      <c r="AN1622" s="31"/>
      <c r="AO1622" s="33"/>
    </row>
    <row r="1623" spans="1:41" ht="112" x14ac:dyDescent="0.25">
      <c r="A1623" s="20">
        <v>1478</v>
      </c>
      <c r="B1623" s="25" t="s">
        <v>2456</v>
      </c>
      <c r="C1623" s="22">
        <v>43.07</v>
      </c>
      <c r="D1623" s="25" t="s">
        <v>2480</v>
      </c>
      <c r="E1623" s="23" t="s">
        <v>2731</v>
      </c>
      <c r="F1623" s="21" t="s">
        <v>2482</v>
      </c>
      <c r="G1623" s="21" t="s">
        <v>80</v>
      </c>
      <c r="H1623" s="26">
        <v>1260</v>
      </c>
      <c r="I1623" s="26">
        <v>141</v>
      </c>
      <c r="J1623" s="31"/>
      <c r="K1623" s="31"/>
      <c r="L1623" s="31"/>
      <c r="M1623" s="31"/>
      <c r="N1623" s="31"/>
      <c r="O1623" s="31"/>
      <c r="P1623" s="31"/>
      <c r="Q1623" s="31"/>
      <c r="R1623" s="31"/>
      <c r="S1623" s="31"/>
      <c r="T1623" s="31"/>
      <c r="U1623" s="31"/>
      <c r="V1623" s="31"/>
      <c r="W1623" s="31"/>
      <c r="X1623" s="31"/>
      <c r="Y1623" s="31"/>
      <c r="Z1623" s="31"/>
      <c r="AA1623" s="31"/>
      <c r="AB1623" s="31"/>
      <c r="AC1623" s="31"/>
      <c r="AD1623" s="31"/>
      <c r="AE1623" s="31"/>
      <c r="AF1623" s="31"/>
      <c r="AG1623" s="31"/>
      <c r="AH1623" s="31"/>
      <c r="AI1623" s="31"/>
      <c r="AJ1623" s="31"/>
      <c r="AK1623" s="31"/>
      <c r="AL1623" s="28" t="str">
        <f>VLOOKUP($G1623,'[42]Sheet1 (2)'!$A$1:$B$1048440,2,FALSE)</f>
        <v>Rmt.</v>
      </c>
      <c r="AM1623" s="32"/>
      <c r="AN1623" s="31"/>
      <c r="AO1623" s="33"/>
    </row>
    <row r="1624" spans="1:41" ht="126" x14ac:dyDescent="0.25">
      <c r="A1624" s="20">
        <v>1479</v>
      </c>
      <c r="B1624" s="25" t="s">
        <v>2456</v>
      </c>
      <c r="C1624" s="22">
        <v>43.08</v>
      </c>
      <c r="D1624" s="25" t="s">
        <v>2480</v>
      </c>
      <c r="E1624" s="23" t="s">
        <v>2732</v>
      </c>
      <c r="F1624" s="21" t="s">
        <v>2482</v>
      </c>
      <c r="G1624" s="21" t="s">
        <v>80</v>
      </c>
      <c r="H1624" s="26">
        <v>1439</v>
      </c>
      <c r="I1624" s="26">
        <v>144</v>
      </c>
      <c r="J1624" s="31"/>
      <c r="K1624" s="31"/>
      <c r="L1624" s="31"/>
      <c r="M1624" s="31"/>
      <c r="N1624" s="31"/>
      <c r="O1624" s="31"/>
      <c r="P1624" s="31"/>
      <c r="Q1624" s="31"/>
      <c r="R1624" s="31"/>
      <c r="S1624" s="31"/>
      <c r="T1624" s="31"/>
      <c r="U1624" s="31"/>
      <c r="V1624" s="31"/>
      <c r="W1624" s="31"/>
      <c r="X1624" s="31"/>
      <c r="Y1624" s="31"/>
      <c r="Z1624" s="31"/>
      <c r="AA1624" s="31"/>
      <c r="AB1624" s="31"/>
      <c r="AC1624" s="31"/>
      <c r="AD1624" s="31"/>
      <c r="AE1624" s="31"/>
      <c r="AF1624" s="31"/>
      <c r="AG1624" s="31"/>
      <c r="AH1624" s="31"/>
      <c r="AI1624" s="31"/>
      <c r="AJ1624" s="31"/>
      <c r="AK1624" s="31"/>
      <c r="AL1624" s="28" t="str">
        <f>VLOOKUP($G1624,'[42]Sheet1 (2)'!$A$1:$B$1048440,2,FALSE)</f>
        <v>Rmt.</v>
      </c>
      <c r="AM1624" s="32"/>
      <c r="AN1624" s="31"/>
      <c r="AO1624" s="33"/>
    </row>
    <row r="1625" spans="1:41" ht="98" x14ac:dyDescent="0.25">
      <c r="A1625" s="20">
        <v>1480</v>
      </c>
      <c r="B1625" s="25" t="s">
        <v>2456</v>
      </c>
      <c r="C1625" s="22">
        <v>43.09</v>
      </c>
      <c r="D1625" s="25" t="s">
        <v>2480</v>
      </c>
      <c r="E1625" s="24" t="s">
        <v>2733</v>
      </c>
      <c r="F1625" s="21" t="s">
        <v>2482</v>
      </c>
      <c r="G1625" s="21" t="s">
        <v>80</v>
      </c>
      <c r="H1625" s="26">
        <v>483</v>
      </c>
      <c r="I1625" s="26">
        <v>186</v>
      </c>
      <c r="J1625" s="31"/>
      <c r="K1625" s="31"/>
      <c r="L1625" s="31"/>
      <c r="M1625" s="31"/>
      <c r="N1625" s="31"/>
      <c r="O1625" s="31"/>
      <c r="P1625" s="31"/>
      <c r="Q1625" s="31"/>
      <c r="R1625" s="31"/>
      <c r="S1625" s="31"/>
      <c r="T1625" s="31"/>
      <c r="U1625" s="31"/>
      <c r="V1625" s="31"/>
      <c r="W1625" s="31"/>
      <c r="X1625" s="31"/>
      <c r="Y1625" s="31"/>
      <c r="Z1625" s="31"/>
      <c r="AA1625" s="31"/>
      <c r="AB1625" s="31"/>
      <c r="AC1625" s="31"/>
      <c r="AD1625" s="31"/>
      <c r="AE1625" s="31"/>
      <c r="AF1625" s="31"/>
      <c r="AG1625" s="31"/>
      <c r="AH1625" s="31"/>
      <c r="AI1625" s="31"/>
      <c r="AJ1625" s="31"/>
      <c r="AK1625" s="31"/>
      <c r="AL1625" s="28" t="str">
        <f>VLOOKUP($G1625,'[42]Sheet1 (2)'!$A$1:$B$1048440,2,FALSE)</f>
        <v>Rmt.</v>
      </c>
      <c r="AM1625" s="32"/>
      <c r="AN1625" s="31"/>
      <c r="AO1625" s="33"/>
    </row>
    <row r="1626" spans="1:41" ht="98" x14ac:dyDescent="0.25">
      <c r="A1626" s="20">
        <v>1481</v>
      </c>
      <c r="B1626" s="25" t="s">
        <v>2456</v>
      </c>
      <c r="C1626" s="22">
        <v>43.1</v>
      </c>
      <c r="D1626" s="25" t="s">
        <v>2480</v>
      </c>
      <c r="E1626" s="24" t="s">
        <v>2734</v>
      </c>
      <c r="F1626" s="21" t="s">
        <v>2482</v>
      </c>
      <c r="G1626" s="21" t="s">
        <v>80</v>
      </c>
      <c r="H1626" s="26">
        <v>562</v>
      </c>
      <c r="I1626" s="26">
        <v>230</v>
      </c>
      <c r="J1626" s="31"/>
      <c r="K1626" s="31"/>
      <c r="L1626" s="31"/>
      <c r="M1626" s="31"/>
      <c r="N1626" s="31"/>
      <c r="O1626" s="31"/>
      <c r="P1626" s="31"/>
      <c r="Q1626" s="31"/>
      <c r="R1626" s="31"/>
      <c r="S1626" s="31"/>
      <c r="T1626" s="31"/>
      <c r="U1626" s="31"/>
      <c r="V1626" s="31"/>
      <c r="W1626" s="31"/>
      <c r="X1626" s="31"/>
      <c r="Y1626" s="31"/>
      <c r="Z1626" s="31"/>
      <c r="AA1626" s="31"/>
      <c r="AB1626" s="31"/>
      <c r="AC1626" s="31"/>
      <c r="AD1626" s="31"/>
      <c r="AE1626" s="31"/>
      <c r="AF1626" s="31"/>
      <c r="AG1626" s="31"/>
      <c r="AH1626" s="31"/>
      <c r="AI1626" s="31"/>
      <c r="AJ1626" s="31"/>
      <c r="AK1626" s="31"/>
      <c r="AL1626" s="28" t="str">
        <f>VLOOKUP($G1626,'[42]Sheet1 (2)'!$A$1:$B$1048440,2,FALSE)</f>
        <v>Rmt.</v>
      </c>
      <c r="AM1626" s="32"/>
      <c r="AN1626" s="31"/>
      <c r="AO1626" s="33"/>
    </row>
    <row r="1627" spans="1:41" ht="98" x14ac:dyDescent="0.25">
      <c r="A1627" s="20">
        <v>1482</v>
      </c>
      <c r="B1627" s="25" t="s">
        <v>2456</v>
      </c>
      <c r="C1627" s="22">
        <v>43.11</v>
      </c>
      <c r="D1627" s="25" t="s">
        <v>2480</v>
      </c>
      <c r="E1627" s="24" t="s">
        <v>2735</v>
      </c>
      <c r="F1627" s="21" t="s">
        <v>2482</v>
      </c>
      <c r="G1627" s="21" t="s">
        <v>80</v>
      </c>
      <c r="H1627" s="26">
        <v>645</v>
      </c>
      <c r="I1627" s="26">
        <v>231</v>
      </c>
      <c r="J1627" s="31"/>
      <c r="K1627" s="31"/>
      <c r="L1627" s="31"/>
      <c r="M1627" s="31"/>
      <c r="N1627" s="31"/>
      <c r="O1627" s="31"/>
      <c r="P1627" s="31"/>
      <c r="Q1627" s="31"/>
      <c r="R1627" s="31"/>
      <c r="S1627" s="31"/>
      <c r="T1627" s="31"/>
      <c r="U1627" s="31"/>
      <c r="V1627" s="31"/>
      <c r="W1627" s="31"/>
      <c r="X1627" s="31"/>
      <c r="Y1627" s="31"/>
      <c r="Z1627" s="31"/>
      <c r="AA1627" s="31"/>
      <c r="AB1627" s="31"/>
      <c r="AC1627" s="31"/>
      <c r="AD1627" s="31"/>
      <c r="AE1627" s="31"/>
      <c r="AF1627" s="31"/>
      <c r="AG1627" s="31"/>
      <c r="AH1627" s="31"/>
      <c r="AI1627" s="31"/>
      <c r="AJ1627" s="31"/>
      <c r="AK1627" s="31"/>
      <c r="AL1627" s="28" t="str">
        <f>VLOOKUP($G1627,'[42]Sheet1 (2)'!$A$1:$B$1048440,2,FALSE)</f>
        <v>Rmt.</v>
      </c>
      <c r="AM1627" s="32"/>
      <c r="AN1627" s="31"/>
      <c r="AO1627" s="33"/>
    </row>
    <row r="1628" spans="1:41" ht="98" x14ac:dyDescent="0.25">
      <c r="A1628" s="20">
        <v>1483</v>
      </c>
      <c r="B1628" s="25" t="s">
        <v>2456</v>
      </c>
      <c r="C1628" s="22">
        <v>43.12</v>
      </c>
      <c r="D1628" s="25" t="s">
        <v>2480</v>
      </c>
      <c r="E1628" s="24" t="s">
        <v>2736</v>
      </c>
      <c r="F1628" s="21" t="s">
        <v>2482</v>
      </c>
      <c r="G1628" s="21" t="s">
        <v>80</v>
      </c>
      <c r="H1628" s="26">
        <v>683</v>
      </c>
      <c r="I1628" s="26">
        <v>231</v>
      </c>
      <c r="J1628" s="31"/>
      <c r="K1628" s="31"/>
      <c r="L1628" s="31"/>
      <c r="M1628" s="31"/>
      <c r="N1628" s="31"/>
      <c r="O1628" s="31"/>
      <c r="P1628" s="31"/>
      <c r="Q1628" s="31"/>
      <c r="R1628" s="31"/>
      <c r="S1628" s="31"/>
      <c r="T1628" s="31"/>
      <c r="U1628" s="31"/>
      <c r="V1628" s="31"/>
      <c r="W1628" s="31"/>
      <c r="X1628" s="31"/>
      <c r="Y1628" s="31"/>
      <c r="Z1628" s="31"/>
      <c r="AA1628" s="31"/>
      <c r="AB1628" s="31"/>
      <c r="AC1628" s="31"/>
      <c r="AD1628" s="31"/>
      <c r="AE1628" s="31"/>
      <c r="AF1628" s="31"/>
      <c r="AG1628" s="31"/>
      <c r="AH1628" s="31"/>
      <c r="AI1628" s="31"/>
      <c r="AJ1628" s="31"/>
      <c r="AK1628" s="31"/>
      <c r="AL1628" s="28" t="str">
        <f>VLOOKUP($G1628,'[42]Sheet1 (2)'!$A$1:$B$1048440,2,FALSE)</f>
        <v>Rmt.</v>
      </c>
      <c r="AM1628" s="32"/>
      <c r="AN1628" s="31"/>
      <c r="AO1628" s="33"/>
    </row>
    <row r="1629" spans="1:41" ht="98" x14ac:dyDescent="0.25">
      <c r="A1629" s="20">
        <v>1484</v>
      </c>
      <c r="B1629" s="25" t="s">
        <v>2456</v>
      </c>
      <c r="C1629" s="22">
        <v>43.13</v>
      </c>
      <c r="D1629" s="25" t="s">
        <v>2480</v>
      </c>
      <c r="E1629" s="24" t="s">
        <v>2737</v>
      </c>
      <c r="F1629" s="21" t="s">
        <v>2482</v>
      </c>
      <c r="G1629" s="21" t="s">
        <v>80</v>
      </c>
      <c r="H1629" s="26">
        <v>760</v>
      </c>
      <c r="I1629" s="26">
        <v>240</v>
      </c>
      <c r="J1629" s="31"/>
      <c r="K1629" s="31"/>
      <c r="L1629" s="31"/>
      <c r="M1629" s="31"/>
      <c r="N1629" s="31"/>
      <c r="O1629" s="31"/>
      <c r="P1629" s="31"/>
      <c r="Q1629" s="31"/>
      <c r="R1629" s="31"/>
      <c r="S1629" s="31"/>
      <c r="T1629" s="31"/>
      <c r="U1629" s="31"/>
      <c r="V1629" s="31"/>
      <c r="W1629" s="31"/>
      <c r="X1629" s="31"/>
      <c r="Y1629" s="31"/>
      <c r="Z1629" s="31"/>
      <c r="AA1629" s="31"/>
      <c r="AB1629" s="31"/>
      <c r="AC1629" s="31"/>
      <c r="AD1629" s="31"/>
      <c r="AE1629" s="31"/>
      <c r="AF1629" s="31"/>
      <c r="AG1629" s="31"/>
      <c r="AH1629" s="31"/>
      <c r="AI1629" s="31"/>
      <c r="AJ1629" s="31"/>
      <c r="AK1629" s="31"/>
      <c r="AL1629" s="28" t="str">
        <f>VLOOKUP($G1629,'[42]Sheet1 (2)'!$A$1:$B$1048440,2,FALSE)</f>
        <v>Rmt.</v>
      </c>
      <c r="AM1629" s="32"/>
      <c r="AN1629" s="31"/>
      <c r="AO1629" s="33"/>
    </row>
    <row r="1630" spans="1:41" ht="98" x14ac:dyDescent="0.25">
      <c r="A1630" s="20">
        <v>1485</v>
      </c>
      <c r="B1630" s="25" t="s">
        <v>2456</v>
      </c>
      <c r="C1630" s="22">
        <v>43.14</v>
      </c>
      <c r="D1630" s="25" t="s">
        <v>2480</v>
      </c>
      <c r="E1630" s="24" t="s">
        <v>2738</v>
      </c>
      <c r="F1630" s="21" t="s">
        <v>2482</v>
      </c>
      <c r="G1630" s="21" t="s">
        <v>80</v>
      </c>
      <c r="H1630" s="26">
        <v>948</v>
      </c>
      <c r="I1630" s="26">
        <v>250</v>
      </c>
      <c r="J1630" s="31"/>
      <c r="K1630" s="31"/>
      <c r="L1630" s="31"/>
      <c r="M1630" s="31"/>
      <c r="N1630" s="31"/>
      <c r="O1630" s="31"/>
      <c r="P1630" s="31"/>
      <c r="Q1630" s="31"/>
      <c r="R1630" s="31"/>
      <c r="S1630" s="31"/>
      <c r="T1630" s="31"/>
      <c r="U1630" s="31"/>
      <c r="V1630" s="31"/>
      <c r="W1630" s="31"/>
      <c r="X1630" s="31"/>
      <c r="Y1630" s="31"/>
      <c r="Z1630" s="31"/>
      <c r="AA1630" s="31"/>
      <c r="AB1630" s="31"/>
      <c r="AC1630" s="31"/>
      <c r="AD1630" s="31"/>
      <c r="AE1630" s="31"/>
      <c r="AF1630" s="31"/>
      <c r="AG1630" s="31"/>
      <c r="AH1630" s="31"/>
      <c r="AI1630" s="31"/>
      <c r="AJ1630" s="31"/>
      <c r="AK1630" s="31"/>
      <c r="AL1630" s="28" t="str">
        <f>VLOOKUP($G1630,'[42]Sheet1 (2)'!$A$1:$B$1048440,2,FALSE)</f>
        <v>Rmt.</v>
      </c>
      <c r="AM1630" s="32"/>
      <c r="AN1630" s="31"/>
      <c r="AO1630" s="33"/>
    </row>
    <row r="1631" spans="1:41" ht="98" x14ac:dyDescent="0.25">
      <c r="A1631" s="20">
        <v>1486</v>
      </c>
      <c r="B1631" s="25" t="s">
        <v>2456</v>
      </c>
      <c r="C1631" s="22">
        <v>43.15</v>
      </c>
      <c r="D1631" s="25" t="s">
        <v>2480</v>
      </c>
      <c r="E1631" s="24" t="s">
        <v>2739</v>
      </c>
      <c r="F1631" s="21" t="s">
        <v>2482</v>
      </c>
      <c r="G1631" s="21" t="s">
        <v>80</v>
      </c>
      <c r="H1631" s="26">
        <v>1446</v>
      </c>
      <c r="I1631" s="26">
        <v>253</v>
      </c>
      <c r="J1631" s="31"/>
      <c r="K1631" s="31"/>
      <c r="L1631" s="31"/>
      <c r="M1631" s="31"/>
      <c r="N1631" s="31"/>
      <c r="O1631" s="31"/>
      <c r="P1631" s="31"/>
      <c r="Q1631" s="31"/>
      <c r="R1631" s="31"/>
      <c r="S1631" s="31"/>
      <c r="T1631" s="31"/>
      <c r="U1631" s="31"/>
      <c r="V1631" s="31"/>
      <c r="W1631" s="31"/>
      <c r="X1631" s="31"/>
      <c r="Y1631" s="31"/>
      <c r="Z1631" s="31"/>
      <c r="AA1631" s="31"/>
      <c r="AB1631" s="31"/>
      <c r="AC1631" s="31"/>
      <c r="AD1631" s="31"/>
      <c r="AE1631" s="31"/>
      <c r="AF1631" s="31"/>
      <c r="AG1631" s="31"/>
      <c r="AH1631" s="31"/>
      <c r="AI1631" s="31"/>
      <c r="AJ1631" s="31"/>
      <c r="AK1631" s="31"/>
      <c r="AL1631" s="28" t="str">
        <f>VLOOKUP($G1631,'[42]Sheet1 (2)'!$A$1:$B$1048440,2,FALSE)</f>
        <v>Rmt.</v>
      </c>
      <c r="AM1631" s="32"/>
      <c r="AN1631" s="31"/>
      <c r="AO1631" s="33"/>
    </row>
    <row r="1632" spans="1:41" ht="98" x14ac:dyDescent="0.25">
      <c r="A1632" s="20">
        <v>1487</v>
      </c>
      <c r="B1632" s="25" t="s">
        <v>2456</v>
      </c>
      <c r="C1632" s="22">
        <v>43.16</v>
      </c>
      <c r="D1632" s="25" t="s">
        <v>2480</v>
      </c>
      <c r="E1632" s="24" t="s">
        <v>2740</v>
      </c>
      <c r="F1632" s="21" t="s">
        <v>2482</v>
      </c>
      <c r="G1632" s="21" t="s">
        <v>80</v>
      </c>
      <c r="H1632" s="26">
        <v>1846</v>
      </c>
      <c r="I1632" s="26">
        <v>278</v>
      </c>
      <c r="J1632" s="31"/>
      <c r="K1632" s="31"/>
      <c r="L1632" s="31"/>
      <c r="M1632" s="31"/>
      <c r="N1632" s="31"/>
      <c r="O1632" s="31"/>
      <c r="P1632" s="31"/>
      <c r="Q1632" s="31"/>
      <c r="R1632" s="31"/>
      <c r="S1632" s="31"/>
      <c r="T1632" s="31"/>
      <c r="U1632" s="31"/>
      <c r="V1632" s="31"/>
      <c r="W1632" s="31"/>
      <c r="X1632" s="31"/>
      <c r="Y1632" s="31"/>
      <c r="Z1632" s="31"/>
      <c r="AA1632" s="31"/>
      <c r="AB1632" s="31"/>
      <c r="AC1632" s="31"/>
      <c r="AD1632" s="31"/>
      <c r="AE1632" s="31"/>
      <c r="AF1632" s="31"/>
      <c r="AG1632" s="31"/>
      <c r="AH1632" s="31"/>
      <c r="AI1632" s="31"/>
      <c r="AJ1632" s="31"/>
      <c r="AK1632" s="31"/>
      <c r="AL1632" s="28" t="str">
        <f>VLOOKUP($G1632,'[42]Sheet1 (2)'!$A$1:$B$1048440,2,FALSE)</f>
        <v>Rmt.</v>
      </c>
      <c r="AM1632" s="32"/>
      <c r="AN1632" s="31"/>
      <c r="AO1632" s="33"/>
    </row>
    <row r="1633" spans="1:41" ht="84" x14ac:dyDescent="0.25">
      <c r="A1633" s="20">
        <v>1488</v>
      </c>
      <c r="B1633" s="25" t="s">
        <v>2456</v>
      </c>
      <c r="C1633" s="22">
        <v>43.17</v>
      </c>
      <c r="D1633" s="25" t="s">
        <v>2539</v>
      </c>
      <c r="E1633" s="23" t="s">
        <v>2741</v>
      </c>
      <c r="F1633" s="39" t="s">
        <v>2742</v>
      </c>
      <c r="G1633" s="25" t="s">
        <v>45</v>
      </c>
      <c r="H1633" s="26">
        <v>528</v>
      </c>
      <c r="I1633" s="26">
        <v>313</v>
      </c>
      <c r="J1633" s="31"/>
      <c r="K1633" s="31"/>
      <c r="L1633" s="31"/>
      <c r="M1633" s="31"/>
      <c r="N1633" s="31"/>
      <c r="O1633" s="31"/>
      <c r="P1633" s="31"/>
      <c r="Q1633" s="31"/>
      <c r="R1633" s="31"/>
      <c r="S1633" s="31"/>
      <c r="T1633" s="31"/>
      <c r="U1633" s="31"/>
      <c r="V1633" s="31"/>
      <c r="W1633" s="31"/>
      <c r="X1633" s="31"/>
      <c r="Y1633" s="31"/>
      <c r="Z1633" s="31"/>
      <c r="AA1633" s="31"/>
      <c r="AB1633" s="31"/>
      <c r="AC1633" s="31"/>
      <c r="AD1633" s="31"/>
      <c r="AE1633" s="31"/>
      <c r="AF1633" s="31"/>
      <c r="AG1633" s="31"/>
      <c r="AH1633" s="31"/>
      <c r="AI1633" s="31"/>
      <c r="AJ1633" s="31"/>
      <c r="AK1633" s="31"/>
      <c r="AL1633" s="28" t="str">
        <f>VLOOKUP($G1633,'[42]Sheet1 (2)'!$A$1:$B$1048440,2,FALSE)</f>
        <v>No.</v>
      </c>
      <c r="AM1633" s="32" t="s">
        <v>2743</v>
      </c>
      <c r="AN1633" s="31"/>
      <c r="AO1633" s="33"/>
    </row>
    <row r="1634" spans="1:41" ht="84" x14ac:dyDescent="0.25">
      <c r="A1634" s="20">
        <v>1489</v>
      </c>
      <c r="B1634" s="25" t="s">
        <v>2456</v>
      </c>
      <c r="C1634" s="22">
        <v>43.18</v>
      </c>
      <c r="D1634" s="25" t="s">
        <v>2744</v>
      </c>
      <c r="E1634" s="23" t="s">
        <v>2745</v>
      </c>
      <c r="F1634" s="39" t="s">
        <v>2742</v>
      </c>
      <c r="G1634" s="25" t="s">
        <v>45</v>
      </c>
      <c r="H1634" s="26">
        <v>571</v>
      </c>
      <c r="I1634" s="26">
        <v>313</v>
      </c>
      <c r="J1634" s="31"/>
      <c r="K1634" s="31"/>
      <c r="L1634" s="31"/>
      <c r="M1634" s="31"/>
      <c r="N1634" s="31"/>
      <c r="O1634" s="31"/>
      <c r="P1634" s="31"/>
      <c r="Q1634" s="31"/>
      <c r="R1634" s="31"/>
      <c r="S1634" s="31"/>
      <c r="T1634" s="31"/>
      <c r="U1634" s="31"/>
      <c r="V1634" s="31"/>
      <c r="W1634" s="31"/>
      <c r="X1634" s="31"/>
      <c r="Y1634" s="31"/>
      <c r="Z1634" s="31"/>
      <c r="AA1634" s="31"/>
      <c r="AB1634" s="31"/>
      <c r="AC1634" s="31"/>
      <c r="AD1634" s="31"/>
      <c r="AE1634" s="31"/>
      <c r="AF1634" s="31"/>
      <c r="AG1634" s="31"/>
      <c r="AH1634" s="31"/>
      <c r="AI1634" s="31"/>
      <c r="AJ1634" s="31"/>
      <c r="AK1634" s="31"/>
      <c r="AL1634" s="28" t="str">
        <f>VLOOKUP($G1634,'[42]Sheet1 (2)'!$A$1:$B$1048440,2,FALSE)</f>
        <v>No.</v>
      </c>
      <c r="AM1634" s="32" t="s">
        <v>2746</v>
      </c>
      <c r="AN1634" s="31"/>
      <c r="AO1634" s="33"/>
    </row>
    <row r="1635" spans="1:41" ht="154" x14ac:dyDescent="0.25">
      <c r="A1635" s="20">
        <v>1490</v>
      </c>
      <c r="B1635" s="25" t="s">
        <v>2456</v>
      </c>
      <c r="C1635" s="22">
        <v>43.19</v>
      </c>
      <c r="D1635" s="25" t="s">
        <v>2747</v>
      </c>
      <c r="E1635" s="24" t="s">
        <v>2748</v>
      </c>
      <c r="F1635" s="39" t="s">
        <v>2742</v>
      </c>
      <c r="G1635" s="25" t="s">
        <v>45</v>
      </c>
      <c r="H1635" s="26">
        <v>11596</v>
      </c>
      <c r="I1635" s="121">
        <v>2120</v>
      </c>
      <c r="J1635" s="31">
        <f>0.25/20</f>
        <v>1.2500000000000001E-2</v>
      </c>
      <c r="K1635" s="31"/>
      <c r="L1635" s="31"/>
      <c r="M1635" s="31"/>
      <c r="N1635" s="31"/>
      <c r="O1635" s="31"/>
      <c r="P1635" s="158">
        <v>3.5000000000000003E-2</v>
      </c>
      <c r="Q1635" s="31"/>
      <c r="R1635" s="31"/>
      <c r="S1635" s="31"/>
      <c r="T1635" s="31"/>
      <c r="U1635" s="31"/>
      <c r="V1635" s="31"/>
      <c r="W1635" s="31"/>
      <c r="X1635" s="31"/>
      <c r="Y1635" s="31"/>
      <c r="Z1635" s="31"/>
      <c r="AA1635" s="31"/>
      <c r="AB1635" s="31"/>
      <c r="AC1635" s="31"/>
      <c r="AD1635" s="31"/>
      <c r="AE1635" s="31"/>
      <c r="AF1635" s="31"/>
      <c r="AG1635" s="31"/>
      <c r="AH1635" s="31"/>
      <c r="AI1635" s="31"/>
      <c r="AJ1635" s="31"/>
      <c r="AK1635" s="31"/>
      <c r="AL1635" s="28" t="str">
        <f>VLOOKUP($G1635,'[42]Sheet1 (2)'!$A$1:$B$1048440,2,FALSE)</f>
        <v>No.</v>
      </c>
      <c r="AM1635" s="32" t="s">
        <v>2749</v>
      </c>
      <c r="AN1635" s="31"/>
      <c r="AO1635" s="33"/>
    </row>
    <row r="1636" spans="1:41" ht="126" x14ac:dyDescent="0.25">
      <c r="A1636" s="20">
        <v>1491</v>
      </c>
      <c r="B1636" s="25" t="s">
        <v>2456</v>
      </c>
      <c r="C1636" s="22">
        <v>43.2</v>
      </c>
      <c r="D1636" s="25" t="s">
        <v>2747</v>
      </c>
      <c r="E1636" s="23" t="s">
        <v>2750</v>
      </c>
      <c r="F1636" s="39" t="s">
        <v>2742</v>
      </c>
      <c r="G1636" s="25" t="s">
        <v>45</v>
      </c>
      <c r="H1636" s="26">
        <v>10768</v>
      </c>
      <c r="I1636" s="121">
        <v>2120</v>
      </c>
      <c r="J1636" s="31">
        <f>0.25/20</f>
        <v>1.2500000000000001E-2</v>
      </c>
      <c r="K1636" s="31"/>
      <c r="L1636" s="31"/>
      <c r="M1636" s="31"/>
      <c r="N1636" s="31"/>
      <c r="O1636" s="31"/>
      <c r="P1636" s="158">
        <v>3.5000000000000003E-2</v>
      </c>
      <c r="Q1636" s="31"/>
      <c r="R1636" s="31"/>
      <c r="S1636" s="31"/>
      <c r="T1636" s="31"/>
      <c r="U1636" s="31"/>
      <c r="V1636" s="31"/>
      <c r="W1636" s="31"/>
      <c r="X1636" s="31"/>
      <c r="Y1636" s="31"/>
      <c r="Z1636" s="31"/>
      <c r="AA1636" s="31"/>
      <c r="AB1636" s="31"/>
      <c r="AC1636" s="31"/>
      <c r="AD1636" s="31"/>
      <c r="AE1636" s="31"/>
      <c r="AF1636" s="31"/>
      <c r="AG1636" s="31"/>
      <c r="AH1636" s="31"/>
      <c r="AI1636" s="31"/>
      <c r="AJ1636" s="31"/>
      <c r="AK1636" s="31"/>
      <c r="AL1636" s="28" t="str">
        <f>VLOOKUP($G1636,'[42]Sheet1 (2)'!$A$1:$B$1048440,2,FALSE)</f>
        <v>No.</v>
      </c>
      <c r="AM1636" s="32" t="s">
        <v>2749</v>
      </c>
      <c r="AN1636" s="31"/>
      <c r="AO1636" s="33"/>
    </row>
    <row r="1637" spans="1:41" ht="154" x14ac:dyDescent="0.25">
      <c r="A1637" s="20">
        <v>1492</v>
      </c>
      <c r="B1637" s="25" t="s">
        <v>2456</v>
      </c>
      <c r="C1637" s="22">
        <v>43.21</v>
      </c>
      <c r="D1637" s="25" t="s">
        <v>2751</v>
      </c>
      <c r="E1637" s="24" t="s">
        <v>2752</v>
      </c>
      <c r="F1637" s="39" t="s">
        <v>2742</v>
      </c>
      <c r="G1637" s="25" t="s">
        <v>45</v>
      </c>
      <c r="H1637" s="26">
        <v>11577</v>
      </c>
      <c r="I1637" s="121">
        <v>2120</v>
      </c>
      <c r="J1637" s="31">
        <f>0.25/20</f>
        <v>1.2500000000000001E-2</v>
      </c>
      <c r="K1637" s="31"/>
      <c r="L1637" s="31"/>
      <c r="M1637" s="31"/>
      <c r="N1637" s="31"/>
      <c r="O1637" s="31"/>
      <c r="P1637" s="158">
        <v>3.5000000000000003E-2</v>
      </c>
      <c r="Q1637" s="31"/>
      <c r="R1637" s="31"/>
      <c r="S1637" s="31"/>
      <c r="T1637" s="31"/>
      <c r="U1637" s="31"/>
      <c r="V1637" s="31"/>
      <c r="W1637" s="31"/>
      <c r="X1637" s="31"/>
      <c r="Y1637" s="31"/>
      <c r="Z1637" s="31"/>
      <c r="AA1637" s="31"/>
      <c r="AB1637" s="31"/>
      <c r="AC1637" s="31"/>
      <c r="AD1637" s="31"/>
      <c r="AE1637" s="31"/>
      <c r="AF1637" s="31"/>
      <c r="AG1637" s="31"/>
      <c r="AH1637" s="31"/>
      <c r="AI1637" s="31"/>
      <c r="AJ1637" s="31"/>
      <c r="AK1637" s="31"/>
      <c r="AL1637" s="28" t="str">
        <f>VLOOKUP($G1637,'[42]Sheet1 (2)'!$A$1:$B$1048440,2,FALSE)</f>
        <v>No.</v>
      </c>
      <c r="AM1637" s="32" t="s">
        <v>2749</v>
      </c>
      <c r="AN1637" s="31"/>
      <c r="AO1637" s="33"/>
    </row>
    <row r="1638" spans="1:41" ht="126" x14ac:dyDescent="0.25">
      <c r="A1638" s="20">
        <v>1493</v>
      </c>
      <c r="B1638" s="25" t="s">
        <v>2456</v>
      </c>
      <c r="C1638" s="22">
        <v>43.22</v>
      </c>
      <c r="D1638" s="25" t="s">
        <v>2539</v>
      </c>
      <c r="E1638" s="23" t="s">
        <v>2753</v>
      </c>
      <c r="F1638" s="39" t="s">
        <v>2742</v>
      </c>
      <c r="G1638" s="25" t="s">
        <v>45</v>
      </c>
      <c r="H1638" s="26">
        <v>10749</v>
      </c>
      <c r="I1638" s="121">
        <v>2120</v>
      </c>
      <c r="J1638" s="31">
        <f>0.25/20</f>
        <v>1.2500000000000001E-2</v>
      </c>
      <c r="K1638" s="31"/>
      <c r="L1638" s="31"/>
      <c r="M1638" s="31"/>
      <c r="N1638" s="31"/>
      <c r="O1638" s="31"/>
      <c r="P1638" s="158">
        <v>3.5000000000000003E-2</v>
      </c>
      <c r="Q1638" s="31"/>
      <c r="R1638" s="31"/>
      <c r="S1638" s="31"/>
      <c r="T1638" s="31"/>
      <c r="U1638" s="31"/>
      <c r="V1638" s="31"/>
      <c r="W1638" s="31"/>
      <c r="X1638" s="31"/>
      <c r="Y1638" s="31"/>
      <c r="Z1638" s="31"/>
      <c r="AA1638" s="31"/>
      <c r="AB1638" s="31"/>
      <c r="AC1638" s="31"/>
      <c r="AD1638" s="31"/>
      <c r="AE1638" s="31"/>
      <c r="AF1638" s="31"/>
      <c r="AG1638" s="31"/>
      <c r="AH1638" s="31"/>
      <c r="AI1638" s="31"/>
      <c r="AJ1638" s="31"/>
      <c r="AK1638" s="31"/>
      <c r="AL1638" s="28" t="str">
        <f>VLOOKUP($G1638,'[42]Sheet1 (2)'!$A$1:$B$1048440,2,FALSE)</f>
        <v>No.</v>
      </c>
      <c r="AM1638" s="32" t="s">
        <v>2749</v>
      </c>
      <c r="AN1638" s="31"/>
      <c r="AO1638" s="33"/>
    </row>
    <row r="1639" spans="1:41" ht="126" x14ac:dyDescent="0.25">
      <c r="A1639" s="20">
        <v>1494</v>
      </c>
      <c r="B1639" s="25" t="s">
        <v>2456</v>
      </c>
      <c r="C1639" s="22">
        <v>43.23</v>
      </c>
      <c r="D1639" s="25" t="s">
        <v>2754</v>
      </c>
      <c r="E1639" s="24" t="s">
        <v>2755</v>
      </c>
      <c r="F1639" s="39" t="s">
        <v>2742</v>
      </c>
      <c r="G1639" s="25" t="s">
        <v>45</v>
      </c>
      <c r="H1639" s="26">
        <v>6498</v>
      </c>
      <c r="I1639" s="121">
        <v>2120</v>
      </c>
      <c r="J1639" s="31">
        <f>0.25/20</f>
        <v>1.2500000000000001E-2</v>
      </c>
      <c r="K1639" s="31"/>
      <c r="L1639" s="31"/>
      <c r="M1639" s="31"/>
      <c r="N1639" s="31"/>
      <c r="O1639" s="31"/>
      <c r="P1639" s="158">
        <v>3.5000000000000003E-2</v>
      </c>
      <c r="Q1639" s="31"/>
      <c r="R1639" s="31"/>
      <c r="S1639" s="31"/>
      <c r="T1639" s="31"/>
      <c r="U1639" s="31"/>
      <c r="V1639" s="31"/>
      <c r="W1639" s="31"/>
      <c r="X1639" s="31"/>
      <c r="Y1639" s="31"/>
      <c r="Z1639" s="31"/>
      <c r="AA1639" s="31"/>
      <c r="AB1639" s="31"/>
      <c r="AC1639" s="31"/>
      <c r="AD1639" s="31"/>
      <c r="AE1639" s="31"/>
      <c r="AF1639" s="31"/>
      <c r="AG1639" s="31"/>
      <c r="AH1639" s="31"/>
      <c r="AI1639" s="31"/>
      <c r="AJ1639" s="31"/>
      <c r="AK1639" s="31"/>
      <c r="AL1639" s="28" t="str">
        <f>VLOOKUP($G1639,'[42]Sheet1 (2)'!$A$1:$B$1048440,2,FALSE)</f>
        <v>No.</v>
      </c>
      <c r="AM1639" s="32" t="s">
        <v>2756</v>
      </c>
      <c r="AN1639" s="31"/>
      <c r="AO1639" s="33"/>
    </row>
    <row r="1640" spans="1:41" ht="126" x14ac:dyDescent="0.25">
      <c r="A1640" s="20">
        <v>1495</v>
      </c>
      <c r="B1640" s="25" t="s">
        <v>2456</v>
      </c>
      <c r="C1640" s="22">
        <v>43.24</v>
      </c>
      <c r="D1640" s="25" t="s">
        <v>2751</v>
      </c>
      <c r="E1640" s="23" t="s">
        <v>2757</v>
      </c>
      <c r="F1640" s="39" t="s">
        <v>2742</v>
      </c>
      <c r="G1640" s="25" t="s">
        <v>45</v>
      </c>
      <c r="H1640" s="26">
        <v>1271</v>
      </c>
      <c r="I1640" s="26">
        <v>313</v>
      </c>
      <c r="J1640" s="31"/>
      <c r="K1640" s="31"/>
      <c r="L1640" s="31"/>
      <c r="M1640" s="31"/>
      <c r="N1640" s="31"/>
      <c r="O1640" s="31"/>
      <c r="P1640" s="31"/>
      <c r="Q1640" s="31"/>
      <c r="R1640" s="31"/>
      <c r="S1640" s="31"/>
      <c r="T1640" s="31"/>
      <c r="U1640" s="31"/>
      <c r="V1640" s="31"/>
      <c r="W1640" s="31"/>
      <c r="X1640" s="31"/>
      <c r="Y1640" s="31"/>
      <c r="Z1640" s="31"/>
      <c r="AA1640" s="31"/>
      <c r="AB1640" s="31"/>
      <c r="AC1640" s="31"/>
      <c r="AD1640" s="31"/>
      <c r="AE1640" s="31"/>
      <c r="AF1640" s="31"/>
      <c r="AG1640" s="31"/>
      <c r="AH1640" s="31"/>
      <c r="AI1640" s="31"/>
      <c r="AJ1640" s="31"/>
      <c r="AK1640" s="31"/>
      <c r="AL1640" s="28" t="str">
        <f>VLOOKUP($G1640,'[42]Sheet1 (2)'!$A$1:$B$1048440,2,FALSE)</f>
        <v>No.</v>
      </c>
      <c r="AM1640" s="32"/>
      <c r="AN1640" s="31"/>
      <c r="AO1640" s="33"/>
    </row>
    <row r="1641" spans="1:41" ht="56" x14ac:dyDescent="0.25">
      <c r="A1641" s="20">
        <v>1496</v>
      </c>
      <c r="B1641" s="35" t="s">
        <v>2460</v>
      </c>
      <c r="C1641" s="22">
        <v>43.25</v>
      </c>
      <c r="D1641" s="25" t="s">
        <v>2539</v>
      </c>
      <c r="E1641" s="23" t="s">
        <v>2758</v>
      </c>
      <c r="F1641" s="39" t="s">
        <v>2742</v>
      </c>
      <c r="G1641" s="25" t="s">
        <v>45</v>
      </c>
      <c r="H1641" s="26">
        <v>169</v>
      </c>
      <c r="I1641" s="26">
        <v>78</v>
      </c>
      <c r="J1641" s="31"/>
      <c r="K1641" s="31"/>
      <c r="L1641" s="31"/>
      <c r="M1641" s="31"/>
      <c r="N1641" s="31"/>
      <c r="O1641" s="31"/>
      <c r="P1641" s="31"/>
      <c r="Q1641" s="31"/>
      <c r="R1641" s="31"/>
      <c r="S1641" s="31"/>
      <c r="T1641" s="31"/>
      <c r="U1641" s="31"/>
      <c r="V1641" s="31"/>
      <c r="W1641" s="31"/>
      <c r="X1641" s="31"/>
      <c r="Y1641" s="31"/>
      <c r="Z1641" s="31"/>
      <c r="AA1641" s="31"/>
      <c r="AB1641" s="31"/>
      <c r="AC1641" s="31"/>
      <c r="AD1641" s="31"/>
      <c r="AE1641" s="31"/>
      <c r="AF1641" s="31"/>
      <c r="AG1641" s="31"/>
      <c r="AH1641" s="31"/>
      <c r="AI1641" s="31"/>
      <c r="AJ1641" s="31"/>
      <c r="AK1641" s="31"/>
      <c r="AL1641" s="28" t="str">
        <f>VLOOKUP($G1641,'[42]Sheet1 (2)'!$A$1:$B$1048440,2,FALSE)</f>
        <v>No.</v>
      </c>
      <c r="AM1641" s="32"/>
      <c r="AN1641" s="31"/>
      <c r="AO1641" s="33"/>
    </row>
    <row r="1642" spans="1:41" ht="42" x14ac:dyDescent="0.25">
      <c r="A1642" s="20">
        <v>1497</v>
      </c>
      <c r="B1642" s="92" t="s">
        <v>2470</v>
      </c>
      <c r="C1642" s="22">
        <v>43.26</v>
      </c>
      <c r="D1642" s="25" t="s">
        <v>2539</v>
      </c>
      <c r="E1642" s="24" t="s">
        <v>2759</v>
      </c>
      <c r="F1642" s="39" t="s">
        <v>2742</v>
      </c>
      <c r="G1642" s="25" t="s">
        <v>45</v>
      </c>
      <c r="H1642" s="26">
        <v>423</v>
      </c>
      <c r="I1642" s="26">
        <v>164</v>
      </c>
      <c r="J1642" s="31"/>
      <c r="K1642" s="31"/>
      <c r="L1642" s="31"/>
      <c r="M1642" s="31"/>
      <c r="N1642" s="31"/>
      <c r="O1642" s="31"/>
      <c r="P1642" s="31"/>
      <c r="Q1642" s="31"/>
      <c r="R1642" s="31"/>
      <c r="S1642" s="31"/>
      <c r="T1642" s="31"/>
      <c r="U1642" s="31"/>
      <c r="V1642" s="31"/>
      <c r="W1642" s="31"/>
      <c r="X1642" s="31"/>
      <c r="Y1642" s="31"/>
      <c r="Z1642" s="31"/>
      <c r="AA1642" s="31"/>
      <c r="AB1642" s="31"/>
      <c r="AC1642" s="31"/>
      <c r="AD1642" s="31"/>
      <c r="AE1642" s="31"/>
      <c r="AF1642" s="31"/>
      <c r="AG1642" s="31"/>
      <c r="AH1642" s="31"/>
      <c r="AI1642" s="31"/>
      <c r="AJ1642" s="31"/>
      <c r="AK1642" s="31"/>
      <c r="AL1642" s="28" t="str">
        <f>VLOOKUP($G1642,'[42]Sheet1 (2)'!$A$1:$B$1048440,2,FALSE)</f>
        <v>No.</v>
      </c>
      <c r="AM1642" s="32"/>
      <c r="AN1642" s="31"/>
      <c r="AO1642" s="33"/>
    </row>
    <row r="1643" spans="1:41" ht="140" x14ac:dyDescent="0.25">
      <c r="A1643" s="20">
        <v>1498</v>
      </c>
      <c r="B1643" s="25" t="s">
        <v>2456</v>
      </c>
      <c r="C1643" s="22">
        <v>43.27</v>
      </c>
      <c r="D1643" s="25" t="s">
        <v>2539</v>
      </c>
      <c r="E1643" s="24" t="s">
        <v>2760</v>
      </c>
      <c r="F1643" s="39" t="s">
        <v>2742</v>
      </c>
      <c r="G1643" s="25" t="s">
        <v>45</v>
      </c>
      <c r="H1643" s="26">
        <v>4085</v>
      </c>
      <c r="I1643" s="26">
        <v>618</v>
      </c>
      <c r="J1643" s="31"/>
      <c r="K1643" s="31"/>
      <c r="L1643" s="31"/>
      <c r="M1643" s="31"/>
      <c r="N1643" s="31"/>
      <c r="O1643" s="31"/>
      <c r="P1643" s="31"/>
      <c r="Q1643" s="31"/>
      <c r="R1643" s="31"/>
      <c r="S1643" s="31"/>
      <c r="T1643" s="31"/>
      <c r="U1643" s="31"/>
      <c r="V1643" s="31"/>
      <c r="W1643" s="31"/>
      <c r="X1643" s="31"/>
      <c r="Y1643" s="31"/>
      <c r="Z1643" s="31"/>
      <c r="AA1643" s="31"/>
      <c r="AB1643" s="31"/>
      <c r="AC1643" s="31"/>
      <c r="AD1643" s="31"/>
      <c r="AE1643" s="31"/>
      <c r="AF1643" s="31"/>
      <c r="AG1643" s="31"/>
      <c r="AH1643" s="31"/>
      <c r="AI1643" s="31"/>
      <c r="AJ1643" s="31"/>
      <c r="AK1643" s="31"/>
      <c r="AL1643" s="28" t="str">
        <f>VLOOKUP($G1643,'[42]Sheet1 (2)'!$A$1:$B$1048440,2,FALSE)</f>
        <v>No.</v>
      </c>
      <c r="AM1643" s="32"/>
      <c r="AN1643" s="31"/>
      <c r="AO1643" s="33"/>
    </row>
    <row r="1644" spans="1:41" ht="154" x14ac:dyDescent="0.25">
      <c r="A1644" s="20">
        <v>1499</v>
      </c>
      <c r="B1644" s="25" t="s">
        <v>2456</v>
      </c>
      <c r="C1644" s="22">
        <v>43.28</v>
      </c>
      <c r="D1644" s="25" t="s">
        <v>2761</v>
      </c>
      <c r="E1644" s="24" t="s">
        <v>2762</v>
      </c>
      <c r="F1644" s="24" t="s">
        <v>2763</v>
      </c>
      <c r="G1644" s="25" t="s">
        <v>45</v>
      </c>
      <c r="H1644" s="26">
        <v>10170</v>
      </c>
      <c r="I1644" s="26">
        <v>773</v>
      </c>
      <c r="J1644" s="31"/>
      <c r="K1644" s="31"/>
      <c r="L1644" s="31"/>
      <c r="M1644" s="31"/>
      <c r="N1644" s="31"/>
      <c r="O1644" s="31"/>
      <c r="P1644" s="31"/>
      <c r="Q1644" s="31"/>
      <c r="R1644" s="31"/>
      <c r="S1644" s="31"/>
      <c r="T1644" s="31"/>
      <c r="U1644" s="31"/>
      <c r="V1644" s="31"/>
      <c r="W1644" s="31"/>
      <c r="X1644" s="31"/>
      <c r="Y1644" s="31"/>
      <c r="Z1644" s="31"/>
      <c r="AA1644" s="31"/>
      <c r="AB1644" s="31"/>
      <c r="AC1644" s="31"/>
      <c r="AD1644" s="31"/>
      <c r="AE1644" s="31"/>
      <c r="AF1644" s="31"/>
      <c r="AG1644" s="31"/>
      <c r="AH1644" s="31"/>
      <c r="AI1644" s="31"/>
      <c r="AJ1644" s="31"/>
      <c r="AK1644" s="31"/>
      <c r="AL1644" s="28" t="str">
        <f>VLOOKUP($G1644,'[42]Sheet1 (2)'!$A$1:$B$1048440,2,FALSE)</f>
        <v>No.</v>
      </c>
      <c r="AM1644" s="32"/>
      <c r="AN1644" s="31"/>
      <c r="AO1644" s="33"/>
    </row>
    <row r="1645" spans="1:41" ht="168" x14ac:dyDescent="0.25">
      <c r="A1645" s="20">
        <v>1500</v>
      </c>
      <c r="B1645" s="25" t="s">
        <v>2456</v>
      </c>
      <c r="C1645" s="22">
        <v>43.29</v>
      </c>
      <c r="D1645" s="25" t="s">
        <v>2761</v>
      </c>
      <c r="E1645" s="24" t="s">
        <v>2764</v>
      </c>
      <c r="F1645" s="24" t="s">
        <v>2763</v>
      </c>
      <c r="G1645" s="25" t="s">
        <v>45</v>
      </c>
      <c r="H1645" s="26">
        <v>19915</v>
      </c>
      <c r="I1645" s="26">
        <v>773</v>
      </c>
      <c r="J1645" s="232"/>
      <c r="K1645" s="31"/>
      <c r="L1645" s="31"/>
      <c r="M1645" s="31"/>
      <c r="N1645" s="31"/>
      <c r="O1645" s="31"/>
      <c r="P1645" s="31"/>
      <c r="Q1645" s="31"/>
      <c r="R1645" s="31"/>
      <c r="S1645" s="31"/>
      <c r="T1645" s="31"/>
      <c r="U1645" s="31"/>
      <c r="V1645" s="31"/>
      <c r="W1645" s="31"/>
      <c r="X1645" s="31"/>
      <c r="Y1645" s="31"/>
      <c r="Z1645" s="31"/>
      <c r="AA1645" s="31"/>
      <c r="AB1645" s="31"/>
      <c r="AC1645" s="31"/>
      <c r="AD1645" s="31"/>
      <c r="AE1645" s="31"/>
      <c r="AF1645" s="31"/>
      <c r="AG1645" s="31"/>
      <c r="AH1645" s="31"/>
      <c r="AI1645" s="31"/>
      <c r="AJ1645" s="31"/>
      <c r="AK1645" s="31"/>
      <c r="AL1645" s="28" t="str">
        <f>VLOOKUP($G1645,'[42]Sheet1 (2)'!$A$1:$B$1048440,2,FALSE)</f>
        <v>No.</v>
      </c>
      <c r="AM1645" s="32" t="s">
        <v>2765</v>
      </c>
      <c r="AN1645" s="31"/>
      <c r="AO1645" s="33"/>
    </row>
    <row r="1646" spans="1:41" ht="84" x14ac:dyDescent="0.25">
      <c r="A1646" s="20">
        <v>1501</v>
      </c>
      <c r="B1646" s="25" t="s">
        <v>2456</v>
      </c>
      <c r="C1646" s="22">
        <v>43.3</v>
      </c>
      <c r="D1646" s="25" t="s">
        <v>2761</v>
      </c>
      <c r="E1646" s="24" t="s">
        <v>2766</v>
      </c>
      <c r="F1646" s="24" t="s">
        <v>2763</v>
      </c>
      <c r="G1646" s="21" t="s">
        <v>80</v>
      </c>
      <c r="H1646" s="26">
        <v>327</v>
      </c>
      <c r="I1646" s="26">
        <v>47</v>
      </c>
      <c r="J1646" s="232">
        <f>0.007/20</f>
        <v>3.5E-4</v>
      </c>
      <c r="K1646" s="31"/>
      <c r="L1646" s="31"/>
      <c r="M1646" s="31"/>
      <c r="N1646" s="31"/>
      <c r="O1646" s="31"/>
      <c r="P1646" s="31"/>
      <c r="Q1646" s="31"/>
      <c r="R1646" s="31"/>
      <c r="S1646" s="31"/>
      <c r="T1646" s="31"/>
      <c r="U1646" s="31"/>
      <c r="V1646" s="31"/>
      <c r="W1646" s="31"/>
      <c r="X1646" s="31"/>
      <c r="Y1646" s="31"/>
      <c r="Z1646" s="31"/>
      <c r="AA1646" s="31"/>
      <c r="AB1646" s="31"/>
      <c r="AC1646" s="31"/>
      <c r="AD1646" s="31"/>
      <c r="AE1646" s="31"/>
      <c r="AF1646" s="31"/>
      <c r="AG1646" s="31"/>
      <c r="AH1646" s="31"/>
      <c r="AI1646" s="31"/>
      <c r="AJ1646" s="31"/>
      <c r="AK1646" s="31"/>
      <c r="AL1646" s="28" t="str">
        <f>VLOOKUP($G1646,'[42]Sheet1 (2)'!$A$1:$B$1048440,2,FALSE)</f>
        <v>Rmt.</v>
      </c>
      <c r="AM1646" s="32" t="s">
        <v>2765</v>
      </c>
      <c r="AN1646" s="31"/>
      <c r="AO1646" s="33"/>
    </row>
    <row r="1647" spans="1:41" ht="84" x14ac:dyDescent="0.25">
      <c r="A1647" s="20">
        <v>1502</v>
      </c>
      <c r="B1647" s="25" t="s">
        <v>2456</v>
      </c>
      <c r="C1647" s="22">
        <v>43.31</v>
      </c>
      <c r="D1647" s="25" t="s">
        <v>2761</v>
      </c>
      <c r="E1647" s="24" t="s">
        <v>2767</v>
      </c>
      <c r="F1647" s="24" t="s">
        <v>2763</v>
      </c>
      <c r="G1647" s="21" t="s">
        <v>80</v>
      </c>
      <c r="H1647" s="26">
        <v>508</v>
      </c>
      <c r="I1647" s="26">
        <v>47</v>
      </c>
      <c r="J1647" s="31"/>
      <c r="K1647" s="31"/>
      <c r="L1647" s="31"/>
      <c r="M1647" s="31"/>
      <c r="N1647" s="31"/>
      <c r="O1647" s="31"/>
      <c r="P1647" s="31"/>
      <c r="Q1647" s="31"/>
      <c r="R1647" s="31"/>
      <c r="S1647" s="31"/>
      <c r="T1647" s="31"/>
      <c r="U1647" s="31"/>
      <c r="V1647" s="31"/>
      <c r="W1647" s="31"/>
      <c r="X1647" s="31"/>
      <c r="Y1647" s="31"/>
      <c r="Z1647" s="31"/>
      <c r="AA1647" s="31"/>
      <c r="AB1647" s="31"/>
      <c r="AC1647" s="31"/>
      <c r="AD1647" s="31"/>
      <c r="AE1647" s="31"/>
      <c r="AF1647" s="31"/>
      <c r="AG1647" s="31"/>
      <c r="AH1647" s="31"/>
      <c r="AI1647" s="31"/>
      <c r="AJ1647" s="31"/>
      <c r="AK1647" s="31"/>
      <c r="AL1647" s="28" t="str">
        <f>VLOOKUP($G1647,'[42]Sheet1 (2)'!$A$1:$B$1048440,2,FALSE)</f>
        <v>Rmt.</v>
      </c>
      <c r="AM1647" s="32"/>
      <c r="AN1647" s="31"/>
      <c r="AO1647" s="33"/>
    </row>
    <row r="1648" spans="1:41" ht="84" x14ac:dyDescent="0.25">
      <c r="A1648" s="20">
        <v>1503</v>
      </c>
      <c r="B1648" s="25" t="s">
        <v>2456</v>
      </c>
      <c r="C1648" s="22">
        <v>43.32</v>
      </c>
      <c r="D1648" s="25" t="s">
        <v>2761</v>
      </c>
      <c r="E1648" s="24" t="s">
        <v>2768</v>
      </c>
      <c r="F1648" s="24" t="s">
        <v>2763</v>
      </c>
      <c r="G1648" s="21" t="s">
        <v>80</v>
      </c>
      <c r="H1648" s="26">
        <v>933</v>
      </c>
      <c r="I1648" s="26">
        <v>47</v>
      </c>
      <c r="J1648" s="31"/>
      <c r="K1648" s="31"/>
      <c r="L1648" s="31"/>
      <c r="M1648" s="31"/>
      <c r="N1648" s="31"/>
      <c r="O1648" s="31"/>
      <c r="P1648" s="31"/>
      <c r="Q1648" s="31"/>
      <c r="R1648" s="31"/>
      <c r="S1648" s="31"/>
      <c r="T1648" s="31"/>
      <c r="U1648" s="31"/>
      <c r="V1648" s="31"/>
      <c r="W1648" s="31"/>
      <c r="X1648" s="31"/>
      <c r="Y1648" s="31"/>
      <c r="Z1648" s="31"/>
      <c r="AA1648" s="31"/>
      <c r="AB1648" s="31"/>
      <c r="AC1648" s="31"/>
      <c r="AD1648" s="31"/>
      <c r="AE1648" s="31"/>
      <c r="AF1648" s="31"/>
      <c r="AG1648" s="31"/>
      <c r="AH1648" s="31"/>
      <c r="AI1648" s="31"/>
      <c r="AJ1648" s="31"/>
      <c r="AK1648" s="31"/>
      <c r="AL1648" s="28" t="str">
        <f>VLOOKUP($G1648,'[42]Sheet1 (2)'!$A$1:$B$1048440,2,FALSE)</f>
        <v>Rmt.</v>
      </c>
      <c r="AM1648" s="32"/>
      <c r="AN1648" s="31"/>
      <c r="AO1648" s="33"/>
    </row>
    <row r="1649" spans="1:41" ht="98" x14ac:dyDescent="0.25">
      <c r="A1649" s="20">
        <v>1504</v>
      </c>
      <c r="B1649" s="25" t="s">
        <v>2456</v>
      </c>
      <c r="C1649" s="22">
        <v>43.33</v>
      </c>
      <c r="D1649" s="25" t="s">
        <v>2761</v>
      </c>
      <c r="E1649" s="23" t="s">
        <v>2769</v>
      </c>
      <c r="F1649" s="24" t="s">
        <v>2763</v>
      </c>
      <c r="G1649" s="21" t="s">
        <v>80</v>
      </c>
      <c r="H1649" s="26">
        <v>1795</v>
      </c>
      <c r="I1649" s="26">
        <v>78</v>
      </c>
      <c r="J1649" s="31"/>
      <c r="K1649" s="31"/>
      <c r="L1649" s="31"/>
      <c r="M1649" s="31"/>
      <c r="N1649" s="31"/>
      <c r="O1649" s="31"/>
      <c r="P1649" s="31"/>
      <c r="Q1649" s="31"/>
      <c r="R1649" s="31"/>
      <c r="S1649" s="31"/>
      <c r="T1649" s="31"/>
      <c r="U1649" s="31"/>
      <c r="V1649" s="31"/>
      <c r="W1649" s="31"/>
      <c r="X1649" s="31"/>
      <c r="Y1649" s="31"/>
      <c r="Z1649" s="31"/>
      <c r="AA1649" s="31"/>
      <c r="AB1649" s="31"/>
      <c r="AC1649" s="31"/>
      <c r="AD1649" s="31"/>
      <c r="AE1649" s="31"/>
      <c r="AF1649" s="31"/>
      <c r="AG1649" s="31"/>
      <c r="AH1649" s="31"/>
      <c r="AI1649" s="31"/>
      <c r="AJ1649" s="31"/>
      <c r="AK1649" s="31"/>
      <c r="AL1649" s="28" t="str">
        <f>VLOOKUP($G1649,'[42]Sheet1 (2)'!$A$1:$B$1048440,2,FALSE)</f>
        <v>Rmt.</v>
      </c>
      <c r="AM1649" s="32"/>
      <c r="AN1649" s="31"/>
      <c r="AO1649" s="33"/>
    </row>
    <row r="1650" spans="1:41" ht="98" x14ac:dyDescent="0.25">
      <c r="A1650" s="20">
        <v>1505</v>
      </c>
      <c r="B1650" s="25" t="s">
        <v>2456</v>
      </c>
      <c r="C1650" s="22">
        <v>43.34</v>
      </c>
      <c r="D1650" s="25" t="s">
        <v>2761</v>
      </c>
      <c r="E1650" s="23" t="s">
        <v>2770</v>
      </c>
      <c r="F1650" s="24" t="s">
        <v>2763</v>
      </c>
      <c r="G1650" s="21" t="s">
        <v>80</v>
      </c>
      <c r="H1650" s="26">
        <v>2698</v>
      </c>
      <c r="I1650" s="26">
        <v>109</v>
      </c>
      <c r="J1650" s="31"/>
      <c r="K1650" s="31"/>
      <c r="L1650" s="31"/>
      <c r="M1650" s="31"/>
      <c r="N1650" s="31"/>
      <c r="O1650" s="31"/>
      <c r="P1650" s="31"/>
      <c r="Q1650" s="31"/>
      <c r="R1650" s="31"/>
      <c r="S1650" s="31"/>
      <c r="T1650" s="31"/>
      <c r="U1650" s="31"/>
      <c r="V1650" s="31"/>
      <c r="W1650" s="31"/>
      <c r="X1650" s="31"/>
      <c r="Y1650" s="31"/>
      <c r="Z1650" s="31"/>
      <c r="AA1650" s="31"/>
      <c r="AB1650" s="31"/>
      <c r="AC1650" s="31"/>
      <c r="AD1650" s="31"/>
      <c r="AE1650" s="31"/>
      <c r="AF1650" s="31"/>
      <c r="AG1650" s="31"/>
      <c r="AH1650" s="31"/>
      <c r="AI1650" s="31"/>
      <c r="AJ1650" s="31"/>
      <c r="AK1650" s="31"/>
      <c r="AL1650" s="28" t="str">
        <f>VLOOKUP($G1650,'[42]Sheet1 (2)'!$A$1:$B$1048440,2,FALSE)</f>
        <v>Rmt.</v>
      </c>
      <c r="AM1650" s="32"/>
      <c r="AN1650" s="31"/>
      <c r="AO1650" s="33"/>
    </row>
    <row r="1651" spans="1:41" ht="56" x14ac:dyDescent="0.25">
      <c r="A1651" s="20">
        <v>1506</v>
      </c>
      <c r="B1651" s="35" t="s">
        <v>2460</v>
      </c>
      <c r="C1651" s="22">
        <v>43.35</v>
      </c>
      <c r="D1651" s="25" t="s">
        <v>2532</v>
      </c>
      <c r="E1651" s="24" t="s">
        <v>2771</v>
      </c>
      <c r="F1651" s="35" t="s">
        <v>2772</v>
      </c>
      <c r="G1651" s="25" t="s">
        <v>45</v>
      </c>
      <c r="H1651" s="26">
        <v>442</v>
      </c>
      <c r="I1651" s="26">
        <v>119</v>
      </c>
      <c r="J1651" s="31"/>
      <c r="K1651" s="31"/>
      <c r="L1651" s="31"/>
      <c r="M1651" s="31"/>
      <c r="N1651" s="31"/>
      <c r="O1651" s="31"/>
      <c r="P1651" s="31"/>
      <c r="Q1651" s="31"/>
      <c r="R1651" s="31"/>
      <c r="S1651" s="31"/>
      <c r="T1651" s="31"/>
      <c r="U1651" s="31"/>
      <c r="V1651" s="31"/>
      <c r="W1651" s="31"/>
      <c r="X1651" s="31"/>
      <c r="Y1651" s="31"/>
      <c r="Z1651" s="31"/>
      <c r="AA1651" s="31"/>
      <c r="AB1651" s="31"/>
      <c r="AC1651" s="31"/>
      <c r="AD1651" s="31"/>
      <c r="AE1651" s="31"/>
      <c r="AF1651" s="31"/>
      <c r="AG1651" s="31"/>
      <c r="AH1651" s="31"/>
      <c r="AI1651" s="31"/>
      <c r="AJ1651" s="31"/>
      <c r="AK1651" s="31"/>
      <c r="AL1651" s="28" t="str">
        <f>VLOOKUP($G1651,'[42]Sheet1 (2)'!$A$1:$B$1048440,2,FALSE)</f>
        <v>No.</v>
      </c>
      <c r="AM1651" s="32"/>
      <c r="AN1651" s="31"/>
      <c r="AO1651" s="33"/>
    </row>
    <row r="1652" spans="1:41" ht="56" x14ac:dyDescent="0.25">
      <c r="A1652" s="20">
        <v>1507</v>
      </c>
      <c r="B1652" s="35" t="s">
        <v>2460</v>
      </c>
      <c r="C1652" s="22">
        <v>43.36</v>
      </c>
      <c r="D1652" s="25" t="s">
        <v>2532</v>
      </c>
      <c r="E1652" s="24" t="s">
        <v>2773</v>
      </c>
      <c r="F1652" s="35" t="s">
        <v>2772</v>
      </c>
      <c r="G1652" s="25" t="s">
        <v>45</v>
      </c>
      <c r="H1652" s="26">
        <v>716</v>
      </c>
      <c r="I1652" s="26">
        <v>119</v>
      </c>
      <c r="J1652" s="31"/>
      <c r="K1652" s="31"/>
      <c r="L1652" s="31"/>
      <c r="M1652" s="31"/>
      <c r="N1652" s="31"/>
      <c r="O1652" s="31"/>
      <c r="P1652" s="31"/>
      <c r="Q1652" s="31"/>
      <c r="R1652" s="31"/>
      <c r="S1652" s="31"/>
      <c r="T1652" s="31"/>
      <c r="U1652" s="31"/>
      <c r="V1652" s="31"/>
      <c r="W1652" s="31"/>
      <c r="X1652" s="31"/>
      <c r="Y1652" s="31"/>
      <c r="Z1652" s="31"/>
      <c r="AA1652" s="31"/>
      <c r="AB1652" s="31"/>
      <c r="AC1652" s="31"/>
      <c r="AD1652" s="31"/>
      <c r="AE1652" s="31"/>
      <c r="AF1652" s="31"/>
      <c r="AG1652" s="31"/>
      <c r="AH1652" s="31"/>
      <c r="AI1652" s="31"/>
      <c r="AJ1652" s="31"/>
      <c r="AK1652" s="31"/>
      <c r="AL1652" s="28" t="str">
        <f>VLOOKUP($G1652,'[42]Sheet1 (2)'!$A$1:$B$1048440,2,FALSE)</f>
        <v>No.</v>
      </c>
      <c r="AM1652" s="32"/>
      <c r="AN1652" s="31"/>
      <c r="AO1652" s="33"/>
    </row>
    <row r="1653" spans="1:41" ht="70" x14ac:dyDescent="0.25">
      <c r="A1653" s="20">
        <v>1508</v>
      </c>
      <c r="B1653" s="92" t="s">
        <v>2470</v>
      </c>
      <c r="C1653" s="22">
        <v>43.37</v>
      </c>
      <c r="D1653" s="25" t="s">
        <v>2532</v>
      </c>
      <c r="E1653" s="24" t="s">
        <v>2774</v>
      </c>
      <c r="F1653" s="35" t="s">
        <v>2775</v>
      </c>
      <c r="G1653" s="25" t="s">
        <v>45</v>
      </c>
      <c r="H1653" s="26">
        <v>468</v>
      </c>
      <c r="I1653" s="26">
        <v>119</v>
      </c>
      <c r="J1653" s="31"/>
      <c r="K1653" s="31"/>
      <c r="L1653" s="31"/>
      <c r="M1653" s="31"/>
      <c r="N1653" s="31"/>
      <c r="O1653" s="31"/>
      <c r="P1653" s="31"/>
      <c r="Q1653" s="31"/>
      <c r="R1653" s="31"/>
      <c r="S1653" s="31"/>
      <c r="T1653" s="31"/>
      <c r="U1653" s="31"/>
      <c r="V1653" s="31"/>
      <c r="W1653" s="31"/>
      <c r="X1653" s="31"/>
      <c r="Y1653" s="31"/>
      <c r="Z1653" s="31"/>
      <c r="AA1653" s="31"/>
      <c r="AB1653" s="31"/>
      <c r="AC1653" s="31"/>
      <c r="AD1653" s="31"/>
      <c r="AE1653" s="31"/>
      <c r="AF1653" s="31"/>
      <c r="AG1653" s="31"/>
      <c r="AH1653" s="31"/>
      <c r="AI1653" s="31"/>
      <c r="AJ1653" s="31"/>
      <c r="AK1653" s="31"/>
      <c r="AL1653" s="28" t="str">
        <f>VLOOKUP($G1653,'[42]Sheet1 (2)'!$A$1:$B$1048440,2,FALSE)</f>
        <v>No.</v>
      </c>
      <c r="AM1653" s="32"/>
      <c r="AN1653" s="31"/>
      <c r="AO1653" s="33"/>
    </row>
    <row r="1654" spans="1:41" ht="56" x14ac:dyDescent="0.25">
      <c r="A1654" s="20">
        <v>1509</v>
      </c>
      <c r="B1654" s="35" t="s">
        <v>2460</v>
      </c>
      <c r="C1654" s="22">
        <v>43.38</v>
      </c>
      <c r="D1654" s="25" t="s">
        <v>2532</v>
      </c>
      <c r="E1654" s="24" t="s">
        <v>2776</v>
      </c>
      <c r="F1654" s="35" t="s">
        <v>2772</v>
      </c>
      <c r="G1654" s="25" t="s">
        <v>45</v>
      </c>
      <c r="H1654" s="26">
        <v>1015</v>
      </c>
      <c r="I1654" s="26">
        <v>119</v>
      </c>
      <c r="J1654" s="31"/>
      <c r="K1654" s="31"/>
      <c r="L1654" s="31"/>
      <c r="M1654" s="31"/>
      <c r="N1654" s="31"/>
      <c r="O1654" s="31"/>
      <c r="P1654" s="31"/>
      <c r="Q1654" s="31"/>
      <c r="R1654" s="31"/>
      <c r="S1654" s="31"/>
      <c r="T1654" s="31"/>
      <c r="U1654" s="31"/>
      <c r="V1654" s="31"/>
      <c r="W1654" s="31"/>
      <c r="X1654" s="31"/>
      <c r="Y1654" s="31"/>
      <c r="Z1654" s="31"/>
      <c r="AA1654" s="31"/>
      <c r="AB1654" s="31"/>
      <c r="AC1654" s="31"/>
      <c r="AD1654" s="31"/>
      <c r="AE1654" s="31"/>
      <c r="AF1654" s="31"/>
      <c r="AG1654" s="31"/>
      <c r="AH1654" s="31"/>
      <c r="AI1654" s="31"/>
      <c r="AJ1654" s="31"/>
      <c r="AK1654" s="31"/>
      <c r="AL1654" s="28" t="str">
        <f>VLOOKUP($G1654,'[42]Sheet1 (2)'!$A$1:$B$1048440,2,FALSE)</f>
        <v>No.</v>
      </c>
      <c r="AM1654" s="32"/>
      <c r="AN1654" s="31"/>
      <c r="AO1654" s="33"/>
    </row>
    <row r="1655" spans="1:41" ht="56" x14ac:dyDescent="0.25">
      <c r="A1655" s="20">
        <v>1510</v>
      </c>
      <c r="B1655" s="35" t="s">
        <v>2460</v>
      </c>
      <c r="C1655" s="22">
        <v>43.39</v>
      </c>
      <c r="D1655" s="25" t="s">
        <v>2532</v>
      </c>
      <c r="E1655" s="24" t="s">
        <v>2777</v>
      </c>
      <c r="F1655" s="35" t="s">
        <v>2772</v>
      </c>
      <c r="G1655" s="25" t="s">
        <v>45</v>
      </c>
      <c r="H1655" s="26">
        <v>770</v>
      </c>
      <c r="I1655" s="26">
        <v>119</v>
      </c>
      <c r="J1655" s="31"/>
      <c r="K1655" s="31"/>
      <c r="L1655" s="31"/>
      <c r="M1655" s="31"/>
      <c r="N1655" s="31"/>
      <c r="O1655" s="31"/>
      <c r="P1655" s="31"/>
      <c r="Q1655" s="31"/>
      <c r="R1655" s="31"/>
      <c r="S1655" s="31"/>
      <c r="T1655" s="31"/>
      <c r="U1655" s="31"/>
      <c r="V1655" s="31"/>
      <c r="W1655" s="31"/>
      <c r="X1655" s="31"/>
      <c r="Y1655" s="31"/>
      <c r="Z1655" s="31"/>
      <c r="AA1655" s="31"/>
      <c r="AB1655" s="31"/>
      <c r="AC1655" s="31"/>
      <c r="AD1655" s="31"/>
      <c r="AE1655" s="31"/>
      <c r="AF1655" s="31"/>
      <c r="AG1655" s="31"/>
      <c r="AH1655" s="31"/>
      <c r="AI1655" s="31"/>
      <c r="AJ1655" s="31"/>
      <c r="AK1655" s="31"/>
      <c r="AL1655" s="28" t="str">
        <f>VLOOKUP($G1655,'[42]Sheet1 (2)'!$A$1:$B$1048440,2,FALSE)</f>
        <v>No.</v>
      </c>
      <c r="AM1655" s="32"/>
      <c r="AN1655" s="31"/>
      <c r="AO1655" s="33"/>
    </row>
    <row r="1656" spans="1:41" ht="70" x14ac:dyDescent="0.25">
      <c r="A1656" s="20">
        <v>1511</v>
      </c>
      <c r="B1656" s="92" t="s">
        <v>2470</v>
      </c>
      <c r="C1656" s="22">
        <v>43.4</v>
      </c>
      <c r="D1656" s="25" t="s">
        <v>2532</v>
      </c>
      <c r="E1656" s="24" t="s">
        <v>2778</v>
      </c>
      <c r="F1656" s="35" t="s">
        <v>2775</v>
      </c>
      <c r="G1656" s="25" t="s">
        <v>45</v>
      </c>
      <c r="H1656" s="26">
        <v>468</v>
      </c>
      <c r="I1656" s="26">
        <v>119</v>
      </c>
      <c r="J1656" s="31"/>
      <c r="K1656" s="31"/>
      <c r="L1656" s="31"/>
      <c r="M1656" s="31"/>
      <c r="N1656" s="31"/>
      <c r="O1656" s="31"/>
      <c r="P1656" s="31"/>
      <c r="Q1656" s="31"/>
      <c r="R1656" s="31"/>
      <c r="S1656" s="31"/>
      <c r="T1656" s="31"/>
      <c r="U1656" s="31"/>
      <c r="V1656" s="31"/>
      <c r="W1656" s="31"/>
      <c r="X1656" s="31"/>
      <c r="Y1656" s="31"/>
      <c r="Z1656" s="31"/>
      <c r="AA1656" s="31"/>
      <c r="AB1656" s="31"/>
      <c r="AC1656" s="31"/>
      <c r="AD1656" s="31"/>
      <c r="AE1656" s="31"/>
      <c r="AF1656" s="31"/>
      <c r="AG1656" s="31"/>
      <c r="AH1656" s="31"/>
      <c r="AI1656" s="31"/>
      <c r="AJ1656" s="31"/>
      <c r="AK1656" s="31"/>
      <c r="AL1656" s="28" t="str">
        <f>VLOOKUP($G1656,'[42]Sheet1 (2)'!$A$1:$B$1048440,2,FALSE)</f>
        <v>No.</v>
      </c>
      <c r="AM1656" s="32"/>
      <c r="AN1656" s="31"/>
      <c r="AO1656" s="33"/>
    </row>
    <row r="1657" spans="1:41" ht="56" x14ac:dyDescent="0.25">
      <c r="A1657" s="20">
        <v>1512</v>
      </c>
      <c r="B1657" s="35" t="s">
        <v>2460</v>
      </c>
      <c r="C1657" s="22">
        <v>43.41</v>
      </c>
      <c r="D1657" s="25" t="s">
        <v>2532</v>
      </c>
      <c r="E1657" s="24" t="s">
        <v>2779</v>
      </c>
      <c r="F1657" s="24" t="s">
        <v>2763</v>
      </c>
      <c r="G1657" s="25" t="s">
        <v>45</v>
      </c>
      <c r="H1657" s="26">
        <v>636</v>
      </c>
      <c r="I1657" s="26">
        <v>119</v>
      </c>
      <c r="J1657" s="31"/>
      <c r="K1657" s="31"/>
      <c r="L1657" s="31"/>
      <c r="M1657" s="31"/>
      <c r="N1657" s="31"/>
      <c r="O1657" s="31"/>
      <c r="P1657" s="31"/>
      <c r="Q1657" s="31"/>
      <c r="R1657" s="31"/>
      <c r="S1657" s="31"/>
      <c r="T1657" s="31"/>
      <c r="U1657" s="31"/>
      <c r="V1657" s="31"/>
      <c r="W1657" s="31"/>
      <c r="X1657" s="31"/>
      <c r="Y1657" s="31"/>
      <c r="Z1657" s="31"/>
      <c r="AA1657" s="31"/>
      <c r="AB1657" s="31"/>
      <c r="AC1657" s="31"/>
      <c r="AD1657" s="31"/>
      <c r="AE1657" s="31"/>
      <c r="AF1657" s="31"/>
      <c r="AG1657" s="31"/>
      <c r="AH1657" s="31"/>
      <c r="AI1657" s="31"/>
      <c r="AJ1657" s="31"/>
      <c r="AK1657" s="31"/>
      <c r="AL1657" s="28" t="str">
        <f>VLOOKUP($G1657,'[42]Sheet1 (2)'!$A$1:$B$1048440,2,FALSE)</f>
        <v>No.</v>
      </c>
      <c r="AM1657" s="32"/>
      <c r="AN1657" s="31"/>
      <c r="AO1657" s="33"/>
    </row>
    <row r="1658" spans="1:41" ht="182" x14ac:dyDescent="0.25">
      <c r="A1658" s="20">
        <v>1513</v>
      </c>
      <c r="B1658" s="25" t="s">
        <v>2456</v>
      </c>
      <c r="C1658" s="22">
        <v>43.42</v>
      </c>
      <c r="D1658" s="25" t="s">
        <v>2532</v>
      </c>
      <c r="E1658" s="24" t="s">
        <v>2780</v>
      </c>
      <c r="F1658" s="24" t="s">
        <v>2763</v>
      </c>
      <c r="G1658" s="21" t="s">
        <v>80</v>
      </c>
      <c r="H1658" s="26">
        <v>1736</v>
      </c>
      <c r="I1658" s="26">
        <v>524</v>
      </c>
      <c r="J1658" s="31"/>
      <c r="K1658" s="31"/>
      <c r="L1658" s="31"/>
      <c r="M1658" s="31"/>
      <c r="N1658" s="31"/>
      <c r="O1658" s="31"/>
      <c r="P1658" s="31"/>
      <c r="Q1658" s="31"/>
      <c r="R1658" s="31"/>
      <c r="S1658" s="31"/>
      <c r="T1658" s="31"/>
      <c r="U1658" s="31"/>
      <c r="V1658" s="31"/>
      <c r="W1658" s="31"/>
      <c r="X1658" s="31"/>
      <c r="Y1658" s="31"/>
      <c r="Z1658" s="31"/>
      <c r="AA1658" s="31"/>
      <c r="AB1658" s="31"/>
      <c r="AC1658" s="31"/>
      <c r="AD1658" s="31"/>
      <c r="AE1658" s="31"/>
      <c r="AF1658" s="31"/>
      <c r="AG1658" s="31"/>
      <c r="AH1658" s="31"/>
      <c r="AI1658" s="31"/>
      <c r="AJ1658" s="31"/>
      <c r="AK1658" s="31"/>
      <c r="AL1658" s="28" t="str">
        <f>VLOOKUP($G1658,'[42]Sheet1 (2)'!$A$1:$B$1048440,2,FALSE)</f>
        <v>Rmt.</v>
      </c>
      <c r="AM1658" s="32"/>
      <c r="AN1658" s="31"/>
      <c r="AO1658" s="33"/>
    </row>
    <row r="1659" spans="1:41" ht="182" x14ac:dyDescent="0.25">
      <c r="A1659" s="20">
        <v>1514</v>
      </c>
      <c r="B1659" s="25" t="s">
        <v>2456</v>
      </c>
      <c r="C1659" s="22">
        <v>43.43</v>
      </c>
      <c r="D1659" s="25" t="s">
        <v>2532</v>
      </c>
      <c r="E1659" s="24" t="s">
        <v>2781</v>
      </c>
      <c r="F1659" s="24" t="s">
        <v>2763</v>
      </c>
      <c r="G1659" s="21" t="s">
        <v>80</v>
      </c>
      <c r="H1659" s="26">
        <v>2059</v>
      </c>
      <c r="I1659" s="26">
        <v>524</v>
      </c>
      <c r="J1659" s="31"/>
      <c r="K1659" s="31"/>
      <c r="L1659" s="31"/>
      <c r="M1659" s="31"/>
      <c r="N1659" s="31"/>
      <c r="O1659" s="31"/>
      <c r="P1659" s="31"/>
      <c r="Q1659" s="31"/>
      <c r="R1659" s="31"/>
      <c r="S1659" s="31"/>
      <c r="T1659" s="31"/>
      <c r="U1659" s="31"/>
      <c r="V1659" s="31"/>
      <c r="W1659" s="31"/>
      <c r="X1659" s="31"/>
      <c r="Y1659" s="31"/>
      <c r="Z1659" s="31"/>
      <c r="AA1659" s="31"/>
      <c r="AB1659" s="31"/>
      <c r="AC1659" s="31"/>
      <c r="AD1659" s="31"/>
      <c r="AE1659" s="31"/>
      <c r="AF1659" s="31"/>
      <c r="AG1659" s="31"/>
      <c r="AH1659" s="31"/>
      <c r="AI1659" s="31"/>
      <c r="AJ1659" s="31"/>
      <c r="AK1659" s="31"/>
      <c r="AL1659" s="28" t="str">
        <f>VLOOKUP($G1659,'[42]Sheet1 (2)'!$A$1:$B$1048440,2,FALSE)</f>
        <v>Rmt.</v>
      </c>
      <c r="AM1659" s="32"/>
      <c r="AN1659" s="31"/>
      <c r="AO1659" s="33"/>
    </row>
    <row r="1660" spans="1:41" ht="168" x14ac:dyDescent="0.25">
      <c r="A1660" s="20">
        <v>1515</v>
      </c>
      <c r="B1660" s="25" t="s">
        <v>2456</v>
      </c>
      <c r="C1660" s="22">
        <v>43.44</v>
      </c>
      <c r="D1660" s="25" t="s">
        <v>2532</v>
      </c>
      <c r="E1660" s="23" t="s">
        <v>2782</v>
      </c>
      <c r="F1660" s="24" t="s">
        <v>2763</v>
      </c>
      <c r="G1660" s="25" t="s">
        <v>45</v>
      </c>
      <c r="H1660" s="26">
        <v>13692</v>
      </c>
      <c r="I1660" s="26">
        <v>1711</v>
      </c>
      <c r="J1660" s="31"/>
      <c r="K1660" s="31"/>
      <c r="L1660" s="31"/>
      <c r="M1660" s="31"/>
      <c r="N1660" s="31"/>
      <c r="O1660" s="31"/>
      <c r="P1660" s="31"/>
      <c r="Q1660" s="31"/>
      <c r="R1660" s="31"/>
      <c r="S1660" s="31"/>
      <c r="T1660" s="31"/>
      <c r="U1660" s="31"/>
      <c r="V1660" s="31"/>
      <c r="W1660" s="31"/>
      <c r="X1660" s="31"/>
      <c r="Y1660" s="31"/>
      <c r="Z1660" s="31"/>
      <c r="AA1660" s="31"/>
      <c r="AB1660" s="31"/>
      <c r="AC1660" s="31"/>
      <c r="AD1660" s="31"/>
      <c r="AE1660" s="31"/>
      <c r="AF1660" s="31"/>
      <c r="AG1660" s="31"/>
      <c r="AH1660" s="31"/>
      <c r="AI1660" s="31"/>
      <c r="AJ1660" s="31"/>
      <c r="AK1660" s="31"/>
      <c r="AL1660" s="28" t="str">
        <f>VLOOKUP($G1660,'[42]Sheet1 (2)'!$A$1:$B$1048440,2,FALSE)</f>
        <v>No.</v>
      </c>
      <c r="AM1660" s="32"/>
      <c r="AN1660" s="31"/>
      <c r="AO1660" s="33"/>
    </row>
    <row r="1661" spans="1:41" ht="17.5" x14ac:dyDescent="0.25">
      <c r="A1661" s="204"/>
      <c r="B1661" s="35"/>
      <c r="C1661" s="22"/>
      <c r="D1661" s="165"/>
      <c r="E1661" s="225" t="s">
        <v>2783</v>
      </c>
      <c r="F1661" s="223"/>
      <c r="G1661" s="165"/>
      <c r="H1661" s="167"/>
      <c r="I1661" s="167"/>
      <c r="J1661" s="31"/>
      <c r="K1661" s="31"/>
      <c r="L1661" s="31"/>
      <c r="M1661" s="31"/>
      <c r="N1661" s="31"/>
      <c r="O1661" s="31"/>
      <c r="P1661" s="31"/>
      <c r="Q1661" s="31"/>
      <c r="R1661" s="31"/>
      <c r="S1661" s="31"/>
      <c r="T1661" s="31"/>
      <c r="U1661" s="31"/>
      <c r="V1661" s="31"/>
      <c r="W1661" s="31"/>
      <c r="X1661" s="31"/>
      <c r="Y1661" s="31"/>
      <c r="Z1661" s="31"/>
      <c r="AA1661" s="31"/>
      <c r="AB1661" s="31"/>
      <c r="AC1661" s="31"/>
      <c r="AD1661" s="31"/>
      <c r="AE1661" s="31"/>
      <c r="AF1661" s="31"/>
      <c r="AG1661" s="31"/>
      <c r="AH1661" s="31"/>
      <c r="AI1661" s="31"/>
      <c r="AJ1661" s="31"/>
      <c r="AK1661" s="31"/>
      <c r="AL1661" s="28" t="e">
        <f>VLOOKUP($G1661,'[42]Sheet1 (2)'!$A$1:$B$1048440,2,FALSE)</f>
        <v>#N/A</v>
      </c>
      <c r="AM1661" s="32"/>
      <c r="AN1661" s="31"/>
      <c r="AO1661" s="33"/>
    </row>
    <row r="1662" spans="1:41" ht="84" x14ac:dyDescent="0.25">
      <c r="A1662" s="20">
        <v>1516</v>
      </c>
      <c r="B1662" s="25" t="s">
        <v>2783</v>
      </c>
      <c r="C1662" s="22">
        <v>44.01</v>
      </c>
      <c r="D1662" s="25" t="s">
        <v>2784</v>
      </c>
      <c r="E1662" s="23" t="s">
        <v>2785</v>
      </c>
      <c r="F1662" s="24" t="s">
        <v>2786</v>
      </c>
      <c r="G1662" s="202" t="s">
        <v>621</v>
      </c>
      <c r="H1662" s="103">
        <v>655</v>
      </c>
      <c r="I1662" s="26">
        <v>322</v>
      </c>
      <c r="J1662" s="31"/>
      <c r="K1662" s="31"/>
      <c r="L1662" s="31"/>
      <c r="M1662" s="31"/>
      <c r="N1662" s="31"/>
      <c r="O1662" s="31"/>
      <c r="P1662" s="31"/>
      <c r="Q1662" s="31"/>
      <c r="R1662" s="31"/>
      <c r="S1662" s="31"/>
      <c r="T1662" s="31"/>
      <c r="U1662" s="31"/>
      <c r="V1662" s="31"/>
      <c r="W1662" s="31"/>
      <c r="X1662" s="31"/>
      <c r="Y1662" s="31"/>
      <c r="Z1662" s="31"/>
      <c r="AA1662" s="31"/>
      <c r="AB1662" s="31"/>
      <c r="AC1662" s="31"/>
      <c r="AD1662" s="31"/>
      <c r="AE1662" s="31"/>
      <c r="AF1662" s="31"/>
      <c r="AG1662" s="31"/>
      <c r="AH1662" s="31"/>
      <c r="AI1662" s="31"/>
      <c r="AJ1662" s="31"/>
      <c r="AK1662" s="31"/>
      <c r="AL1662" s="28" t="str">
        <f>VLOOKUP($G1662,'[42]Sheet1 (2)'!$A$1:$B$1048440,2,FALSE)</f>
        <v>Sqm</v>
      </c>
      <c r="AM1662" s="32"/>
      <c r="AN1662" s="31"/>
      <c r="AO1662" s="33"/>
    </row>
    <row r="1663" spans="1:41" ht="84" x14ac:dyDescent="0.25">
      <c r="A1663" s="20">
        <v>1517</v>
      </c>
      <c r="B1663" s="25" t="s">
        <v>2783</v>
      </c>
      <c r="C1663" s="22">
        <v>44.02</v>
      </c>
      <c r="D1663" s="25" t="s">
        <v>2787</v>
      </c>
      <c r="E1663" s="23" t="s">
        <v>2788</v>
      </c>
      <c r="F1663" s="24" t="s">
        <v>2786</v>
      </c>
      <c r="G1663" s="202" t="s">
        <v>621</v>
      </c>
      <c r="H1663" s="103">
        <v>692</v>
      </c>
      <c r="I1663" s="26">
        <v>322</v>
      </c>
      <c r="J1663" s="31"/>
      <c r="K1663" s="31"/>
      <c r="L1663" s="31"/>
      <c r="M1663" s="31"/>
      <c r="N1663" s="31"/>
      <c r="O1663" s="31"/>
      <c r="P1663" s="31"/>
      <c r="Q1663" s="31"/>
      <c r="R1663" s="31"/>
      <c r="S1663" s="31"/>
      <c r="T1663" s="31"/>
      <c r="U1663" s="31"/>
      <c r="V1663" s="31"/>
      <c r="W1663" s="31"/>
      <c r="X1663" s="31"/>
      <c r="Y1663" s="31"/>
      <c r="Z1663" s="31"/>
      <c r="AA1663" s="31"/>
      <c r="AB1663" s="31"/>
      <c r="AC1663" s="31"/>
      <c r="AD1663" s="31"/>
      <c r="AE1663" s="31"/>
      <c r="AF1663" s="31"/>
      <c r="AG1663" s="31"/>
      <c r="AH1663" s="31"/>
      <c r="AI1663" s="31"/>
      <c r="AJ1663" s="31"/>
      <c r="AK1663" s="31"/>
      <c r="AL1663" s="28" t="str">
        <f>VLOOKUP($G1663,'[42]Sheet1 (2)'!$A$1:$B$1048440,2,FALSE)</f>
        <v>Sqm</v>
      </c>
      <c r="AM1663" s="32"/>
      <c r="AN1663" s="31"/>
      <c r="AO1663" s="33"/>
    </row>
    <row r="1664" spans="1:41" ht="84" x14ac:dyDescent="0.25">
      <c r="A1664" s="20">
        <v>1518</v>
      </c>
      <c r="B1664" s="25" t="s">
        <v>2783</v>
      </c>
      <c r="C1664" s="22">
        <v>44.03</v>
      </c>
      <c r="D1664" s="25" t="s">
        <v>2789</v>
      </c>
      <c r="E1664" s="23" t="s">
        <v>2790</v>
      </c>
      <c r="F1664" s="24" t="s">
        <v>2786</v>
      </c>
      <c r="G1664" s="202" t="s">
        <v>621</v>
      </c>
      <c r="H1664" s="103">
        <v>795</v>
      </c>
      <c r="I1664" s="26">
        <v>322</v>
      </c>
      <c r="J1664" s="31"/>
      <c r="K1664" s="31"/>
      <c r="L1664" s="31"/>
      <c r="M1664" s="31"/>
      <c r="N1664" s="31"/>
      <c r="O1664" s="31"/>
      <c r="P1664" s="31"/>
      <c r="Q1664" s="31"/>
      <c r="R1664" s="31"/>
      <c r="S1664" s="31"/>
      <c r="T1664" s="31"/>
      <c r="U1664" s="31"/>
      <c r="V1664" s="31"/>
      <c r="W1664" s="31"/>
      <c r="X1664" s="31"/>
      <c r="Y1664" s="31"/>
      <c r="Z1664" s="31"/>
      <c r="AA1664" s="31"/>
      <c r="AB1664" s="31"/>
      <c r="AC1664" s="31"/>
      <c r="AD1664" s="31"/>
      <c r="AE1664" s="31"/>
      <c r="AF1664" s="31"/>
      <c r="AG1664" s="31"/>
      <c r="AH1664" s="31"/>
      <c r="AI1664" s="31"/>
      <c r="AJ1664" s="31"/>
      <c r="AK1664" s="31"/>
      <c r="AL1664" s="28" t="str">
        <f>VLOOKUP($G1664,'[42]Sheet1 (2)'!$A$1:$B$1048440,2,FALSE)</f>
        <v>Sqm</v>
      </c>
      <c r="AM1664" s="32"/>
      <c r="AN1664" s="31"/>
      <c r="AO1664" s="33"/>
    </row>
    <row r="1665" spans="1:41" ht="50.25" customHeight="1" x14ac:dyDescent="0.25">
      <c r="A1665" s="20">
        <v>1519</v>
      </c>
      <c r="B1665" s="25" t="s">
        <v>2783</v>
      </c>
      <c r="C1665" s="22">
        <v>44.04</v>
      </c>
      <c r="D1665" s="25" t="s">
        <v>2791</v>
      </c>
      <c r="E1665" s="23" t="s">
        <v>2792</v>
      </c>
      <c r="F1665" s="24" t="s">
        <v>2786</v>
      </c>
      <c r="G1665" s="202" t="s">
        <v>621</v>
      </c>
      <c r="H1665" s="103">
        <v>937</v>
      </c>
      <c r="I1665" s="26">
        <v>322</v>
      </c>
      <c r="J1665" s="31"/>
      <c r="K1665" s="31"/>
      <c r="L1665" s="31"/>
      <c r="M1665" s="31"/>
      <c r="N1665" s="31"/>
      <c r="O1665" s="31"/>
      <c r="P1665" s="31"/>
      <c r="Q1665" s="31"/>
      <c r="R1665" s="31"/>
      <c r="S1665" s="31"/>
      <c r="T1665" s="31"/>
      <c r="U1665" s="31"/>
      <c r="V1665" s="31"/>
      <c r="W1665" s="31"/>
      <c r="X1665" s="31"/>
      <c r="Y1665" s="31"/>
      <c r="Z1665" s="31"/>
      <c r="AA1665" s="31"/>
      <c r="AB1665" s="31"/>
      <c r="AC1665" s="31"/>
      <c r="AD1665" s="31"/>
      <c r="AE1665" s="31"/>
      <c r="AF1665" s="31"/>
      <c r="AG1665" s="31"/>
      <c r="AH1665" s="31"/>
      <c r="AI1665" s="31"/>
      <c r="AJ1665" s="31"/>
      <c r="AK1665" s="31"/>
      <c r="AL1665" s="28" t="str">
        <f>VLOOKUP($G1665,'[42]Sheet1 (2)'!$A$1:$B$1048440,2,FALSE)</f>
        <v>Sqm</v>
      </c>
      <c r="AM1665" s="32"/>
      <c r="AN1665" s="31"/>
      <c r="AO1665" s="33"/>
    </row>
    <row r="1666" spans="1:41" ht="48.75" customHeight="1" x14ac:dyDescent="0.25">
      <c r="A1666" s="20">
        <v>1520</v>
      </c>
      <c r="B1666" s="25" t="s">
        <v>2783</v>
      </c>
      <c r="C1666" s="22">
        <v>44.05</v>
      </c>
      <c r="D1666" s="25" t="s">
        <v>2793</v>
      </c>
      <c r="E1666" s="23" t="s">
        <v>2794</v>
      </c>
      <c r="F1666" s="24" t="s">
        <v>2786</v>
      </c>
      <c r="G1666" s="202" t="s">
        <v>621</v>
      </c>
      <c r="H1666" s="103">
        <v>693</v>
      </c>
      <c r="I1666" s="26">
        <v>360</v>
      </c>
      <c r="J1666" s="31"/>
      <c r="K1666" s="31"/>
      <c r="L1666" s="31"/>
      <c r="M1666" s="31"/>
      <c r="N1666" s="31"/>
      <c r="O1666" s="31"/>
      <c r="P1666" s="31"/>
      <c r="Q1666" s="31"/>
      <c r="R1666" s="31"/>
      <c r="S1666" s="31"/>
      <c r="T1666" s="31"/>
      <c r="U1666" s="31"/>
      <c r="V1666" s="31"/>
      <c r="W1666" s="31"/>
      <c r="X1666" s="31"/>
      <c r="Y1666" s="31"/>
      <c r="Z1666" s="31"/>
      <c r="AA1666" s="31"/>
      <c r="AB1666" s="31"/>
      <c r="AC1666" s="31"/>
      <c r="AD1666" s="31"/>
      <c r="AE1666" s="31"/>
      <c r="AF1666" s="31"/>
      <c r="AG1666" s="31"/>
      <c r="AH1666" s="31"/>
      <c r="AI1666" s="31"/>
      <c r="AJ1666" s="31"/>
      <c r="AK1666" s="31"/>
      <c r="AL1666" s="28" t="str">
        <f>VLOOKUP($G1666,'[42]Sheet1 (2)'!$A$1:$B$1048440,2,FALSE)</f>
        <v>Sqm</v>
      </c>
      <c r="AM1666" s="32"/>
      <c r="AN1666" s="31"/>
      <c r="AO1666" s="33"/>
    </row>
    <row r="1667" spans="1:41" ht="84" x14ac:dyDescent="0.25">
      <c r="A1667" s="20">
        <v>1521</v>
      </c>
      <c r="B1667" s="25" t="s">
        <v>2783</v>
      </c>
      <c r="C1667" s="22">
        <v>44.06</v>
      </c>
      <c r="D1667" s="25" t="s">
        <v>2795</v>
      </c>
      <c r="E1667" s="23" t="s">
        <v>2796</v>
      </c>
      <c r="F1667" s="24" t="s">
        <v>2786</v>
      </c>
      <c r="G1667" s="202" t="s">
        <v>621</v>
      </c>
      <c r="H1667" s="103">
        <v>732</v>
      </c>
      <c r="I1667" s="26">
        <v>360</v>
      </c>
      <c r="J1667" s="31"/>
      <c r="K1667" s="31"/>
      <c r="L1667" s="31"/>
      <c r="M1667" s="31"/>
      <c r="N1667" s="31"/>
      <c r="O1667" s="31"/>
      <c r="P1667" s="31"/>
      <c r="Q1667" s="31"/>
      <c r="R1667" s="31"/>
      <c r="S1667" s="31"/>
      <c r="T1667" s="31"/>
      <c r="U1667" s="31"/>
      <c r="V1667" s="31"/>
      <c r="W1667" s="31"/>
      <c r="X1667" s="31"/>
      <c r="Y1667" s="31"/>
      <c r="Z1667" s="31"/>
      <c r="AA1667" s="31"/>
      <c r="AB1667" s="31"/>
      <c r="AC1667" s="31"/>
      <c r="AD1667" s="31"/>
      <c r="AE1667" s="31"/>
      <c r="AF1667" s="31"/>
      <c r="AG1667" s="31"/>
      <c r="AH1667" s="31"/>
      <c r="AI1667" s="31"/>
      <c r="AJ1667" s="31"/>
      <c r="AK1667" s="31"/>
      <c r="AL1667" s="28" t="str">
        <f>VLOOKUP($G1667,'[42]Sheet1 (2)'!$A$1:$B$1048440,2,FALSE)</f>
        <v>Sqm</v>
      </c>
      <c r="AM1667" s="32"/>
      <c r="AN1667" s="31"/>
      <c r="AO1667" s="33"/>
    </row>
    <row r="1668" spans="1:41" ht="84" x14ac:dyDescent="0.25">
      <c r="A1668" s="20">
        <v>1522</v>
      </c>
      <c r="B1668" s="25" t="s">
        <v>2783</v>
      </c>
      <c r="C1668" s="22">
        <v>44.07</v>
      </c>
      <c r="D1668" s="25" t="s">
        <v>2797</v>
      </c>
      <c r="E1668" s="23" t="s">
        <v>2798</v>
      </c>
      <c r="F1668" s="24" t="s">
        <v>2786</v>
      </c>
      <c r="G1668" s="202" t="s">
        <v>621</v>
      </c>
      <c r="H1668" s="103">
        <v>634</v>
      </c>
      <c r="I1668" s="26">
        <v>322</v>
      </c>
      <c r="J1668" s="31"/>
      <c r="K1668" s="31"/>
      <c r="L1668" s="31"/>
      <c r="M1668" s="31"/>
      <c r="N1668" s="31"/>
      <c r="O1668" s="31"/>
      <c r="P1668" s="31"/>
      <c r="Q1668" s="31"/>
      <c r="R1668" s="31"/>
      <c r="S1668" s="31"/>
      <c r="T1668" s="31"/>
      <c r="U1668" s="31"/>
      <c r="V1668" s="31"/>
      <c r="W1668" s="31"/>
      <c r="X1668" s="31"/>
      <c r="Y1668" s="31"/>
      <c r="Z1668" s="31"/>
      <c r="AA1668" s="31"/>
      <c r="AB1668" s="31"/>
      <c r="AC1668" s="31"/>
      <c r="AD1668" s="31"/>
      <c r="AE1668" s="31"/>
      <c r="AF1668" s="31"/>
      <c r="AG1668" s="31"/>
      <c r="AH1668" s="31"/>
      <c r="AI1668" s="31"/>
      <c r="AJ1668" s="31"/>
      <c r="AK1668" s="31"/>
      <c r="AL1668" s="28" t="str">
        <f>VLOOKUP($G1668,'[42]Sheet1 (2)'!$A$1:$B$1048440,2,FALSE)</f>
        <v>Sqm</v>
      </c>
      <c r="AM1668" s="32"/>
      <c r="AN1668" s="31"/>
      <c r="AO1668" s="33"/>
    </row>
    <row r="1669" spans="1:41" ht="84" x14ac:dyDescent="0.25">
      <c r="A1669" s="20">
        <v>1523</v>
      </c>
      <c r="B1669" s="25" t="s">
        <v>2783</v>
      </c>
      <c r="C1669" s="22">
        <v>44.08</v>
      </c>
      <c r="D1669" s="25" t="s">
        <v>2799</v>
      </c>
      <c r="E1669" s="24" t="s">
        <v>2800</v>
      </c>
      <c r="F1669" s="24" t="s">
        <v>2786</v>
      </c>
      <c r="G1669" s="202" t="s">
        <v>621</v>
      </c>
      <c r="H1669" s="103">
        <v>669</v>
      </c>
      <c r="I1669" s="26">
        <v>322</v>
      </c>
      <c r="J1669" s="31"/>
      <c r="K1669" s="31"/>
      <c r="L1669" s="31"/>
      <c r="M1669" s="31"/>
      <c r="N1669" s="31"/>
      <c r="O1669" s="31"/>
      <c r="P1669" s="31"/>
      <c r="Q1669" s="31"/>
      <c r="R1669" s="31"/>
      <c r="S1669" s="31"/>
      <c r="T1669" s="31"/>
      <c r="U1669" s="31"/>
      <c r="V1669" s="31"/>
      <c r="W1669" s="31"/>
      <c r="X1669" s="31"/>
      <c r="Y1669" s="31"/>
      <c r="Z1669" s="31"/>
      <c r="AA1669" s="31"/>
      <c r="AB1669" s="31"/>
      <c r="AC1669" s="31"/>
      <c r="AD1669" s="31"/>
      <c r="AE1669" s="31"/>
      <c r="AF1669" s="31"/>
      <c r="AG1669" s="31"/>
      <c r="AH1669" s="31"/>
      <c r="AI1669" s="31"/>
      <c r="AJ1669" s="31"/>
      <c r="AK1669" s="31"/>
      <c r="AL1669" s="28" t="str">
        <f>VLOOKUP($G1669,'[42]Sheet1 (2)'!$A$1:$B$1048440,2,FALSE)</f>
        <v>Sqm</v>
      </c>
      <c r="AM1669" s="32"/>
      <c r="AN1669" s="31"/>
      <c r="AO1669" s="33"/>
    </row>
    <row r="1670" spans="1:41" ht="98" x14ac:dyDescent="0.25">
      <c r="A1670" s="20">
        <v>1524</v>
      </c>
      <c r="B1670" s="25" t="s">
        <v>2783</v>
      </c>
      <c r="C1670" s="22">
        <v>44.09</v>
      </c>
      <c r="D1670" s="25" t="s">
        <v>2801</v>
      </c>
      <c r="E1670" s="24" t="s">
        <v>2802</v>
      </c>
      <c r="F1670" s="24" t="s">
        <v>2803</v>
      </c>
      <c r="G1670" s="21" t="s">
        <v>1081</v>
      </c>
      <c r="H1670" s="103">
        <v>716</v>
      </c>
      <c r="I1670" s="26">
        <v>227</v>
      </c>
      <c r="J1670" s="31"/>
      <c r="K1670" s="31"/>
      <c r="L1670" s="31"/>
      <c r="M1670" s="31"/>
      <c r="N1670" s="31"/>
      <c r="O1670" s="31"/>
      <c r="P1670" s="31"/>
      <c r="Q1670" s="31"/>
      <c r="R1670" s="31"/>
      <c r="S1670" s="31"/>
      <c r="T1670" s="31"/>
      <c r="U1670" s="31"/>
      <c r="V1670" s="31"/>
      <c r="W1670" s="31"/>
      <c r="X1670" s="31"/>
      <c r="Y1670" s="31"/>
      <c r="Z1670" s="31"/>
      <c r="AA1670" s="31"/>
      <c r="AB1670" s="31"/>
      <c r="AC1670" s="31"/>
      <c r="AD1670" s="31"/>
      <c r="AE1670" s="31"/>
      <c r="AF1670" s="31"/>
      <c r="AG1670" s="31"/>
      <c r="AH1670" s="31"/>
      <c r="AI1670" s="31"/>
      <c r="AJ1670" s="31"/>
      <c r="AK1670" s="31"/>
      <c r="AL1670" s="28" t="e">
        <f>VLOOKUP($G1670,'[42]Sheet1 (2)'!$A$1:$B$1048440,2,FALSE)</f>
        <v>#N/A</v>
      </c>
      <c r="AM1670" s="32"/>
      <c r="AN1670" s="31"/>
      <c r="AO1670" s="33"/>
    </row>
    <row r="1671" spans="1:41" ht="84" x14ac:dyDescent="0.25">
      <c r="A1671" s="20">
        <v>1525</v>
      </c>
      <c r="B1671" s="25" t="s">
        <v>2783</v>
      </c>
      <c r="C1671" s="22">
        <v>44.1</v>
      </c>
      <c r="D1671" s="25" t="s">
        <v>2804</v>
      </c>
      <c r="E1671" s="23" t="s">
        <v>2805</v>
      </c>
      <c r="F1671" s="24" t="s">
        <v>2806</v>
      </c>
      <c r="G1671" s="202" t="s">
        <v>621</v>
      </c>
      <c r="H1671" s="26">
        <v>3190</v>
      </c>
      <c r="I1671" s="26">
        <v>503</v>
      </c>
      <c r="J1671" s="31"/>
      <c r="K1671" s="31"/>
      <c r="L1671" s="31"/>
      <c r="M1671" s="31"/>
      <c r="N1671" s="31"/>
      <c r="O1671" s="31"/>
      <c r="P1671" s="31"/>
      <c r="Q1671" s="31"/>
      <c r="R1671" s="31"/>
      <c r="S1671" s="31"/>
      <c r="T1671" s="31"/>
      <c r="U1671" s="31"/>
      <c r="V1671" s="31"/>
      <c r="W1671" s="31"/>
      <c r="X1671" s="31"/>
      <c r="Y1671" s="31"/>
      <c r="Z1671" s="31"/>
      <c r="AA1671" s="31"/>
      <c r="AB1671" s="31"/>
      <c r="AC1671" s="31"/>
      <c r="AD1671" s="31"/>
      <c r="AE1671" s="31"/>
      <c r="AF1671" s="31"/>
      <c r="AG1671" s="31"/>
      <c r="AH1671" s="31"/>
      <c r="AI1671" s="31"/>
      <c r="AJ1671" s="31"/>
      <c r="AK1671" s="31"/>
      <c r="AL1671" s="28" t="str">
        <f>VLOOKUP($G1671,'[42]Sheet1 (2)'!$A$1:$B$1048440,2,FALSE)</f>
        <v>Sqm</v>
      </c>
      <c r="AM1671" s="32"/>
      <c r="AN1671" s="31"/>
      <c r="AO1671" s="33"/>
    </row>
    <row r="1672" spans="1:41" ht="42" x14ac:dyDescent="0.25">
      <c r="A1672" s="20">
        <v>1526</v>
      </c>
      <c r="B1672" s="35" t="s">
        <v>2807</v>
      </c>
      <c r="C1672" s="22">
        <v>44.11</v>
      </c>
      <c r="D1672" s="25" t="s">
        <v>2808</v>
      </c>
      <c r="E1672" s="24" t="s">
        <v>2809</v>
      </c>
      <c r="F1672" s="24" t="s">
        <v>2810</v>
      </c>
      <c r="G1672" s="25" t="s">
        <v>45</v>
      </c>
      <c r="H1672" s="26">
        <v>7644</v>
      </c>
      <c r="I1672" s="26">
        <v>2312</v>
      </c>
      <c r="J1672" s="31"/>
      <c r="K1672" s="31"/>
      <c r="L1672" s="31"/>
      <c r="M1672" s="31"/>
      <c r="N1672" s="31"/>
      <c r="O1672" s="31"/>
      <c r="P1672" s="31"/>
      <c r="Q1672" s="31"/>
      <c r="R1672" s="31"/>
      <c r="S1672" s="31"/>
      <c r="T1672" s="31"/>
      <c r="U1672" s="31"/>
      <c r="V1672" s="31"/>
      <c r="W1672" s="31"/>
      <c r="X1672" s="31"/>
      <c r="Y1672" s="31"/>
      <c r="Z1672" s="31"/>
      <c r="AA1672" s="31"/>
      <c r="AB1672" s="31"/>
      <c r="AC1672" s="31"/>
      <c r="AD1672" s="31"/>
      <c r="AE1672" s="31"/>
      <c r="AF1672" s="31"/>
      <c r="AG1672" s="31"/>
      <c r="AH1672" s="31"/>
      <c r="AI1672" s="31"/>
      <c r="AJ1672" s="31"/>
      <c r="AK1672" s="31"/>
      <c r="AL1672" s="28" t="str">
        <f>VLOOKUP($G1672,'[42]Sheet1 (2)'!$A$1:$B$1048440,2,FALSE)</f>
        <v>No.</v>
      </c>
      <c r="AM1672" s="32"/>
      <c r="AN1672" s="31"/>
      <c r="AO1672" s="33"/>
    </row>
    <row r="1673" spans="1:41" ht="42" x14ac:dyDescent="0.25">
      <c r="A1673" s="20">
        <v>1527</v>
      </c>
      <c r="B1673" s="35" t="s">
        <v>2807</v>
      </c>
      <c r="C1673" s="22">
        <v>44.12</v>
      </c>
      <c r="D1673" s="25" t="s">
        <v>2808</v>
      </c>
      <c r="E1673" s="24" t="s">
        <v>2811</v>
      </c>
      <c r="F1673" s="24" t="s">
        <v>2810</v>
      </c>
      <c r="G1673" s="25" t="s">
        <v>45</v>
      </c>
      <c r="H1673" s="26">
        <v>8627</v>
      </c>
      <c r="I1673" s="26">
        <v>2312</v>
      </c>
      <c r="J1673" s="31"/>
      <c r="K1673" s="31"/>
      <c r="L1673" s="31"/>
      <c r="M1673" s="31"/>
      <c r="N1673" s="31"/>
      <c r="O1673" s="31"/>
      <c r="P1673" s="31"/>
      <c r="Q1673" s="31"/>
      <c r="R1673" s="31"/>
      <c r="S1673" s="31"/>
      <c r="T1673" s="31"/>
      <c r="U1673" s="31"/>
      <c r="V1673" s="31"/>
      <c r="W1673" s="31"/>
      <c r="X1673" s="31"/>
      <c r="Y1673" s="31"/>
      <c r="Z1673" s="31"/>
      <c r="AA1673" s="31"/>
      <c r="AB1673" s="31"/>
      <c r="AC1673" s="31"/>
      <c r="AD1673" s="31"/>
      <c r="AE1673" s="31"/>
      <c r="AF1673" s="31"/>
      <c r="AG1673" s="31"/>
      <c r="AH1673" s="31"/>
      <c r="AI1673" s="31"/>
      <c r="AJ1673" s="31"/>
      <c r="AK1673" s="31"/>
      <c r="AL1673" s="28" t="str">
        <f>VLOOKUP($G1673,'[42]Sheet1 (2)'!$A$1:$B$1048440,2,FALSE)</f>
        <v>No.</v>
      </c>
      <c r="AM1673" s="32"/>
      <c r="AN1673" s="31"/>
      <c r="AO1673" s="33"/>
    </row>
    <row r="1674" spans="1:41" ht="98" x14ac:dyDescent="0.25">
      <c r="A1674" s="20">
        <v>1528</v>
      </c>
      <c r="B1674" s="25" t="s">
        <v>2783</v>
      </c>
      <c r="C1674" s="22">
        <v>44.13</v>
      </c>
      <c r="D1674" s="25" t="s">
        <v>1325</v>
      </c>
      <c r="E1674" s="23" t="s">
        <v>2812</v>
      </c>
      <c r="F1674" s="24" t="s">
        <v>2803</v>
      </c>
      <c r="G1674" s="25" t="s">
        <v>1079</v>
      </c>
      <c r="H1674" s="26">
        <v>838</v>
      </c>
      <c r="I1674" s="26">
        <v>227</v>
      </c>
      <c r="J1674" s="31"/>
      <c r="K1674" s="31"/>
      <c r="L1674" s="31"/>
      <c r="M1674" s="31"/>
      <c r="N1674" s="31"/>
      <c r="O1674" s="31"/>
      <c r="P1674" s="31"/>
      <c r="Q1674" s="31"/>
      <c r="R1674" s="31"/>
      <c r="S1674" s="31"/>
      <c r="T1674" s="31"/>
      <c r="U1674" s="31"/>
      <c r="V1674" s="31"/>
      <c r="W1674" s="31"/>
      <c r="X1674" s="31"/>
      <c r="Y1674" s="31"/>
      <c r="Z1674" s="31"/>
      <c r="AA1674" s="31"/>
      <c r="AB1674" s="31"/>
      <c r="AC1674" s="31"/>
      <c r="AD1674" s="31"/>
      <c r="AE1674" s="31"/>
      <c r="AF1674" s="31"/>
      <c r="AG1674" s="31"/>
      <c r="AH1674" s="31"/>
      <c r="AI1674" s="31"/>
      <c r="AJ1674" s="31"/>
      <c r="AK1674" s="31"/>
      <c r="AL1674" s="28" t="str">
        <f>VLOOKUP($G1674,'[42]Sheet1 (2)'!$A$1:$B$1048440,2,FALSE)</f>
        <v>Rmt.</v>
      </c>
      <c r="AM1674" s="32"/>
      <c r="AN1674" s="31"/>
      <c r="AO1674" s="33"/>
    </row>
    <row r="1675" spans="1:41" ht="56" x14ac:dyDescent="0.25">
      <c r="A1675" s="20">
        <v>1529</v>
      </c>
      <c r="B1675" s="35" t="s">
        <v>2807</v>
      </c>
      <c r="C1675" s="22">
        <v>44.14</v>
      </c>
      <c r="D1675" s="25" t="s">
        <v>1325</v>
      </c>
      <c r="E1675" s="23" t="s">
        <v>2813</v>
      </c>
      <c r="F1675" s="35" t="s">
        <v>2814</v>
      </c>
      <c r="G1675" s="202" t="s">
        <v>621</v>
      </c>
      <c r="H1675" s="26">
        <v>124</v>
      </c>
      <c r="I1675" s="26">
        <v>61</v>
      </c>
      <c r="J1675" s="31"/>
      <c r="K1675" s="31"/>
      <c r="L1675" s="31"/>
      <c r="M1675" s="31"/>
      <c r="N1675" s="31"/>
      <c r="O1675" s="31"/>
      <c r="P1675" s="31"/>
      <c r="Q1675" s="31"/>
      <c r="R1675" s="31"/>
      <c r="S1675" s="31"/>
      <c r="T1675" s="31"/>
      <c r="U1675" s="31"/>
      <c r="V1675" s="31"/>
      <c r="W1675" s="31"/>
      <c r="X1675" s="31"/>
      <c r="Y1675" s="31"/>
      <c r="Z1675" s="31"/>
      <c r="AA1675" s="31"/>
      <c r="AB1675" s="31"/>
      <c r="AC1675" s="31"/>
      <c r="AD1675" s="31"/>
      <c r="AE1675" s="31"/>
      <c r="AF1675" s="31"/>
      <c r="AG1675" s="31"/>
      <c r="AH1675" s="31"/>
      <c r="AI1675" s="31"/>
      <c r="AJ1675" s="31"/>
      <c r="AK1675" s="31"/>
      <c r="AL1675" s="28" t="str">
        <f>VLOOKUP($G1675,'[42]Sheet1 (2)'!$A$1:$B$1048440,2,FALSE)</f>
        <v>Sqm</v>
      </c>
      <c r="AM1675" s="32"/>
      <c r="AN1675" s="31"/>
      <c r="AO1675" s="33"/>
    </row>
    <row r="1676" spans="1:41" ht="56" x14ac:dyDescent="0.25">
      <c r="A1676" s="20">
        <v>1530</v>
      </c>
      <c r="B1676" s="35" t="s">
        <v>2815</v>
      </c>
      <c r="C1676" s="22">
        <v>44.15</v>
      </c>
      <c r="D1676" s="25" t="s">
        <v>1325</v>
      </c>
      <c r="E1676" s="23" t="s">
        <v>2816</v>
      </c>
      <c r="F1676" s="24" t="s">
        <v>2817</v>
      </c>
      <c r="G1676" s="202" t="s">
        <v>621</v>
      </c>
      <c r="H1676" s="26">
        <v>152</v>
      </c>
      <c r="I1676" s="26">
        <v>64</v>
      </c>
      <c r="J1676" s="31"/>
      <c r="K1676" s="31"/>
      <c r="L1676" s="31"/>
      <c r="M1676" s="31"/>
      <c r="N1676" s="31"/>
      <c r="O1676" s="31"/>
      <c r="P1676" s="31"/>
      <c r="Q1676" s="31"/>
      <c r="R1676" s="31"/>
      <c r="S1676" s="31"/>
      <c r="T1676" s="31"/>
      <c r="U1676" s="31"/>
      <c r="V1676" s="31"/>
      <c r="W1676" s="31"/>
      <c r="X1676" s="31"/>
      <c r="Y1676" s="31"/>
      <c r="Z1676" s="31"/>
      <c r="AA1676" s="31"/>
      <c r="AB1676" s="31"/>
      <c r="AC1676" s="31"/>
      <c r="AD1676" s="31"/>
      <c r="AE1676" s="31"/>
      <c r="AF1676" s="31"/>
      <c r="AG1676" s="31"/>
      <c r="AH1676" s="31"/>
      <c r="AI1676" s="31"/>
      <c r="AJ1676" s="31"/>
      <c r="AK1676" s="31"/>
      <c r="AL1676" s="28" t="str">
        <f>VLOOKUP($G1676,'[42]Sheet1 (2)'!$A$1:$B$1048440,2,FALSE)</f>
        <v>Sqm</v>
      </c>
      <c r="AM1676" s="32"/>
      <c r="AN1676" s="31"/>
      <c r="AO1676" s="33"/>
    </row>
    <row r="1677" spans="1:41" ht="56" x14ac:dyDescent="0.25">
      <c r="A1677" s="20">
        <v>1531</v>
      </c>
      <c r="B1677" s="35" t="s">
        <v>2807</v>
      </c>
      <c r="C1677" s="22">
        <v>44.16</v>
      </c>
      <c r="D1677" s="25" t="s">
        <v>1325</v>
      </c>
      <c r="E1677" s="23" t="s">
        <v>2818</v>
      </c>
      <c r="F1677" s="35" t="s">
        <v>2814</v>
      </c>
      <c r="G1677" s="202" t="s">
        <v>621</v>
      </c>
      <c r="H1677" s="26">
        <v>168</v>
      </c>
      <c r="I1677" s="26">
        <v>80</v>
      </c>
      <c r="J1677" s="31"/>
      <c r="K1677" s="31"/>
      <c r="L1677" s="31"/>
      <c r="M1677" s="31"/>
      <c r="N1677" s="31"/>
      <c r="O1677" s="31"/>
      <c r="P1677" s="31"/>
      <c r="Q1677" s="31"/>
      <c r="R1677" s="31"/>
      <c r="S1677" s="31"/>
      <c r="T1677" s="31"/>
      <c r="U1677" s="31"/>
      <c r="V1677" s="31"/>
      <c r="W1677" s="31"/>
      <c r="X1677" s="31"/>
      <c r="Y1677" s="31"/>
      <c r="Z1677" s="31"/>
      <c r="AA1677" s="31"/>
      <c r="AB1677" s="31"/>
      <c r="AC1677" s="31"/>
      <c r="AD1677" s="31"/>
      <c r="AE1677" s="31"/>
      <c r="AF1677" s="31"/>
      <c r="AG1677" s="31"/>
      <c r="AH1677" s="31"/>
      <c r="AI1677" s="31"/>
      <c r="AJ1677" s="31"/>
      <c r="AK1677" s="31"/>
      <c r="AL1677" s="28" t="str">
        <f>VLOOKUP($G1677,'[42]Sheet1 (2)'!$A$1:$B$1048440,2,FALSE)</f>
        <v>Sqm</v>
      </c>
      <c r="AM1677" s="32"/>
      <c r="AN1677" s="31"/>
      <c r="AO1677" s="33"/>
    </row>
    <row r="1678" spans="1:41" ht="56" x14ac:dyDescent="0.25">
      <c r="A1678" s="20">
        <v>1532</v>
      </c>
      <c r="B1678" s="35" t="s">
        <v>2815</v>
      </c>
      <c r="C1678" s="22">
        <v>44.17</v>
      </c>
      <c r="D1678" s="25" t="s">
        <v>1325</v>
      </c>
      <c r="E1678" s="24" t="s">
        <v>2819</v>
      </c>
      <c r="F1678" s="35" t="s">
        <v>2820</v>
      </c>
      <c r="G1678" s="202" t="s">
        <v>621</v>
      </c>
      <c r="H1678" s="26">
        <v>235</v>
      </c>
      <c r="I1678" s="26">
        <v>149</v>
      </c>
      <c r="J1678" s="31"/>
      <c r="K1678" s="31"/>
      <c r="L1678" s="31"/>
      <c r="M1678" s="31"/>
      <c r="N1678" s="31"/>
      <c r="O1678" s="31"/>
      <c r="P1678" s="31"/>
      <c r="Q1678" s="31"/>
      <c r="R1678" s="31"/>
      <c r="S1678" s="31"/>
      <c r="T1678" s="31"/>
      <c r="U1678" s="31"/>
      <c r="V1678" s="31"/>
      <c r="W1678" s="31"/>
      <c r="X1678" s="31"/>
      <c r="Y1678" s="31"/>
      <c r="Z1678" s="31"/>
      <c r="AA1678" s="31"/>
      <c r="AB1678" s="31"/>
      <c r="AC1678" s="31"/>
      <c r="AD1678" s="31"/>
      <c r="AE1678" s="31"/>
      <c r="AF1678" s="31"/>
      <c r="AG1678" s="31"/>
      <c r="AH1678" s="31"/>
      <c r="AI1678" s="31"/>
      <c r="AJ1678" s="31"/>
      <c r="AK1678" s="31"/>
      <c r="AL1678" s="28" t="str">
        <f>VLOOKUP($G1678,'[42]Sheet1 (2)'!$A$1:$B$1048440,2,FALSE)</f>
        <v>Sqm</v>
      </c>
      <c r="AM1678" s="32"/>
      <c r="AN1678" s="31"/>
      <c r="AO1678" s="33"/>
    </row>
    <row r="1679" spans="1:41" ht="224" x14ac:dyDescent="0.25">
      <c r="A1679" s="20">
        <v>1533</v>
      </c>
      <c r="B1679" s="25" t="s">
        <v>2783</v>
      </c>
      <c r="C1679" s="22">
        <v>44.18</v>
      </c>
      <c r="D1679" s="25" t="s">
        <v>1325</v>
      </c>
      <c r="E1679" s="24" t="s">
        <v>2821</v>
      </c>
      <c r="F1679" s="21" t="s">
        <v>2822</v>
      </c>
      <c r="G1679" s="25" t="s">
        <v>45</v>
      </c>
      <c r="H1679" s="26">
        <v>25784</v>
      </c>
      <c r="I1679" s="26">
        <v>5621</v>
      </c>
      <c r="J1679" s="31"/>
      <c r="K1679" s="31"/>
      <c r="L1679" s="31"/>
      <c r="M1679" s="31"/>
      <c r="N1679" s="31"/>
      <c r="O1679" s="31"/>
      <c r="P1679" s="31"/>
      <c r="Q1679" s="31"/>
      <c r="R1679" s="31"/>
      <c r="S1679" s="31"/>
      <c r="T1679" s="31"/>
      <c r="U1679" s="31"/>
      <c r="V1679" s="31"/>
      <c r="W1679" s="31"/>
      <c r="X1679" s="31"/>
      <c r="Y1679" s="31"/>
      <c r="Z1679" s="31"/>
      <c r="AA1679" s="31"/>
      <c r="AB1679" s="31"/>
      <c r="AC1679" s="31"/>
      <c r="AD1679" s="31"/>
      <c r="AE1679" s="31"/>
      <c r="AF1679" s="31"/>
      <c r="AG1679" s="31"/>
      <c r="AH1679" s="31"/>
      <c r="AI1679" s="31"/>
      <c r="AJ1679" s="31"/>
      <c r="AK1679" s="31"/>
      <c r="AL1679" s="28" t="str">
        <f>VLOOKUP($G1679,'[42]Sheet1 (2)'!$A$1:$B$1048440,2,FALSE)</f>
        <v>No.</v>
      </c>
      <c r="AM1679" s="32"/>
      <c r="AN1679" s="31"/>
      <c r="AO1679" s="33"/>
    </row>
    <row r="1680" spans="1:41" ht="70" x14ac:dyDescent="0.25">
      <c r="A1680" s="20">
        <v>1534</v>
      </c>
      <c r="B1680" s="25" t="s">
        <v>2783</v>
      </c>
      <c r="C1680" s="22">
        <v>44.19</v>
      </c>
      <c r="D1680" s="25" t="s">
        <v>1325</v>
      </c>
      <c r="E1680" s="24" t="s">
        <v>2823</v>
      </c>
      <c r="F1680" s="25" t="s">
        <v>2824</v>
      </c>
      <c r="G1680" s="21" t="s">
        <v>80</v>
      </c>
      <c r="H1680" s="26">
        <v>793</v>
      </c>
      <c r="I1680" s="26">
        <v>305</v>
      </c>
      <c r="J1680" s="31"/>
      <c r="K1680" s="31"/>
      <c r="L1680" s="31"/>
      <c r="M1680" s="31"/>
      <c r="N1680" s="31"/>
      <c r="O1680" s="31"/>
      <c r="P1680" s="31"/>
      <c r="Q1680" s="31"/>
      <c r="R1680" s="31"/>
      <c r="S1680" s="31"/>
      <c r="T1680" s="31"/>
      <c r="U1680" s="31"/>
      <c r="V1680" s="31"/>
      <c r="W1680" s="31"/>
      <c r="X1680" s="31"/>
      <c r="Y1680" s="31"/>
      <c r="Z1680" s="31"/>
      <c r="AA1680" s="31"/>
      <c r="AB1680" s="31"/>
      <c r="AC1680" s="31"/>
      <c r="AD1680" s="31"/>
      <c r="AE1680" s="31"/>
      <c r="AF1680" s="31"/>
      <c r="AG1680" s="31"/>
      <c r="AH1680" s="31"/>
      <c r="AI1680" s="31"/>
      <c r="AJ1680" s="31"/>
      <c r="AK1680" s="31"/>
      <c r="AL1680" s="28" t="str">
        <f>VLOOKUP($G1680,'[42]Sheet1 (2)'!$A$1:$B$1048440,2,FALSE)</f>
        <v>Rmt.</v>
      </c>
      <c r="AM1680" s="32"/>
      <c r="AN1680" s="31"/>
      <c r="AO1680" s="33"/>
    </row>
    <row r="1681" spans="1:41" ht="84" x14ac:dyDescent="0.25">
      <c r="A1681" s="20">
        <v>1535</v>
      </c>
      <c r="B1681" s="25" t="s">
        <v>2783</v>
      </c>
      <c r="C1681" s="22">
        <v>44.2</v>
      </c>
      <c r="D1681" s="25" t="s">
        <v>1325</v>
      </c>
      <c r="E1681" s="24" t="s">
        <v>2825</v>
      </c>
      <c r="F1681" s="24" t="s">
        <v>2817</v>
      </c>
      <c r="G1681" s="21" t="s">
        <v>80</v>
      </c>
      <c r="H1681" s="26">
        <v>300</v>
      </c>
      <c r="I1681" s="26">
        <v>194</v>
      </c>
      <c r="J1681" s="31"/>
      <c r="K1681" s="31"/>
      <c r="L1681" s="31"/>
      <c r="M1681" s="31"/>
      <c r="N1681" s="31"/>
      <c r="O1681" s="31"/>
      <c r="P1681" s="31"/>
      <c r="Q1681" s="31"/>
      <c r="R1681" s="31"/>
      <c r="S1681" s="31"/>
      <c r="T1681" s="31"/>
      <c r="U1681" s="31"/>
      <c r="V1681" s="31"/>
      <c r="W1681" s="31"/>
      <c r="X1681" s="31"/>
      <c r="Y1681" s="31"/>
      <c r="Z1681" s="31"/>
      <c r="AA1681" s="31"/>
      <c r="AB1681" s="31"/>
      <c r="AC1681" s="31"/>
      <c r="AD1681" s="31"/>
      <c r="AE1681" s="31"/>
      <c r="AF1681" s="31"/>
      <c r="AG1681" s="31"/>
      <c r="AH1681" s="31"/>
      <c r="AI1681" s="31"/>
      <c r="AJ1681" s="31"/>
      <c r="AK1681" s="31"/>
      <c r="AL1681" s="28" t="str">
        <f>VLOOKUP($G1681,'[42]Sheet1 (2)'!$A$1:$B$1048440,2,FALSE)</f>
        <v>Rmt.</v>
      </c>
      <c r="AM1681" s="32"/>
      <c r="AN1681" s="31"/>
      <c r="AO1681" s="33"/>
    </row>
    <row r="1682" spans="1:41" ht="84" x14ac:dyDescent="0.25">
      <c r="A1682" s="20">
        <v>1536</v>
      </c>
      <c r="B1682" s="25" t="s">
        <v>2783</v>
      </c>
      <c r="C1682" s="22">
        <v>44.21</v>
      </c>
      <c r="D1682" s="25" t="s">
        <v>1325</v>
      </c>
      <c r="E1682" s="23" t="s">
        <v>2826</v>
      </c>
      <c r="F1682" s="24" t="s">
        <v>2817</v>
      </c>
      <c r="G1682" s="202" t="s">
        <v>621</v>
      </c>
      <c r="H1682" s="26">
        <v>769</v>
      </c>
      <c r="I1682" s="26">
        <v>370</v>
      </c>
      <c r="J1682" s="31"/>
      <c r="K1682" s="31"/>
      <c r="L1682" s="31"/>
      <c r="M1682" s="31"/>
      <c r="N1682" s="31"/>
      <c r="O1682" s="31"/>
      <c r="P1682" s="31"/>
      <c r="Q1682" s="31"/>
      <c r="R1682" s="31"/>
      <c r="S1682" s="31"/>
      <c r="T1682" s="31"/>
      <c r="U1682" s="31"/>
      <c r="V1682" s="31"/>
      <c r="W1682" s="31"/>
      <c r="X1682" s="31"/>
      <c r="Y1682" s="31"/>
      <c r="Z1682" s="31"/>
      <c r="AA1682" s="31"/>
      <c r="AB1682" s="31"/>
      <c r="AC1682" s="31"/>
      <c r="AD1682" s="31"/>
      <c r="AE1682" s="31"/>
      <c r="AF1682" s="31"/>
      <c r="AG1682" s="31"/>
      <c r="AH1682" s="31"/>
      <c r="AI1682" s="31"/>
      <c r="AJ1682" s="31"/>
      <c r="AK1682" s="31"/>
      <c r="AL1682" s="28" t="str">
        <f>VLOOKUP($G1682,'[42]Sheet1 (2)'!$A$1:$B$1048440,2,FALSE)</f>
        <v>Sqm</v>
      </c>
      <c r="AM1682" s="32"/>
      <c r="AN1682" s="31"/>
      <c r="AO1682" s="33"/>
    </row>
    <row r="1683" spans="1:41" ht="56" x14ac:dyDescent="0.25">
      <c r="A1683" s="20">
        <v>1537</v>
      </c>
      <c r="B1683" s="35" t="s">
        <v>2807</v>
      </c>
      <c r="C1683" s="22">
        <v>44.23</v>
      </c>
      <c r="D1683" s="25" t="s">
        <v>1325</v>
      </c>
      <c r="E1683" s="24" t="s">
        <v>2827</v>
      </c>
      <c r="F1683" s="35" t="s">
        <v>2814</v>
      </c>
      <c r="G1683" s="202" t="s">
        <v>621</v>
      </c>
      <c r="H1683" s="26">
        <v>1064</v>
      </c>
      <c r="I1683" s="26">
        <v>346</v>
      </c>
      <c r="J1683" s="31"/>
      <c r="K1683" s="31"/>
      <c r="L1683" s="31"/>
      <c r="M1683" s="31"/>
      <c r="N1683" s="31"/>
      <c r="O1683" s="31"/>
      <c r="P1683" s="31"/>
      <c r="Q1683" s="31"/>
      <c r="R1683" s="31"/>
      <c r="S1683" s="31"/>
      <c r="T1683" s="31"/>
      <c r="U1683" s="31"/>
      <c r="V1683" s="31"/>
      <c r="W1683" s="31"/>
      <c r="X1683" s="31"/>
      <c r="Y1683" s="31"/>
      <c r="Z1683" s="31"/>
      <c r="AA1683" s="31"/>
      <c r="AB1683" s="31"/>
      <c r="AC1683" s="31"/>
      <c r="AD1683" s="31"/>
      <c r="AE1683" s="31"/>
      <c r="AF1683" s="31"/>
      <c r="AG1683" s="31"/>
      <c r="AH1683" s="31"/>
      <c r="AI1683" s="31"/>
      <c r="AJ1683" s="31"/>
      <c r="AK1683" s="31"/>
      <c r="AL1683" s="28" t="str">
        <f>VLOOKUP($G1683,'[42]Sheet1 (2)'!$A$1:$B$1048440,2,FALSE)</f>
        <v>Sqm</v>
      </c>
      <c r="AM1683" s="32"/>
      <c r="AN1683" s="31"/>
      <c r="AO1683" s="33"/>
    </row>
    <row r="1684" spans="1:41" ht="56" x14ac:dyDescent="0.25">
      <c r="A1684" s="20">
        <v>1538</v>
      </c>
      <c r="B1684" s="35" t="s">
        <v>2807</v>
      </c>
      <c r="C1684" s="22">
        <v>44.24</v>
      </c>
      <c r="D1684" s="25" t="s">
        <v>1325</v>
      </c>
      <c r="E1684" s="24" t="s">
        <v>2828</v>
      </c>
      <c r="F1684" s="35" t="s">
        <v>2814</v>
      </c>
      <c r="G1684" s="202" t="s">
        <v>621</v>
      </c>
      <c r="H1684" s="26">
        <v>1005</v>
      </c>
      <c r="I1684" s="26">
        <v>346</v>
      </c>
      <c r="J1684" s="31"/>
      <c r="K1684" s="31"/>
      <c r="L1684" s="31"/>
      <c r="M1684" s="31"/>
      <c r="N1684" s="31"/>
      <c r="O1684" s="31"/>
      <c r="P1684" s="31"/>
      <c r="Q1684" s="31"/>
      <c r="R1684" s="31"/>
      <c r="S1684" s="31"/>
      <c r="T1684" s="31"/>
      <c r="U1684" s="31"/>
      <c r="V1684" s="31"/>
      <c r="W1684" s="31"/>
      <c r="X1684" s="31"/>
      <c r="Y1684" s="31"/>
      <c r="Z1684" s="31"/>
      <c r="AA1684" s="31"/>
      <c r="AB1684" s="31"/>
      <c r="AC1684" s="31"/>
      <c r="AD1684" s="31"/>
      <c r="AE1684" s="31"/>
      <c r="AF1684" s="31"/>
      <c r="AG1684" s="31"/>
      <c r="AH1684" s="31"/>
      <c r="AI1684" s="31"/>
      <c r="AJ1684" s="31"/>
      <c r="AK1684" s="31"/>
      <c r="AL1684" s="28" t="str">
        <f>VLOOKUP($G1684,'[42]Sheet1 (2)'!$A$1:$B$1048440,2,FALSE)</f>
        <v>Sqm</v>
      </c>
      <c r="AM1684" s="32"/>
      <c r="AN1684" s="31"/>
      <c r="AO1684" s="33"/>
    </row>
    <row r="1685" spans="1:41" ht="56" x14ac:dyDescent="0.25">
      <c r="A1685" s="20">
        <v>1539</v>
      </c>
      <c r="B1685" s="21" t="s">
        <v>2829</v>
      </c>
      <c r="C1685" s="22">
        <v>46.01</v>
      </c>
      <c r="D1685" s="25" t="s">
        <v>2830</v>
      </c>
      <c r="E1685" s="23" t="s">
        <v>2831</v>
      </c>
      <c r="F1685" s="24" t="s">
        <v>2832</v>
      </c>
      <c r="G1685" s="202" t="s">
        <v>621</v>
      </c>
      <c r="H1685" s="26">
        <v>112</v>
      </c>
      <c r="I1685" s="26">
        <v>112</v>
      </c>
      <c r="J1685" s="31"/>
      <c r="K1685" s="31"/>
      <c r="L1685" s="31"/>
      <c r="M1685" s="31"/>
      <c r="N1685" s="31"/>
      <c r="O1685" s="31"/>
      <c r="P1685" s="31"/>
      <c r="Q1685" s="31"/>
      <c r="R1685" s="31"/>
      <c r="S1685" s="31"/>
      <c r="T1685" s="31"/>
      <c r="U1685" s="31"/>
      <c r="V1685" s="31"/>
      <c r="W1685" s="31"/>
      <c r="X1685" s="31"/>
      <c r="Y1685" s="31"/>
      <c r="Z1685" s="31"/>
      <c r="AA1685" s="31"/>
      <c r="AB1685" s="31"/>
      <c r="AC1685" s="31"/>
      <c r="AD1685" s="31"/>
      <c r="AE1685" s="31"/>
      <c r="AF1685" s="31"/>
      <c r="AG1685" s="31"/>
      <c r="AH1685" s="31"/>
      <c r="AI1685" s="31"/>
      <c r="AJ1685" s="31"/>
      <c r="AK1685" s="31"/>
      <c r="AL1685" s="28" t="str">
        <f>VLOOKUP($G1685,'[42]Sheet1 (2)'!$A$1:$B$1048440,2,FALSE)</f>
        <v>Sqm</v>
      </c>
      <c r="AM1685" s="32"/>
      <c r="AN1685" s="31"/>
      <c r="AO1685" s="33"/>
    </row>
    <row r="1686" spans="1:41" ht="56" x14ac:dyDescent="0.25">
      <c r="A1686" s="20">
        <v>1540</v>
      </c>
      <c r="B1686" s="35" t="s">
        <v>2833</v>
      </c>
      <c r="C1686" s="22">
        <v>46.02</v>
      </c>
      <c r="D1686" s="25" t="s">
        <v>2834</v>
      </c>
      <c r="E1686" s="23" t="s">
        <v>2835</v>
      </c>
      <c r="F1686" s="35" t="s">
        <v>2836</v>
      </c>
      <c r="G1686" s="35" t="s">
        <v>151</v>
      </c>
      <c r="H1686" s="26">
        <v>50</v>
      </c>
      <c r="I1686" s="26">
        <v>50</v>
      </c>
      <c r="J1686" s="31"/>
      <c r="K1686" s="31"/>
      <c r="L1686" s="31"/>
      <c r="M1686" s="31"/>
      <c r="N1686" s="31"/>
      <c r="O1686" s="31"/>
      <c r="P1686" s="31"/>
      <c r="Q1686" s="31"/>
      <c r="R1686" s="31"/>
      <c r="S1686" s="31"/>
      <c r="T1686" s="31"/>
      <c r="U1686" s="31"/>
      <c r="V1686" s="31"/>
      <c r="W1686" s="31"/>
      <c r="X1686" s="31"/>
      <c r="Y1686" s="31"/>
      <c r="Z1686" s="31"/>
      <c r="AA1686" s="31"/>
      <c r="AB1686" s="31"/>
      <c r="AC1686" s="31"/>
      <c r="AD1686" s="31"/>
      <c r="AE1686" s="31"/>
      <c r="AF1686" s="31"/>
      <c r="AG1686" s="31"/>
      <c r="AH1686" s="31"/>
      <c r="AI1686" s="31"/>
      <c r="AJ1686" s="31"/>
      <c r="AK1686" s="31"/>
      <c r="AL1686" s="28" t="str">
        <f>VLOOKUP($G1686,'[42]Sheet1 (2)'!$A$1:$B$1048440,2,FALSE)</f>
        <v>Sqm</v>
      </c>
      <c r="AM1686" s="32"/>
      <c r="AN1686" s="31"/>
      <c r="AO1686" s="33"/>
    </row>
    <row r="1687" spans="1:41" ht="56" x14ac:dyDescent="0.25">
      <c r="A1687" s="20">
        <v>1541</v>
      </c>
      <c r="B1687" s="35" t="s">
        <v>2833</v>
      </c>
      <c r="C1687" s="22">
        <v>46.03</v>
      </c>
      <c r="D1687" s="25" t="s">
        <v>2837</v>
      </c>
      <c r="E1687" s="23" t="s">
        <v>2838</v>
      </c>
      <c r="F1687" s="35" t="s">
        <v>2836</v>
      </c>
      <c r="G1687" s="25" t="s">
        <v>45</v>
      </c>
      <c r="H1687" s="26">
        <v>1787</v>
      </c>
      <c r="I1687" s="26">
        <v>1787</v>
      </c>
      <c r="J1687" s="31"/>
      <c r="K1687" s="31"/>
      <c r="L1687" s="31"/>
      <c r="M1687" s="31"/>
      <c r="N1687" s="31"/>
      <c r="O1687" s="31"/>
      <c r="P1687" s="31"/>
      <c r="Q1687" s="31"/>
      <c r="R1687" s="31"/>
      <c r="S1687" s="31"/>
      <c r="T1687" s="31"/>
      <c r="U1687" s="31"/>
      <c r="V1687" s="31"/>
      <c r="W1687" s="31"/>
      <c r="X1687" s="31"/>
      <c r="Y1687" s="31"/>
      <c r="Z1687" s="31"/>
      <c r="AA1687" s="31"/>
      <c r="AB1687" s="31"/>
      <c r="AC1687" s="31"/>
      <c r="AD1687" s="31"/>
      <c r="AE1687" s="31"/>
      <c r="AF1687" s="31"/>
      <c r="AG1687" s="31"/>
      <c r="AH1687" s="31"/>
      <c r="AI1687" s="31"/>
      <c r="AJ1687" s="31"/>
      <c r="AK1687" s="31"/>
      <c r="AL1687" s="28" t="str">
        <f>VLOOKUP($G1687,'[42]Sheet1 (2)'!$A$1:$B$1048440,2,FALSE)</f>
        <v>No.</v>
      </c>
      <c r="AM1687" s="32"/>
      <c r="AN1687" s="31"/>
      <c r="AO1687" s="33"/>
    </row>
    <row r="1688" spans="1:41" ht="56" x14ac:dyDescent="0.25">
      <c r="A1688" s="20">
        <v>1542</v>
      </c>
      <c r="B1688" s="35" t="s">
        <v>2833</v>
      </c>
      <c r="C1688" s="22">
        <v>46.04</v>
      </c>
      <c r="D1688" s="25" t="s">
        <v>2839</v>
      </c>
      <c r="E1688" s="23" t="s">
        <v>2840</v>
      </c>
      <c r="F1688" s="35" t="s">
        <v>2836</v>
      </c>
      <c r="G1688" s="25" t="s">
        <v>45</v>
      </c>
      <c r="H1688" s="26">
        <v>1166</v>
      </c>
      <c r="I1688" s="26">
        <v>1166</v>
      </c>
      <c r="J1688" s="31"/>
      <c r="K1688" s="31"/>
      <c r="L1688" s="31"/>
      <c r="M1688" s="31"/>
      <c r="N1688" s="31"/>
      <c r="O1688" s="31"/>
      <c r="P1688" s="31"/>
      <c r="Q1688" s="31"/>
      <c r="R1688" s="31"/>
      <c r="S1688" s="31"/>
      <c r="T1688" s="31"/>
      <c r="U1688" s="31"/>
      <c r="V1688" s="31"/>
      <c r="W1688" s="31"/>
      <c r="X1688" s="31"/>
      <c r="Y1688" s="31"/>
      <c r="Z1688" s="31"/>
      <c r="AA1688" s="31"/>
      <c r="AB1688" s="31"/>
      <c r="AC1688" s="31"/>
      <c r="AD1688" s="31"/>
      <c r="AE1688" s="31"/>
      <c r="AF1688" s="31"/>
      <c r="AG1688" s="31"/>
      <c r="AH1688" s="31"/>
      <c r="AI1688" s="31"/>
      <c r="AJ1688" s="31"/>
      <c r="AK1688" s="31"/>
      <c r="AL1688" s="28" t="str">
        <f>VLOOKUP($G1688,'[42]Sheet1 (2)'!$A$1:$B$1048440,2,FALSE)</f>
        <v>No.</v>
      </c>
      <c r="AM1688" s="32"/>
      <c r="AN1688" s="31"/>
      <c r="AO1688" s="33"/>
    </row>
    <row r="1689" spans="1:41" ht="56" x14ac:dyDescent="0.25">
      <c r="A1689" s="20">
        <v>1543</v>
      </c>
      <c r="B1689" s="35" t="s">
        <v>2833</v>
      </c>
      <c r="C1689" s="22">
        <v>46.05</v>
      </c>
      <c r="D1689" s="25" t="s">
        <v>2841</v>
      </c>
      <c r="E1689" s="23" t="s">
        <v>2842</v>
      </c>
      <c r="F1689" s="35" t="s">
        <v>2836</v>
      </c>
      <c r="G1689" s="25" t="s">
        <v>45</v>
      </c>
      <c r="H1689" s="26">
        <v>875</v>
      </c>
      <c r="I1689" s="26">
        <v>875</v>
      </c>
      <c r="J1689" s="31"/>
      <c r="K1689" s="31"/>
      <c r="L1689" s="31"/>
      <c r="M1689" s="31"/>
      <c r="N1689" s="31"/>
      <c r="O1689" s="31"/>
      <c r="P1689" s="31"/>
      <c r="Q1689" s="31"/>
      <c r="R1689" s="31"/>
      <c r="S1689" s="31"/>
      <c r="T1689" s="31"/>
      <c r="U1689" s="31"/>
      <c r="V1689" s="31"/>
      <c r="W1689" s="31"/>
      <c r="X1689" s="31"/>
      <c r="Y1689" s="31"/>
      <c r="Z1689" s="31"/>
      <c r="AA1689" s="31"/>
      <c r="AB1689" s="31"/>
      <c r="AC1689" s="31"/>
      <c r="AD1689" s="31"/>
      <c r="AE1689" s="31"/>
      <c r="AF1689" s="31"/>
      <c r="AG1689" s="31"/>
      <c r="AH1689" s="31"/>
      <c r="AI1689" s="31"/>
      <c r="AJ1689" s="31"/>
      <c r="AK1689" s="31"/>
      <c r="AL1689" s="28" t="str">
        <f>VLOOKUP($G1689,'[42]Sheet1 (2)'!$A$1:$B$1048440,2,FALSE)</f>
        <v>No.</v>
      </c>
      <c r="AM1689" s="32"/>
      <c r="AN1689" s="31"/>
      <c r="AO1689" s="33"/>
    </row>
    <row r="1690" spans="1:41" ht="42" x14ac:dyDescent="0.25">
      <c r="A1690" s="20">
        <v>1544</v>
      </c>
      <c r="B1690" s="35" t="s">
        <v>2833</v>
      </c>
      <c r="C1690" s="22">
        <v>46.06</v>
      </c>
      <c r="D1690" s="25" t="s">
        <v>2843</v>
      </c>
      <c r="E1690" s="23" t="s">
        <v>2844</v>
      </c>
      <c r="F1690" s="35" t="s">
        <v>2845</v>
      </c>
      <c r="G1690" s="35" t="s">
        <v>151</v>
      </c>
      <c r="H1690" s="26">
        <v>60</v>
      </c>
      <c r="I1690" s="26">
        <v>60</v>
      </c>
      <c r="J1690" s="31"/>
      <c r="K1690" s="31"/>
      <c r="L1690" s="31"/>
      <c r="M1690" s="31"/>
      <c r="N1690" s="31"/>
      <c r="O1690" s="31"/>
      <c r="P1690" s="31"/>
      <c r="Q1690" s="31"/>
      <c r="R1690" s="31"/>
      <c r="S1690" s="31"/>
      <c r="T1690" s="31"/>
      <c r="U1690" s="31"/>
      <c r="V1690" s="31"/>
      <c r="W1690" s="31"/>
      <c r="X1690" s="31"/>
      <c r="Y1690" s="31"/>
      <c r="Z1690" s="31"/>
      <c r="AA1690" s="31"/>
      <c r="AB1690" s="31"/>
      <c r="AC1690" s="31"/>
      <c r="AD1690" s="31"/>
      <c r="AE1690" s="31"/>
      <c r="AF1690" s="31"/>
      <c r="AG1690" s="31"/>
      <c r="AH1690" s="31"/>
      <c r="AI1690" s="31"/>
      <c r="AJ1690" s="31"/>
      <c r="AK1690" s="31"/>
      <c r="AL1690" s="28" t="str">
        <f>VLOOKUP($G1690,'[42]Sheet1 (2)'!$A$1:$B$1048440,2,FALSE)</f>
        <v>Sqm</v>
      </c>
      <c r="AM1690" s="32"/>
      <c r="AN1690" s="31"/>
      <c r="AO1690" s="33"/>
    </row>
    <row r="1691" spans="1:41" ht="56" x14ac:dyDescent="0.25">
      <c r="A1691" s="20">
        <v>1545</v>
      </c>
      <c r="B1691" s="35" t="s">
        <v>2833</v>
      </c>
      <c r="C1691" s="22">
        <v>46.07</v>
      </c>
      <c r="D1691" s="25" t="s">
        <v>2846</v>
      </c>
      <c r="E1691" s="23" t="s">
        <v>2847</v>
      </c>
      <c r="F1691" s="35" t="s">
        <v>1761</v>
      </c>
      <c r="G1691" s="35" t="s">
        <v>151</v>
      </c>
      <c r="H1691" s="26">
        <v>30</v>
      </c>
      <c r="I1691" s="26">
        <v>30</v>
      </c>
      <c r="J1691" s="31"/>
      <c r="K1691" s="31"/>
      <c r="L1691" s="31"/>
      <c r="M1691" s="31"/>
      <c r="N1691" s="31"/>
      <c r="O1691" s="31"/>
      <c r="P1691" s="31"/>
      <c r="Q1691" s="31"/>
      <c r="R1691" s="31"/>
      <c r="S1691" s="31"/>
      <c r="T1691" s="31"/>
      <c r="U1691" s="31"/>
      <c r="V1691" s="31"/>
      <c r="W1691" s="31"/>
      <c r="X1691" s="31"/>
      <c r="Y1691" s="31"/>
      <c r="Z1691" s="31"/>
      <c r="AA1691" s="31"/>
      <c r="AB1691" s="31"/>
      <c r="AC1691" s="31"/>
      <c r="AD1691" s="31"/>
      <c r="AE1691" s="31"/>
      <c r="AF1691" s="31"/>
      <c r="AG1691" s="31"/>
      <c r="AH1691" s="31"/>
      <c r="AI1691" s="31"/>
      <c r="AJ1691" s="31"/>
      <c r="AK1691" s="31"/>
      <c r="AL1691" s="28" t="str">
        <f>VLOOKUP($G1691,'[42]Sheet1 (2)'!$A$1:$B$1048440,2,FALSE)</f>
        <v>Sqm</v>
      </c>
      <c r="AM1691" s="32"/>
      <c r="AN1691" s="31"/>
      <c r="AO1691" s="33"/>
    </row>
    <row r="1692" spans="1:41" ht="56" x14ac:dyDescent="0.25">
      <c r="A1692" s="20">
        <v>1546</v>
      </c>
      <c r="B1692" s="21" t="s">
        <v>2829</v>
      </c>
      <c r="C1692" s="22">
        <v>46.08</v>
      </c>
      <c r="D1692" s="25" t="s">
        <v>2848</v>
      </c>
      <c r="E1692" s="24" t="s">
        <v>2849</v>
      </c>
      <c r="F1692" s="35" t="s">
        <v>1839</v>
      </c>
      <c r="G1692" s="25" t="s">
        <v>47</v>
      </c>
      <c r="H1692" s="26">
        <v>260</v>
      </c>
      <c r="I1692" s="26">
        <v>260</v>
      </c>
      <c r="J1692" s="31"/>
      <c r="K1692" s="31"/>
      <c r="L1692" s="31"/>
      <c r="M1692" s="31"/>
      <c r="N1692" s="31"/>
      <c r="O1692" s="31"/>
      <c r="P1692" s="31"/>
      <c r="Q1692" s="31"/>
      <c r="R1692" s="31"/>
      <c r="S1692" s="31"/>
      <c r="T1692" s="31"/>
      <c r="U1692" s="31"/>
      <c r="V1692" s="31"/>
      <c r="W1692" s="31"/>
      <c r="X1692" s="31"/>
      <c r="Y1692" s="31"/>
      <c r="Z1692" s="31"/>
      <c r="AA1692" s="31"/>
      <c r="AB1692" s="31"/>
      <c r="AC1692" s="31"/>
      <c r="AD1692" s="31"/>
      <c r="AE1692" s="31"/>
      <c r="AF1692" s="31"/>
      <c r="AG1692" s="31"/>
      <c r="AH1692" s="31"/>
      <c r="AI1692" s="31"/>
      <c r="AJ1692" s="31"/>
      <c r="AK1692" s="31"/>
      <c r="AL1692" s="28" t="str">
        <f>VLOOKUP($G1692,'[42]Sheet1 (2)'!$A$1:$B$1048440,2,FALSE)</f>
        <v>Cum</v>
      </c>
      <c r="AM1692" s="32"/>
      <c r="AN1692" s="31"/>
      <c r="AO1692" s="33"/>
    </row>
    <row r="1693" spans="1:41" ht="56" x14ac:dyDescent="0.25">
      <c r="A1693" s="20">
        <v>1547</v>
      </c>
      <c r="B1693" s="35" t="s">
        <v>2833</v>
      </c>
      <c r="C1693" s="22">
        <v>46.09</v>
      </c>
      <c r="D1693" s="25" t="s">
        <v>2848</v>
      </c>
      <c r="E1693" s="24" t="s">
        <v>3787</v>
      </c>
      <c r="F1693" s="35" t="s">
        <v>1761</v>
      </c>
      <c r="G1693" s="25" t="s">
        <v>47</v>
      </c>
      <c r="H1693" s="26">
        <v>335</v>
      </c>
      <c r="I1693" s="26">
        <v>335</v>
      </c>
      <c r="J1693" s="31"/>
      <c r="K1693" s="31"/>
      <c r="L1693" s="31"/>
      <c r="M1693" s="31"/>
      <c r="N1693" s="31"/>
      <c r="O1693" s="31"/>
      <c r="P1693" s="31"/>
      <c r="Q1693" s="31"/>
      <c r="R1693" s="31"/>
      <c r="S1693" s="31"/>
      <c r="T1693" s="31"/>
      <c r="U1693" s="31"/>
      <c r="V1693" s="31"/>
      <c r="W1693" s="31"/>
      <c r="X1693" s="31"/>
      <c r="Y1693" s="31"/>
      <c r="Z1693" s="31"/>
      <c r="AA1693" s="31"/>
      <c r="AB1693" s="31"/>
      <c r="AC1693" s="31"/>
      <c r="AD1693" s="31"/>
      <c r="AE1693" s="31"/>
      <c r="AF1693" s="31"/>
      <c r="AG1693" s="31"/>
      <c r="AH1693" s="31"/>
      <c r="AI1693" s="31"/>
      <c r="AJ1693" s="31"/>
      <c r="AK1693" s="31"/>
      <c r="AL1693" s="28" t="str">
        <f>VLOOKUP($G1693,'[42]Sheet1 (2)'!$A$1:$B$1048440,2,FALSE)</f>
        <v>Cum</v>
      </c>
      <c r="AM1693" s="32"/>
      <c r="AN1693" s="31"/>
      <c r="AO1693" s="33"/>
    </row>
    <row r="1694" spans="1:41" ht="56" x14ac:dyDescent="0.25">
      <c r="A1694" s="20">
        <v>1548</v>
      </c>
      <c r="B1694" s="35" t="s">
        <v>2833</v>
      </c>
      <c r="C1694" s="22">
        <v>46.1</v>
      </c>
      <c r="D1694" s="25" t="s">
        <v>2848</v>
      </c>
      <c r="E1694" s="23" t="s">
        <v>2850</v>
      </c>
      <c r="F1694" s="35" t="s">
        <v>1761</v>
      </c>
      <c r="G1694" s="25" t="s">
        <v>47</v>
      </c>
      <c r="H1694" s="26">
        <v>268</v>
      </c>
      <c r="I1694" s="26">
        <v>268</v>
      </c>
      <c r="J1694" s="31"/>
      <c r="K1694" s="31"/>
      <c r="L1694" s="31"/>
      <c r="M1694" s="31"/>
      <c r="N1694" s="31"/>
      <c r="O1694" s="31"/>
      <c r="P1694" s="31"/>
      <c r="Q1694" s="31"/>
      <c r="R1694" s="31"/>
      <c r="S1694" s="31"/>
      <c r="T1694" s="31"/>
      <c r="U1694" s="31"/>
      <c r="V1694" s="31"/>
      <c r="W1694" s="31"/>
      <c r="X1694" s="31"/>
      <c r="Y1694" s="31"/>
      <c r="Z1694" s="31"/>
      <c r="AA1694" s="31"/>
      <c r="AB1694" s="31"/>
      <c r="AC1694" s="31"/>
      <c r="AD1694" s="31"/>
      <c r="AE1694" s="31"/>
      <c r="AF1694" s="31"/>
      <c r="AG1694" s="31"/>
      <c r="AH1694" s="31"/>
      <c r="AI1694" s="31"/>
      <c r="AJ1694" s="31"/>
      <c r="AK1694" s="31"/>
      <c r="AL1694" s="28" t="str">
        <f>VLOOKUP($G1694,'[42]Sheet1 (2)'!$A$1:$B$1048440,2,FALSE)</f>
        <v>Cum</v>
      </c>
      <c r="AM1694" s="32"/>
      <c r="AN1694" s="31"/>
      <c r="AO1694" s="33"/>
    </row>
    <row r="1695" spans="1:41" ht="56" x14ac:dyDescent="0.25">
      <c r="A1695" s="20">
        <v>1549</v>
      </c>
      <c r="B1695" s="35" t="s">
        <v>2833</v>
      </c>
      <c r="C1695" s="22">
        <v>46.11</v>
      </c>
      <c r="D1695" s="25" t="s">
        <v>2848</v>
      </c>
      <c r="E1695" s="23" t="s">
        <v>2851</v>
      </c>
      <c r="F1695" s="35" t="s">
        <v>1761</v>
      </c>
      <c r="G1695" s="25" t="s">
        <v>47</v>
      </c>
      <c r="H1695" s="26">
        <v>380</v>
      </c>
      <c r="I1695" s="26">
        <v>380</v>
      </c>
      <c r="J1695" s="31"/>
      <c r="K1695" s="31"/>
      <c r="L1695" s="31"/>
      <c r="M1695" s="31"/>
      <c r="N1695" s="31"/>
      <c r="O1695" s="31"/>
      <c r="P1695" s="31"/>
      <c r="Q1695" s="31"/>
      <c r="R1695" s="31"/>
      <c r="S1695" s="31"/>
      <c r="T1695" s="31"/>
      <c r="U1695" s="31"/>
      <c r="V1695" s="31"/>
      <c r="W1695" s="31"/>
      <c r="X1695" s="31"/>
      <c r="Y1695" s="31"/>
      <c r="Z1695" s="31"/>
      <c r="AA1695" s="31"/>
      <c r="AB1695" s="31"/>
      <c r="AC1695" s="31"/>
      <c r="AD1695" s="31"/>
      <c r="AE1695" s="31"/>
      <c r="AF1695" s="31"/>
      <c r="AG1695" s="31"/>
      <c r="AH1695" s="31"/>
      <c r="AI1695" s="31"/>
      <c r="AJ1695" s="31"/>
      <c r="AK1695" s="31"/>
      <c r="AL1695" s="28" t="str">
        <f>VLOOKUP($G1695,'[42]Sheet1 (2)'!$A$1:$B$1048440,2,FALSE)</f>
        <v>Cum</v>
      </c>
      <c r="AM1695" s="32"/>
      <c r="AN1695" s="31"/>
      <c r="AO1695" s="33"/>
    </row>
    <row r="1696" spans="1:41" ht="56" x14ac:dyDescent="0.25">
      <c r="A1696" s="20">
        <v>1550</v>
      </c>
      <c r="B1696" s="35" t="s">
        <v>2833</v>
      </c>
      <c r="C1696" s="22">
        <v>46.12</v>
      </c>
      <c r="D1696" s="25" t="s">
        <v>2848</v>
      </c>
      <c r="E1696" s="23" t="s">
        <v>2852</v>
      </c>
      <c r="F1696" s="35" t="s">
        <v>1761</v>
      </c>
      <c r="G1696" s="25" t="s">
        <v>47</v>
      </c>
      <c r="H1696" s="26">
        <v>558</v>
      </c>
      <c r="I1696" s="26">
        <v>558</v>
      </c>
      <c r="J1696" s="31"/>
      <c r="K1696" s="31"/>
      <c r="L1696" s="31"/>
      <c r="M1696" s="31"/>
      <c r="N1696" s="31"/>
      <c r="O1696" s="31"/>
      <c r="P1696" s="31"/>
      <c r="Q1696" s="31"/>
      <c r="R1696" s="31"/>
      <c r="S1696" s="31"/>
      <c r="T1696" s="31"/>
      <c r="U1696" s="31"/>
      <c r="V1696" s="31"/>
      <c r="W1696" s="31"/>
      <c r="X1696" s="31"/>
      <c r="Y1696" s="31"/>
      <c r="Z1696" s="31"/>
      <c r="AA1696" s="31"/>
      <c r="AB1696" s="31"/>
      <c r="AC1696" s="31"/>
      <c r="AD1696" s="31"/>
      <c r="AE1696" s="31"/>
      <c r="AF1696" s="31"/>
      <c r="AG1696" s="31"/>
      <c r="AH1696" s="31"/>
      <c r="AI1696" s="31"/>
      <c r="AJ1696" s="31"/>
      <c r="AK1696" s="31"/>
      <c r="AL1696" s="28" t="str">
        <f>VLOOKUP($G1696,'[42]Sheet1 (2)'!$A$1:$B$1048440,2,FALSE)</f>
        <v>Cum</v>
      </c>
      <c r="AM1696" s="32"/>
      <c r="AN1696" s="31"/>
      <c r="AO1696" s="33"/>
    </row>
    <row r="1697" spans="1:41" ht="56" x14ac:dyDescent="0.25">
      <c r="A1697" s="20">
        <v>1551</v>
      </c>
      <c r="B1697" s="35" t="s">
        <v>2833</v>
      </c>
      <c r="C1697" s="22">
        <v>46.13</v>
      </c>
      <c r="D1697" s="25" t="s">
        <v>2848</v>
      </c>
      <c r="E1697" s="23" t="s">
        <v>2853</v>
      </c>
      <c r="F1697" s="35" t="s">
        <v>1761</v>
      </c>
      <c r="G1697" s="25" t="s">
        <v>47</v>
      </c>
      <c r="H1697" s="26">
        <v>930</v>
      </c>
      <c r="I1697" s="26">
        <v>930</v>
      </c>
      <c r="J1697" s="31"/>
      <c r="K1697" s="31"/>
      <c r="L1697" s="31"/>
      <c r="M1697" s="31"/>
      <c r="N1697" s="31"/>
      <c r="O1697" s="31"/>
      <c r="P1697" s="31"/>
      <c r="Q1697" s="31"/>
      <c r="R1697" s="31"/>
      <c r="S1697" s="31"/>
      <c r="T1697" s="31"/>
      <c r="U1697" s="31"/>
      <c r="V1697" s="31"/>
      <c r="W1697" s="31"/>
      <c r="X1697" s="31"/>
      <c r="Y1697" s="31"/>
      <c r="Z1697" s="31"/>
      <c r="AA1697" s="31"/>
      <c r="AB1697" s="31"/>
      <c r="AC1697" s="31"/>
      <c r="AD1697" s="31"/>
      <c r="AE1697" s="31"/>
      <c r="AF1697" s="31"/>
      <c r="AG1697" s="31"/>
      <c r="AH1697" s="31"/>
      <c r="AI1697" s="31"/>
      <c r="AJ1697" s="31"/>
      <c r="AK1697" s="31"/>
      <c r="AL1697" s="28" t="str">
        <f>VLOOKUP($G1697,'[42]Sheet1 (2)'!$A$1:$B$1048440,2,FALSE)</f>
        <v>Cum</v>
      </c>
      <c r="AM1697" s="32"/>
      <c r="AN1697" s="31"/>
      <c r="AO1697" s="33"/>
    </row>
    <row r="1698" spans="1:41" ht="56" x14ac:dyDescent="0.25">
      <c r="A1698" s="20">
        <v>1552</v>
      </c>
      <c r="B1698" s="21" t="s">
        <v>2829</v>
      </c>
      <c r="C1698" s="22">
        <v>46.14</v>
      </c>
      <c r="D1698" s="25" t="s">
        <v>2848</v>
      </c>
      <c r="E1698" s="24" t="s">
        <v>2854</v>
      </c>
      <c r="F1698" s="35" t="s">
        <v>1839</v>
      </c>
      <c r="G1698" s="25" t="s">
        <v>47</v>
      </c>
      <c r="H1698" s="26">
        <v>633</v>
      </c>
      <c r="I1698" s="26">
        <v>633</v>
      </c>
      <c r="J1698" s="31"/>
      <c r="K1698" s="31"/>
      <c r="L1698" s="31"/>
      <c r="M1698" s="31"/>
      <c r="N1698" s="31"/>
      <c r="O1698" s="31"/>
      <c r="P1698" s="31"/>
      <c r="Q1698" s="31"/>
      <c r="R1698" s="31"/>
      <c r="S1698" s="31"/>
      <c r="T1698" s="31"/>
      <c r="U1698" s="31"/>
      <c r="V1698" s="31"/>
      <c r="W1698" s="31"/>
      <c r="X1698" s="31"/>
      <c r="Y1698" s="31"/>
      <c r="Z1698" s="31"/>
      <c r="AA1698" s="31"/>
      <c r="AB1698" s="31"/>
      <c r="AC1698" s="31"/>
      <c r="AD1698" s="31"/>
      <c r="AE1698" s="31"/>
      <c r="AF1698" s="31"/>
      <c r="AG1698" s="31"/>
      <c r="AH1698" s="31"/>
      <c r="AI1698" s="31"/>
      <c r="AJ1698" s="31"/>
      <c r="AK1698" s="31"/>
      <c r="AL1698" s="28" t="str">
        <f>VLOOKUP($G1698,'[42]Sheet1 (2)'!$A$1:$B$1048440,2,FALSE)</f>
        <v>Cum</v>
      </c>
      <c r="AM1698" s="32"/>
      <c r="AN1698" s="31"/>
      <c r="AO1698" s="33"/>
    </row>
    <row r="1699" spans="1:41" ht="56" x14ac:dyDescent="0.25">
      <c r="A1699" s="20">
        <v>1553</v>
      </c>
      <c r="B1699" s="35" t="s">
        <v>2833</v>
      </c>
      <c r="C1699" s="22">
        <v>46.15</v>
      </c>
      <c r="D1699" s="25" t="s">
        <v>2848</v>
      </c>
      <c r="E1699" s="23" t="s">
        <v>2855</v>
      </c>
      <c r="F1699" s="35" t="s">
        <v>1761</v>
      </c>
      <c r="G1699" s="25" t="s">
        <v>45</v>
      </c>
      <c r="H1699" s="26">
        <v>156</v>
      </c>
      <c r="I1699" s="26">
        <v>156</v>
      </c>
      <c r="J1699" s="31"/>
      <c r="K1699" s="31"/>
      <c r="L1699" s="31"/>
      <c r="M1699" s="31"/>
      <c r="N1699" s="31"/>
      <c r="O1699" s="31"/>
      <c r="P1699" s="31"/>
      <c r="Q1699" s="31"/>
      <c r="R1699" s="31"/>
      <c r="S1699" s="31"/>
      <c r="T1699" s="31"/>
      <c r="U1699" s="31"/>
      <c r="V1699" s="31"/>
      <c r="W1699" s="31"/>
      <c r="X1699" s="31"/>
      <c r="Y1699" s="31"/>
      <c r="Z1699" s="31"/>
      <c r="AA1699" s="31"/>
      <c r="AB1699" s="31"/>
      <c r="AC1699" s="31"/>
      <c r="AD1699" s="31"/>
      <c r="AE1699" s="31"/>
      <c r="AF1699" s="31"/>
      <c r="AG1699" s="31"/>
      <c r="AH1699" s="31"/>
      <c r="AI1699" s="31"/>
      <c r="AJ1699" s="31"/>
      <c r="AK1699" s="31"/>
      <c r="AL1699" s="28" t="str">
        <f>VLOOKUP($G1699,'[42]Sheet1 (2)'!$A$1:$B$1048440,2,FALSE)</f>
        <v>No.</v>
      </c>
      <c r="AM1699" s="32"/>
      <c r="AN1699" s="31"/>
      <c r="AO1699" s="33"/>
    </row>
    <row r="1700" spans="1:41" ht="56" x14ac:dyDescent="0.25">
      <c r="A1700" s="20">
        <v>1554</v>
      </c>
      <c r="B1700" s="21" t="s">
        <v>2829</v>
      </c>
      <c r="C1700" s="22">
        <v>46.16</v>
      </c>
      <c r="D1700" s="25" t="s">
        <v>2848</v>
      </c>
      <c r="E1700" s="24" t="s">
        <v>2856</v>
      </c>
      <c r="F1700" s="35" t="s">
        <v>1839</v>
      </c>
      <c r="G1700" s="25" t="s">
        <v>45</v>
      </c>
      <c r="H1700" s="26">
        <v>132</v>
      </c>
      <c r="I1700" s="26">
        <v>132</v>
      </c>
      <c r="J1700" s="31"/>
      <c r="K1700" s="31"/>
      <c r="L1700" s="31"/>
      <c r="M1700" s="31"/>
      <c r="N1700" s="31"/>
      <c r="O1700" s="31"/>
      <c r="P1700" s="31"/>
      <c r="Q1700" s="31"/>
      <c r="R1700" s="31"/>
      <c r="S1700" s="31"/>
      <c r="T1700" s="31"/>
      <c r="U1700" s="31"/>
      <c r="V1700" s="31"/>
      <c r="W1700" s="31"/>
      <c r="X1700" s="31"/>
      <c r="Y1700" s="31"/>
      <c r="Z1700" s="31"/>
      <c r="AA1700" s="31"/>
      <c r="AB1700" s="31"/>
      <c r="AC1700" s="31"/>
      <c r="AD1700" s="31"/>
      <c r="AE1700" s="31"/>
      <c r="AF1700" s="31"/>
      <c r="AG1700" s="31"/>
      <c r="AH1700" s="31"/>
      <c r="AI1700" s="31"/>
      <c r="AJ1700" s="31"/>
      <c r="AK1700" s="31"/>
      <c r="AL1700" s="28" t="str">
        <f>VLOOKUP($G1700,'[42]Sheet1 (2)'!$A$1:$B$1048440,2,FALSE)</f>
        <v>No.</v>
      </c>
      <c r="AM1700" s="32"/>
      <c r="AN1700" s="31"/>
      <c r="AO1700" s="33"/>
    </row>
    <row r="1701" spans="1:41" ht="56" x14ac:dyDescent="0.25">
      <c r="A1701" s="20">
        <v>1555</v>
      </c>
      <c r="B1701" s="35" t="s">
        <v>2833</v>
      </c>
      <c r="C1701" s="22">
        <v>46.17</v>
      </c>
      <c r="D1701" s="25" t="s">
        <v>2848</v>
      </c>
      <c r="E1701" s="23" t="s">
        <v>2857</v>
      </c>
      <c r="F1701" s="35" t="s">
        <v>1761</v>
      </c>
      <c r="G1701" s="202" t="s">
        <v>621</v>
      </c>
      <c r="H1701" s="26">
        <v>40</v>
      </c>
      <c r="I1701" s="26">
        <v>40</v>
      </c>
      <c r="J1701" s="31"/>
      <c r="K1701" s="31"/>
      <c r="L1701" s="31"/>
      <c r="M1701" s="31"/>
      <c r="N1701" s="31"/>
      <c r="O1701" s="31"/>
      <c r="P1701" s="31"/>
      <c r="Q1701" s="31"/>
      <c r="R1701" s="31"/>
      <c r="S1701" s="31"/>
      <c r="T1701" s="31"/>
      <c r="U1701" s="31"/>
      <c r="V1701" s="31"/>
      <c r="W1701" s="31"/>
      <c r="X1701" s="31"/>
      <c r="Y1701" s="31"/>
      <c r="Z1701" s="31"/>
      <c r="AA1701" s="31"/>
      <c r="AB1701" s="31"/>
      <c r="AC1701" s="31"/>
      <c r="AD1701" s="31"/>
      <c r="AE1701" s="31"/>
      <c r="AF1701" s="31"/>
      <c r="AG1701" s="31"/>
      <c r="AH1701" s="31"/>
      <c r="AI1701" s="31"/>
      <c r="AJ1701" s="31"/>
      <c r="AK1701" s="31"/>
      <c r="AL1701" s="28" t="str">
        <f>VLOOKUP($G1701,'[42]Sheet1 (2)'!$A$1:$B$1048440,2,FALSE)</f>
        <v>Sqm</v>
      </c>
      <c r="AM1701" s="32"/>
      <c r="AN1701" s="31"/>
      <c r="AO1701" s="33"/>
    </row>
    <row r="1702" spans="1:41" ht="56" x14ac:dyDescent="0.25">
      <c r="A1702" s="20">
        <v>1556</v>
      </c>
      <c r="B1702" s="21" t="s">
        <v>2829</v>
      </c>
      <c r="C1702" s="22">
        <v>46.18</v>
      </c>
      <c r="D1702" s="25" t="s">
        <v>2848</v>
      </c>
      <c r="E1702" s="24" t="s">
        <v>2858</v>
      </c>
      <c r="F1702" s="35" t="s">
        <v>1839</v>
      </c>
      <c r="G1702" s="202" t="s">
        <v>621</v>
      </c>
      <c r="H1702" s="26">
        <v>33</v>
      </c>
      <c r="I1702" s="26">
        <v>33</v>
      </c>
      <c r="J1702" s="31"/>
      <c r="K1702" s="31"/>
      <c r="L1702" s="31"/>
      <c r="M1702" s="31"/>
      <c r="N1702" s="31"/>
      <c r="O1702" s="31"/>
      <c r="P1702" s="31"/>
      <c r="Q1702" s="31"/>
      <c r="R1702" s="31"/>
      <c r="S1702" s="31"/>
      <c r="T1702" s="31"/>
      <c r="U1702" s="31"/>
      <c r="V1702" s="31"/>
      <c r="W1702" s="31"/>
      <c r="X1702" s="31"/>
      <c r="Y1702" s="31"/>
      <c r="Z1702" s="31"/>
      <c r="AA1702" s="31"/>
      <c r="AB1702" s="31"/>
      <c r="AC1702" s="31"/>
      <c r="AD1702" s="31"/>
      <c r="AE1702" s="31"/>
      <c r="AF1702" s="31"/>
      <c r="AG1702" s="31"/>
      <c r="AH1702" s="31"/>
      <c r="AI1702" s="31"/>
      <c r="AJ1702" s="31"/>
      <c r="AK1702" s="31"/>
      <c r="AL1702" s="28" t="str">
        <f>VLOOKUP($G1702,'[42]Sheet1 (2)'!$A$1:$B$1048440,2,FALSE)</f>
        <v>Sqm</v>
      </c>
      <c r="AM1702" s="32"/>
      <c r="AN1702" s="31"/>
      <c r="AO1702" s="33"/>
    </row>
    <row r="1703" spans="1:41" ht="56" x14ac:dyDescent="0.25">
      <c r="A1703" s="20">
        <v>1557</v>
      </c>
      <c r="B1703" s="21" t="s">
        <v>2829</v>
      </c>
      <c r="C1703" s="22">
        <v>46.19</v>
      </c>
      <c r="D1703" s="25" t="s">
        <v>2848</v>
      </c>
      <c r="E1703" s="24" t="s">
        <v>2859</v>
      </c>
      <c r="F1703" s="35" t="s">
        <v>1761</v>
      </c>
      <c r="G1703" s="202" t="s">
        <v>621</v>
      </c>
      <c r="H1703" s="26">
        <v>45</v>
      </c>
      <c r="I1703" s="26">
        <v>45</v>
      </c>
      <c r="J1703" s="31"/>
      <c r="K1703" s="31"/>
      <c r="L1703" s="31"/>
      <c r="M1703" s="31"/>
      <c r="N1703" s="31"/>
      <c r="O1703" s="31"/>
      <c r="P1703" s="31"/>
      <c r="Q1703" s="31"/>
      <c r="R1703" s="31"/>
      <c r="S1703" s="31"/>
      <c r="T1703" s="31"/>
      <c r="U1703" s="31"/>
      <c r="V1703" s="31"/>
      <c r="W1703" s="31"/>
      <c r="X1703" s="31"/>
      <c r="Y1703" s="31"/>
      <c r="Z1703" s="31"/>
      <c r="AA1703" s="31"/>
      <c r="AB1703" s="31"/>
      <c r="AC1703" s="31"/>
      <c r="AD1703" s="31"/>
      <c r="AE1703" s="31"/>
      <c r="AF1703" s="31"/>
      <c r="AG1703" s="31"/>
      <c r="AH1703" s="31"/>
      <c r="AI1703" s="31"/>
      <c r="AJ1703" s="31"/>
      <c r="AK1703" s="31"/>
      <c r="AL1703" s="28" t="str">
        <f>VLOOKUP($G1703,'[42]Sheet1 (2)'!$A$1:$B$1048440,2,FALSE)</f>
        <v>Sqm</v>
      </c>
      <c r="AM1703" s="32"/>
      <c r="AN1703" s="31"/>
      <c r="AO1703" s="33"/>
    </row>
    <row r="1704" spans="1:41" ht="56" x14ac:dyDescent="0.25">
      <c r="A1704" s="20">
        <v>1558</v>
      </c>
      <c r="B1704" s="21" t="s">
        <v>2829</v>
      </c>
      <c r="C1704" s="22">
        <v>46.21</v>
      </c>
      <c r="D1704" s="25" t="s">
        <v>2848</v>
      </c>
      <c r="E1704" s="24" t="s">
        <v>2860</v>
      </c>
      <c r="F1704" s="35" t="s">
        <v>1839</v>
      </c>
      <c r="G1704" s="202" t="s">
        <v>621</v>
      </c>
      <c r="H1704" s="26">
        <v>37</v>
      </c>
      <c r="I1704" s="26">
        <v>37</v>
      </c>
      <c r="J1704" s="31"/>
      <c r="K1704" s="31"/>
      <c r="L1704" s="31"/>
      <c r="M1704" s="31"/>
      <c r="N1704" s="31"/>
      <c r="O1704" s="31"/>
      <c r="P1704" s="31"/>
      <c r="Q1704" s="31"/>
      <c r="R1704" s="31"/>
      <c r="S1704" s="31"/>
      <c r="T1704" s="31"/>
      <c r="U1704" s="31"/>
      <c r="V1704" s="31"/>
      <c r="W1704" s="31"/>
      <c r="X1704" s="31"/>
      <c r="Y1704" s="31"/>
      <c r="Z1704" s="31"/>
      <c r="AA1704" s="31"/>
      <c r="AB1704" s="31"/>
      <c r="AC1704" s="31"/>
      <c r="AD1704" s="31"/>
      <c r="AE1704" s="31"/>
      <c r="AF1704" s="31"/>
      <c r="AG1704" s="31"/>
      <c r="AH1704" s="31"/>
      <c r="AI1704" s="31"/>
      <c r="AJ1704" s="31"/>
      <c r="AK1704" s="31"/>
      <c r="AL1704" s="28" t="str">
        <f>VLOOKUP($G1704,'[42]Sheet1 (2)'!$A$1:$B$1048440,2,FALSE)</f>
        <v>Sqm</v>
      </c>
      <c r="AM1704" s="32"/>
      <c r="AN1704" s="31"/>
      <c r="AO1704" s="33"/>
    </row>
    <row r="1705" spans="1:41" ht="56" x14ac:dyDescent="0.25">
      <c r="A1705" s="20">
        <v>1559</v>
      </c>
      <c r="B1705" s="35" t="s">
        <v>2833</v>
      </c>
      <c r="C1705" s="22">
        <v>46.23</v>
      </c>
      <c r="D1705" s="25" t="s">
        <v>2848</v>
      </c>
      <c r="E1705" s="23" t="s">
        <v>2861</v>
      </c>
      <c r="F1705" s="35" t="s">
        <v>1761</v>
      </c>
      <c r="G1705" s="202" t="s">
        <v>621</v>
      </c>
      <c r="H1705" s="26">
        <v>15</v>
      </c>
      <c r="I1705" s="26">
        <v>15</v>
      </c>
      <c r="J1705" s="31"/>
      <c r="K1705" s="31"/>
      <c r="L1705" s="31"/>
      <c r="M1705" s="31"/>
      <c r="N1705" s="31"/>
      <c r="O1705" s="31"/>
      <c r="P1705" s="31"/>
      <c r="Q1705" s="31"/>
      <c r="R1705" s="31"/>
      <c r="S1705" s="31"/>
      <c r="T1705" s="31"/>
      <c r="U1705" s="31"/>
      <c r="V1705" s="31"/>
      <c r="W1705" s="31"/>
      <c r="X1705" s="31"/>
      <c r="Y1705" s="31"/>
      <c r="Z1705" s="31"/>
      <c r="AA1705" s="31"/>
      <c r="AB1705" s="31"/>
      <c r="AC1705" s="31"/>
      <c r="AD1705" s="31"/>
      <c r="AE1705" s="31"/>
      <c r="AF1705" s="31"/>
      <c r="AG1705" s="31"/>
      <c r="AH1705" s="31"/>
      <c r="AI1705" s="31"/>
      <c r="AJ1705" s="31"/>
      <c r="AK1705" s="31"/>
      <c r="AL1705" s="28" t="str">
        <f>VLOOKUP($G1705,'[42]Sheet1 (2)'!$A$1:$B$1048440,2,FALSE)</f>
        <v>Sqm</v>
      </c>
      <c r="AM1705" s="32"/>
      <c r="AN1705" s="31"/>
      <c r="AO1705" s="33"/>
    </row>
    <row r="1706" spans="1:41" ht="56" x14ac:dyDescent="0.25">
      <c r="A1706" s="20">
        <v>1560</v>
      </c>
      <c r="B1706" s="21" t="s">
        <v>2829</v>
      </c>
      <c r="C1706" s="22">
        <v>46.24</v>
      </c>
      <c r="D1706" s="25" t="s">
        <v>2848</v>
      </c>
      <c r="E1706" s="24" t="s">
        <v>2862</v>
      </c>
      <c r="F1706" s="35" t="s">
        <v>1839</v>
      </c>
      <c r="G1706" s="21" t="s">
        <v>80</v>
      </c>
      <c r="H1706" s="26">
        <v>50</v>
      </c>
      <c r="I1706" s="26">
        <v>50</v>
      </c>
      <c r="J1706" s="31"/>
      <c r="K1706" s="31"/>
      <c r="L1706" s="31"/>
      <c r="M1706" s="31"/>
      <c r="N1706" s="31"/>
      <c r="O1706" s="31"/>
      <c r="P1706" s="31"/>
      <c r="Q1706" s="31"/>
      <c r="R1706" s="31"/>
      <c r="S1706" s="31"/>
      <c r="T1706" s="31"/>
      <c r="U1706" s="31"/>
      <c r="V1706" s="31"/>
      <c r="W1706" s="31"/>
      <c r="X1706" s="31"/>
      <c r="Y1706" s="31"/>
      <c r="Z1706" s="31"/>
      <c r="AA1706" s="31"/>
      <c r="AB1706" s="31"/>
      <c r="AC1706" s="31"/>
      <c r="AD1706" s="31"/>
      <c r="AE1706" s="31"/>
      <c r="AF1706" s="31"/>
      <c r="AG1706" s="31"/>
      <c r="AH1706" s="31"/>
      <c r="AI1706" s="31"/>
      <c r="AJ1706" s="31"/>
      <c r="AK1706" s="31"/>
      <c r="AL1706" s="28" t="str">
        <f>VLOOKUP($G1706,'[42]Sheet1 (2)'!$A$1:$B$1048440,2,FALSE)</f>
        <v>Rmt.</v>
      </c>
      <c r="AM1706" s="32"/>
      <c r="AN1706" s="31"/>
      <c r="AO1706" s="33"/>
    </row>
    <row r="1707" spans="1:41" ht="56" x14ac:dyDescent="0.25">
      <c r="A1707" s="20">
        <v>1561</v>
      </c>
      <c r="B1707" s="35" t="s">
        <v>2833</v>
      </c>
      <c r="C1707" s="22">
        <v>46.25</v>
      </c>
      <c r="D1707" s="25" t="s">
        <v>2848</v>
      </c>
      <c r="E1707" s="23" t="s">
        <v>2863</v>
      </c>
      <c r="F1707" s="35" t="s">
        <v>1761</v>
      </c>
      <c r="G1707" s="21" t="s">
        <v>80</v>
      </c>
      <c r="H1707" s="26">
        <v>67</v>
      </c>
      <c r="I1707" s="26">
        <v>67</v>
      </c>
      <c r="J1707" s="31"/>
      <c r="K1707" s="31"/>
      <c r="L1707" s="31"/>
      <c r="M1707" s="31"/>
      <c r="N1707" s="31"/>
      <c r="O1707" s="31"/>
      <c r="P1707" s="31"/>
      <c r="Q1707" s="31"/>
      <c r="R1707" s="31"/>
      <c r="S1707" s="31"/>
      <c r="T1707" s="31"/>
      <c r="U1707" s="31"/>
      <c r="V1707" s="31"/>
      <c r="W1707" s="31"/>
      <c r="X1707" s="31"/>
      <c r="Y1707" s="31"/>
      <c r="Z1707" s="31"/>
      <c r="AA1707" s="31"/>
      <c r="AB1707" s="31"/>
      <c r="AC1707" s="31"/>
      <c r="AD1707" s="31"/>
      <c r="AE1707" s="31"/>
      <c r="AF1707" s="31"/>
      <c r="AG1707" s="31"/>
      <c r="AH1707" s="31"/>
      <c r="AI1707" s="31"/>
      <c r="AJ1707" s="31"/>
      <c r="AK1707" s="31"/>
      <c r="AL1707" s="28" t="str">
        <f>VLOOKUP($G1707,'[42]Sheet1 (2)'!$A$1:$B$1048440,2,FALSE)</f>
        <v>Rmt.</v>
      </c>
      <c r="AM1707" s="32"/>
      <c r="AN1707" s="31"/>
      <c r="AO1707" s="33"/>
    </row>
    <row r="1708" spans="1:41" ht="56" x14ac:dyDescent="0.25">
      <c r="A1708" s="20">
        <v>1562</v>
      </c>
      <c r="B1708" s="35" t="s">
        <v>2833</v>
      </c>
      <c r="C1708" s="22">
        <v>46.26</v>
      </c>
      <c r="D1708" s="25" t="s">
        <v>2848</v>
      </c>
      <c r="E1708" s="23" t="s">
        <v>2864</v>
      </c>
      <c r="F1708" s="35" t="s">
        <v>1761</v>
      </c>
      <c r="G1708" s="21" t="s">
        <v>80</v>
      </c>
      <c r="H1708" s="26">
        <v>69</v>
      </c>
      <c r="I1708" s="26">
        <v>69</v>
      </c>
      <c r="J1708" s="31"/>
      <c r="K1708" s="31"/>
      <c r="L1708" s="31"/>
      <c r="M1708" s="31"/>
      <c r="N1708" s="31"/>
      <c r="O1708" s="31"/>
      <c r="P1708" s="31"/>
      <c r="Q1708" s="31"/>
      <c r="R1708" s="31"/>
      <c r="S1708" s="31"/>
      <c r="T1708" s="31"/>
      <c r="U1708" s="31"/>
      <c r="V1708" s="31"/>
      <c r="W1708" s="31"/>
      <c r="X1708" s="31"/>
      <c r="Y1708" s="31"/>
      <c r="Z1708" s="31"/>
      <c r="AA1708" s="31"/>
      <c r="AB1708" s="31"/>
      <c r="AC1708" s="31"/>
      <c r="AD1708" s="31"/>
      <c r="AE1708" s="31"/>
      <c r="AF1708" s="31"/>
      <c r="AG1708" s="31"/>
      <c r="AH1708" s="31"/>
      <c r="AI1708" s="31"/>
      <c r="AJ1708" s="31"/>
      <c r="AK1708" s="31"/>
      <c r="AL1708" s="28" t="str">
        <f>VLOOKUP($G1708,'[42]Sheet1 (2)'!$A$1:$B$1048440,2,FALSE)</f>
        <v>Rmt.</v>
      </c>
      <c r="AM1708" s="32"/>
      <c r="AN1708" s="31"/>
      <c r="AO1708" s="33"/>
    </row>
    <row r="1709" spans="1:41" ht="56" x14ac:dyDescent="0.25">
      <c r="A1709" s="20">
        <v>1563</v>
      </c>
      <c r="B1709" s="21" t="s">
        <v>2829</v>
      </c>
      <c r="C1709" s="22">
        <v>46.27</v>
      </c>
      <c r="D1709" s="25" t="s">
        <v>2848</v>
      </c>
      <c r="E1709" s="24" t="s">
        <v>2865</v>
      </c>
      <c r="F1709" s="35" t="s">
        <v>1839</v>
      </c>
      <c r="G1709" s="21" t="s">
        <v>80</v>
      </c>
      <c r="H1709" s="26">
        <v>22</v>
      </c>
      <c r="I1709" s="26">
        <v>22</v>
      </c>
      <c r="J1709" s="31"/>
      <c r="K1709" s="31"/>
      <c r="L1709" s="31"/>
      <c r="M1709" s="31"/>
      <c r="N1709" s="31"/>
      <c r="O1709" s="31"/>
      <c r="P1709" s="31"/>
      <c r="Q1709" s="31"/>
      <c r="R1709" s="31"/>
      <c r="S1709" s="31"/>
      <c r="T1709" s="31"/>
      <c r="U1709" s="31"/>
      <c r="V1709" s="31"/>
      <c r="W1709" s="31"/>
      <c r="X1709" s="31"/>
      <c r="Y1709" s="31"/>
      <c r="Z1709" s="31"/>
      <c r="AA1709" s="31"/>
      <c r="AB1709" s="31"/>
      <c r="AC1709" s="31"/>
      <c r="AD1709" s="31"/>
      <c r="AE1709" s="31"/>
      <c r="AF1709" s="31"/>
      <c r="AG1709" s="31"/>
      <c r="AH1709" s="31"/>
      <c r="AI1709" s="31"/>
      <c r="AJ1709" s="31"/>
      <c r="AK1709" s="31"/>
      <c r="AL1709" s="28" t="str">
        <f>VLOOKUP($G1709,'[42]Sheet1 (2)'!$A$1:$B$1048440,2,FALSE)</f>
        <v>Rmt.</v>
      </c>
      <c r="AM1709" s="32"/>
      <c r="AN1709" s="31"/>
      <c r="AO1709" s="33"/>
    </row>
    <row r="1710" spans="1:41" ht="56" x14ac:dyDescent="0.25">
      <c r="A1710" s="20">
        <v>1564</v>
      </c>
      <c r="B1710" s="35" t="s">
        <v>2833</v>
      </c>
      <c r="C1710" s="22">
        <v>46.28</v>
      </c>
      <c r="D1710" s="25" t="s">
        <v>2848</v>
      </c>
      <c r="E1710" s="23" t="s">
        <v>2866</v>
      </c>
      <c r="F1710" s="35" t="s">
        <v>1761</v>
      </c>
      <c r="G1710" s="21" t="s">
        <v>80</v>
      </c>
      <c r="H1710" s="26">
        <v>22</v>
      </c>
      <c r="I1710" s="26">
        <v>22</v>
      </c>
      <c r="J1710" s="31"/>
      <c r="K1710" s="31"/>
      <c r="L1710" s="31"/>
      <c r="M1710" s="31"/>
      <c r="N1710" s="31"/>
      <c r="O1710" s="31"/>
      <c r="P1710" s="31"/>
      <c r="Q1710" s="31"/>
      <c r="R1710" s="31"/>
      <c r="S1710" s="31"/>
      <c r="T1710" s="31"/>
      <c r="U1710" s="31"/>
      <c r="V1710" s="31"/>
      <c r="W1710" s="31"/>
      <c r="X1710" s="31"/>
      <c r="Y1710" s="31"/>
      <c r="Z1710" s="31"/>
      <c r="AA1710" s="31"/>
      <c r="AB1710" s="31"/>
      <c r="AC1710" s="31"/>
      <c r="AD1710" s="31"/>
      <c r="AE1710" s="31"/>
      <c r="AF1710" s="31"/>
      <c r="AG1710" s="31"/>
      <c r="AH1710" s="31"/>
      <c r="AI1710" s="31"/>
      <c r="AJ1710" s="31"/>
      <c r="AK1710" s="31"/>
      <c r="AL1710" s="28" t="str">
        <f>VLOOKUP($G1710,'[42]Sheet1 (2)'!$A$1:$B$1048440,2,FALSE)</f>
        <v>Rmt.</v>
      </c>
      <c r="AM1710" s="32"/>
      <c r="AN1710" s="31"/>
      <c r="AO1710" s="33"/>
    </row>
    <row r="1711" spans="1:41" ht="42" x14ac:dyDescent="0.25">
      <c r="A1711" s="20">
        <v>1565</v>
      </c>
      <c r="B1711" s="21" t="s">
        <v>2829</v>
      </c>
      <c r="C1711" s="22">
        <v>46.29</v>
      </c>
      <c r="D1711" s="25" t="s">
        <v>2848</v>
      </c>
      <c r="E1711" s="24" t="s">
        <v>2867</v>
      </c>
      <c r="F1711" s="24" t="s">
        <v>742</v>
      </c>
      <c r="G1711" s="25" t="s">
        <v>47</v>
      </c>
      <c r="H1711" s="26">
        <v>1451</v>
      </c>
      <c r="I1711" s="26">
        <v>1451</v>
      </c>
      <c r="J1711" s="31"/>
      <c r="K1711" s="31"/>
      <c r="L1711" s="31"/>
      <c r="M1711" s="31"/>
      <c r="N1711" s="31"/>
      <c r="O1711" s="31"/>
      <c r="P1711" s="31"/>
      <c r="Q1711" s="31"/>
      <c r="R1711" s="31"/>
      <c r="S1711" s="31"/>
      <c r="T1711" s="31"/>
      <c r="U1711" s="31"/>
      <c r="V1711" s="31"/>
      <c r="W1711" s="31"/>
      <c r="X1711" s="31"/>
      <c r="Y1711" s="31"/>
      <c r="Z1711" s="31"/>
      <c r="AA1711" s="31"/>
      <c r="AB1711" s="31"/>
      <c r="AC1711" s="31"/>
      <c r="AD1711" s="31"/>
      <c r="AE1711" s="31"/>
      <c r="AF1711" s="31"/>
      <c r="AG1711" s="31"/>
      <c r="AH1711" s="31"/>
      <c r="AI1711" s="31"/>
      <c r="AJ1711" s="31"/>
      <c r="AK1711" s="31"/>
      <c r="AL1711" s="28" t="str">
        <f>VLOOKUP($G1711,'[42]Sheet1 (2)'!$A$1:$B$1048440,2,FALSE)</f>
        <v>Cum</v>
      </c>
      <c r="AM1711" s="32"/>
      <c r="AN1711" s="31"/>
      <c r="AO1711" s="33"/>
    </row>
    <row r="1712" spans="1:41" ht="56" x14ac:dyDescent="0.25">
      <c r="A1712" s="20">
        <v>1566</v>
      </c>
      <c r="B1712" s="21" t="s">
        <v>2829</v>
      </c>
      <c r="C1712" s="22">
        <v>46.3</v>
      </c>
      <c r="D1712" s="25" t="s">
        <v>2848</v>
      </c>
      <c r="E1712" s="24" t="s">
        <v>2868</v>
      </c>
      <c r="F1712" s="35" t="s">
        <v>1839</v>
      </c>
      <c r="G1712" s="21" t="s">
        <v>80</v>
      </c>
      <c r="H1712" s="26">
        <v>236</v>
      </c>
      <c r="I1712" s="26">
        <v>99</v>
      </c>
      <c r="J1712" s="31"/>
      <c r="K1712" s="31"/>
      <c r="L1712" s="31"/>
      <c r="M1712" s="31"/>
      <c r="N1712" s="31"/>
      <c r="O1712" s="31"/>
      <c r="P1712" s="31"/>
      <c r="Q1712" s="31"/>
      <c r="R1712" s="31"/>
      <c r="S1712" s="31"/>
      <c r="T1712" s="31"/>
      <c r="U1712" s="31"/>
      <c r="V1712" s="31"/>
      <c r="W1712" s="31"/>
      <c r="X1712" s="31"/>
      <c r="Y1712" s="31"/>
      <c r="Z1712" s="31"/>
      <c r="AA1712" s="31"/>
      <c r="AB1712" s="31"/>
      <c r="AC1712" s="31"/>
      <c r="AD1712" s="31"/>
      <c r="AE1712" s="31"/>
      <c r="AF1712" s="31"/>
      <c r="AG1712" s="31"/>
      <c r="AH1712" s="31"/>
      <c r="AI1712" s="31"/>
      <c r="AJ1712" s="31"/>
      <c r="AK1712" s="31"/>
      <c r="AL1712" s="28" t="str">
        <f>VLOOKUP($G1712,'[42]Sheet1 (2)'!$A$1:$B$1048440,2,FALSE)</f>
        <v>Rmt.</v>
      </c>
      <c r="AM1712" s="32"/>
      <c r="AN1712" s="31"/>
      <c r="AO1712" s="33"/>
    </row>
    <row r="1713" spans="1:41" ht="56" x14ac:dyDescent="0.25">
      <c r="A1713" s="20">
        <v>1567</v>
      </c>
      <c r="B1713" s="35" t="s">
        <v>2833</v>
      </c>
      <c r="C1713" s="22">
        <v>46.31</v>
      </c>
      <c r="D1713" s="25" t="s">
        <v>2848</v>
      </c>
      <c r="E1713" s="23" t="s">
        <v>2869</v>
      </c>
      <c r="F1713" s="35" t="s">
        <v>1761</v>
      </c>
      <c r="G1713" s="21" t="s">
        <v>80</v>
      </c>
      <c r="H1713" s="26">
        <v>310</v>
      </c>
      <c r="I1713" s="26">
        <v>174</v>
      </c>
      <c r="J1713" s="31"/>
      <c r="K1713" s="31"/>
      <c r="L1713" s="31"/>
      <c r="M1713" s="31"/>
      <c r="N1713" s="31"/>
      <c r="O1713" s="31"/>
      <c r="P1713" s="31"/>
      <c r="Q1713" s="31"/>
      <c r="R1713" s="31"/>
      <c r="S1713" s="31"/>
      <c r="T1713" s="31"/>
      <c r="U1713" s="31"/>
      <c r="V1713" s="31"/>
      <c r="W1713" s="31"/>
      <c r="X1713" s="31"/>
      <c r="Y1713" s="31"/>
      <c r="Z1713" s="31"/>
      <c r="AA1713" s="31"/>
      <c r="AB1713" s="31"/>
      <c r="AC1713" s="31"/>
      <c r="AD1713" s="31"/>
      <c r="AE1713" s="31"/>
      <c r="AF1713" s="31"/>
      <c r="AG1713" s="31"/>
      <c r="AH1713" s="31"/>
      <c r="AI1713" s="31"/>
      <c r="AJ1713" s="31"/>
      <c r="AK1713" s="31"/>
      <c r="AL1713" s="28" t="str">
        <f>VLOOKUP($G1713,'[42]Sheet1 (2)'!$A$1:$B$1048440,2,FALSE)</f>
        <v>Rmt.</v>
      </c>
      <c r="AM1713" s="32"/>
      <c r="AN1713" s="31"/>
      <c r="AO1713" s="33"/>
    </row>
    <row r="1714" spans="1:41" ht="56" x14ac:dyDescent="0.25">
      <c r="A1714" s="20">
        <v>1568</v>
      </c>
      <c r="B1714" s="21" t="s">
        <v>2829</v>
      </c>
      <c r="C1714" s="22">
        <v>46.32</v>
      </c>
      <c r="D1714" s="25" t="s">
        <v>2848</v>
      </c>
      <c r="E1714" s="24" t="s">
        <v>2870</v>
      </c>
      <c r="F1714" s="35" t="s">
        <v>1761</v>
      </c>
      <c r="G1714" s="202" t="s">
        <v>621</v>
      </c>
      <c r="H1714" s="26">
        <v>71</v>
      </c>
      <c r="I1714" s="26">
        <v>71</v>
      </c>
      <c r="J1714" s="31"/>
      <c r="K1714" s="31"/>
      <c r="L1714" s="31"/>
      <c r="M1714" s="31"/>
      <c r="N1714" s="31"/>
      <c r="O1714" s="31"/>
      <c r="P1714" s="31"/>
      <c r="Q1714" s="31"/>
      <c r="R1714" s="31"/>
      <c r="S1714" s="31"/>
      <c r="T1714" s="31"/>
      <c r="U1714" s="31"/>
      <c r="V1714" s="31"/>
      <c r="W1714" s="31"/>
      <c r="X1714" s="31"/>
      <c r="Y1714" s="31"/>
      <c r="Z1714" s="31"/>
      <c r="AA1714" s="31"/>
      <c r="AB1714" s="31"/>
      <c r="AC1714" s="31"/>
      <c r="AD1714" s="31"/>
      <c r="AE1714" s="31"/>
      <c r="AF1714" s="31"/>
      <c r="AG1714" s="31"/>
      <c r="AH1714" s="31"/>
      <c r="AI1714" s="31"/>
      <c r="AJ1714" s="31"/>
      <c r="AK1714" s="31"/>
      <c r="AL1714" s="28" t="str">
        <f>VLOOKUP($G1714,'[42]Sheet1 (2)'!$A$1:$B$1048440,2,FALSE)</f>
        <v>Sqm</v>
      </c>
      <c r="AM1714" s="32"/>
      <c r="AN1714" s="31"/>
      <c r="AO1714" s="33"/>
    </row>
    <row r="1715" spans="1:41" ht="56" x14ac:dyDescent="0.25">
      <c r="A1715" s="20">
        <v>1569</v>
      </c>
      <c r="B1715" s="35" t="s">
        <v>2833</v>
      </c>
      <c r="C1715" s="22">
        <v>46.33</v>
      </c>
      <c r="D1715" s="25" t="s">
        <v>2848</v>
      </c>
      <c r="E1715" s="23" t="s">
        <v>2871</v>
      </c>
      <c r="F1715" s="35" t="s">
        <v>1761</v>
      </c>
      <c r="G1715" s="21" t="s">
        <v>80</v>
      </c>
      <c r="H1715" s="26">
        <v>9</v>
      </c>
      <c r="I1715" s="26">
        <v>9</v>
      </c>
      <c r="J1715" s="31"/>
      <c r="K1715" s="31"/>
      <c r="L1715" s="31"/>
      <c r="M1715" s="31"/>
      <c r="N1715" s="31"/>
      <c r="O1715" s="31"/>
      <c r="P1715" s="31"/>
      <c r="Q1715" s="31"/>
      <c r="R1715" s="31"/>
      <c r="S1715" s="31"/>
      <c r="T1715" s="31"/>
      <c r="U1715" s="31"/>
      <c r="V1715" s="31"/>
      <c r="W1715" s="31"/>
      <c r="X1715" s="31"/>
      <c r="Y1715" s="31"/>
      <c r="Z1715" s="31"/>
      <c r="AA1715" s="31"/>
      <c r="AB1715" s="31"/>
      <c r="AC1715" s="31"/>
      <c r="AD1715" s="31"/>
      <c r="AE1715" s="31"/>
      <c r="AF1715" s="31"/>
      <c r="AG1715" s="31"/>
      <c r="AH1715" s="31"/>
      <c r="AI1715" s="31"/>
      <c r="AJ1715" s="31"/>
      <c r="AK1715" s="31"/>
      <c r="AL1715" s="28" t="str">
        <f>VLOOKUP($G1715,'[42]Sheet1 (2)'!$A$1:$B$1048440,2,FALSE)</f>
        <v>Rmt.</v>
      </c>
      <c r="AM1715" s="32"/>
      <c r="AN1715" s="31"/>
      <c r="AO1715" s="33"/>
    </row>
    <row r="1716" spans="1:41" ht="56" x14ac:dyDescent="0.25">
      <c r="A1716" s="20">
        <v>1570</v>
      </c>
      <c r="B1716" s="21" t="s">
        <v>2829</v>
      </c>
      <c r="C1716" s="22">
        <v>46.34</v>
      </c>
      <c r="D1716" s="25" t="s">
        <v>2848</v>
      </c>
      <c r="E1716" s="24" t="s">
        <v>2872</v>
      </c>
      <c r="F1716" s="35" t="s">
        <v>1761</v>
      </c>
      <c r="G1716" s="202" t="s">
        <v>621</v>
      </c>
      <c r="H1716" s="26">
        <v>20</v>
      </c>
      <c r="I1716" s="26">
        <v>20</v>
      </c>
      <c r="J1716" s="31"/>
      <c r="K1716" s="31"/>
      <c r="L1716" s="31"/>
      <c r="M1716" s="31"/>
      <c r="N1716" s="31"/>
      <c r="O1716" s="31"/>
      <c r="P1716" s="31"/>
      <c r="Q1716" s="31"/>
      <c r="R1716" s="31"/>
      <c r="S1716" s="31"/>
      <c r="T1716" s="31"/>
      <c r="U1716" s="31"/>
      <c r="V1716" s="31"/>
      <c r="W1716" s="31"/>
      <c r="X1716" s="31"/>
      <c r="Y1716" s="31"/>
      <c r="Z1716" s="31"/>
      <c r="AA1716" s="31"/>
      <c r="AB1716" s="31"/>
      <c r="AC1716" s="31"/>
      <c r="AD1716" s="31"/>
      <c r="AE1716" s="31"/>
      <c r="AF1716" s="31"/>
      <c r="AG1716" s="31"/>
      <c r="AH1716" s="31"/>
      <c r="AI1716" s="31"/>
      <c r="AJ1716" s="31"/>
      <c r="AK1716" s="31"/>
      <c r="AL1716" s="28" t="str">
        <f>VLOOKUP($G1716,'[42]Sheet1 (2)'!$A$1:$B$1048440,2,FALSE)</f>
        <v>Sqm</v>
      </c>
      <c r="AM1716" s="32"/>
      <c r="AN1716" s="31"/>
      <c r="AO1716" s="33"/>
    </row>
    <row r="1717" spans="1:41" ht="56" x14ac:dyDescent="0.25">
      <c r="A1717" s="20">
        <v>1571</v>
      </c>
      <c r="B1717" s="21" t="s">
        <v>2829</v>
      </c>
      <c r="C1717" s="22">
        <v>46.35</v>
      </c>
      <c r="D1717" s="25" t="s">
        <v>2848</v>
      </c>
      <c r="E1717" s="24" t="s">
        <v>2873</v>
      </c>
      <c r="F1717" s="35" t="s">
        <v>1839</v>
      </c>
      <c r="G1717" s="21" t="s">
        <v>80</v>
      </c>
      <c r="H1717" s="26">
        <v>21</v>
      </c>
      <c r="I1717" s="26">
        <v>21</v>
      </c>
      <c r="J1717" s="31"/>
      <c r="K1717" s="31"/>
      <c r="L1717" s="31"/>
      <c r="M1717" s="31"/>
      <c r="N1717" s="31"/>
      <c r="O1717" s="31"/>
      <c r="P1717" s="31"/>
      <c r="Q1717" s="31"/>
      <c r="R1717" s="31"/>
      <c r="S1717" s="31"/>
      <c r="T1717" s="31"/>
      <c r="U1717" s="31"/>
      <c r="V1717" s="31"/>
      <c r="W1717" s="31"/>
      <c r="X1717" s="31"/>
      <c r="Y1717" s="31"/>
      <c r="Z1717" s="31"/>
      <c r="AA1717" s="31"/>
      <c r="AB1717" s="31"/>
      <c r="AC1717" s="31"/>
      <c r="AD1717" s="31"/>
      <c r="AE1717" s="31"/>
      <c r="AF1717" s="31"/>
      <c r="AG1717" s="31"/>
      <c r="AH1717" s="31"/>
      <c r="AI1717" s="31"/>
      <c r="AJ1717" s="31"/>
      <c r="AK1717" s="31"/>
      <c r="AL1717" s="28" t="str">
        <f>VLOOKUP($G1717,'[42]Sheet1 (2)'!$A$1:$B$1048440,2,FALSE)</f>
        <v>Rmt.</v>
      </c>
      <c r="AM1717" s="32"/>
      <c r="AN1717" s="31"/>
      <c r="AO1717" s="33"/>
    </row>
    <row r="1718" spans="1:41" ht="56" x14ac:dyDescent="0.25">
      <c r="A1718" s="20">
        <v>1572</v>
      </c>
      <c r="B1718" s="21" t="s">
        <v>2829</v>
      </c>
      <c r="C1718" s="22">
        <v>46.36</v>
      </c>
      <c r="D1718" s="25" t="s">
        <v>2848</v>
      </c>
      <c r="E1718" s="24" t="s">
        <v>2874</v>
      </c>
      <c r="F1718" s="35" t="s">
        <v>1761</v>
      </c>
      <c r="G1718" s="21" t="s">
        <v>80</v>
      </c>
      <c r="H1718" s="26">
        <v>21</v>
      </c>
      <c r="I1718" s="26">
        <v>21</v>
      </c>
      <c r="J1718" s="31"/>
      <c r="K1718" s="31"/>
      <c r="L1718" s="31"/>
      <c r="M1718" s="31"/>
      <c r="N1718" s="31"/>
      <c r="O1718" s="31"/>
      <c r="P1718" s="31"/>
      <c r="Q1718" s="31"/>
      <c r="R1718" s="31"/>
      <c r="S1718" s="31"/>
      <c r="T1718" s="31"/>
      <c r="U1718" s="31"/>
      <c r="V1718" s="31"/>
      <c r="W1718" s="31"/>
      <c r="X1718" s="31"/>
      <c r="Y1718" s="31"/>
      <c r="Z1718" s="31"/>
      <c r="AA1718" s="31"/>
      <c r="AB1718" s="31"/>
      <c r="AC1718" s="31"/>
      <c r="AD1718" s="31"/>
      <c r="AE1718" s="31"/>
      <c r="AF1718" s="31"/>
      <c r="AG1718" s="31"/>
      <c r="AH1718" s="31"/>
      <c r="AI1718" s="31"/>
      <c r="AJ1718" s="31"/>
      <c r="AK1718" s="31"/>
      <c r="AL1718" s="28" t="str">
        <f>VLOOKUP($G1718,'[42]Sheet1 (2)'!$A$1:$B$1048440,2,FALSE)</f>
        <v>Rmt.</v>
      </c>
      <c r="AM1718" s="32"/>
      <c r="AN1718" s="31"/>
      <c r="AO1718" s="33"/>
    </row>
    <row r="1719" spans="1:41" ht="56" x14ac:dyDescent="0.25">
      <c r="A1719" s="20">
        <v>1573</v>
      </c>
      <c r="B1719" s="35" t="s">
        <v>2833</v>
      </c>
      <c r="C1719" s="22">
        <v>46.37</v>
      </c>
      <c r="D1719" s="25" t="s">
        <v>2848</v>
      </c>
      <c r="E1719" s="23" t="s">
        <v>2875</v>
      </c>
      <c r="F1719" s="35" t="s">
        <v>1761</v>
      </c>
      <c r="G1719" s="35" t="s">
        <v>151</v>
      </c>
      <c r="H1719" s="26">
        <v>18</v>
      </c>
      <c r="I1719" s="26">
        <v>18</v>
      </c>
      <c r="J1719" s="31"/>
      <c r="K1719" s="31"/>
      <c r="L1719" s="31"/>
      <c r="M1719" s="31"/>
      <c r="N1719" s="31"/>
      <c r="O1719" s="31"/>
      <c r="P1719" s="31"/>
      <c r="Q1719" s="31"/>
      <c r="R1719" s="31"/>
      <c r="S1719" s="31"/>
      <c r="T1719" s="31"/>
      <c r="U1719" s="31"/>
      <c r="V1719" s="31"/>
      <c r="W1719" s="31"/>
      <c r="X1719" s="31"/>
      <c r="Y1719" s="31"/>
      <c r="Z1719" s="31"/>
      <c r="AA1719" s="31"/>
      <c r="AB1719" s="31"/>
      <c r="AC1719" s="31"/>
      <c r="AD1719" s="31"/>
      <c r="AE1719" s="31"/>
      <c r="AF1719" s="31"/>
      <c r="AG1719" s="31"/>
      <c r="AH1719" s="31"/>
      <c r="AI1719" s="31"/>
      <c r="AJ1719" s="31"/>
      <c r="AK1719" s="31"/>
      <c r="AL1719" s="28" t="str">
        <f>VLOOKUP($G1719,'[42]Sheet1 (2)'!$A$1:$B$1048440,2,FALSE)</f>
        <v>Sqm</v>
      </c>
      <c r="AM1719" s="32"/>
      <c r="AN1719" s="31"/>
      <c r="AO1719" s="33"/>
    </row>
    <row r="1720" spans="1:41" ht="56" x14ac:dyDescent="0.25">
      <c r="A1720" s="20">
        <v>1574</v>
      </c>
      <c r="B1720" s="21" t="s">
        <v>2829</v>
      </c>
      <c r="C1720" s="22">
        <v>46.38</v>
      </c>
      <c r="D1720" s="25" t="s">
        <v>1325</v>
      </c>
      <c r="E1720" s="24" t="s">
        <v>2876</v>
      </c>
      <c r="F1720" s="35" t="s">
        <v>1761</v>
      </c>
      <c r="G1720" s="35" t="s">
        <v>151</v>
      </c>
      <c r="H1720" s="26">
        <v>68</v>
      </c>
      <c r="I1720" s="26">
        <v>19</v>
      </c>
      <c r="J1720" s="31"/>
      <c r="K1720" s="31"/>
      <c r="L1720" s="31"/>
      <c r="M1720" s="31"/>
      <c r="N1720" s="31"/>
      <c r="O1720" s="31"/>
      <c r="P1720" s="31"/>
      <c r="Q1720" s="31"/>
      <c r="R1720" s="31"/>
      <c r="S1720" s="31"/>
      <c r="T1720" s="31"/>
      <c r="U1720" s="31"/>
      <c r="V1720" s="31"/>
      <c r="W1720" s="31"/>
      <c r="X1720" s="31"/>
      <c r="Y1720" s="31"/>
      <c r="Z1720" s="31"/>
      <c r="AA1720" s="31"/>
      <c r="AB1720" s="31"/>
      <c r="AC1720" s="31"/>
      <c r="AD1720" s="31"/>
      <c r="AE1720" s="31"/>
      <c r="AF1720" s="31"/>
      <c r="AG1720" s="31"/>
      <c r="AH1720" s="31"/>
      <c r="AI1720" s="31"/>
      <c r="AJ1720" s="31"/>
      <c r="AK1720" s="31"/>
      <c r="AL1720" s="28" t="str">
        <f>VLOOKUP($G1720,'[42]Sheet1 (2)'!$A$1:$B$1048440,2,FALSE)</f>
        <v>Sqm</v>
      </c>
      <c r="AM1720" s="32"/>
      <c r="AN1720" s="31"/>
      <c r="AO1720" s="33"/>
    </row>
    <row r="1721" spans="1:41" ht="168" x14ac:dyDescent="0.25">
      <c r="A1721" s="20">
        <v>1575</v>
      </c>
      <c r="B1721" s="21" t="s">
        <v>2829</v>
      </c>
      <c r="C1721" s="22">
        <v>46.39</v>
      </c>
      <c r="D1721" s="25" t="s">
        <v>1325</v>
      </c>
      <c r="E1721" s="23" t="s">
        <v>2877</v>
      </c>
      <c r="F1721" s="24" t="s">
        <v>742</v>
      </c>
      <c r="G1721" s="21" t="s">
        <v>80</v>
      </c>
      <c r="H1721" s="26">
        <v>2539</v>
      </c>
      <c r="I1721" s="26">
        <v>329</v>
      </c>
      <c r="J1721" s="31"/>
      <c r="K1721" s="31"/>
      <c r="L1721" s="31"/>
      <c r="M1721" s="31"/>
      <c r="N1721" s="31"/>
      <c r="O1721" s="31"/>
      <c r="P1721" s="31"/>
      <c r="Q1721" s="31"/>
      <c r="R1721" s="31"/>
      <c r="S1721" s="31"/>
      <c r="T1721" s="31"/>
      <c r="U1721" s="31"/>
      <c r="V1721" s="31"/>
      <c r="W1721" s="31"/>
      <c r="X1721" s="31"/>
      <c r="Y1721" s="31"/>
      <c r="Z1721" s="31"/>
      <c r="AA1721" s="31"/>
      <c r="AB1721" s="31"/>
      <c r="AC1721" s="31"/>
      <c r="AD1721" s="31"/>
      <c r="AE1721" s="31"/>
      <c r="AF1721" s="31"/>
      <c r="AG1721" s="31"/>
      <c r="AH1721" s="31"/>
      <c r="AI1721" s="31"/>
      <c r="AJ1721" s="31"/>
      <c r="AK1721" s="31"/>
      <c r="AL1721" s="28" t="str">
        <f>VLOOKUP($G1721,'[42]Sheet1 (2)'!$A$1:$B$1048440,2,FALSE)</f>
        <v>Rmt.</v>
      </c>
      <c r="AM1721" s="32"/>
      <c r="AN1721" s="31"/>
      <c r="AO1721" s="33"/>
    </row>
    <row r="1722" spans="1:41" ht="84" x14ac:dyDescent="0.25">
      <c r="A1722" s="20">
        <v>1576</v>
      </c>
      <c r="B1722" s="21" t="s">
        <v>2829</v>
      </c>
      <c r="C1722" s="22">
        <v>46.4</v>
      </c>
      <c r="D1722" s="25" t="s">
        <v>1325</v>
      </c>
      <c r="E1722" s="23" t="s">
        <v>2878</v>
      </c>
      <c r="F1722" s="24" t="s">
        <v>742</v>
      </c>
      <c r="G1722" s="25" t="s">
        <v>45</v>
      </c>
      <c r="H1722" s="26">
        <v>96</v>
      </c>
      <c r="I1722" s="26">
        <v>96</v>
      </c>
      <c r="J1722" s="31"/>
      <c r="K1722" s="31"/>
      <c r="L1722" s="31"/>
      <c r="M1722" s="31"/>
      <c r="N1722" s="31"/>
      <c r="O1722" s="31"/>
      <c r="P1722" s="31"/>
      <c r="Q1722" s="31"/>
      <c r="R1722" s="31"/>
      <c r="S1722" s="31"/>
      <c r="T1722" s="31"/>
      <c r="U1722" s="31"/>
      <c r="V1722" s="31"/>
      <c r="W1722" s="31"/>
      <c r="X1722" s="31"/>
      <c r="Y1722" s="31"/>
      <c r="Z1722" s="31"/>
      <c r="AA1722" s="31"/>
      <c r="AB1722" s="31"/>
      <c r="AC1722" s="31"/>
      <c r="AD1722" s="31"/>
      <c r="AE1722" s="31"/>
      <c r="AF1722" s="31"/>
      <c r="AG1722" s="31"/>
      <c r="AH1722" s="31"/>
      <c r="AI1722" s="31"/>
      <c r="AJ1722" s="31"/>
      <c r="AK1722" s="31"/>
      <c r="AL1722" s="28" t="str">
        <f>VLOOKUP($G1722,'[42]Sheet1 (2)'!$A$1:$B$1048440,2,FALSE)</f>
        <v>No.</v>
      </c>
      <c r="AM1722" s="32"/>
      <c r="AN1722" s="31"/>
      <c r="AO1722" s="33"/>
    </row>
    <row r="1723" spans="1:41" ht="98" x14ac:dyDescent="0.25">
      <c r="A1723" s="20">
        <v>1577</v>
      </c>
      <c r="B1723" s="21" t="s">
        <v>2829</v>
      </c>
      <c r="C1723" s="22">
        <v>46.41</v>
      </c>
      <c r="D1723" s="25" t="s">
        <v>1325</v>
      </c>
      <c r="E1723" s="23" t="s">
        <v>2879</v>
      </c>
      <c r="F1723" s="24" t="s">
        <v>742</v>
      </c>
      <c r="G1723" s="25" t="s">
        <v>45</v>
      </c>
      <c r="H1723" s="26">
        <v>207</v>
      </c>
      <c r="I1723" s="26">
        <v>207</v>
      </c>
      <c r="J1723" s="31"/>
      <c r="K1723" s="31"/>
      <c r="L1723" s="31"/>
      <c r="M1723" s="31"/>
      <c r="N1723" s="31"/>
      <c r="O1723" s="31"/>
      <c r="P1723" s="31"/>
      <c r="Q1723" s="31"/>
      <c r="R1723" s="31"/>
      <c r="S1723" s="31"/>
      <c r="T1723" s="31"/>
      <c r="U1723" s="31"/>
      <c r="V1723" s="31"/>
      <c r="W1723" s="31"/>
      <c r="X1723" s="31"/>
      <c r="Y1723" s="31"/>
      <c r="Z1723" s="31"/>
      <c r="AA1723" s="31"/>
      <c r="AB1723" s="31"/>
      <c r="AC1723" s="31"/>
      <c r="AD1723" s="31"/>
      <c r="AE1723" s="31"/>
      <c r="AF1723" s="31"/>
      <c r="AG1723" s="31"/>
      <c r="AH1723" s="31"/>
      <c r="AI1723" s="31"/>
      <c r="AJ1723" s="31"/>
      <c r="AK1723" s="31"/>
      <c r="AL1723" s="28" t="str">
        <f>VLOOKUP($G1723,'[42]Sheet1 (2)'!$A$1:$B$1048440,2,FALSE)</f>
        <v>No.</v>
      </c>
      <c r="AM1723" s="32"/>
      <c r="AN1723" s="31"/>
      <c r="AO1723" s="33"/>
    </row>
    <row r="1724" spans="1:41" ht="252" x14ac:dyDescent="0.25">
      <c r="A1724" s="20">
        <v>1578</v>
      </c>
      <c r="B1724" s="21" t="s">
        <v>2829</v>
      </c>
      <c r="C1724" s="22">
        <v>46.42</v>
      </c>
      <c r="D1724" s="25" t="s">
        <v>1325</v>
      </c>
      <c r="E1724" s="24" t="s">
        <v>2880</v>
      </c>
      <c r="F1724" s="24" t="s">
        <v>742</v>
      </c>
      <c r="G1724" s="35" t="s">
        <v>151</v>
      </c>
      <c r="H1724" s="26">
        <v>279</v>
      </c>
      <c r="I1724" s="26">
        <v>279</v>
      </c>
      <c r="J1724" s="31"/>
      <c r="K1724" s="31"/>
      <c r="L1724" s="31"/>
      <c r="M1724" s="31"/>
      <c r="N1724" s="31"/>
      <c r="O1724" s="31"/>
      <c r="P1724" s="31"/>
      <c r="Q1724" s="31"/>
      <c r="R1724" s="31"/>
      <c r="S1724" s="31"/>
      <c r="T1724" s="31"/>
      <c r="U1724" s="31"/>
      <c r="V1724" s="31"/>
      <c r="W1724" s="31"/>
      <c r="X1724" s="31"/>
      <c r="Y1724" s="31"/>
      <c r="Z1724" s="31"/>
      <c r="AA1724" s="31"/>
      <c r="AB1724" s="31"/>
      <c r="AC1724" s="31"/>
      <c r="AD1724" s="31"/>
      <c r="AE1724" s="31"/>
      <c r="AF1724" s="31"/>
      <c r="AG1724" s="31"/>
      <c r="AH1724" s="31"/>
      <c r="AI1724" s="31"/>
      <c r="AJ1724" s="31"/>
      <c r="AK1724" s="31"/>
      <c r="AL1724" s="28" t="str">
        <f>VLOOKUP($G1724,'[42]Sheet1 (2)'!$A$1:$B$1048440,2,FALSE)</f>
        <v>Sqm</v>
      </c>
      <c r="AM1724" s="32"/>
      <c r="AN1724" s="31"/>
      <c r="AO1724" s="33"/>
    </row>
    <row r="1725" spans="1:41" ht="56" x14ac:dyDescent="0.25">
      <c r="A1725" s="20">
        <v>1579</v>
      </c>
      <c r="B1725" s="21" t="s">
        <v>2829</v>
      </c>
      <c r="C1725" s="22">
        <v>46.43</v>
      </c>
      <c r="D1725" s="25" t="s">
        <v>1325</v>
      </c>
      <c r="E1725" s="23" t="s">
        <v>2881</v>
      </c>
      <c r="F1725" s="24" t="s">
        <v>742</v>
      </c>
      <c r="G1725" s="35" t="s">
        <v>151</v>
      </c>
      <c r="H1725" s="26">
        <v>115</v>
      </c>
      <c r="I1725" s="26">
        <v>115</v>
      </c>
      <c r="J1725" s="31"/>
      <c r="K1725" s="31"/>
      <c r="L1725" s="31"/>
      <c r="M1725" s="31"/>
      <c r="N1725" s="31"/>
      <c r="O1725" s="31"/>
      <c r="P1725" s="31"/>
      <c r="Q1725" s="31"/>
      <c r="R1725" s="31"/>
      <c r="S1725" s="31"/>
      <c r="T1725" s="31"/>
      <c r="U1725" s="31"/>
      <c r="V1725" s="31"/>
      <c r="W1725" s="31"/>
      <c r="X1725" s="31"/>
      <c r="Y1725" s="31"/>
      <c r="Z1725" s="31"/>
      <c r="AA1725" s="31"/>
      <c r="AB1725" s="31"/>
      <c r="AC1725" s="31"/>
      <c r="AD1725" s="31"/>
      <c r="AE1725" s="31"/>
      <c r="AF1725" s="31"/>
      <c r="AG1725" s="31"/>
      <c r="AH1725" s="31"/>
      <c r="AI1725" s="31"/>
      <c r="AJ1725" s="31"/>
      <c r="AK1725" s="31"/>
      <c r="AL1725" s="28" t="str">
        <f>VLOOKUP($G1725,'[42]Sheet1 (2)'!$A$1:$B$1048440,2,FALSE)</f>
        <v>Sqm</v>
      </c>
      <c r="AM1725" s="32"/>
      <c r="AN1725" s="31"/>
      <c r="AO1725" s="33"/>
    </row>
    <row r="1726" spans="1:41" ht="98" x14ac:dyDescent="0.25">
      <c r="A1726" s="20">
        <v>1580</v>
      </c>
      <c r="B1726" s="21" t="s">
        <v>2829</v>
      </c>
      <c r="C1726" s="22">
        <v>46.44</v>
      </c>
      <c r="D1726" s="25" t="s">
        <v>1325</v>
      </c>
      <c r="E1726" s="23" t="s">
        <v>2882</v>
      </c>
      <c r="F1726" s="24" t="s">
        <v>2803</v>
      </c>
      <c r="G1726" s="21" t="s">
        <v>1081</v>
      </c>
      <c r="H1726" s="26">
        <v>838</v>
      </c>
      <c r="I1726" s="26">
        <v>227</v>
      </c>
      <c r="J1726" s="31"/>
      <c r="K1726" s="31"/>
      <c r="L1726" s="31"/>
      <c r="M1726" s="31"/>
      <c r="N1726" s="31"/>
      <c r="O1726" s="31"/>
      <c r="P1726" s="31"/>
      <c r="Q1726" s="31"/>
      <c r="R1726" s="31"/>
      <c r="S1726" s="31"/>
      <c r="T1726" s="31"/>
      <c r="U1726" s="31"/>
      <c r="V1726" s="31"/>
      <c r="W1726" s="31"/>
      <c r="X1726" s="31"/>
      <c r="Y1726" s="31"/>
      <c r="Z1726" s="31"/>
      <c r="AA1726" s="31"/>
      <c r="AB1726" s="31"/>
      <c r="AC1726" s="31"/>
      <c r="AD1726" s="31"/>
      <c r="AE1726" s="31"/>
      <c r="AF1726" s="31"/>
      <c r="AG1726" s="31"/>
      <c r="AH1726" s="31"/>
      <c r="AI1726" s="31"/>
      <c r="AJ1726" s="31"/>
      <c r="AK1726" s="31"/>
      <c r="AL1726" s="28" t="e">
        <f>VLOOKUP($G1726,'[42]Sheet1 (2)'!$A$1:$B$1048440,2,FALSE)</f>
        <v>#N/A</v>
      </c>
      <c r="AM1726" s="32"/>
      <c r="AN1726" s="31"/>
      <c r="AO1726" s="33"/>
    </row>
    <row r="1727" spans="1:41" ht="84" x14ac:dyDescent="0.25">
      <c r="A1727" s="20">
        <v>1581</v>
      </c>
      <c r="B1727" s="21" t="s">
        <v>2829</v>
      </c>
      <c r="C1727" s="22">
        <v>46.45</v>
      </c>
      <c r="D1727" s="25" t="s">
        <v>1325</v>
      </c>
      <c r="E1727" s="24" t="s">
        <v>2883</v>
      </c>
      <c r="F1727" s="24" t="s">
        <v>2884</v>
      </c>
      <c r="G1727" s="21" t="s">
        <v>1081</v>
      </c>
      <c r="H1727" s="26">
        <v>796</v>
      </c>
      <c r="I1727" s="26">
        <v>227</v>
      </c>
      <c r="J1727" s="31"/>
      <c r="K1727" s="31"/>
      <c r="L1727" s="31"/>
      <c r="M1727" s="31"/>
      <c r="N1727" s="31"/>
      <c r="O1727" s="31"/>
      <c r="P1727" s="31"/>
      <c r="Q1727" s="31"/>
      <c r="R1727" s="31"/>
      <c r="S1727" s="31"/>
      <c r="T1727" s="31"/>
      <c r="U1727" s="31"/>
      <c r="V1727" s="31"/>
      <c r="W1727" s="31"/>
      <c r="X1727" s="31"/>
      <c r="Y1727" s="31"/>
      <c r="Z1727" s="31"/>
      <c r="AA1727" s="31"/>
      <c r="AB1727" s="31"/>
      <c r="AC1727" s="31"/>
      <c r="AD1727" s="31"/>
      <c r="AE1727" s="31"/>
      <c r="AF1727" s="31"/>
      <c r="AG1727" s="31"/>
      <c r="AH1727" s="31"/>
      <c r="AI1727" s="31"/>
      <c r="AJ1727" s="31"/>
      <c r="AK1727" s="31"/>
      <c r="AL1727" s="28" t="e">
        <f>VLOOKUP($G1727,'[42]Sheet1 (2)'!$A$1:$B$1048440,2,FALSE)</f>
        <v>#N/A</v>
      </c>
      <c r="AM1727" s="32"/>
      <c r="AN1727" s="31"/>
      <c r="AO1727" s="33"/>
    </row>
    <row r="1728" spans="1:41" ht="84" x14ac:dyDescent="0.25">
      <c r="A1728" s="20">
        <v>1582</v>
      </c>
      <c r="B1728" s="21" t="s">
        <v>2829</v>
      </c>
      <c r="C1728" s="22">
        <v>46.46</v>
      </c>
      <c r="D1728" s="25" t="s">
        <v>1325</v>
      </c>
      <c r="E1728" s="23" t="s">
        <v>2885</v>
      </c>
      <c r="F1728" s="24" t="s">
        <v>742</v>
      </c>
      <c r="G1728" s="25" t="s">
        <v>45</v>
      </c>
      <c r="H1728" s="26">
        <v>295</v>
      </c>
      <c r="I1728" s="26">
        <v>98</v>
      </c>
      <c r="J1728" s="31"/>
      <c r="K1728" s="31"/>
      <c r="L1728" s="31"/>
      <c r="M1728" s="31"/>
      <c r="N1728" s="31"/>
      <c r="O1728" s="31"/>
      <c r="P1728" s="31"/>
      <c r="Q1728" s="31"/>
      <c r="R1728" s="31"/>
      <c r="S1728" s="31"/>
      <c r="T1728" s="31"/>
      <c r="U1728" s="31"/>
      <c r="V1728" s="31"/>
      <c r="W1728" s="31"/>
      <c r="X1728" s="31"/>
      <c r="Y1728" s="31"/>
      <c r="Z1728" s="31"/>
      <c r="AA1728" s="31"/>
      <c r="AB1728" s="31"/>
      <c r="AC1728" s="31"/>
      <c r="AD1728" s="31"/>
      <c r="AE1728" s="31"/>
      <c r="AF1728" s="31"/>
      <c r="AG1728" s="31"/>
      <c r="AH1728" s="31"/>
      <c r="AI1728" s="31"/>
      <c r="AJ1728" s="31"/>
      <c r="AK1728" s="31"/>
      <c r="AL1728" s="28" t="str">
        <f>VLOOKUP($G1728,'[42]Sheet1 (2)'!$A$1:$B$1048440,2,FALSE)</f>
        <v>No.</v>
      </c>
      <c r="AM1728" s="32"/>
      <c r="AN1728" s="31"/>
      <c r="AO1728" s="33"/>
    </row>
    <row r="1729" spans="1:41" ht="84" x14ac:dyDescent="0.25">
      <c r="A1729" s="20">
        <v>1583</v>
      </c>
      <c r="B1729" s="21" t="s">
        <v>2829</v>
      </c>
      <c r="C1729" s="22">
        <v>46.47</v>
      </c>
      <c r="D1729" s="25" t="s">
        <v>1325</v>
      </c>
      <c r="E1729" s="23" t="s">
        <v>2886</v>
      </c>
      <c r="F1729" s="24" t="s">
        <v>742</v>
      </c>
      <c r="G1729" s="25" t="s">
        <v>45</v>
      </c>
      <c r="H1729" s="26">
        <v>1236</v>
      </c>
      <c r="I1729" s="26">
        <v>123</v>
      </c>
      <c r="J1729" s="31"/>
      <c r="K1729" s="31"/>
      <c r="L1729" s="31"/>
      <c r="M1729" s="31"/>
      <c r="N1729" s="31"/>
      <c r="O1729" s="31"/>
      <c r="P1729" s="31"/>
      <c r="Q1729" s="31"/>
      <c r="R1729" s="31"/>
      <c r="S1729" s="31"/>
      <c r="T1729" s="31"/>
      <c r="U1729" s="31"/>
      <c r="V1729" s="31"/>
      <c r="W1729" s="31"/>
      <c r="X1729" s="31"/>
      <c r="Y1729" s="31"/>
      <c r="Z1729" s="31"/>
      <c r="AA1729" s="31"/>
      <c r="AB1729" s="31"/>
      <c r="AC1729" s="31"/>
      <c r="AD1729" s="31"/>
      <c r="AE1729" s="31"/>
      <c r="AF1729" s="31"/>
      <c r="AG1729" s="31"/>
      <c r="AH1729" s="31"/>
      <c r="AI1729" s="31"/>
      <c r="AJ1729" s="31"/>
      <c r="AK1729" s="31"/>
      <c r="AL1729" s="28" t="str">
        <f>VLOOKUP($G1729,'[42]Sheet1 (2)'!$A$1:$B$1048440,2,FALSE)</f>
        <v>No.</v>
      </c>
      <c r="AM1729" s="32"/>
      <c r="AN1729" s="31"/>
      <c r="AO1729" s="33"/>
    </row>
    <row r="1730" spans="1:41" ht="84" x14ac:dyDescent="0.25">
      <c r="A1730" s="20">
        <v>1584</v>
      </c>
      <c r="B1730" s="21" t="s">
        <v>2829</v>
      </c>
      <c r="C1730" s="22">
        <v>46.48</v>
      </c>
      <c r="D1730" s="25" t="s">
        <v>1325</v>
      </c>
      <c r="E1730" s="23" t="s">
        <v>2887</v>
      </c>
      <c r="F1730" s="24" t="s">
        <v>742</v>
      </c>
      <c r="G1730" s="25" t="s">
        <v>45</v>
      </c>
      <c r="H1730" s="26">
        <v>375</v>
      </c>
      <c r="I1730" s="26">
        <v>51</v>
      </c>
      <c r="J1730" s="31"/>
      <c r="K1730" s="31"/>
      <c r="L1730" s="31"/>
      <c r="M1730" s="31"/>
      <c r="N1730" s="31"/>
      <c r="O1730" s="31"/>
      <c r="P1730" s="31"/>
      <c r="Q1730" s="31"/>
      <c r="R1730" s="31"/>
      <c r="S1730" s="31"/>
      <c r="T1730" s="31"/>
      <c r="U1730" s="31"/>
      <c r="V1730" s="31"/>
      <c r="W1730" s="31"/>
      <c r="X1730" s="31"/>
      <c r="Y1730" s="31"/>
      <c r="Z1730" s="31"/>
      <c r="AA1730" s="31"/>
      <c r="AB1730" s="31"/>
      <c r="AC1730" s="31"/>
      <c r="AD1730" s="31"/>
      <c r="AE1730" s="31"/>
      <c r="AF1730" s="31"/>
      <c r="AG1730" s="31"/>
      <c r="AH1730" s="31"/>
      <c r="AI1730" s="31"/>
      <c r="AJ1730" s="31"/>
      <c r="AK1730" s="31"/>
      <c r="AL1730" s="28" t="str">
        <f>VLOOKUP($G1730,'[42]Sheet1 (2)'!$A$1:$B$1048440,2,FALSE)</f>
        <v>No.</v>
      </c>
      <c r="AM1730" s="32"/>
      <c r="AN1730" s="31"/>
      <c r="AO1730" s="33"/>
    </row>
    <row r="1731" spans="1:41" ht="84" x14ac:dyDescent="0.25">
      <c r="A1731" s="20">
        <v>1585</v>
      </c>
      <c r="B1731" s="21" t="s">
        <v>2829</v>
      </c>
      <c r="C1731" s="22">
        <v>46.49</v>
      </c>
      <c r="D1731" s="25" t="s">
        <v>1325</v>
      </c>
      <c r="E1731" s="23" t="s">
        <v>2888</v>
      </c>
      <c r="F1731" s="24" t="s">
        <v>742</v>
      </c>
      <c r="G1731" s="25" t="s">
        <v>45</v>
      </c>
      <c r="H1731" s="26">
        <v>322</v>
      </c>
      <c r="I1731" s="26">
        <v>51</v>
      </c>
      <c r="J1731" s="31"/>
      <c r="K1731" s="31"/>
      <c r="L1731" s="31"/>
      <c r="M1731" s="31"/>
      <c r="N1731" s="31"/>
      <c r="O1731" s="31"/>
      <c r="P1731" s="31"/>
      <c r="Q1731" s="31"/>
      <c r="R1731" s="31"/>
      <c r="S1731" s="31"/>
      <c r="T1731" s="31"/>
      <c r="U1731" s="31"/>
      <c r="V1731" s="31"/>
      <c r="W1731" s="31"/>
      <c r="X1731" s="31"/>
      <c r="Y1731" s="31"/>
      <c r="Z1731" s="31"/>
      <c r="AA1731" s="31"/>
      <c r="AB1731" s="31"/>
      <c r="AC1731" s="31"/>
      <c r="AD1731" s="31"/>
      <c r="AE1731" s="31"/>
      <c r="AF1731" s="31"/>
      <c r="AG1731" s="31"/>
      <c r="AH1731" s="31"/>
      <c r="AI1731" s="31"/>
      <c r="AJ1731" s="31"/>
      <c r="AK1731" s="31"/>
      <c r="AL1731" s="28" t="str">
        <f>VLOOKUP($G1731,'[42]Sheet1 (2)'!$A$1:$B$1048440,2,FALSE)</f>
        <v>No.</v>
      </c>
      <c r="AM1731" s="32"/>
      <c r="AN1731" s="31"/>
      <c r="AO1731" s="33"/>
    </row>
    <row r="1732" spans="1:41" ht="84" x14ac:dyDescent="0.25">
      <c r="A1732" s="20">
        <v>1586</v>
      </c>
      <c r="B1732" s="21" t="s">
        <v>2829</v>
      </c>
      <c r="C1732" s="22">
        <v>46.5</v>
      </c>
      <c r="D1732" s="25" t="s">
        <v>1325</v>
      </c>
      <c r="E1732" s="24" t="s">
        <v>2889</v>
      </c>
      <c r="F1732" s="24" t="s">
        <v>742</v>
      </c>
      <c r="G1732" s="25" t="s">
        <v>45</v>
      </c>
      <c r="H1732" s="26">
        <v>190</v>
      </c>
      <c r="I1732" s="26">
        <v>26</v>
      </c>
      <c r="J1732" s="31"/>
      <c r="K1732" s="31"/>
      <c r="L1732" s="31"/>
      <c r="M1732" s="31"/>
      <c r="N1732" s="31"/>
      <c r="O1732" s="31"/>
      <c r="P1732" s="31"/>
      <c r="Q1732" s="31"/>
      <c r="R1732" s="31"/>
      <c r="S1732" s="31"/>
      <c r="T1732" s="31"/>
      <c r="U1732" s="31"/>
      <c r="V1732" s="31"/>
      <c r="W1732" s="31"/>
      <c r="X1732" s="31"/>
      <c r="Y1732" s="31"/>
      <c r="Z1732" s="31"/>
      <c r="AA1732" s="31"/>
      <c r="AB1732" s="31"/>
      <c r="AC1732" s="31"/>
      <c r="AD1732" s="31"/>
      <c r="AE1732" s="31"/>
      <c r="AF1732" s="31"/>
      <c r="AG1732" s="31"/>
      <c r="AH1732" s="31"/>
      <c r="AI1732" s="31"/>
      <c r="AJ1732" s="31"/>
      <c r="AK1732" s="31"/>
      <c r="AL1732" s="28" t="str">
        <f>VLOOKUP($G1732,'[42]Sheet1 (2)'!$A$1:$B$1048440,2,FALSE)</f>
        <v>No.</v>
      </c>
      <c r="AM1732" s="32"/>
      <c r="AN1732" s="31"/>
      <c r="AO1732" s="33"/>
    </row>
    <row r="1733" spans="1:41" ht="84" x14ac:dyDescent="0.25">
      <c r="A1733" s="20">
        <v>1587</v>
      </c>
      <c r="B1733" s="21" t="s">
        <v>2829</v>
      </c>
      <c r="C1733" s="22">
        <v>46.51</v>
      </c>
      <c r="D1733" s="25" t="s">
        <v>1325</v>
      </c>
      <c r="E1733" s="23" t="s">
        <v>2890</v>
      </c>
      <c r="F1733" s="24" t="s">
        <v>742</v>
      </c>
      <c r="G1733" s="25" t="s">
        <v>45</v>
      </c>
      <c r="H1733" s="26">
        <v>178</v>
      </c>
      <c r="I1733" s="26">
        <v>51</v>
      </c>
      <c r="J1733" s="31"/>
      <c r="K1733" s="31"/>
      <c r="L1733" s="31"/>
      <c r="M1733" s="31"/>
      <c r="N1733" s="31"/>
      <c r="O1733" s="31"/>
      <c r="P1733" s="31"/>
      <c r="Q1733" s="31"/>
      <c r="R1733" s="31"/>
      <c r="S1733" s="31"/>
      <c r="T1733" s="31"/>
      <c r="U1733" s="31"/>
      <c r="V1733" s="31"/>
      <c r="W1733" s="31"/>
      <c r="X1733" s="31"/>
      <c r="Y1733" s="31"/>
      <c r="Z1733" s="31"/>
      <c r="AA1733" s="31"/>
      <c r="AB1733" s="31"/>
      <c r="AC1733" s="31"/>
      <c r="AD1733" s="31"/>
      <c r="AE1733" s="31"/>
      <c r="AF1733" s="31"/>
      <c r="AG1733" s="31"/>
      <c r="AH1733" s="31"/>
      <c r="AI1733" s="31"/>
      <c r="AJ1733" s="31"/>
      <c r="AK1733" s="31"/>
      <c r="AL1733" s="28" t="str">
        <f>VLOOKUP($G1733,'[42]Sheet1 (2)'!$A$1:$B$1048440,2,FALSE)</f>
        <v>No.</v>
      </c>
      <c r="AM1733" s="32"/>
      <c r="AN1733" s="31"/>
      <c r="AO1733" s="33"/>
    </row>
    <row r="1734" spans="1:41" ht="84" x14ac:dyDescent="0.25">
      <c r="A1734" s="20">
        <v>1588</v>
      </c>
      <c r="B1734" s="21" t="s">
        <v>2829</v>
      </c>
      <c r="C1734" s="22">
        <v>46.52</v>
      </c>
      <c r="D1734" s="25" t="s">
        <v>1325</v>
      </c>
      <c r="E1734" s="23" t="s">
        <v>2891</v>
      </c>
      <c r="F1734" s="24" t="s">
        <v>742</v>
      </c>
      <c r="G1734" s="25" t="s">
        <v>45</v>
      </c>
      <c r="H1734" s="26">
        <v>247</v>
      </c>
      <c r="I1734" s="26">
        <v>26</v>
      </c>
      <c r="J1734" s="31"/>
      <c r="K1734" s="31"/>
      <c r="L1734" s="31"/>
      <c r="M1734" s="31"/>
      <c r="N1734" s="31"/>
      <c r="O1734" s="31"/>
      <c r="P1734" s="31"/>
      <c r="Q1734" s="31"/>
      <c r="R1734" s="31"/>
      <c r="S1734" s="31"/>
      <c r="T1734" s="31"/>
      <c r="U1734" s="31"/>
      <c r="V1734" s="31"/>
      <c r="W1734" s="31"/>
      <c r="X1734" s="31"/>
      <c r="Y1734" s="31"/>
      <c r="Z1734" s="31"/>
      <c r="AA1734" s="31"/>
      <c r="AB1734" s="31"/>
      <c r="AC1734" s="31"/>
      <c r="AD1734" s="31"/>
      <c r="AE1734" s="31"/>
      <c r="AF1734" s="31"/>
      <c r="AG1734" s="31"/>
      <c r="AH1734" s="31"/>
      <c r="AI1734" s="31"/>
      <c r="AJ1734" s="31"/>
      <c r="AK1734" s="31"/>
      <c r="AL1734" s="28" t="str">
        <f>VLOOKUP($G1734,'[42]Sheet1 (2)'!$A$1:$B$1048440,2,FALSE)</f>
        <v>No.</v>
      </c>
      <c r="AM1734" s="32"/>
      <c r="AN1734" s="31"/>
      <c r="AO1734" s="33"/>
    </row>
    <row r="1735" spans="1:41" ht="56" x14ac:dyDescent="0.25">
      <c r="A1735" s="20">
        <v>1589</v>
      </c>
      <c r="B1735" s="21" t="s">
        <v>2829</v>
      </c>
      <c r="C1735" s="22">
        <v>46.53</v>
      </c>
      <c r="D1735" s="25" t="s">
        <v>1325</v>
      </c>
      <c r="E1735" s="23" t="s">
        <v>2892</v>
      </c>
      <c r="F1735" s="24" t="s">
        <v>742</v>
      </c>
      <c r="G1735" s="25" t="s">
        <v>45</v>
      </c>
      <c r="H1735" s="26">
        <v>313</v>
      </c>
      <c r="I1735" s="26">
        <v>313</v>
      </c>
      <c r="J1735" s="31"/>
      <c r="K1735" s="31"/>
      <c r="L1735" s="31"/>
      <c r="M1735" s="31"/>
      <c r="N1735" s="31"/>
      <c r="O1735" s="31"/>
      <c r="P1735" s="31"/>
      <c r="Q1735" s="31"/>
      <c r="R1735" s="31"/>
      <c r="S1735" s="31"/>
      <c r="T1735" s="31"/>
      <c r="U1735" s="31"/>
      <c r="V1735" s="31"/>
      <c r="W1735" s="31"/>
      <c r="X1735" s="31"/>
      <c r="Y1735" s="31"/>
      <c r="Z1735" s="31"/>
      <c r="AA1735" s="31"/>
      <c r="AB1735" s="31"/>
      <c r="AC1735" s="31"/>
      <c r="AD1735" s="31"/>
      <c r="AE1735" s="31"/>
      <c r="AF1735" s="31"/>
      <c r="AG1735" s="31"/>
      <c r="AH1735" s="31"/>
      <c r="AI1735" s="31"/>
      <c r="AJ1735" s="31"/>
      <c r="AK1735" s="31"/>
      <c r="AL1735" s="28" t="str">
        <f>VLOOKUP($G1735,'[42]Sheet1 (2)'!$A$1:$B$1048440,2,FALSE)</f>
        <v>No.</v>
      </c>
      <c r="AM1735" s="32"/>
      <c r="AN1735" s="31"/>
      <c r="AO1735" s="33"/>
    </row>
    <row r="1736" spans="1:41" ht="56" x14ac:dyDescent="0.25">
      <c r="A1736" s="20">
        <v>1590</v>
      </c>
      <c r="B1736" s="21" t="s">
        <v>2829</v>
      </c>
      <c r="C1736" s="22">
        <v>46.54</v>
      </c>
      <c r="D1736" s="25" t="s">
        <v>1325</v>
      </c>
      <c r="E1736" s="23" t="s">
        <v>2893</v>
      </c>
      <c r="F1736" s="24" t="s">
        <v>742</v>
      </c>
      <c r="G1736" s="21" t="s">
        <v>80</v>
      </c>
      <c r="H1736" s="26">
        <v>49</v>
      </c>
      <c r="I1736" s="26">
        <v>49</v>
      </c>
      <c r="J1736" s="31"/>
      <c r="K1736" s="31"/>
      <c r="L1736" s="31"/>
      <c r="M1736" s="31"/>
      <c r="N1736" s="31"/>
      <c r="O1736" s="31"/>
      <c r="P1736" s="31"/>
      <c r="Q1736" s="31"/>
      <c r="R1736" s="31"/>
      <c r="S1736" s="31"/>
      <c r="T1736" s="31"/>
      <c r="U1736" s="31"/>
      <c r="V1736" s="31"/>
      <c r="W1736" s="31"/>
      <c r="X1736" s="31"/>
      <c r="Y1736" s="31"/>
      <c r="Z1736" s="31"/>
      <c r="AA1736" s="31"/>
      <c r="AB1736" s="31"/>
      <c r="AC1736" s="31"/>
      <c r="AD1736" s="31"/>
      <c r="AE1736" s="31"/>
      <c r="AF1736" s="31"/>
      <c r="AG1736" s="31"/>
      <c r="AH1736" s="31"/>
      <c r="AI1736" s="31"/>
      <c r="AJ1736" s="31"/>
      <c r="AK1736" s="31"/>
      <c r="AL1736" s="28" t="str">
        <f>VLOOKUP($G1736,'[42]Sheet1 (2)'!$A$1:$B$1048440,2,FALSE)</f>
        <v>Rmt.</v>
      </c>
      <c r="AM1736" s="32"/>
      <c r="AN1736" s="31"/>
      <c r="AO1736" s="33"/>
    </row>
    <row r="1737" spans="1:41" ht="56" x14ac:dyDescent="0.25">
      <c r="A1737" s="20">
        <v>1591</v>
      </c>
      <c r="B1737" s="21" t="s">
        <v>2829</v>
      </c>
      <c r="C1737" s="22">
        <v>46.55</v>
      </c>
      <c r="D1737" s="25" t="s">
        <v>1325</v>
      </c>
      <c r="E1737" s="23" t="s">
        <v>2894</v>
      </c>
      <c r="F1737" s="24" t="s">
        <v>742</v>
      </c>
      <c r="G1737" s="25" t="s">
        <v>45</v>
      </c>
      <c r="H1737" s="26">
        <v>186</v>
      </c>
      <c r="I1737" s="26">
        <v>186</v>
      </c>
      <c r="J1737" s="31"/>
      <c r="K1737" s="31"/>
      <c r="L1737" s="31"/>
      <c r="M1737" s="31"/>
      <c r="N1737" s="31"/>
      <c r="O1737" s="31"/>
      <c r="P1737" s="31"/>
      <c r="Q1737" s="31"/>
      <c r="R1737" s="31"/>
      <c r="S1737" s="31"/>
      <c r="T1737" s="31"/>
      <c r="U1737" s="31"/>
      <c r="V1737" s="31"/>
      <c r="W1737" s="31"/>
      <c r="X1737" s="31"/>
      <c r="Y1737" s="31"/>
      <c r="Z1737" s="31"/>
      <c r="AA1737" s="31"/>
      <c r="AB1737" s="31"/>
      <c r="AC1737" s="31"/>
      <c r="AD1737" s="31"/>
      <c r="AE1737" s="31"/>
      <c r="AF1737" s="31"/>
      <c r="AG1737" s="31"/>
      <c r="AH1737" s="31"/>
      <c r="AI1737" s="31"/>
      <c r="AJ1737" s="31"/>
      <c r="AK1737" s="31"/>
      <c r="AL1737" s="28" t="str">
        <f>VLOOKUP($G1737,'[42]Sheet1 (2)'!$A$1:$B$1048440,2,FALSE)</f>
        <v>No.</v>
      </c>
      <c r="AM1737" s="32"/>
      <c r="AN1737" s="31"/>
      <c r="AO1737" s="33"/>
    </row>
    <row r="1738" spans="1:41" ht="56" x14ac:dyDescent="0.25">
      <c r="A1738" s="20">
        <v>1592</v>
      </c>
      <c r="B1738" s="21" t="s">
        <v>2829</v>
      </c>
      <c r="C1738" s="22">
        <v>46.56</v>
      </c>
      <c r="D1738" s="25" t="s">
        <v>1325</v>
      </c>
      <c r="E1738" s="23" t="s">
        <v>2895</v>
      </c>
      <c r="F1738" s="24" t="s">
        <v>742</v>
      </c>
      <c r="G1738" s="35" t="s">
        <v>151</v>
      </c>
      <c r="H1738" s="26">
        <v>239</v>
      </c>
      <c r="I1738" s="26">
        <v>195</v>
      </c>
      <c r="J1738" s="31"/>
      <c r="K1738" s="31"/>
      <c r="L1738" s="31"/>
      <c r="M1738" s="31"/>
      <c r="N1738" s="31"/>
      <c r="O1738" s="31"/>
      <c r="P1738" s="31"/>
      <c r="Q1738" s="31"/>
      <c r="R1738" s="31"/>
      <c r="S1738" s="31"/>
      <c r="T1738" s="31"/>
      <c r="U1738" s="31"/>
      <c r="V1738" s="31"/>
      <c r="W1738" s="31"/>
      <c r="X1738" s="31"/>
      <c r="Y1738" s="31"/>
      <c r="Z1738" s="31"/>
      <c r="AA1738" s="31"/>
      <c r="AB1738" s="31"/>
      <c r="AC1738" s="31"/>
      <c r="AD1738" s="31"/>
      <c r="AE1738" s="31"/>
      <c r="AF1738" s="31"/>
      <c r="AG1738" s="31"/>
      <c r="AH1738" s="31"/>
      <c r="AI1738" s="31"/>
      <c r="AJ1738" s="31"/>
      <c r="AK1738" s="31"/>
      <c r="AL1738" s="28" t="str">
        <f>VLOOKUP($G1738,'[42]Sheet1 (2)'!$A$1:$B$1048440,2,FALSE)</f>
        <v>Sqm</v>
      </c>
      <c r="AM1738" s="32"/>
      <c r="AN1738" s="31"/>
      <c r="AO1738" s="33"/>
    </row>
    <row r="1739" spans="1:41" ht="98" x14ac:dyDescent="0.25">
      <c r="A1739" s="20">
        <v>1593</v>
      </c>
      <c r="B1739" s="21" t="s">
        <v>2829</v>
      </c>
      <c r="C1739" s="22">
        <v>46.57</v>
      </c>
      <c r="D1739" s="25" t="s">
        <v>1325</v>
      </c>
      <c r="E1739" s="23" t="s">
        <v>2896</v>
      </c>
      <c r="F1739" s="24" t="s">
        <v>742</v>
      </c>
      <c r="G1739" s="35" t="s">
        <v>151</v>
      </c>
      <c r="H1739" s="26">
        <v>1048</v>
      </c>
      <c r="I1739" s="26">
        <v>217</v>
      </c>
      <c r="J1739" s="31"/>
      <c r="K1739" s="31"/>
      <c r="L1739" s="31"/>
      <c r="M1739" s="31"/>
      <c r="N1739" s="31"/>
      <c r="O1739" s="31"/>
      <c r="P1739" s="31"/>
      <c r="Q1739" s="31"/>
      <c r="R1739" s="31"/>
      <c r="S1739" s="31"/>
      <c r="T1739" s="31"/>
      <c r="U1739" s="31"/>
      <c r="V1739" s="31"/>
      <c r="W1739" s="31"/>
      <c r="X1739" s="31"/>
      <c r="Y1739" s="31"/>
      <c r="Z1739" s="31"/>
      <c r="AA1739" s="31"/>
      <c r="AB1739" s="31"/>
      <c r="AC1739" s="31"/>
      <c r="AD1739" s="31"/>
      <c r="AE1739" s="31"/>
      <c r="AF1739" s="31"/>
      <c r="AG1739" s="31"/>
      <c r="AH1739" s="31"/>
      <c r="AI1739" s="31"/>
      <c r="AJ1739" s="31"/>
      <c r="AK1739" s="31"/>
      <c r="AL1739" s="28" t="str">
        <f>VLOOKUP($G1739,'[42]Sheet1 (2)'!$A$1:$B$1048440,2,FALSE)</f>
        <v>Sqm</v>
      </c>
      <c r="AM1739" s="32"/>
      <c r="AN1739" s="31"/>
      <c r="AO1739" s="33"/>
    </row>
    <row r="1740" spans="1:41" ht="98" x14ac:dyDescent="0.25">
      <c r="A1740" s="20">
        <v>1594</v>
      </c>
      <c r="B1740" s="21" t="s">
        <v>2829</v>
      </c>
      <c r="C1740" s="22">
        <v>46.58</v>
      </c>
      <c r="D1740" s="25" t="s">
        <v>1325</v>
      </c>
      <c r="E1740" s="23" t="s">
        <v>2897</v>
      </c>
      <c r="F1740" s="24" t="s">
        <v>742</v>
      </c>
      <c r="G1740" s="25" t="s">
        <v>45</v>
      </c>
      <c r="H1740" s="103">
        <v>228</v>
      </c>
      <c r="I1740" s="26">
        <v>82</v>
      </c>
      <c r="J1740" s="31"/>
      <c r="K1740" s="31"/>
      <c r="L1740" s="31"/>
      <c r="M1740" s="31"/>
      <c r="N1740" s="31"/>
      <c r="O1740" s="31"/>
      <c r="P1740" s="31"/>
      <c r="Q1740" s="31"/>
      <c r="R1740" s="31"/>
      <c r="S1740" s="31"/>
      <c r="T1740" s="31"/>
      <c r="U1740" s="31"/>
      <c r="V1740" s="31"/>
      <c r="W1740" s="31"/>
      <c r="X1740" s="31"/>
      <c r="Y1740" s="31"/>
      <c r="Z1740" s="31"/>
      <c r="AA1740" s="31"/>
      <c r="AB1740" s="31"/>
      <c r="AC1740" s="31"/>
      <c r="AD1740" s="31"/>
      <c r="AE1740" s="31"/>
      <c r="AF1740" s="31"/>
      <c r="AG1740" s="31"/>
      <c r="AH1740" s="31"/>
      <c r="AI1740" s="31"/>
      <c r="AJ1740" s="31"/>
      <c r="AK1740" s="31"/>
      <c r="AL1740" s="28" t="str">
        <f>VLOOKUP($G1740,'[42]Sheet1 (2)'!$A$1:$B$1048440,2,FALSE)</f>
        <v>No.</v>
      </c>
      <c r="AM1740" s="32"/>
      <c r="AN1740" s="31"/>
      <c r="AO1740" s="33"/>
    </row>
    <row r="1741" spans="1:41" ht="84" x14ac:dyDescent="0.25">
      <c r="A1741" s="20">
        <v>1595</v>
      </c>
      <c r="B1741" s="21" t="s">
        <v>2829</v>
      </c>
      <c r="C1741" s="22">
        <v>46.59</v>
      </c>
      <c r="D1741" s="25" t="s">
        <v>1325</v>
      </c>
      <c r="E1741" s="23" t="s">
        <v>2898</v>
      </c>
      <c r="F1741" s="24" t="s">
        <v>742</v>
      </c>
      <c r="G1741" s="25" t="s">
        <v>47</v>
      </c>
      <c r="H1741" s="103">
        <v>752</v>
      </c>
      <c r="I1741" s="26">
        <v>752</v>
      </c>
      <c r="J1741" s="31"/>
      <c r="K1741" s="31"/>
      <c r="L1741" s="31"/>
      <c r="M1741" s="31"/>
      <c r="N1741" s="31"/>
      <c r="O1741" s="31"/>
      <c r="P1741" s="31"/>
      <c r="Q1741" s="31"/>
      <c r="R1741" s="31"/>
      <c r="S1741" s="31"/>
      <c r="T1741" s="31"/>
      <c r="U1741" s="31"/>
      <c r="V1741" s="31"/>
      <c r="W1741" s="31"/>
      <c r="X1741" s="31"/>
      <c r="Y1741" s="31"/>
      <c r="Z1741" s="31"/>
      <c r="AA1741" s="31"/>
      <c r="AB1741" s="31"/>
      <c r="AC1741" s="31"/>
      <c r="AD1741" s="31"/>
      <c r="AE1741" s="31"/>
      <c r="AF1741" s="31"/>
      <c r="AG1741" s="31"/>
      <c r="AH1741" s="31"/>
      <c r="AI1741" s="31"/>
      <c r="AJ1741" s="31"/>
      <c r="AK1741" s="31"/>
      <c r="AL1741" s="28" t="str">
        <f>VLOOKUP($G1741,'[42]Sheet1 (2)'!$A$1:$B$1048440,2,FALSE)</f>
        <v>Cum</v>
      </c>
      <c r="AM1741" s="32"/>
      <c r="AN1741" s="31"/>
      <c r="AO1741" s="33"/>
    </row>
    <row r="1742" spans="1:41" ht="17.5" x14ac:dyDescent="0.25">
      <c r="A1742" s="204"/>
      <c r="B1742" s="21"/>
      <c r="C1742" s="22"/>
      <c r="D1742" s="165"/>
      <c r="E1742" s="225" t="s">
        <v>2899</v>
      </c>
      <c r="F1742" s="166"/>
      <c r="G1742" s="165"/>
      <c r="H1742" s="168"/>
      <c r="I1742" s="167"/>
      <c r="J1742" s="31"/>
      <c r="K1742" s="31"/>
      <c r="L1742" s="31"/>
      <c r="M1742" s="31"/>
      <c r="N1742" s="31"/>
      <c r="O1742" s="31"/>
      <c r="P1742" s="31"/>
      <c r="Q1742" s="31"/>
      <c r="R1742" s="31"/>
      <c r="S1742" s="31"/>
      <c r="T1742" s="31"/>
      <c r="U1742" s="31"/>
      <c r="V1742" s="31"/>
      <c r="W1742" s="31"/>
      <c r="X1742" s="31"/>
      <c r="Y1742" s="31"/>
      <c r="Z1742" s="31"/>
      <c r="AA1742" s="31"/>
      <c r="AB1742" s="31"/>
      <c r="AC1742" s="31"/>
      <c r="AD1742" s="31"/>
      <c r="AE1742" s="31"/>
      <c r="AF1742" s="31"/>
      <c r="AG1742" s="31"/>
      <c r="AH1742" s="31"/>
      <c r="AI1742" s="31"/>
      <c r="AJ1742" s="31"/>
      <c r="AK1742" s="31"/>
      <c r="AL1742" s="28" t="e">
        <f>VLOOKUP($G1742,'[42]Sheet1 (2)'!$A$1:$B$1048440,2,FALSE)</f>
        <v>#N/A</v>
      </c>
      <c r="AM1742" s="32"/>
      <c r="AN1742" s="31"/>
      <c r="AO1742" s="33"/>
    </row>
    <row r="1743" spans="1:41" ht="280" x14ac:dyDescent="0.25">
      <c r="A1743" s="20">
        <v>1596</v>
      </c>
      <c r="B1743" s="21" t="s">
        <v>2899</v>
      </c>
      <c r="C1743" s="22">
        <v>47.01</v>
      </c>
      <c r="D1743" s="25" t="s">
        <v>2900</v>
      </c>
      <c r="E1743" s="24" t="s">
        <v>2901</v>
      </c>
      <c r="F1743" s="24" t="s">
        <v>742</v>
      </c>
      <c r="G1743" s="21" t="s">
        <v>217</v>
      </c>
      <c r="H1743" s="26">
        <v>3891</v>
      </c>
      <c r="I1743" s="26">
        <v>551</v>
      </c>
      <c r="J1743" s="31"/>
      <c r="K1743" s="31"/>
      <c r="L1743" s="31"/>
      <c r="M1743" s="31"/>
      <c r="N1743" s="31"/>
      <c r="O1743" s="31"/>
      <c r="P1743" s="31"/>
      <c r="Q1743" s="31"/>
      <c r="R1743" s="31"/>
      <c r="S1743" s="31"/>
      <c r="T1743" s="31"/>
      <c r="U1743" s="31"/>
      <c r="V1743" s="31"/>
      <c r="W1743" s="31"/>
      <c r="X1743" s="31"/>
      <c r="Y1743" s="31"/>
      <c r="Z1743" s="31"/>
      <c r="AA1743" s="31"/>
      <c r="AB1743" s="31"/>
      <c r="AC1743" s="31"/>
      <c r="AD1743" s="31"/>
      <c r="AE1743" s="31"/>
      <c r="AF1743" s="31"/>
      <c r="AG1743" s="31"/>
      <c r="AH1743" s="31"/>
      <c r="AI1743" s="31"/>
      <c r="AJ1743" s="31"/>
      <c r="AK1743" s="31"/>
      <c r="AL1743" s="28" t="str">
        <f>VLOOKUP($G1743,'[42]Sheet1 (2)'!$A$1:$B$1048440,2,FALSE)</f>
        <v>Sqm</v>
      </c>
      <c r="AM1743" s="32"/>
      <c r="AN1743" s="31"/>
      <c r="AO1743" s="33"/>
    </row>
    <row r="1744" spans="1:41" ht="112" x14ac:dyDescent="0.25">
      <c r="A1744" s="20">
        <v>1597</v>
      </c>
      <c r="B1744" s="21" t="s">
        <v>2899</v>
      </c>
      <c r="C1744" s="22">
        <v>47.02</v>
      </c>
      <c r="D1744" s="25" t="s">
        <v>2900</v>
      </c>
      <c r="E1744" s="24" t="s">
        <v>2902</v>
      </c>
      <c r="F1744" s="24" t="s">
        <v>742</v>
      </c>
      <c r="G1744" s="25" t="s">
        <v>1070</v>
      </c>
      <c r="H1744" s="26">
        <v>80</v>
      </c>
      <c r="I1744" s="26">
        <v>31</v>
      </c>
      <c r="J1744" s="31"/>
      <c r="K1744" s="31"/>
      <c r="L1744" s="31"/>
      <c r="M1744" s="31"/>
      <c r="N1744" s="31"/>
      <c r="O1744" s="31"/>
      <c r="P1744" s="31"/>
      <c r="Q1744" s="31"/>
      <c r="R1744" s="31"/>
      <c r="S1744" s="31"/>
      <c r="T1744" s="31"/>
      <c r="U1744" s="31"/>
      <c r="V1744" s="31"/>
      <c r="W1744" s="31"/>
      <c r="X1744" s="31"/>
      <c r="Y1744" s="31"/>
      <c r="Z1744" s="31"/>
      <c r="AA1744" s="31"/>
      <c r="AB1744" s="31"/>
      <c r="AC1744" s="31"/>
      <c r="AD1744" s="31"/>
      <c r="AE1744" s="31"/>
      <c r="AF1744" s="31"/>
      <c r="AG1744" s="31"/>
      <c r="AH1744" s="31"/>
      <c r="AI1744" s="31"/>
      <c r="AJ1744" s="31"/>
      <c r="AK1744" s="31"/>
      <c r="AL1744" s="28" t="e">
        <f>VLOOKUP($G1744,'[42]Sheet1 (2)'!$A$1:$B$1048440,2,FALSE)</f>
        <v>#N/A</v>
      </c>
      <c r="AM1744" s="32"/>
      <c r="AN1744" s="31"/>
      <c r="AO1744" s="33"/>
    </row>
    <row r="1745" spans="1:41" ht="182" x14ac:dyDescent="0.25">
      <c r="A1745" s="20">
        <v>1603</v>
      </c>
      <c r="B1745" s="21" t="s">
        <v>2899</v>
      </c>
      <c r="C1745" s="22">
        <v>47.03</v>
      </c>
      <c r="D1745" s="25" t="s">
        <v>2900</v>
      </c>
      <c r="E1745" s="24" t="s">
        <v>2903</v>
      </c>
      <c r="F1745" s="24" t="s">
        <v>742</v>
      </c>
      <c r="G1745" s="202" t="s">
        <v>621</v>
      </c>
      <c r="H1745" s="26">
        <v>1527</v>
      </c>
      <c r="I1745" s="26">
        <v>187</v>
      </c>
      <c r="J1745" s="31"/>
      <c r="K1745" s="31"/>
      <c r="L1745" s="31"/>
      <c r="M1745" s="31"/>
      <c r="N1745" s="31"/>
      <c r="O1745" s="31"/>
      <c r="P1745" s="31"/>
      <c r="Q1745" s="31"/>
      <c r="R1745" s="31"/>
      <c r="S1745" s="31"/>
      <c r="T1745" s="31"/>
      <c r="U1745" s="31"/>
      <c r="V1745" s="31"/>
      <c r="W1745" s="31"/>
      <c r="X1745" s="31"/>
      <c r="Y1745" s="31"/>
      <c r="Z1745" s="31"/>
      <c r="AA1745" s="31"/>
      <c r="AB1745" s="31"/>
      <c r="AC1745" s="31"/>
      <c r="AD1745" s="31"/>
      <c r="AE1745" s="31"/>
      <c r="AF1745" s="31"/>
      <c r="AG1745" s="31"/>
      <c r="AH1745" s="31"/>
      <c r="AI1745" s="31"/>
      <c r="AJ1745" s="31"/>
      <c r="AK1745" s="31"/>
      <c r="AL1745" s="28" t="str">
        <f>VLOOKUP($G1745,'[42]Sheet1 (2)'!$A$1:$B$1048440,2,FALSE)</f>
        <v>Sqm</v>
      </c>
      <c r="AM1745" s="32"/>
      <c r="AN1745" s="31"/>
      <c r="AO1745" s="33"/>
    </row>
    <row r="1746" spans="1:41" ht="210" x14ac:dyDescent="0.25">
      <c r="A1746" s="20">
        <v>1604</v>
      </c>
      <c r="B1746" s="21" t="s">
        <v>2899</v>
      </c>
      <c r="C1746" s="22">
        <v>47.04</v>
      </c>
      <c r="D1746" s="25" t="s">
        <v>2900</v>
      </c>
      <c r="E1746" s="23" t="s">
        <v>2904</v>
      </c>
      <c r="F1746" s="24" t="s">
        <v>742</v>
      </c>
      <c r="G1746" s="202" t="s">
        <v>621</v>
      </c>
      <c r="H1746" s="26">
        <v>5165</v>
      </c>
      <c r="I1746" s="26">
        <v>1326</v>
      </c>
      <c r="J1746" s="31"/>
      <c r="K1746" s="31"/>
      <c r="L1746" s="31"/>
      <c r="M1746" s="31"/>
      <c r="N1746" s="31"/>
      <c r="O1746" s="31"/>
      <c r="P1746" s="31"/>
      <c r="Q1746" s="31"/>
      <c r="R1746" s="31"/>
      <c r="S1746" s="31"/>
      <c r="T1746" s="31"/>
      <c r="U1746" s="31"/>
      <c r="V1746" s="31"/>
      <c r="W1746" s="31"/>
      <c r="X1746" s="31"/>
      <c r="Y1746" s="31"/>
      <c r="Z1746" s="31"/>
      <c r="AA1746" s="31"/>
      <c r="AB1746" s="31"/>
      <c r="AC1746" s="31"/>
      <c r="AD1746" s="31"/>
      <c r="AE1746" s="31"/>
      <c r="AF1746" s="31"/>
      <c r="AG1746" s="31"/>
      <c r="AH1746" s="31"/>
      <c r="AI1746" s="31"/>
      <c r="AJ1746" s="31"/>
      <c r="AK1746" s="31"/>
      <c r="AL1746" s="28" t="str">
        <f>VLOOKUP($G1746,'[42]Sheet1 (2)'!$A$1:$B$1048440,2,FALSE)</f>
        <v>Sqm</v>
      </c>
      <c r="AM1746" s="32"/>
      <c r="AN1746" s="31"/>
      <c r="AO1746" s="33"/>
    </row>
    <row r="1747" spans="1:41" ht="84" x14ac:dyDescent="0.25">
      <c r="A1747" s="20">
        <v>1605</v>
      </c>
      <c r="B1747" s="21" t="s">
        <v>2899</v>
      </c>
      <c r="C1747" s="22">
        <v>47.05</v>
      </c>
      <c r="D1747" s="25" t="s">
        <v>2900</v>
      </c>
      <c r="E1747" s="24" t="s">
        <v>2905</v>
      </c>
      <c r="F1747" s="24" t="s">
        <v>742</v>
      </c>
      <c r="G1747" s="202" t="s">
        <v>621</v>
      </c>
      <c r="H1747" s="26">
        <v>1511</v>
      </c>
      <c r="I1747" s="26">
        <v>633</v>
      </c>
      <c r="J1747" s="31"/>
      <c r="K1747" s="31"/>
      <c r="L1747" s="31"/>
      <c r="M1747" s="31"/>
      <c r="N1747" s="31"/>
      <c r="O1747" s="31"/>
      <c r="P1747" s="31"/>
      <c r="Q1747" s="31"/>
      <c r="R1747" s="31"/>
      <c r="S1747" s="31"/>
      <c r="T1747" s="31"/>
      <c r="U1747" s="31"/>
      <c r="V1747" s="31"/>
      <c r="W1747" s="31"/>
      <c r="X1747" s="31"/>
      <c r="Y1747" s="31"/>
      <c r="Z1747" s="31"/>
      <c r="AA1747" s="31"/>
      <c r="AB1747" s="31"/>
      <c r="AC1747" s="31"/>
      <c r="AD1747" s="31"/>
      <c r="AE1747" s="31"/>
      <c r="AF1747" s="31"/>
      <c r="AG1747" s="31"/>
      <c r="AH1747" s="31"/>
      <c r="AI1747" s="31"/>
      <c r="AJ1747" s="31"/>
      <c r="AK1747" s="31"/>
      <c r="AL1747" s="28" t="str">
        <f>VLOOKUP($G1747,'[42]Sheet1 (2)'!$A$1:$B$1048440,2,FALSE)</f>
        <v>Sqm</v>
      </c>
      <c r="AM1747" s="32"/>
      <c r="AN1747" s="31"/>
      <c r="AO1747" s="33"/>
    </row>
    <row r="1748" spans="1:41" ht="168" x14ac:dyDescent="0.25">
      <c r="A1748" s="20">
        <v>1606</v>
      </c>
      <c r="B1748" s="21" t="s">
        <v>2899</v>
      </c>
      <c r="C1748" s="22">
        <v>47.06</v>
      </c>
      <c r="D1748" s="25" t="s">
        <v>2900</v>
      </c>
      <c r="E1748" s="24" t="s">
        <v>2906</v>
      </c>
      <c r="F1748" s="24" t="s">
        <v>742</v>
      </c>
      <c r="G1748" s="202" t="s">
        <v>621</v>
      </c>
      <c r="H1748" s="26">
        <v>1469</v>
      </c>
      <c r="I1748" s="26">
        <v>83</v>
      </c>
      <c r="J1748" s="31"/>
      <c r="K1748" s="31"/>
      <c r="L1748" s="31"/>
      <c r="M1748" s="31"/>
      <c r="N1748" s="31"/>
      <c r="O1748" s="31"/>
      <c r="P1748" s="31"/>
      <c r="Q1748" s="31"/>
      <c r="R1748" s="31"/>
      <c r="S1748" s="31"/>
      <c r="T1748" s="31"/>
      <c r="U1748" s="31"/>
      <c r="V1748" s="31"/>
      <c r="W1748" s="31"/>
      <c r="X1748" s="31"/>
      <c r="Y1748" s="31"/>
      <c r="Z1748" s="31"/>
      <c r="AA1748" s="31"/>
      <c r="AB1748" s="31"/>
      <c r="AC1748" s="31"/>
      <c r="AD1748" s="31"/>
      <c r="AE1748" s="31"/>
      <c r="AF1748" s="31"/>
      <c r="AG1748" s="31"/>
      <c r="AH1748" s="31"/>
      <c r="AI1748" s="31"/>
      <c r="AJ1748" s="31"/>
      <c r="AK1748" s="31"/>
      <c r="AL1748" s="28" t="str">
        <f>VLOOKUP($G1748,'[42]Sheet1 (2)'!$A$1:$B$1048440,2,FALSE)</f>
        <v>Sqm</v>
      </c>
      <c r="AM1748" s="32"/>
      <c r="AN1748" s="31"/>
      <c r="AO1748" s="33"/>
    </row>
    <row r="1749" spans="1:41" ht="224" x14ac:dyDescent="0.25">
      <c r="A1749" s="20">
        <v>1607</v>
      </c>
      <c r="B1749" s="21" t="s">
        <v>2899</v>
      </c>
      <c r="C1749" s="22">
        <v>47.07</v>
      </c>
      <c r="D1749" s="25" t="s">
        <v>2900</v>
      </c>
      <c r="E1749" s="23" t="s">
        <v>2907</v>
      </c>
      <c r="F1749" s="24" t="s">
        <v>742</v>
      </c>
      <c r="G1749" s="202" t="s">
        <v>621</v>
      </c>
      <c r="H1749" s="26">
        <v>5509</v>
      </c>
      <c r="I1749" s="26">
        <v>1656</v>
      </c>
      <c r="J1749" s="31"/>
      <c r="K1749" s="31"/>
      <c r="L1749" s="31"/>
      <c r="M1749" s="31"/>
      <c r="N1749" s="31"/>
      <c r="O1749" s="31"/>
      <c r="P1749" s="31"/>
      <c r="Q1749" s="31"/>
      <c r="R1749" s="31"/>
      <c r="S1749" s="31"/>
      <c r="T1749" s="31"/>
      <c r="U1749" s="31"/>
      <c r="V1749" s="31"/>
      <c r="W1749" s="31"/>
      <c r="X1749" s="31"/>
      <c r="Y1749" s="31"/>
      <c r="Z1749" s="31"/>
      <c r="AA1749" s="31"/>
      <c r="AB1749" s="31"/>
      <c r="AC1749" s="31"/>
      <c r="AD1749" s="31"/>
      <c r="AE1749" s="31"/>
      <c r="AF1749" s="31"/>
      <c r="AG1749" s="31"/>
      <c r="AH1749" s="31"/>
      <c r="AI1749" s="31"/>
      <c r="AJ1749" s="31"/>
      <c r="AK1749" s="31"/>
      <c r="AL1749" s="28" t="str">
        <f>VLOOKUP($G1749,'[42]Sheet1 (2)'!$A$1:$B$1048440,2,FALSE)</f>
        <v>Sqm</v>
      </c>
      <c r="AM1749" s="32"/>
      <c r="AN1749" s="31"/>
      <c r="AO1749" s="33"/>
    </row>
    <row r="1750" spans="1:41" ht="210" x14ac:dyDescent="0.25">
      <c r="A1750" s="20">
        <v>1608</v>
      </c>
      <c r="B1750" s="21" t="s">
        <v>2899</v>
      </c>
      <c r="C1750" s="22">
        <v>47.08</v>
      </c>
      <c r="D1750" s="25" t="s">
        <v>2900</v>
      </c>
      <c r="E1750" s="24" t="s">
        <v>2908</v>
      </c>
      <c r="F1750" s="24" t="s">
        <v>742</v>
      </c>
      <c r="G1750" s="202" t="s">
        <v>621</v>
      </c>
      <c r="H1750" s="26">
        <v>5284</v>
      </c>
      <c r="I1750" s="26">
        <v>397</v>
      </c>
      <c r="J1750" s="31"/>
      <c r="K1750" s="31"/>
      <c r="L1750" s="31"/>
      <c r="M1750" s="31"/>
      <c r="N1750" s="31"/>
      <c r="O1750" s="31"/>
      <c r="P1750" s="31"/>
      <c r="Q1750" s="31"/>
      <c r="R1750" s="31"/>
      <c r="S1750" s="31"/>
      <c r="T1750" s="31"/>
      <c r="U1750" s="31"/>
      <c r="V1750" s="31"/>
      <c r="W1750" s="31"/>
      <c r="X1750" s="31"/>
      <c r="Y1750" s="31"/>
      <c r="Z1750" s="31"/>
      <c r="AA1750" s="31"/>
      <c r="AB1750" s="31"/>
      <c r="AC1750" s="31"/>
      <c r="AD1750" s="31"/>
      <c r="AE1750" s="31"/>
      <c r="AF1750" s="31"/>
      <c r="AG1750" s="31"/>
      <c r="AH1750" s="31"/>
      <c r="AI1750" s="31"/>
      <c r="AJ1750" s="31"/>
      <c r="AK1750" s="31"/>
      <c r="AL1750" s="28" t="str">
        <f>VLOOKUP($G1750,'[42]Sheet1 (2)'!$A$1:$B$1048440,2,FALSE)</f>
        <v>Sqm</v>
      </c>
      <c r="AM1750" s="32"/>
      <c r="AN1750" s="31"/>
      <c r="AO1750" s="33"/>
    </row>
    <row r="1751" spans="1:41" ht="210" x14ac:dyDescent="0.25">
      <c r="A1751" s="20">
        <v>1609</v>
      </c>
      <c r="B1751" s="21" t="s">
        <v>2899</v>
      </c>
      <c r="C1751" s="22">
        <v>47.09</v>
      </c>
      <c r="D1751" s="25" t="s">
        <v>2900</v>
      </c>
      <c r="E1751" s="24" t="s">
        <v>2909</v>
      </c>
      <c r="F1751" s="24" t="s">
        <v>742</v>
      </c>
      <c r="G1751" s="202" t="s">
        <v>621</v>
      </c>
      <c r="H1751" s="26">
        <v>7317</v>
      </c>
      <c r="I1751" s="26">
        <v>397</v>
      </c>
      <c r="J1751" s="31"/>
      <c r="K1751" s="31"/>
      <c r="L1751" s="31"/>
      <c r="M1751" s="31"/>
      <c r="N1751" s="31"/>
      <c r="O1751" s="31"/>
      <c r="P1751" s="31"/>
      <c r="Q1751" s="31"/>
      <c r="R1751" s="31"/>
      <c r="S1751" s="31"/>
      <c r="T1751" s="31"/>
      <c r="U1751" s="31"/>
      <c r="V1751" s="31"/>
      <c r="W1751" s="31"/>
      <c r="X1751" s="31"/>
      <c r="Y1751" s="31"/>
      <c r="Z1751" s="31"/>
      <c r="AA1751" s="31"/>
      <c r="AB1751" s="31"/>
      <c r="AC1751" s="31"/>
      <c r="AD1751" s="31"/>
      <c r="AE1751" s="31"/>
      <c r="AF1751" s="31"/>
      <c r="AG1751" s="31"/>
      <c r="AH1751" s="31"/>
      <c r="AI1751" s="31"/>
      <c r="AJ1751" s="31"/>
      <c r="AK1751" s="31"/>
      <c r="AL1751" s="28" t="str">
        <f>VLOOKUP($G1751,'[42]Sheet1 (2)'!$A$1:$B$1048440,2,FALSE)</f>
        <v>Sqm</v>
      </c>
      <c r="AM1751" s="32"/>
      <c r="AN1751" s="31"/>
      <c r="AO1751" s="33"/>
    </row>
    <row r="1752" spans="1:41" ht="140" x14ac:dyDescent="0.25">
      <c r="A1752" s="20">
        <v>1610</v>
      </c>
      <c r="B1752" s="21" t="s">
        <v>2899</v>
      </c>
      <c r="C1752" s="22">
        <v>47.1</v>
      </c>
      <c r="D1752" s="25" t="s">
        <v>2900</v>
      </c>
      <c r="E1752" s="24" t="s">
        <v>2910</v>
      </c>
      <c r="F1752" s="24" t="s">
        <v>742</v>
      </c>
      <c r="G1752" s="202" t="s">
        <v>621</v>
      </c>
      <c r="H1752" s="26">
        <v>3043</v>
      </c>
      <c r="I1752" s="26">
        <v>108</v>
      </c>
      <c r="J1752" s="31"/>
      <c r="K1752" s="31"/>
      <c r="L1752" s="31"/>
      <c r="M1752" s="31"/>
      <c r="N1752" s="31"/>
      <c r="O1752" s="31"/>
      <c r="P1752" s="31"/>
      <c r="Q1752" s="31"/>
      <c r="R1752" s="31"/>
      <c r="S1752" s="31"/>
      <c r="T1752" s="31"/>
      <c r="U1752" s="31"/>
      <c r="V1752" s="31"/>
      <c r="W1752" s="31"/>
      <c r="X1752" s="31"/>
      <c r="Y1752" s="31"/>
      <c r="Z1752" s="31"/>
      <c r="AA1752" s="31"/>
      <c r="AB1752" s="31"/>
      <c r="AC1752" s="31"/>
      <c r="AD1752" s="31"/>
      <c r="AE1752" s="31"/>
      <c r="AF1752" s="31"/>
      <c r="AG1752" s="31"/>
      <c r="AH1752" s="31"/>
      <c r="AI1752" s="31"/>
      <c r="AJ1752" s="31"/>
      <c r="AK1752" s="31"/>
      <c r="AL1752" s="28" t="str">
        <f>VLOOKUP($G1752,'[42]Sheet1 (2)'!$A$1:$B$1048440,2,FALSE)</f>
        <v>Sqm</v>
      </c>
      <c r="AM1752" s="32"/>
      <c r="AN1752" s="31"/>
      <c r="AO1752" s="33"/>
    </row>
    <row r="1753" spans="1:41" ht="210" x14ac:dyDescent="0.25">
      <c r="A1753" s="20">
        <v>1611</v>
      </c>
      <c r="B1753" s="24" t="s">
        <v>2911</v>
      </c>
      <c r="C1753" s="22">
        <v>47.11</v>
      </c>
      <c r="D1753" s="25" t="s">
        <v>2900</v>
      </c>
      <c r="E1753" s="24" t="s">
        <v>2912</v>
      </c>
      <c r="F1753" s="24" t="s">
        <v>742</v>
      </c>
      <c r="G1753" s="202" t="s">
        <v>621</v>
      </c>
      <c r="H1753" s="26">
        <v>5871</v>
      </c>
      <c r="I1753" s="26">
        <v>1690</v>
      </c>
      <c r="J1753" s="31"/>
      <c r="K1753" s="31"/>
      <c r="L1753" s="31"/>
      <c r="M1753" s="31"/>
      <c r="N1753" s="31"/>
      <c r="O1753" s="31"/>
      <c r="P1753" s="31"/>
      <c r="Q1753" s="31"/>
      <c r="R1753" s="31"/>
      <c r="S1753" s="31"/>
      <c r="T1753" s="31"/>
      <c r="U1753" s="31"/>
      <c r="V1753" s="31"/>
      <c r="W1753" s="31"/>
      <c r="X1753" s="31"/>
      <c r="Y1753" s="31"/>
      <c r="Z1753" s="31"/>
      <c r="AA1753" s="31"/>
      <c r="AB1753" s="31"/>
      <c r="AC1753" s="31"/>
      <c r="AD1753" s="31"/>
      <c r="AE1753" s="31"/>
      <c r="AF1753" s="31"/>
      <c r="AG1753" s="31"/>
      <c r="AH1753" s="31"/>
      <c r="AI1753" s="31"/>
      <c r="AJ1753" s="31"/>
      <c r="AK1753" s="31"/>
      <c r="AL1753" s="28" t="str">
        <f>VLOOKUP($G1753,'[42]Sheet1 (2)'!$A$1:$B$1048440,2,FALSE)</f>
        <v>Sqm</v>
      </c>
      <c r="AM1753" s="32"/>
      <c r="AN1753" s="31"/>
      <c r="AO1753" s="33"/>
    </row>
    <row r="1754" spans="1:41" ht="168" x14ac:dyDescent="0.25">
      <c r="A1754" s="20">
        <v>1612</v>
      </c>
      <c r="B1754" s="21" t="s">
        <v>2899</v>
      </c>
      <c r="C1754" s="22">
        <v>47.12</v>
      </c>
      <c r="D1754" s="25" t="s">
        <v>2900</v>
      </c>
      <c r="E1754" s="24" t="s">
        <v>2913</v>
      </c>
      <c r="F1754" s="24" t="s">
        <v>742</v>
      </c>
      <c r="G1754" s="202" t="s">
        <v>621</v>
      </c>
      <c r="H1754" s="26">
        <v>519</v>
      </c>
      <c r="I1754" s="26">
        <v>23</v>
      </c>
      <c r="J1754" s="31"/>
      <c r="K1754" s="31"/>
      <c r="L1754" s="31"/>
      <c r="M1754" s="31"/>
      <c r="N1754" s="31"/>
      <c r="O1754" s="31"/>
      <c r="P1754" s="31"/>
      <c r="Q1754" s="31"/>
      <c r="R1754" s="31"/>
      <c r="S1754" s="31"/>
      <c r="T1754" s="31"/>
      <c r="U1754" s="31"/>
      <c r="V1754" s="31"/>
      <c r="W1754" s="31"/>
      <c r="X1754" s="31"/>
      <c r="Y1754" s="31"/>
      <c r="Z1754" s="31"/>
      <c r="AA1754" s="31"/>
      <c r="AB1754" s="31"/>
      <c r="AC1754" s="31"/>
      <c r="AD1754" s="31"/>
      <c r="AE1754" s="31"/>
      <c r="AF1754" s="31"/>
      <c r="AG1754" s="31"/>
      <c r="AH1754" s="31"/>
      <c r="AI1754" s="31"/>
      <c r="AJ1754" s="31"/>
      <c r="AK1754" s="31"/>
      <c r="AL1754" s="28" t="str">
        <f>VLOOKUP($G1754,'[42]Sheet1 (2)'!$A$1:$B$1048440,2,FALSE)</f>
        <v>Sqm</v>
      </c>
      <c r="AM1754" s="32"/>
      <c r="AN1754" s="31"/>
      <c r="AO1754" s="33"/>
    </row>
    <row r="1755" spans="1:41" ht="224" x14ac:dyDescent="0.25">
      <c r="A1755" s="20">
        <v>1613</v>
      </c>
      <c r="B1755" s="25" t="s">
        <v>2914</v>
      </c>
      <c r="C1755" s="22">
        <v>47.13</v>
      </c>
      <c r="D1755" s="25" t="s">
        <v>2900</v>
      </c>
      <c r="E1755" s="24" t="s">
        <v>2915</v>
      </c>
      <c r="F1755" s="24" t="s">
        <v>742</v>
      </c>
      <c r="G1755" s="25" t="s">
        <v>2916</v>
      </c>
      <c r="H1755" s="26">
        <v>57</v>
      </c>
      <c r="I1755" s="26">
        <v>4</v>
      </c>
      <c r="J1755" s="31"/>
      <c r="K1755" s="31"/>
      <c r="L1755" s="31"/>
      <c r="M1755" s="31"/>
      <c r="N1755" s="31"/>
      <c r="O1755" s="31"/>
      <c r="P1755" s="31"/>
      <c r="Q1755" s="31"/>
      <c r="R1755" s="31"/>
      <c r="S1755" s="31"/>
      <c r="T1755" s="31"/>
      <c r="U1755" s="31"/>
      <c r="V1755" s="31"/>
      <c r="W1755" s="31"/>
      <c r="X1755" s="31"/>
      <c r="Y1755" s="31"/>
      <c r="Z1755" s="31"/>
      <c r="AA1755" s="31"/>
      <c r="AB1755" s="31"/>
      <c r="AC1755" s="31"/>
      <c r="AD1755" s="31"/>
      <c r="AE1755" s="31"/>
      <c r="AF1755" s="31"/>
      <c r="AG1755" s="31"/>
      <c r="AH1755" s="31"/>
      <c r="AI1755" s="31"/>
      <c r="AJ1755" s="31"/>
      <c r="AK1755" s="31"/>
      <c r="AL1755" s="28" t="str">
        <f>VLOOKUP($G1755,'[42]Sheet1 (2)'!$A$1:$B$1048440,2,FALSE)</f>
        <v>kg</v>
      </c>
      <c r="AM1755" s="32"/>
      <c r="AN1755" s="31"/>
      <c r="AO1755" s="33"/>
    </row>
    <row r="1756" spans="1:41" ht="238" x14ac:dyDescent="0.25">
      <c r="A1756" s="20">
        <v>1614</v>
      </c>
      <c r="B1756" s="25" t="s">
        <v>2914</v>
      </c>
      <c r="C1756" s="22">
        <v>47.14</v>
      </c>
      <c r="D1756" s="25" t="s">
        <v>2900</v>
      </c>
      <c r="E1756" s="24" t="s">
        <v>2917</v>
      </c>
      <c r="F1756" s="24" t="s">
        <v>742</v>
      </c>
      <c r="G1756" s="25" t="s">
        <v>2916</v>
      </c>
      <c r="H1756" s="26">
        <v>150</v>
      </c>
      <c r="I1756" s="26">
        <v>4</v>
      </c>
      <c r="J1756" s="31"/>
      <c r="K1756" s="31"/>
      <c r="L1756" s="31"/>
      <c r="M1756" s="31"/>
      <c r="N1756" s="31"/>
      <c r="O1756" s="31"/>
      <c r="P1756" s="31"/>
      <c r="Q1756" s="31"/>
      <c r="R1756" s="31"/>
      <c r="S1756" s="31"/>
      <c r="T1756" s="31"/>
      <c r="U1756" s="31"/>
      <c r="V1756" s="31"/>
      <c r="W1756" s="31"/>
      <c r="X1756" s="31"/>
      <c r="Y1756" s="31"/>
      <c r="Z1756" s="31"/>
      <c r="AA1756" s="31"/>
      <c r="AB1756" s="31"/>
      <c r="AC1756" s="31"/>
      <c r="AD1756" s="31"/>
      <c r="AE1756" s="31"/>
      <c r="AF1756" s="31"/>
      <c r="AG1756" s="31"/>
      <c r="AH1756" s="31"/>
      <c r="AI1756" s="31"/>
      <c r="AJ1756" s="31"/>
      <c r="AK1756" s="31"/>
      <c r="AL1756" s="28" t="str">
        <f>VLOOKUP($G1756,'[42]Sheet1 (2)'!$A$1:$B$1048440,2,FALSE)</f>
        <v>kg</v>
      </c>
      <c r="AM1756" s="32"/>
      <c r="AN1756" s="31"/>
      <c r="AO1756" s="33"/>
    </row>
    <row r="1757" spans="1:41" ht="196" x14ac:dyDescent="0.25">
      <c r="A1757" s="20">
        <v>1615</v>
      </c>
      <c r="B1757" s="21" t="s">
        <v>2899</v>
      </c>
      <c r="C1757" s="22">
        <v>47.15</v>
      </c>
      <c r="D1757" s="25" t="s">
        <v>2900</v>
      </c>
      <c r="E1757" s="24" t="s">
        <v>2918</v>
      </c>
      <c r="F1757" s="24" t="s">
        <v>742</v>
      </c>
      <c r="G1757" s="202" t="s">
        <v>621</v>
      </c>
      <c r="H1757" s="26">
        <v>2429</v>
      </c>
      <c r="I1757" s="26">
        <v>208</v>
      </c>
      <c r="J1757" s="31"/>
      <c r="K1757" s="31"/>
      <c r="L1757" s="31"/>
      <c r="M1757" s="31"/>
      <c r="N1757" s="31"/>
      <c r="O1757" s="31"/>
      <c r="P1757" s="31"/>
      <c r="Q1757" s="31"/>
      <c r="R1757" s="31"/>
      <c r="S1757" s="31"/>
      <c r="T1757" s="31"/>
      <c r="U1757" s="31"/>
      <c r="V1757" s="31"/>
      <c r="W1757" s="31"/>
      <c r="X1757" s="31"/>
      <c r="Y1757" s="31"/>
      <c r="Z1757" s="31"/>
      <c r="AA1757" s="31"/>
      <c r="AB1757" s="31"/>
      <c r="AC1757" s="31"/>
      <c r="AD1757" s="31"/>
      <c r="AE1757" s="31"/>
      <c r="AF1757" s="31"/>
      <c r="AG1757" s="31"/>
      <c r="AH1757" s="31"/>
      <c r="AI1757" s="31"/>
      <c r="AJ1757" s="31"/>
      <c r="AK1757" s="31"/>
      <c r="AL1757" s="28" t="str">
        <f>VLOOKUP($G1757,'[42]Sheet1 (2)'!$A$1:$B$1048440,2,FALSE)</f>
        <v>Sqm</v>
      </c>
      <c r="AM1757" s="32"/>
      <c r="AN1757" s="31"/>
      <c r="AO1757" s="33"/>
    </row>
    <row r="1758" spans="1:41" ht="126" x14ac:dyDescent="0.25">
      <c r="A1758" s="20">
        <v>1616</v>
      </c>
      <c r="B1758" s="21" t="s">
        <v>2899</v>
      </c>
      <c r="C1758" s="22">
        <v>47.16</v>
      </c>
      <c r="D1758" s="25" t="s">
        <v>2900</v>
      </c>
      <c r="E1758" s="24" t="s">
        <v>2919</v>
      </c>
      <c r="F1758" s="24" t="s">
        <v>742</v>
      </c>
      <c r="G1758" s="202" t="s">
        <v>621</v>
      </c>
      <c r="H1758" s="26">
        <v>727</v>
      </c>
      <c r="I1758" s="26">
        <v>79</v>
      </c>
      <c r="J1758" s="31"/>
      <c r="K1758" s="31"/>
      <c r="L1758" s="31"/>
      <c r="M1758" s="31"/>
      <c r="N1758" s="31"/>
      <c r="O1758" s="31"/>
      <c r="P1758" s="31"/>
      <c r="Q1758" s="31"/>
      <c r="R1758" s="31"/>
      <c r="S1758" s="31"/>
      <c r="T1758" s="31"/>
      <c r="U1758" s="31"/>
      <c r="V1758" s="31"/>
      <c r="W1758" s="31"/>
      <c r="X1758" s="31"/>
      <c r="Y1758" s="31"/>
      <c r="Z1758" s="31"/>
      <c r="AA1758" s="31"/>
      <c r="AB1758" s="31"/>
      <c r="AC1758" s="31"/>
      <c r="AD1758" s="31"/>
      <c r="AE1758" s="31"/>
      <c r="AF1758" s="31"/>
      <c r="AG1758" s="31"/>
      <c r="AH1758" s="31"/>
      <c r="AI1758" s="31"/>
      <c r="AJ1758" s="31"/>
      <c r="AK1758" s="31"/>
      <c r="AL1758" s="28" t="str">
        <f>VLOOKUP($G1758,'[42]Sheet1 (2)'!$A$1:$B$1048440,2,FALSE)</f>
        <v>Sqm</v>
      </c>
      <c r="AM1758" s="32"/>
      <c r="AN1758" s="31"/>
      <c r="AO1758" s="33"/>
    </row>
    <row r="1759" spans="1:41" ht="280" x14ac:dyDescent="0.25">
      <c r="A1759" s="20">
        <v>1617</v>
      </c>
      <c r="B1759" s="21" t="s">
        <v>2899</v>
      </c>
      <c r="C1759" s="22">
        <v>47.17</v>
      </c>
      <c r="D1759" s="25" t="s">
        <v>2900</v>
      </c>
      <c r="E1759" s="23" t="s">
        <v>2920</v>
      </c>
      <c r="F1759" s="24" t="s">
        <v>44</v>
      </c>
      <c r="G1759" s="202" t="s">
        <v>621</v>
      </c>
      <c r="H1759" s="26">
        <v>1295</v>
      </c>
      <c r="I1759" s="26">
        <v>236</v>
      </c>
      <c r="J1759" s="31"/>
      <c r="K1759" s="31"/>
      <c r="L1759" s="31"/>
      <c r="M1759" s="31"/>
      <c r="N1759" s="31"/>
      <c r="O1759" s="31"/>
      <c r="P1759" s="31"/>
      <c r="Q1759" s="31"/>
      <c r="R1759" s="31"/>
      <c r="S1759" s="31"/>
      <c r="T1759" s="31"/>
      <c r="U1759" s="31"/>
      <c r="V1759" s="31"/>
      <c r="W1759" s="31"/>
      <c r="X1759" s="31"/>
      <c r="Y1759" s="31"/>
      <c r="Z1759" s="31"/>
      <c r="AA1759" s="31"/>
      <c r="AB1759" s="31"/>
      <c r="AC1759" s="31"/>
      <c r="AD1759" s="31"/>
      <c r="AE1759" s="31"/>
      <c r="AF1759" s="31"/>
      <c r="AG1759" s="31"/>
      <c r="AH1759" s="31"/>
      <c r="AI1759" s="31"/>
      <c r="AJ1759" s="31"/>
      <c r="AK1759" s="31"/>
      <c r="AL1759" s="28" t="str">
        <f>VLOOKUP($G1759,'[42]Sheet1 (2)'!$A$1:$B$1048440,2,FALSE)</f>
        <v>Sqm</v>
      </c>
      <c r="AM1759" s="32"/>
      <c r="AN1759" s="31"/>
      <c r="AO1759" s="33"/>
    </row>
    <row r="1760" spans="1:41" ht="182" x14ac:dyDescent="0.25">
      <c r="A1760" s="20">
        <v>1618</v>
      </c>
      <c r="B1760" s="21" t="s">
        <v>2899</v>
      </c>
      <c r="C1760" s="22">
        <v>47.18</v>
      </c>
      <c r="D1760" s="25" t="s">
        <v>2900</v>
      </c>
      <c r="E1760" s="24" t="s">
        <v>2921</v>
      </c>
      <c r="F1760" s="24" t="s">
        <v>44</v>
      </c>
      <c r="G1760" s="25" t="s">
        <v>45</v>
      </c>
      <c r="H1760" s="26">
        <v>352</v>
      </c>
      <c r="I1760" s="26">
        <v>88</v>
      </c>
      <c r="J1760" s="31"/>
      <c r="K1760" s="31"/>
      <c r="L1760" s="31"/>
      <c r="M1760" s="31"/>
      <c r="N1760" s="31"/>
      <c r="O1760" s="31"/>
      <c r="P1760" s="31"/>
      <c r="Q1760" s="31"/>
      <c r="R1760" s="31"/>
      <c r="S1760" s="31"/>
      <c r="T1760" s="31"/>
      <c r="U1760" s="31"/>
      <c r="V1760" s="31"/>
      <c r="W1760" s="31"/>
      <c r="X1760" s="31"/>
      <c r="Y1760" s="31"/>
      <c r="Z1760" s="31"/>
      <c r="AA1760" s="31"/>
      <c r="AB1760" s="31"/>
      <c r="AC1760" s="31"/>
      <c r="AD1760" s="31"/>
      <c r="AE1760" s="31"/>
      <c r="AF1760" s="31"/>
      <c r="AG1760" s="31"/>
      <c r="AH1760" s="31"/>
      <c r="AI1760" s="31"/>
      <c r="AJ1760" s="31"/>
      <c r="AK1760" s="31"/>
      <c r="AL1760" s="28" t="str">
        <f>VLOOKUP($G1760,'[42]Sheet1 (2)'!$A$1:$B$1048440,2,FALSE)</f>
        <v>No.</v>
      </c>
      <c r="AM1760" s="32"/>
      <c r="AN1760" s="31"/>
      <c r="AO1760" s="33"/>
    </row>
    <row r="1761" spans="1:41" ht="140" x14ac:dyDescent="0.25">
      <c r="A1761" s="20">
        <v>1619</v>
      </c>
      <c r="B1761" s="21" t="s">
        <v>2899</v>
      </c>
      <c r="C1761" s="22">
        <v>47.19</v>
      </c>
      <c r="D1761" s="25" t="s">
        <v>2900</v>
      </c>
      <c r="E1761" s="24" t="s">
        <v>2922</v>
      </c>
      <c r="F1761" s="24" t="s">
        <v>44</v>
      </c>
      <c r="G1761" s="202" t="s">
        <v>621</v>
      </c>
      <c r="H1761" s="26">
        <v>522</v>
      </c>
      <c r="I1761" s="26">
        <v>160</v>
      </c>
      <c r="J1761" s="31"/>
      <c r="K1761" s="31"/>
      <c r="L1761" s="31"/>
      <c r="M1761" s="31"/>
      <c r="N1761" s="31"/>
      <c r="O1761" s="31"/>
      <c r="P1761" s="31"/>
      <c r="Q1761" s="31"/>
      <c r="R1761" s="31"/>
      <c r="S1761" s="31"/>
      <c r="T1761" s="31"/>
      <c r="U1761" s="31"/>
      <c r="V1761" s="31"/>
      <c r="W1761" s="31"/>
      <c r="X1761" s="31"/>
      <c r="Y1761" s="31"/>
      <c r="Z1761" s="31"/>
      <c r="AA1761" s="31"/>
      <c r="AB1761" s="31"/>
      <c r="AC1761" s="31"/>
      <c r="AD1761" s="31"/>
      <c r="AE1761" s="31"/>
      <c r="AF1761" s="31"/>
      <c r="AG1761" s="31"/>
      <c r="AH1761" s="31"/>
      <c r="AI1761" s="31"/>
      <c r="AJ1761" s="31"/>
      <c r="AK1761" s="31"/>
      <c r="AL1761" s="28" t="str">
        <f>VLOOKUP($G1761,'[42]Sheet1 (2)'!$A$1:$B$1048440,2,FALSE)</f>
        <v>Sqm</v>
      </c>
      <c r="AM1761" s="32"/>
      <c r="AN1761" s="31"/>
      <c r="AO1761" s="33"/>
    </row>
    <row r="1762" spans="1:41" ht="17.5" x14ac:dyDescent="0.25">
      <c r="A1762" s="204"/>
      <c r="B1762" s="21"/>
      <c r="C1762" s="22"/>
      <c r="D1762" s="165"/>
      <c r="E1762" s="241" t="s">
        <v>2923</v>
      </c>
      <c r="F1762" s="166"/>
      <c r="G1762" s="206"/>
      <c r="H1762" s="167"/>
      <c r="I1762" s="167"/>
      <c r="J1762" s="31"/>
      <c r="K1762" s="31"/>
      <c r="L1762" s="31"/>
      <c r="M1762" s="31"/>
      <c r="N1762" s="31"/>
      <c r="O1762" s="31"/>
      <c r="P1762" s="31"/>
      <c r="Q1762" s="31"/>
      <c r="R1762" s="31"/>
      <c r="S1762" s="31"/>
      <c r="T1762" s="31"/>
      <c r="U1762" s="31"/>
      <c r="V1762" s="31"/>
      <c r="W1762" s="31"/>
      <c r="X1762" s="31"/>
      <c r="Y1762" s="31"/>
      <c r="Z1762" s="31"/>
      <c r="AA1762" s="31"/>
      <c r="AB1762" s="31"/>
      <c r="AC1762" s="31"/>
      <c r="AD1762" s="31"/>
      <c r="AE1762" s="31"/>
      <c r="AF1762" s="31"/>
      <c r="AG1762" s="31"/>
      <c r="AH1762" s="31"/>
      <c r="AI1762" s="31"/>
      <c r="AJ1762" s="31"/>
      <c r="AK1762" s="31"/>
      <c r="AL1762" s="28" t="e">
        <f>VLOOKUP($G1762,'[42]Sheet1 (2)'!$A$1:$B$1048440,2,FALSE)</f>
        <v>#N/A</v>
      </c>
      <c r="AM1762" s="32"/>
      <c r="AN1762" s="31"/>
      <c r="AO1762" s="33"/>
    </row>
    <row r="1763" spans="1:41" ht="196" x14ac:dyDescent="0.25">
      <c r="A1763" s="20">
        <v>1620</v>
      </c>
      <c r="B1763" s="25" t="s">
        <v>2924</v>
      </c>
      <c r="C1763" s="22">
        <v>48.01</v>
      </c>
      <c r="D1763" s="24" t="s">
        <v>44</v>
      </c>
      <c r="E1763" s="24" t="s">
        <v>2925</v>
      </c>
      <c r="F1763" s="24" t="s">
        <v>44</v>
      </c>
      <c r="G1763" s="202" t="s">
        <v>621</v>
      </c>
      <c r="H1763" s="26">
        <v>1841</v>
      </c>
      <c r="I1763" s="26">
        <v>773</v>
      </c>
      <c r="J1763" s="31"/>
      <c r="K1763" s="31"/>
      <c r="L1763" s="31"/>
      <c r="M1763" s="31"/>
      <c r="N1763" s="31"/>
      <c r="O1763" s="31"/>
      <c r="P1763" s="31"/>
      <c r="Q1763" s="31"/>
      <c r="R1763" s="31"/>
      <c r="S1763" s="31"/>
      <c r="T1763" s="31"/>
      <c r="U1763" s="31"/>
      <c r="V1763" s="31"/>
      <c r="W1763" s="31"/>
      <c r="X1763" s="31"/>
      <c r="Y1763" s="31"/>
      <c r="Z1763" s="31"/>
      <c r="AA1763" s="31"/>
      <c r="AB1763" s="31"/>
      <c r="AC1763" s="31"/>
      <c r="AD1763" s="31"/>
      <c r="AE1763" s="31"/>
      <c r="AF1763" s="31"/>
      <c r="AG1763" s="31"/>
      <c r="AH1763" s="31"/>
      <c r="AI1763" s="31"/>
      <c r="AJ1763" s="31"/>
      <c r="AK1763" s="31"/>
      <c r="AL1763" s="28" t="str">
        <f>VLOOKUP($G1763,'[42]Sheet1 (2)'!$A$1:$B$1048440,2,FALSE)</f>
        <v>Sqm</v>
      </c>
      <c r="AM1763" s="32"/>
      <c r="AN1763" s="31"/>
      <c r="AO1763" s="33"/>
    </row>
    <row r="1764" spans="1:41" ht="182" x14ac:dyDescent="0.25">
      <c r="A1764" s="20">
        <v>1621</v>
      </c>
      <c r="B1764" s="25" t="s">
        <v>2924</v>
      </c>
      <c r="C1764" s="22">
        <v>48.02</v>
      </c>
      <c r="D1764" s="24" t="s">
        <v>44</v>
      </c>
      <c r="E1764" s="24" t="s">
        <v>2926</v>
      </c>
      <c r="F1764" s="24" t="s">
        <v>44</v>
      </c>
      <c r="G1764" s="202" t="s">
        <v>621</v>
      </c>
      <c r="H1764" s="26">
        <v>1760</v>
      </c>
      <c r="I1764" s="26">
        <v>736</v>
      </c>
      <c r="J1764" s="31"/>
      <c r="K1764" s="31"/>
      <c r="L1764" s="31"/>
      <c r="M1764" s="31"/>
      <c r="N1764" s="31"/>
      <c r="O1764" s="31"/>
      <c r="P1764" s="31"/>
      <c r="Q1764" s="31"/>
      <c r="R1764" s="31"/>
      <c r="S1764" s="31"/>
      <c r="T1764" s="31"/>
      <c r="U1764" s="31"/>
      <c r="V1764" s="31"/>
      <c r="W1764" s="31"/>
      <c r="X1764" s="31"/>
      <c r="Y1764" s="31"/>
      <c r="Z1764" s="31"/>
      <c r="AA1764" s="31"/>
      <c r="AB1764" s="31"/>
      <c r="AC1764" s="31"/>
      <c r="AD1764" s="31"/>
      <c r="AE1764" s="31"/>
      <c r="AF1764" s="31"/>
      <c r="AG1764" s="31"/>
      <c r="AH1764" s="31"/>
      <c r="AI1764" s="31"/>
      <c r="AJ1764" s="31"/>
      <c r="AK1764" s="31"/>
      <c r="AL1764" s="28" t="str">
        <f>VLOOKUP($G1764,'[42]Sheet1 (2)'!$A$1:$B$1048440,2,FALSE)</f>
        <v>Sqm</v>
      </c>
      <c r="AM1764" s="32"/>
      <c r="AN1764" s="31"/>
      <c r="AO1764" s="33"/>
    </row>
    <row r="1765" spans="1:41" ht="210" x14ac:dyDescent="0.25">
      <c r="A1765" s="20">
        <v>1622</v>
      </c>
      <c r="B1765" s="25" t="s">
        <v>2924</v>
      </c>
      <c r="C1765" s="22">
        <v>48.03</v>
      </c>
      <c r="D1765" s="24" t="s">
        <v>44</v>
      </c>
      <c r="E1765" s="24" t="s">
        <v>2927</v>
      </c>
      <c r="F1765" s="24" t="s">
        <v>44</v>
      </c>
      <c r="G1765" s="202" t="s">
        <v>621</v>
      </c>
      <c r="H1765" s="26">
        <v>1465</v>
      </c>
      <c r="I1765" s="26">
        <v>483</v>
      </c>
      <c r="J1765" s="31"/>
      <c r="K1765" s="31"/>
      <c r="L1765" s="31"/>
      <c r="M1765" s="31"/>
      <c r="N1765" s="31"/>
      <c r="O1765" s="31"/>
      <c r="P1765" s="31"/>
      <c r="Q1765" s="31"/>
      <c r="R1765" s="31"/>
      <c r="S1765" s="31"/>
      <c r="T1765" s="31"/>
      <c r="U1765" s="31"/>
      <c r="V1765" s="31"/>
      <c r="W1765" s="31"/>
      <c r="X1765" s="31"/>
      <c r="Y1765" s="31"/>
      <c r="Z1765" s="31"/>
      <c r="AA1765" s="31"/>
      <c r="AB1765" s="31"/>
      <c r="AC1765" s="31"/>
      <c r="AD1765" s="31"/>
      <c r="AE1765" s="31"/>
      <c r="AF1765" s="31"/>
      <c r="AG1765" s="31"/>
      <c r="AH1765" s="31"/>
      <c r="AI1765" s="31"/>
      <c r="AJ1765" s="31"/>
      <c r="AK1765" s="31"/>
      <c r="AL1765" s="28" t="str">
        <f>VLOOKUP($G1765,'[42]Sheet1 (2)'!$A$1:$B$1048440,2,FALSE)</f>
        <v>Sqm</v>
      </c>
      <c r="AM1765" s="32"/>
      <c r="AN1765" s="31"/>
      <c r="AO1765" s="33"/>
    </row>
    <row r="1766" spans="1:41" ht="182" x14ac:dyDescent="0.25">
      <c r="A1766" s="20">
        <v>1623</v>
      </c>
      <c r="B1766" s="25" t="s">
        <v>2928</v>
      </c>
      <c r="C1766" s="22">
        <v>48.04</v>
      </c>
      <c r="D1766" s="24" t="s">
        <v>44</v>
      </c>
      <c r="E1766" s="24" t="s">
        <v>2929</v>
      </c>
      <c r="F1766" s="24" t="s">
        <v>44</v>
      </c>
      <c r="G1766" s="202" t="s">
        <v>621</v>
      </c>
      <c r="H1766" s="26">
        <v>4590</v>
      </c>
      <c r="I1766" s="26">
        <v>961</v>
      </c>
      <c r="J1766" s="31"/>
      <c r="K1766" s="31"/>
      <c r="L1766" s="31"/>
      <c r="M1766" s="31"/>
      <c r="N1766" s="31"/>
      <c r="O1766" s="31"/>
      <c r="P1766" s="31"/>
      <c r="Q1766" s="31"/>
      <c r="R1766" s="31"/>
      <c r="S1766" s="31"/>
      <c r="T1766" s="31"/>
      <c r="U1766" s="31"/>
      <c r="V1766" s="31"/>
      <c r="W1766" s="31"/>
      <c r="X1766" s="31"/>
      <c r="Y1766" s="31"/>
      <c r="Z1766" s="31"/>
      <c r="AA1766" s="31"/>
      <c r="AB1766" s="31"/>
      <c r="AC1766" s="31"/>
      <c r="AD1766" s="31"/>
      <c r="AE1766" s="31"/>
      <c r="AF1766" s="31"/>
      <c r="AG1766" s="31"/>
      <c r="AH1766" s="31"/>
      <c r="AI1766" s="31"/>
      <c r="AJ1766" s="31"/>
      <c r="AK1766" s="31"/>
      <c r="AL1766" s="28" t="str">
        <f>VLOOKUP($G1766,'[42]Sheet1 (2)'!$A$1:$B$1048440,2,FALSE)</f>
        <v>Sqm</v>
      </c>
      <c r="AM1766" s="32"/>
      <c r="AN1766" s="31"/>
      <c r="AO1766" s="33"/>
    </row>
    <row r="1767" spans="1:41" ht="182" x14ac:dyDescent="0.25">
      <c r="A1767" s="20">
        <v>1624</v>
      </c>
      <c r="B1767" s="25" t="s">
        <v>2928</v>
      </c>
      <c r="C1767" s="22">
        <v>48.05</v>
      </c>
      <c r="D1767" s="24" t="s">
        <v>44</v>
      </c>
      <c r="E1767" s="24" t="s">
        <v>2930</v>
      </c>
      <c r="F1767" s="24" t="s">
        <v>44</v>
      </c>
      <c r="G1767" s="202" t="s">
        <v>621</v>
      </c>
      <c r="H1767" s="26">
        <v>5644</v>
      </c>
      <c r="I1767" s="26">
        <v>1010</v>
      </c>
      <c r="J1767" s="31"/>
      <c r="K1767" s="31"/>
      <c r="L1767" s="31"/>
      <c r="M1767" s="31"/>
      <c r="N1767" s="31"/>
      <c r="O1767" s="31"/>
      <c r="P1767" s="31"/>
      <c r="Q1767" s="31"/>
      <c r="R1767" s="31"/>
      <c r="S1767" s="31"/>
      <c r="T1767" s="31"/>
      <c r="U1767" s="31"/>
      <c r="V1767" s="31"/>
      <c r="W1767" s="31"/>
      <c r="X1767" s="31"/>
      <c r="Y1767" s="31"/>
      <c r="Z1767" s="31"/>
      <c r="AA1767" s="31"/>
      <c r="AB1767" s="31"/>
      <c r="AC1767" s="31"/>
      <c r="AD1767" s="31"/>
      <c r="AE1767" s="31"/>
      <c r="AF1767" s="31"/>
      <c r="AG1767" s="31"/>
      <c r="AH1767" s="31"/>
      <c r="AI1767" s="31"/>
      <c r="AJ1767" s="31"/>
      <c r="AK1767" s="31"/>
      <c r="AL1767" s="28" t="str">
        <f>VLOOKUP($G1767,'[42]Sheet1 (2)'!$A$1:$B$1048440,2,FALSE)</f>
        <v>Sqm</v>
      </c>
      <c r="AM1767" s="32"/>
      <c r="AN1767" s="31"/>
      <c r="AO1767" s="33"/>
    </row>
    <row r="1768" spans="1:41" ht="252" x14ac:dyDescent="0.25">
      <c r="A1768" s="20">
        <v>1625</v>
      </c>
      <c r="B1768" s="25" t="s">
        <v>2928</v>
      </c>
      <c r="C1768" s="22">
        <v>48.06</v>
      </c>
      <c r="D1768" s="24" t="s">
        <v>44</v>
      </c>
      <c r="E1768" s="24" t="s">
        <v>2931</v>
      </c>
      <c r="F1768" s="24" t="s">
        <v>44</v>
      </c>
      <c r="G1768" s="202" t="s">
        <v>621</v>
      </c>
      <c r="H1768" s="26">
        <v>1171</v>
      </c>
      <c r="I1768" s="26">
        <v>99</v>
      </c>
      <c r="J1768" s="31"/>
      <c r="K1768" s="31"/>
      <c r="L1768" s="31"/>
      <c r="M1768" s="31"/>
      <c r="N1768" s="31"/>
      <c r="O1768" s="31"/>
      <c r="P1768" s="31"/>
      <c r="Q1768" s="31"/>
      <c r="R1768" s="31"/>
      <c r="S1768" s="31"/>
      <c r="T1768" s="31"/>
      <c r="U1768" s="31"/>
      <c r="V1768" s="31"/>
      <c r="W1768" s="31"/>
      <c r="X1768" s="31"/>
      <c r="Y1768" s="31"/>
      <c r="Z1768" s="31"/>
      <c r="AA1768" s="31"/>
      <c r="AB1768" s="31"/>
      <c r="AC1768" s="31"/>
      <c r="AD1768" s="31"/>
      <c r="AE1768" s="31"/>
      <c r="AF1768" s="31"/>
      <c r="AG1768" s="31"/>
      <c r="AH1768" s="31"/>
      <c r="AI1768" s="31"/>
      <c r="AJ1768" s="31"/>
      <c r="AK1768" s="31"/>
      <c r="AL1768" s="28" t="str">
        <f>VLOOKUP($G1768,'[42]Sheet1 (2)'!$A$1:$B$1048440,2,FALSE)</f>
        <v>Sqm</v>
      </c>
      <c r="AM1768" s="32"/>
      <c r="AN1768" s="31"/>
      <c r="AO1768" s="33"/>
    </row>
    <row r="1769" spans="1:41" ht="252" x14ac:dyDescent="0.25">
      <c r="A1769" s="20">
        <v>1626</v>
      </c>
      <c r="B1769" s="25" t="s">
        <v>2928</v>
      </c>
      <c r="C1769" s="22">
        <v>48.07</v>
      </c>
      <c r="D1769" s="24" t="s">
        <v>44</v>
      </c>
      <c r="E1769" s="24" t="s">
        <v>2932</v>
      </c>
      <c r="F1769" s="24" t="s">
        <v>44</v>
      </c>
      <c r="G1769" s="202" t="s">
        <v>621</v>
      </c>
      <c r="H1769" s="26">
        <v>7354</v>
      </c>
      <c r="I1769" s="26">
        <v>239</v>
      </c>
      <c r="J1769" s="31"/>
      <c r="K1769" s="31"/>
      <c r="L1769" s="31"/>
      <c r="M1769" s="31"/>
      <c r="N1769" s="31"/>
      <c r="O1769" s="31"/>
      <c r="P1769" s="31"/>
      <c r="Q1769" s="31"/>
      <c r="R1769" s="31"/>
      <c r="S1769" s="31"/>
      <c r="T1769" s="31"/>
      <c r="U1769" s="31"/>
      <c r="V1769" s="31"/>
      <c r="W1769" s="31"/>
      <c r="X1769" s="31"/>
      <c r="Y1769" s="31"/>
      <c r="Z1769" s="31"/>
      <c r="AA1769" s="31"/>
      <c r="AB1769" s="31"/>
      <c r="AC1769" s="31"/>
      <c r="AD1769" s="31"/>
      <c r="AE1769" s="31"/>
      <c r="AF1769" s="31"/>
      <c r="AG1769" s="31"/>
      <c r="AH1769" s="31"/>
      <c r="AI1769" s="31"/>
      <c r="AJ1769" s="31"/>
      <c r="AK1769" s="31"/>
      <c r="AL1769" s="28" t="str">
        <f>VLOOKUP($G1769,'[42]Sheet1 (2)'!$A$1:$B$1048440,2,FALSE)</f>
        <v>Sqm</v>
      </c>
      <c r="AM1769" s="32"/>
      <c r="AN1769" s="31"/>
      <c r="AO1769" s="33"/>
    </row>
    <row r="1770" spans="1:41" ht="252" x14ac:dyDescent="0.25">
      <c r="A1770" s="20">
        <v>1627</v>
      </c>
      <c r="B1770" s="25" t="s">
        <v>2928</v>
      </c>
      <c r="C1770" s="22">
        <v>48.08</v>
      </c>
      <c r="D1770" s="24" t="s">
        <v>44</v>
      </c>
      <c r="E1770" s="24" t="s">
        <v>2933</v>
      </c>
      <c r="F1770" s="24" t="s">
        <v>44</v>
      </c>
      <c r="G1770" s="202" t="s">
        <v>621</v>
      </c>
      <c r="H1770" s="26">
        <v>5675</v>
      </c>
      <c r="I1770" s="26">
        <v>239</v>
      </c>
      <c r="J1770" s="31"/>
      <c r="K1770" s="31"/>
      <c r="L1770" s="31"/>
      <c r="M1770" s="31"/>
      <c r="N1770" s="31"/>
      <c r="O1770" s="31"/>
      <c r="P1770" s="31"/>
      <c r="Q1770" s="31"/>
      <c r="R1770" s="31"/>
      <c r="S1770" s="31"/>
      <c r="T1770" s="31"/>
      <c r="U1770" s="31"/>
      <c r="V1770" s="31"/>
      <c r="W1770" s="31"/>
      <c r="X1770" s="31"/>
      <c r="Y1770" s="31"/>
      <c r="Z1770" s="31"/>
      <c r="AA1770" s="31"/>
      <c r="AB1770" s="31"/>
      <c r="AC1770" s="31"/>
      <c r="AD1770" s="31"/>
      <c r="AE1770" s="31"/>
      <c r="AF1770" s="31"/>
      <c r="AG1770" s="31"/>
      <c r="AH1770" s="31"/>
      <c r="AI1770" s="31"/>
      <c r="AJ1770" s="31"/>
      <c r="AK1770" s="31"/>
      <c r="AL1770" s="28" t="str">
        <f>VLOOKUP($G1770,'[42]Sheet1 (2)'!$A$1:$B$1048440,2,FALSE)</f>
        <v>Sqm</v>
      </c>
      <c r="AM1770" s="32"/>
      <c r="AN1770" s="31"/>
      <c r="AO1770" s="33"/>
    </row>
    <row r="1771" spans="1:41" ht="196" x14ac:dyDescent="0.25">
      <c r="A1771" s="20">
        <v>1628</v>
      </c>
      <c r="B1771" s="25" t="s">
        <v>2928</v>
      </c>
      <c r="C1771" s="22">
        <v>48.09</v>
      </c>
      <c r="D1771" s="24" t="s">
        <v>44</v>
      </c>
      <c r="E1771" s="24" t="s">
        <v>2934</v>
      </c>
      <c r="F1771" s="24" t="s">
        <v>44</v>
      </c>
      <c r="G1771" s="202" t="s">
        <v>621</v>
      </c>
      <c r="H1771" s="26">
        <v>6322</v>
      </c>
      <c r="I1771" s="26">
        <v>1000</v>
      </c>
      <c r="J1771" s="31"/>
      <c r="K1771" s="31"/>
      <c r="L1771" s="31"/>
      <c r="M1771" s="31"/>
      <c r="N1771" s="31"/>
      <c r="O1771" s="31"/>
      <c r="P1771" s="31"/>
      <c r="Q1771" s="31"/>
      <c r="R1771" s="31"/>
      <c r="S1771" s="31"/>
      <c r="T1771" s="31"/>
      <c r="U1771" s="31"/>
      <c r="V1771" s="31"/>
      <c r="W1771" s="31"/>
      <c r="X1771" s="31"/>
      <c r="Y1771" s="31"/>
      <c r="Z1771" s="31"/>
      <c r="AA1771" s="31"/>
      <c r="AB1771" s="31"/>
      <c r="AC1771" s="31"/>
      <c r="AD1771" s="31"/>
      <c r="AE1771" s="31"/>
      <c r="AF1771" s="31"/>
      <c r="AG1771" s="31"/>
      <c r="AH1771" s="31"/>
      <c r="AI1771" s="31"/>
      <c r="AJ1771" s="31"/>
      <c r="AK1771" s="31"/>
      <c r="AL1771" s="28" t="str">
        <f>VLOOKUP($G1771,'[42]Sheet1 (2)'!$A$1:$B$1048440,2,FALSE)</f>
        <v>Sqm</v>
      </c>
      <c r="AM1771" s="32"/>
      <c r="AN1771" s="31"/>
      <c r="AO1771" s="33"/>
    </row>
    <row r="1772" spans="1:41" ht="196" x14ac:dyDescent="0.25">
      <c r="A1772" s="20">
        <v>1629</v>
      </c>
      <c r="B1772" s="39" t="s">
        <v>2928</v>
      </c>
      <c r="C1772" s="22">
        <v>48.1</v>
      </c>
      <c r="D1772" s="24" t="s">
        <v>44</v>
      </c>
      <c r="E1772" s="24" t="s">
        <v>2935</v>
      </c>
      <c r="F1772" s="24" t="s">
        <v>44</v>
      </c>
      <c r="G1772" s="202" t="s">
        <v>621</v>
      </c>
      <c r="H1772" s="26">
        <v>10574</v>
      </c>
      <c r="I1772" s="26">
        <v>376</v>
      </c>
      <c r="J1772" s="31"/>
      <c r="K1772" s="31"/>
      <c r="L1772" s="31"/>
      <c r="M1772" s="31"/>
      <c r="N1772" s="31"/>
      <c r="O1772" s="31"/>
      <c r="P1772" s="31"/>
      <c r="Q1772" s="31"/>
      <c r="R1772" s="31"/>
      <c r="S1772" s="31"/>
      <c r="T1772" s="31"/>
      <c r="U1772" s="31"/>
      <c r="V1772" s="31"/>
      <c r="W1772" s="31"/>
      <c r="X1772" s="31"/>
      <c r="Y1772" s="31"/>
      <c r="Z1772" s="31"/>
      <c r="AA1772" s="31"/>
      <c r="AB1772" s="31"/>
      <c r="AC1772" s="31"/>
      <c r="AD1772" s="31"/>
      <c r="AE1772" s="31"/>
      <c r="AF1772" s="31"/>
      <c r="AG1772" s="31"/>
      <c r="AH1772" s="31"/>
      <c r="AI1772" s="31"/>
      <c r="AJ1772" s="31"/>
      <c r="AK1772" s="31"/>
      <c r="AL1772" s="28" t="str">
        <f>VLOOKUP($G1772,'[42]Sheet1 (2)'!$A$1:$B$1048440,2,FALSE)</f>
        <v>Sqm</v>
      </c>
      <c r="AM1772" s="32"/>
      <c r="AN1772" s="31"/>
      <c r="AO1772" s="33"/>
    </row>
    <row r="1773" spans="1:41" ht="168" x14ac:dyDescent="0.25">
      <c r="A1773" s="20">
        <v>1630</v>
      </c>
      <c r="B1773" s="39" t="s">
        <v>2116</v>
      </c>
      <c r="C1773" s="22">
        <v>48.11</v>
      </c>
      <c r="D1773" s="24" t="s">
        <v>44</v>
      </c>
      <c r="E1773" s="24" t="s">
        <v>2936</v>
      </c>
      <c r="F1773" s="24" t="s">
        <v>44</v>
      </c>
      <c r="G1773" s="202" t="s">
        <v>621</v>
      </c>
      <c r="H1773" s="26">
        <v>308</v>
      </c>
      <c r="I1773" s="26">
        <v>107</v>
      </c>
      <c r="J1773" s="31"/>
      <c r="K1773" s="31"/>
      <c r="L1773" s="31"/>
      <c r="M1773" s="31"/>
      <c r="N1773" s="31"/>
      <c r="O1773" s="31"/>
      <c r="P1773" s="31"/>
      <c r="Q1773" s="31"/>
      <c r="R1773" s="31"/>
      <c r="S1773" s="31"/>
      <c r="T1773" s="31"/>
      <c r="U1773" s="31"/>
      <c r="V1773" s="31"/>
      <c r="W1773" s="31"/>
      <c r="X1773" s="31"/>
      <c r="Y1773" s="31"/>
      <c r="Z1773" s="31"/>
      <c r="AA1773" s="31"/>
      <c r="AB1773" s="31"/>
      <c r="AC1773" s="31"/>
      <c r="AD1773" s="31"/>
      <c r="AE1773" s="31"/>
      <c r="AF1773" s="31"/>
      <c r="AG1773" s="31"/>
      <c r="AH1773" s="31"/>
      <c r="AI1773" s="31"/>
      <c r="AJ1773" s="31"/>
      <c r="AK1773" s="31"/>
      <c r="AL1773" s="28" t="str">
        <f>VLOOKUP($G1773,'[42]Sheet1 (2)'!$A$1:$B$1048440,2,FALSE)</f>
        <v>Sqm</v>
      </c>
      <c r="AM1773" s="32"/>
      <c r="AN1773" s="31"/>
      <c r="AO1773" s="33"/>
    </row>
    <row r="1774" spans="1:41" ht="196" x14ac:dyDescent="0.25">
      <c r="A1774" s="20">
        <v>1631</v>
      </c>
      <c r="B1774" s="39" t="s">
        <v>2116</v>
      </c>
      <c r="C1774" s="22">
        <v>48.12</v>
      </c>
      <c r="D1774" s="24" t="s">
        <v>44</v>
      </c>
      <c r="E1774" s="24" t="s">
        <v>2937</v>
      </c>
      <c r="F1774" s="24" t="s">
        <v>44</v>
      </c>
      <c r="G1774" s="202" t="s">
        <v>621</v>
      </c>
      <c r="H1774" s="26">
        <v>200</v>
      </c>
      <c r="I1774" s="26">
        <v>64</v>
      </c>
      <c r="J1774" s="31"/>
      <c r="K1774" s="31"/>
      <c r="L1774" s="31"/>
      <c r="M1774" s="31"/>
      <c r="N1774" s="31"/>
      <c r="O1774" s="31"/>
      <c r="P1774" s="31"/>
      <c r="Q1774" s="31"/>
      <c r="R1774" s="31"/>
      <c r="S1774" s="31"/>
      <c r="T1774" s="31"/>
      <c r="U1774" s="31"/>
      <c r="V1774" s="31"/>
      <c r="W1774" s="31"/>
      <c r="X1774" s="31"/>
      <c r="Y1774" s="31"/>
      <c r="Z1774" s="31"/>
      <c r="AA1774" s="31"/>
      <c r="AB1774" s="31"/>
      <c r="AC1774" s="31"/>
      <c r="AD1774" s="31"/>
      <c r="AE1774" s="31"/>
      <c r="AF1774" s="31"/>
      <c r="AG1774" s="31"/>
      <c r="AH1774" s="31"/>
      <c r="AI1774" s="31"/>
      <c r="AJ1774" s="31"/>
      <c r="AK1774" s="31"/>
      <c r="AL1774" s="28" t="str">
        <f>VLOOKUP($G1774,'[42]Sheet1 (2)'!$A$1:$B$1048440,2,FALSE)</f>
        <v>Sqm</v>
      </c>
      <c r="AM1774" s="32"/>
      <c r="AN1774" s="31"/>
      <c r="AO1774" s="33"/>
    </row>
    <row r="1775" spans="1:41" ht="182" x14ac:dyDescent="0.25">
      <c r="A1775" s="20">
        <v>1632</v>
      </c>
      <c r="B1775" s="39" t="s">
        <v>2116</v>
      </c>
      <c r="C1775" s="22">
        <v>48.13</v>
      </c>
      <c r="D1775" s="24" t="s">
        <v>44</v>
      </c>
      <c r="E1775" s="24" t="s">
        <v>2938</v>
      </c>
      <c r="F1775" s="24" t="s">
        <v>44</v>
      </c>
      <c r="G1775" s="202" t="s">
        <v>621</v>
      </c>
      <c r="H1775" s="26">
        <v>142</v>
      </c>
      <c r="I1775" s="103">
        <v>54</v>
      </c>
      <c r="J1775" s="31"/>
      <c r="K1775" s="31"/>
      <c r="L1775" s="31"/>
      <c r="M1775" s="31"/>
      <c r="N1775" s="31"/>
      <c r="O1775" s="31"/>
      <c r="P1775" s="31"/>
      <c r="Q1775" s="31"/>
      <c r="R1775" s="31"/>
      <c r="S1775" s="31"/>
      <c r="T1775" s="31"/>
      <c r="U1775" s="31"/>
      <c r="V1775" s="31"/>
      <c r="W1775" s="31"/>
      <c r="X1775" s="31"/>
      <c r="Y1775" s="31"/>
      <c r="Z1775" s="31"/>
      <c r="AA1775" s="31"/>
      <c r="AB1775" s="31"/>
      <c r="AC1775" s="31"/>
      <c r="AD1775" s="31"/>
      <c r="AE1775" s="31"/>
      <c r="AF1775" s="31"/>
      <c r="AG1775" s="31"/>
      <c r="AH1775" s="31"/>
      <c r="AI1775" s="31"/>
      <c r="AJ1775" s="31"/>
      <c r="AK1775" s="31"/>
      <c r="AL1775" s="28" t="str">
        <f>VLOOKUP($G1775,'[42]Sheet1 (2)'!$A$1:$B$1048440,2,FALSE)</f>
        <v>Sqm</v>
      </c>
      <c r="AM1775" s="32"/>
      <c r="AN1775" s="31"/>
      <c r="AO1775" s="33"/>
    </row>
    <row r="1776" spans="1:41" ht="140" x14ac:dyDescent="0.25">
      <c r="A1776" s="20">
        <v>1633</v>
      </c>
      <c r="B1776" s="39" t="s">
        <v>2116</v>
      </c>
      <c r="C1776" s="22">
        <v>48.14</v>
      </c>
      <c r="D1776" s="24" t="s">
        <v>44</v>
      </c>
      <c r="E1776" s="24" t="s">
        <v>2939</v>
      </c>
      <c r="F1776" s="24" t="s">
        <v>44</v>
      </c>
      <c r="G1776" s="202" t="s">
        <v>621</v>
      </c>
      <c r="H1776" s="26">
        <v>178</v>
      </c>
      <c r="I1776" s="103">
        <v>64</v>
      </c>
      <c r="J1776" s="31"/>
      <c r="K1776" s="31"/>
      <c r="L1776" s="31"/>
      <c r="M1776" s="31"/>
      <c r="N1776" s="31"/>
      <c r="O1776" s="31"/>
      <c r="P1776" s="31"/>
      <c r="Q1776" s="31"/>
      <c r="R1776" s="31"/>
      <c r="S1776" s="31"/>
      <c r="T1776" s="31"/>
      <c r="U1776" s="31"/>
      <c r="V1776" s="31"/>
      <c r="W1776" s="31"/>
      <c r="X1776" s="31"/>
      <c r="Y1776" s="31"/>
      <c r="Z1776" s="31"/>
      <c r="AA1776" s="31"/>
      <c r="AB1776" s="31"/>
      <c r="AC1776" s="31"/>
      <c r="AD1776" s="31"/>
      <c r="AE1776" s="31"/>
      <c r="AF1776" s="31"/>
      <c r="AG1776" s="31"/>
      <c r="AH1776" s="31"/>
      <c r="AI1776" s="31"/>
      <c r="AJ1776" s="31"/>
      <c r="AK1776" s="31"/>
      <c r="AL1776" s="28" t="str">
        <f>VLOOKUP($G1776,'[42]Sheet1 (2)'!$A$1:$B$1048440,2,FALSE)</f>
        <v>Sqm</v>
      </c>
      <c r="AM1776" s="32"/>
      <c r="AN1776" s="31"/>
      <c r="AO1776" s="33"/>
    </row>
    <row r="1777" spans="1:41" ht="98" x14ac:dyDescent="0.25">
      <c r="A1777" s="20">
        <v>1634</v>
      </c>
      <c r="B1777" s="39" t="s">
        <v>2116</v>
      </c>
      <c r="C1777" s="22">
        <v>48.15</v>
      </c>
      <c r="D1777" s="24" t="s">
        <v>44</v>
      </c>
      <c r="E1777" s="23" t="s">
        <v>2940</v>
      </c>
      <c r="F1777" s="24" t="s">
        <v>44</v>
      </c>
      <c r="G1777" s="202" t="s">
        <v>621</v>
      </c>
      <c r="H1777" s="26">
        <v>200</v>
      </c>
      <c r="I1777" s="103">
        <v>64</v>
      </c>
      <c r="J1777" s="31"/>
      <c r="K1777" s="31"/>
      <c r="L1777" s="31"/>
      <c r="M1777" s="31"/>
      <c r="N1777" s="31"/>
      <c r="O1777" s="31"/>
      <c r="P1777" s="31"/>
      <c r="Q1777" s="31"/>
      <c r="R1777" s="31"/>
      <c r="S1777" s="31"/>
      <c r="T1777" s="31"/>
      <c r="U1777" s="31"/>
      <c r="V1777" s="31"/>
      <c r="W1777" s="31"/>
      <c r="X1777" s="31"/>
      <c r="Y1777" s="31"/>
      <c r="Z1777" s="31"/>
      <c r="AA1777" s="31"/>
      <c r="AB1777" s="31"/>
      <c r="AC1777" s="31"/>
      <c r="AD1777" s="31"/>
      <c r="AE1777" s="31"/>
      <c r="AF1777" s="31"/>
      <c r="AG1777" s="31"/>
      <c r="AH1777" s="31"/>
      <c r="AI1777" s="31"/>
      <c r="AJ1777" s="31"/>
      <c r="AK1777" s="31"/>
      <c r="AL1777" s="28" t="str">
        <f>VLOOKUP($G1777,'[42]Sheet1 (2)'!$A$1:$B$1048440,2,FALSE)</f>
        <v>Sqm</v>
      </c>
      <c r="AM1777" s="32"/>
      <c r="AN1777" s="31"/>
      <c r="AO1777" s="33"/>
    </row>
    <row r="1778" spans="1:41" ht="84" x14ac:dyDescent="0.25">
      <c r="A1778" s="20">
        <v>1635</v>
      </c>
      <c r="B1778" s="39" t="s">
        <v>2116</v>
      </c>
      <c r="C1778" s="22">
        <v>48.16</v>
      </c>
      <c r="D1778" s="24" t="s">
        <v>44</v>
      </c>
      <c r="E1778" s="23" t="s">
        <v>2941</v>
      </c>
      <c r="F1778" s="24" t="s">
        <v>44</v>
      </c>
      <c r="G1778" s="202" t="s">
        <v>621</v>
      </c>
      <c r="H1778" s="26">
        <v>200</v>
      </c>
      <c r="I1778" s="103">
        <v>64</v>
      </c>
      <c r="J1778" s="31"/>
      <c r="K1778" s="31"/>
      <c r="L1778" s="31"/>
      <c r="M1778" s="31"/>
      <c r="N1778" s="31"/>
      <c r="O1778" s="31"/>
      <c r="P1778" s="31"/>
      <c r="Q1778" s="31"/>
      <c r="R1778" s="31"/>
      <c r="S1778" s="31"/>
      <c r="T1778" s="31"/>
      <c r="U1778" s="31"/>
      <c r="V1778" s="31"/>
      <c r="W1778" s="31"/>
      <c r="X1778" s="31"/>
      <c r="Y1778" s="31"/>
      <c r="Z1778" s="31"/>
      <c r="AA1778" s="31"/>
      <c r="AB1778" s="31"/>
      <c r="AC1778" s="31"/>
      <c r="AD1778" s="31"/>
      <c r="AE1778" s="31"/>
      <c r="AF1778" s="31"/>
      <c r="AG1778" s="31"/>
      <c r="AH1778" s="31"/>
      <c r="AI1778" s="31"/>
      <c r="AJ1778" s="31"/>
      <c r="AK1778" s="31"/>
      <c r="AL1778" s="28" t="str">
        <f>VLOOKUP($G1778,'[42]Sheet1 (2)'!$A$1:$B$1048440,2,FALSE)</f>
        <v>Sqm</v>
      </c>
      <c r="AM1778" s="32"/>
      <c r="AN1778" s="31"/>
      <c r="AO1778" s="33"/>
    </row>
    <row r="1779" spans="1:41" ht="98" x14ac:dyDescent="0.25">
      <c r="A1779" s="20">
        <v>1636</v>
      </c>
      <c r="B1779" s="39" t="s">
        <v>2116</v>
      </c>
      <c r="C1779" s="22">
        <v>48.17</v>
      </c>
      <c r="D1779" s="24" t="s">
        <v>44</v>
      </c>
      <c r="E1779" s="24" t="s">
        <v>2942</v>
      </c>
      <c r="F1779" s="24" t="s">
        <v>44</v>
      </c>
      <c r="G1779" s="202" t="s">
        <v>621</v>
      </c>
      <c r="H1779" s="26">
        <v>87</v>
      </c>
      <c r="I1779" s="103">
        <v>64</v>
      </c>
      <c r="J1779" s="31"/>
      <c r="K1779" s="31"/>
      <c r="L1779" s="31"/>
      <c r="M1779" s="31"/>
      <c r="N1779" s="31"/>
      <c r="O1779" s="31"/>
      <c r="P1779" s="31"/>
      <c r="Q1779" s="31"/>
      <c r="R1779" s="31"/>
      <c r="S1779" s="31"/>
      <c r="T1779" s="31"/>
      <c r="U1779" s="31"/>
      <c r="V1779" s="31"/>
      <c r="W1779" s="31"/>
      <c r="X1779" s="31"/>
      <c r="Y1779" s="31"/>
      <c r="Z1779" s="31"/>
      <c r="AA1779" s="31"/>
      <c r="AB1779" s="31"/>
      <c r="AC1779" s="31"/>
      <c r="AD1779" s="31"/>
      <c r="AE1779" s="31"/>
      <c r="AF1779" s="31"/>
      <c r="AG1779" s="31"/>
      <c r="AH1779" s="31"/>
      <c r="AI1779" s="31"/>
      <c r="AJ1779" s="31"/>
      <c r="AK1779" s="31"/>
      <c r="AL1779" s="28" t="str">
        <f>VLOOKUP($G1779,'[42]Sheet1 (2)'!$A$1:$B$1048440,2,FALSE)</f>
        <v>Sqm</v>
      </c>
      <c r="AM1779" s="32"/>
      <c r="AN1779" s="31"/>
      <c r="AO1779" s="33"/>
    </row>
    <row r="1780" spans="1:41" ht="56" x14ac:dyDescent="0.25">
      <c r="A1780" s="34"/>
      <c r="B1780" s="39" t="s">
        <v>2943</v>
      </c>
      <c r="C1780" s="22">
        <v>48.18</v>
      </c>
      <c r="D1780" s="35" t="s">
        <v>64</v>
      </c>
      <c r="E1780" s="24" t="s">
        <v>82</v>
      </c>
      <c r="F1780" s="35" t="s">
        <v>64</v>
      </c>
      <c r="G1780" s="202" t="s">
        <v>621</v>
      </c>
      <c r="H1780" s="34"/>
      <c r="I1780" s="34"/>
      <c r="J1780" s="31"/>
      <c r="K1780" s="31"/>
      <c r="L1780" s="31"/>
      <c r="M1780" s="31"/>
      <c r="N1780" s="31"/>
      <c r="O1780" s="31"/>
      <c r="P1780" s="31"/>
      <c r="Q1780" s="31"/>
      <c r="R1780" s="31"/>
      <c r="S1780" s="31"/>
      <c r="T1780" s="31"/>
      <c r="U1780" s="31"/>
      <c r="V1780" s="31"/>
      <c r="W1780" s="31"/>
      <c r="X1780" s="31"/>
      <c r="Y1780" s="31"/>
      <c r="Z1780" s="31"/>
      <c r="AA1780" s="31"/>
      <c r="AB1780" s="31"/>
      <c r="AC1780" s="31"/>
      <c r="AD1780" s="31"/>
      <c r="AE1780" s="31"/>
      <c r="AF1780" s="31"/>
      <c r="AG1780" s="31"/>
      <c r="AH1780" s="31"/>
      <c r="AI1780" s="31"/>
      <c r="AJ1780" s="31"/>
      <c r="AK1780" s="31"/>
      <c r="AL1780" s="28" t="str">
        <f>VLOOKUP($G1780,'[42]Sheet1 (2)'!$A$1:$B$1048440,2,FALSE)</f>
        <v>Sqm</v>
      </c>
      <c r="AM1780" s="32"/>
      <c r="AN1780" s="31"/>
      <c r="AO1780" s="33"/>
    </row>
    <row r="1781" spans="1:41" ht="168" x14ac:dyDescent="0.25">
      <c r="A1781" s="20">
        <v>1637</v>
      </c>
      <c r="B1781" s="25" t="s">
        <v>2943</v>
      </c>
      <c r="C1781" s="22">
        <v>48.19</v>
      </c>
      <c r="D1781" s="24" t="s">
        <v>44</v>
      </c>
      <c r="E1781" s="24" t="s">
        <v>2944</v>
      </c>
      <c r="F1781" s="24" t="s">
        <v>44</v>
      </c>
      <c r="G1781" s="202" t="s">
        <v>621</v>
      </c>
      <c r="H1781" s="26">
        <v>410</v>
      </c>
      <c r="I1781" s="26">
        <v>78</v>
      </c>
      <c r="J1781" s="31"/>
      <c r="K1781" s="31"/>
      <c r="L1781" s="31"/>
      <c r="M1781" s="31"/>
      <c r="N1781" s="31"/>
      <c r="O1781" s="31"/>
      <c r="P1781" s="31"/>
      <c r="Q1781" s="31"/>
      <c r="R1781" s="31"/>
      <c r="S1781" s="31"/>
      <c r="T1781" s="31"/>
      <c r="U1781" s="31"/>
      <c r="V1781" s="31"/>
      <c r="W1781" s="31"/>
      <c r="X1781" s="31"/>
      <c r="Y1781" s="31"/>
      <c r="Z1781" s="31"/>
      <c r="AA1781" s="31"/>
      <c r="AB1781" s="31"/>
      <c r="AC1781" s="31"/>
      <c r="AD1781" s="31"/>
      <c r="AE1781" s="31"/>
      <c r="AF1781" s="31"/>
      <c r="AG1781" s="31"/>
      <c r="AH1781" s="31"/>
      <c r="AI1781" s="31"/>
      <c r="AJ1781" s="31"/>
      <c r="AK1781" s="31"/>
      <c r="AL1781" s="28" t="str">
        <f>VLOOKUP($G1781,'[42]Sheet1 (2)'!$A$1:$B$1048440,2,FALSE)</f>
        <v>Sqm</v>
      </c>
      <c r="AM1781" s="32"/>
      <c r="AN1781" s="31"/>
      <c r="AO1781" s="33"/>
    </row>
    <row r="1782" spans="1:41" ht="168" x14ac:dyDescent="0.25">
      <c r="A1782" s="20">
        <v>1638</v>
      </c>
      <c r="B1782" s="39" t="s">
        <v>2945</v>
      </c>
      <c r="C1782" s="22">
        <v>48.2</v>
      </c>
      <c r="D1782" s="24" t="s">
        <v>44</v>
      </c>
      <c r="E1782" s="24" t="s">
        <v>2946</v>
      </c>
      <c r="F1782" s="24" t="s">
        <v>44</v>
      </c>
      <c r="G1782" s="202" t="s">
        <v>621</v>
      </c>
      <c r="H1782" s="26">
        <v>3603</v>
      </c>
      <c r="I1782" s="26">
        <v>670</v>
      </c>
      <c r="J1782" s="31"/>
      <c r="K1782" s="31"/>
      <c r="L1782" s="31"/>
      <c r="M1782" s="31"/>
      <c r="N1782" s="31"/>
      <c r="O1782" s="31"/>
      <c r="P1782" s="31"/>
      <c r="Q1782" s="31"/>
      <c r="R1782" s="31"/>
      <c r="S1782" s="31"/>
      <c r="T1782" s="31"/>
      <c r="U1782" s="31"/>
      <c r="V1782" s="31"/>
      <c r="W1782" s="31"/>
      <c r="X1782" s="31"/>
      <c r="Y1782" s="31"/>
      <c r="Z1782" s="31"/>
      <c r="AA1782" s="31"/>
      <c r="AB1782" s="31"/>
      <c r="AC1782" s="31"/>
      <c r="AD1782" s="31"/>
      <c r="AE1782" s="31"/>
      <c r="AF1782" s="31"/>
      <c r="AG1782" s="31"/>
      <c r="AH1782" s="31"/>
      <c r="AI1782" s="31"/>
      <c r="AJ1782" s="31"/>
      <c r="AK1782" s="31"/>
      <c r="AL1782" s="28" t="str">
        <f>VLOOKUP($G1782,'[42]Sheet1 (2)'!$A$1:$B$1048440,2,FALSE)</f>
        <v>Sqm</v>
      </c>
      <c r="AM1782" s="32"/>
      <c r="AN1782" s="31"/>
      <c r="AO1782" s="33"/>
    </row>
    <row r="1783" spans="1:41" ht="168" x14ac:dyDescent="0.25">
      <c r="A1783" s="20">
        <v>1639</v>
      </c>
      <c r="B1783" s="39" t="s">
        <v>2945</v>
      </c>
      <c r="C1783" s="22">
        <v>48.21</v>
      </c>
      <c r="D1783" s="24" t="s">
        <v>44</v>
      </c>
      <c r="E1783" s="24" t="s">
        <v>2947</v>
      </c>
      <c r="F1783" s="24" t="s">
        <v>44</v>
      </c>
      <c r="G1783" s="202" t="s">
        <v>621</v>
      </c>
      <c r="H1783" s="26">
        <v>5392</v>
      </c>
      <c r="I1783" s="26">
        <v>226</v>
      </c>
      <c r="J1783" s="31"/>
      <c r="K1783" s="31"/>
      <c r="L1783" s="31"/>
      <c r="M1783" s="31"/>
      <c r="N1783" s="31"/>
      <c r="O1783" s="31"/>
      <c r="P1783" s="31"/>
      <c r="Q1783" s="31"/>
      <c r="R1783" s="31"/>
      <c r="S1783" s="31"/>
      <c r="T1783" s="31"/>
      <c r="U1783" s="31"/>
      <c r="V1783" s="31"/>
      <c r="W1783" s="31"/>
      <c r="X1783" s="31"/>
      <c r="Y1783" s="31"/>
      <c r="Z1783" s="31"/>
      <c r="AA1783" s="31"/>
      <c r="AB1783" s="31"/>
      <c r="AC1783" s="31"/>
      <c r="AD1783" s="31"/>
      <c r="AE1783" s="31"/>
      <c r="AF1783" s="31"/>
      <c r="AG1783" s="31"/>
      <c r="AH1783" s="31"/>
      <c r="AI1783" s="31"/>
      <c r="AJ1783" s="31"/>
      <c r="AK1783" s="31"/>
      <c r="AL1783" s="28" t="str">
        <f>VLOOKUP($G1783,'[42]Sheet1 (2)'!$A$1:$B$1048440,2,FALSE)</f>
        <v>Sqm</v>
      </c>
      <c r="AM1783" s="32"/>
      <c r="AN1783" s="31"/>
      <c r="AO1783" s="33"/>
    </row>
    <row r="1784" spans="1:41" ht="196" x14ac:dyDescent="0.25">
      <c r="A1784" s="20">
        <v>1640</v>
      </c>
      <c r="B1784" s="39" t="s">
        <v>2945</v>
      </c>
      <c r="C1784" s="22">
        <v>48.22</v>
      </c>
      <c r="D1784" s="24" t="s">
        <v>44</v>
      </c>
      <c r="E1784" s="23" t="s">
        <v>2948</v>
      </c>
      <c r="F1784" s="24" t="s">
        <v>44</v>
      </c>
      <c r="G1784" s="202" t="s">
        <v>621</v>
      </c>
      <c r="H1784" s="26">
        <v>9462</v>
      </c>
      <c r="I1784" s="26">
        <v>0</v>
      </c>
      <c r="J1784" s="31"/>
      <c r="K1784" s="31"/>
      <c r="L1784" s="31"/>
      <c r="M1784" s="31"/>
      <c r="N1784" s="31"/>
      <c r="O1784" s="31"/>
      <c r="P1784" s="31"/>
      <c r="Q1784" s="31"/>
      <c r="R1784" s="31"/>
      <c r="S1784" s="31"/>
      <c r="T1784" s="31"/>
      <c r="U1784" s="31"/>
      <c r="V1784" s="31"/>
      <c r="W1784" s="31"/>
      <c r="X1784" s="31"/>
      <c r="Y1784" s="31"/>
      <c r="Z1784" s="31"/>
      <c r="AA1784" s="31"/>
      <c r="AB1784" s="31"/>
      <c r="AC1784" s="31"/>
      <c r="AD1784" s="31"/>
      <c r="AE1784" s="31"/>
      <c r="AF1784" s="31"/>
      <c r="AG1784" s="31"/>
      <c r="AH1784" s="31"/>
      <c r="AI1784" s="31"/>
      <c r="AJ1784" s="31"/>
      <c r="AK1784" s="31"/>
      <c r="AL1784" s="28" t="str">
        <f>VLOOKUP($G1784,'[42]Sheet1 (2)'!$A$1:$B$1048440,2,FALSE)</f>
        <v>Sqm</v>
      </c>
      <c r="AM1784" s="32"/>
      <c r="AN1784" s="31"/>
      <c r="AO1784" s="33"/>
    </row>
    <row r="1785" spans="1:41" ht="56" x14ac:dyDescent="0.25">
      <c r="A1785" s="20">
        <v>1641</v>
      </c>
      <c r="B1785" s="39" t="s">
        <v>2945</v>
      </c>
      <c r="C1785" s="22">
        <v>48.23</v>
      </c>
      <c r="D1785" s="24" t="s">
        <v>44</v>
      </c>
      <c r="E1785" s="24" t="s">
        <v>2949</v>
      </c>
      <c r="F1785" s="24" t="s">
        <v>44</v>
      </c>
      <c r="G1785" s="202" t="s">
        <v>621</v>
      </c>
      <c r="H1785" s="26">
        <v>16061</v>
      </c>
      <c r="I1785" s="26">
        <v>984</v>
      </c>
      <c r="J1785" s="31"/>
      <c r="K1785" s="31"/>
      <c r="L1785" s="31"/>
      <c r="M1785" s="31"/>
      <c r="N1785" s="31"/>
      <c r="O1785" s="31"/>
      <c r="P1785" s="31"/>
      <c r="Q1785" s="31"/>
      <c r="R1785" s="31"/>
      <c r="S1785" s="31"/>
      <c r="T1785" s="31"/>
      <c r="U1785" s="31"/>
      <c r="V1785" s="31"/>
      <c r="W1785" s="31"/>
      <c r="X1785" s="31"/>
      <c r="Y1785" s="31"/>
      <c r="Z1785" s="31"/>
      <c r="AA1785" s="31"/>
      <c r="AB1785" s="31"/>
      <c r="AC1785" s="31"/>
      <c r="AD1785" s="31"/>
      <c r="AE1785" s="31"/>
      <c r="AF1785" s="31"/>
      <c r="AG1785" s="31"/>
      <c r="AH1785" s="31"/>
      <c r="AI1785" s="31"/>
      <c r="AJ1785" s="31"/>
      <c r="AK1785" s="31"/>
      <c r="AL1785" s="28" t="str">
        <f>VLOOKUP($G1785,'[42]Sheet1 (2)'!$A$1:$B$1048440,2,FALSE)</f>
        <v>Sqm</v>
      </c>
      <c r="AM1785" s="32"/>
      <c r="AN1785" s="31"/>
      <c r="AO1785" s="33"/>
    </row>
    <row r="1786" spans="1:41" ht="56" x14ac:dyDescent="0.25">
      <c r="A1786" s="20">
        <v>1642</v>
      </c>
      <c r="B1786" s="39" t="s">
        <v>2945</v>
      </c>
      <c r="C1786" s="22">
        <v>48.24</v>
      </c>
      <c r="D1786" s="24" t="s">
        <v>44</v>
      </c>
      <c r="E1786" s="23" t="s">
        <v>2950</v>
      </c>
      <c r="F1786" s="24" t="s">
        <v>44</v>
      </c>
      <c r="G1786" s="202" t="s">
        <v>621</v>
      </c>
      <c r="H1786" s="26">
        <v>17018</v>
      </c>
      <c r="I1786" s="26">
        <v>984</v>
      </c>
      <c r="J1786" s="31"/>
      <c r="K1786" s="31"/>
      <c r="L1786" s="31"/>
      <c r="M1786" s="31"/>
      <c r="N1786" s="31"/>
      <c r="O1786" s="31"/>
      <c r="P1786" s="31"/>
      <c r="Q1786" s="31"/>
      <c r="R1786" s="31"/>
      <c r="S1786" s="31"/>
      <c r="T1786" s="31"/>
      <c r="U1786" s="31"/>
      <c r="V1786" s="31"/>
      <c r="W1786" s="31"/>
      <c r="X1786" s="31"/>
      <c r="Y1786" s="31"/>
      <c r="Z1786" s="31"/>
      <c r="AA1786" s="31"/>
      <c r="AB1786" s="31"/>
      <c r="AC1786" s="31"/>
      <c r="AD1786" s="31"/>
      <c r="AE1786" s="31"/>
      <c r="AF1786" s="31"/>
      <c r="AG1786" s="31"/>
      <c r="AH1786" s="31"/>
      <c r="AI1786" s="31"/>
      <c r="AJ1786" s="31"/>
      <c r="AK1786" s="31"/>
      <c r="AL1786" s="28" t="str">
        <f>VLOOKUP($G1786,'[42]Sheet1 (2)'!$A$1:$B$1048440,2,FALSE)</f>
        <v>Sqm</v>
      </c>
      <c r="AM1786" s="32"/>
      <c r="AN1786" s="31"/>
      <c r="AO1786" s="33"/>
    </row>
    <row r="1787" spans="1:41" ht="98" x14ac:dyDescent="0.25">
      <c r="A1787" s="20">
        <v>1643</v>
      </c>
      <c r="B1787" s="25" t="s">
        <v>2951</v>
      </c>
      <c r="C1787" s="22">
        <v>48.25</v>
      </c>
      <c r="D1787" s="25" t="s">
        <v>44</v>
      </c>
      <c r="E1787" s="23" t="s">
        <v>2952</v>
      </c>
      <c r="F1787" s="25" t="s">
        <v>44</v>
      </c>
      <c r="G1787" s="25" t="s">
        <v>45</v>
      </c>
      <c r="H1787" s="26">
        <v>3043</v>
      </c>
      <c r="I1787" s="26">
        <v>238</v>
      </c>
      <c r="J1787" s="31"/>
      <c r="K1787" s="31"/>
      <c r="L1787" s="31"/>
      <c r="M1787" s="31"/>
      <c r="N1787" s="31"/>
      <c r="O1787" s="31"/>
      <c r="P1787" s="31"/>
      <c r="Q1787" s="31"/>
      <c r="R1787" s="31"/>
      <c r="S1787" s="31"/>
      <c r="T1787" s="31"/>
      <c r="U1787" s="31"/>
      <c r="V1787" s="31"/>
      <c r="W1787" s="31"/>
      <c r="X1787" s="31"/>
      <c r="Y1787" s="31"/>
      <c r="Z1787" s="31"/>
      <c r="AA1787" s="31"/>
      <c r="AB1787" s="31"/>
      <c r="AC1787" s="31"/>
      <c r="AD1787" s="31"/>
      <c r="AE1787" s="31"/>
      <c r="AF1787" s="31"/>
      <c r="AG1787" s="31"/>
      <c r="AH1787" s="31"/>
      <c r="AI1787" s="31"/>
      <c r="AJ1787" s="31"/>
      <c r="AK1787" s="31"/>
      <c r="AL1787" s="28" t="str">
        <f>VLOOKUP($G1787,'[42]Sheet1 (2)'!$A$1:$B$1048440,2,FALSE)</f>
        <v>No.</v>
      </c>
      <c r="AM1787" s="32"/>
      <c r="AN1787" s="31"/>
      <c r="AO1787" s="33"/>
    </row>
    <row r="1788" spans="1:41" ht="42" x14ac:dyDescent="0.3">
      <c r="A1788" s="128"/>
      <c r="B1788" s="25" t="s">
        <v>2951</v>
      </c>
      <c r="C1788" s="22">
        <v>48.26</v>
      </c>
      <c r="D1788" s="25" t="s">
        <v>2953</v>
      </c>
      <c r="E1788" s="24" t="s">
        <v>82</v>
      </c>
      <c r="F1788" s="21" t="s">
        <v>2953</v>
      </c>
      <c r="G1788" s="25" t="s">
        <v>45</v>
      </c>
      <c r="H1788" s="128"/>
      <c r="I1788" s="128"/>
      <c r="J1788" s="31"/>
      <c r="K1788" s="31"/>
      <c r="L1788" s="31"/>
      <c r="M1788" s="31"/>
      <c r="N1788" s="31"/>
      <c r="O1788" s="31"/>
      <c r="P1788" s="31"/>
      <c r="Q1788" s="31"/>
      <c r="R1788" s="31"/>
      <c r="S1788" s="31"/>
      <c r="T1788" s="31"/>
      <c r="U1788" s="31"/>
      <c r="V1788" s="31"/>
      <c r="W1788" s="31"/>
      <c r="X1788" s="31"/>
      <c r="Y1788" s="31"/>
      <c r="Z1788" s="31"/>
      <c r="AA1788" s="31"/>
      <c r="AB1788" s="31"/>
      <c r="AC1788" s="31"/>
      <c r="AD1788" s="31"/>
      <c r="AE1788" s="31"/>
      <c r="AF1788" s="31"/>
      <c r="AG1788" s="31"/>
      <c r="AH1788" s="31"/>
      <c r="AI1788" s="31"/>
      <c r="AJ1788" s="31"/>
      <c r="AK1788" s="31"/>
      <c r="AL1788" s="28" t="str">
        <f>VLOOKUP($G1788,'[42]Sheet1 (2)'!$A$1:$B$1048440,2,FALSE)</f>
        <v>No.</v>
      </c>
      <c r="AM1788" s="32"/>
      <c r="AN1788" s="31"/>
      <c r="AO1788" s="33"/>
    </row>
    <row r="1789" spans="1:41" ht="56" x14ac:dyDescent="0.25">
      <c r="A1789" s="20">
        <v>1644</v>
      </c>
      <c r="B1789" s="25" t="s">
        <v>2951</v>
      </c>
      <c r="C1789" s="22">
        <v>48.27</v>
      </c>
      <c r="D1789" s="35" t="s">
        <v>64</v>
      </c>
      <c r="E1789" s="24" t="s">
        <v>2954</v>
      </c>
      <c r="F1789" s="35" t="s">
        <v>64</v>
      </c>
      <c r="G1789" s="25" t="s">
        <v>45</v>
      </c>
      <c r="H1789" s="26">
        <v>2399</v>
      </c>
      <c r="I1789" s="26">
        <v>231</v>
      </c>
      <c r="J1789" s="31"/>
      <c r="K1789" s="31"/>
      <c r="L1789" s="31"/>
      <c r="M1789" s="31"/>
      <c r="N1789" s="31"/>
      <c r="O1789" s="31"/>
      <c r="P1789" s="31"/>
      <c r="Q1789" s="31"/>
      <c r="R1789" s="31"/>
      <c r="S1789" s="31"/>
      <c r="T1789" s="31"/>
      <c r="U1789" s="31"/>
      <c r="V1789" s="31"/>
      <c r="W1789" s="31"/>
      <c r="X1789" s="31"/>
      <c r="Y1789" s="31"/>
      <c r="Z1789" s="31"/>
      <c r="AA1789" s="31"/>
      <c r="AB1789" s="31"/>
      <c r="AC1789" s="31"/>
      <c r="AD1789" s="31"/>
      <c r="AE1789" s="31"/>
      <c r="AF1789" s="31"/>
      <c r="AG1789" s="31"/>
      <c r="AH1789" s="31"/>
      <c r="AI1789" s="31"/>
      <c r="AJ1789" s="31"/>
      <c r="AK1789" s="31"/>
      <c r="AL1789" s="28" t="str">
        <f>VLOOKUP($G1789,'[42]Sheet1 (2)'!$A$1:$B$1048440,2,FALSE)</f>
        <v>No.</v>
      </c>
      <c r="AM1789" s="32"/>
      <c r="AN1789" s="31"/>
      <c r="AO1789" s="33"/>
    </row>
    <row r="1790" spans="1:41" ht="56" x14ac:dyDescent="0.25">
      <c r="A1790" s="20">
        <v>1645</v>
      </c>
      <c r="B1790" s="25" t="s">
        <v>2951</v>
      </c>
      <c r="C1790" s="22">
        <v>48.28</v>
      </c>
      <c r="D1790" s="35" t="s">
        <v>64</v>
      </c>
      <c r="E1790" s="24" t="s">
        <v>2955</v>
      </c>
      <c r="F1790" s="35" t="s">
        <v>64</v>
      </c>
      <c r="G1790" s="25" t="s">
        <v>45</v>
      </c>
      <c r="H1790" s="26">
        <v>1193</v>
      </c>
      <c r="I1790" s="26">
        <v>231</v>
      </c>
      <c r="J1790" s="31"/>
      <c r="K1790" s="31"/>
      <c r="L1790" s="31"/>
      <c r="M1790" s="31"/>
      <c r="N1790" s="31"/>
      <c r="O1790" s="31"/>
      <c r="P1790" s="31"/>
      <c r="Q1790" s="31"/>
      <c r="R1790" s="31"/>
      <c r="S1790" s="31"/>
      <c r="T1790" s="31"/>
      <c r="U1790" s="31"/>
      <c r="V1790" s="31"/>
      <c r="W1790" s="31"/>
      <c r="X1790" s="31"/>
      <c r="Y1790" s="31"/>
      <c r="Z1790" s="31"/>
      <c r="AA1790" s="31"/>
      <c r="AB1790" s="31"/>
      <c r="AC1790" s="31"/>
      <c r="AD1790" s="31"/>
      <c r="AE1790" s="31"/>
      <c r="AF1790" s="31"/>
      <c r="AG1790" s="31"/>
      <c r="AH1790" s="31"/>
      <c r="AI1790" s="31"/>
      <c r="AJ1790" s="31"/>
      <c r="AK1790" s="31"/>
      <c r="AL1790" s="28" t="str">
        <f>VLOOKUP($G1790,'[42]Sheet1 (2)'!$A$1:$B$1048440,2,FALSE)</f>
        <v>No.</v>
      </c>
      <c r="AM1790" s="32"/>
      <c r="AN1790" s="31"/>
      <c r="AO1790" s="33"/>
    </row>
    <row r="1791" spans="1:41" x14ac:dyDescent="0.3">
      <c r="A1791" s="128"/>
      <c r="B1791" s="25" t="s">
        <v>2951</v>
      </c>
      <c r="C1791" s="22">
        <v>48.29</v>
      </c>
      <c r="D1791" s="128"/>
      <c r="E1791" s="24" t="s">
        <v>82</v>
      </c>
      <c r="F1791" s="128"/>
      <c r="G1791" s="128"/>
      <c r="H1791" s="128"/>
      <c r="I1791" s="128"/>
      <c r="J1791" s="31"/>
      <c r="K1791" s="31"/>
      <c r="L1791" s="31"/>
      <c r="M1791" s="31"/>
      <c r="N1791" s="31"/>
      <c r="O1791" s="31"/>
      <c r="P1791" s="31"/>
      <c r="Q1791" s="31"/>
      <c r="R1791" s="31"/>
      <c r="S1791" s="31"/>
      <c r="T1791" s="31"/>
      <c r="U1791" s="31"/>
      <c r="V1791" s="31"/>
      <c r="W1791" s="31"/>
      <c r="X1791" s="31"/>
      <c r="Y1791" s="31"/>
      <c r="Z1791" s="31"/>
      <c r="AA1791" s="31"/>
      <c r="AB1791" s="31"/>
      <c r="AC1791" s="31"/>
      <c r="AD1791" s="31"/>
      <c r="AE1791" s="31"/>
      <c r="AF1791" s="31"/>
      <c r="AG1791" s="31"/>
      <c r="AH1791" s="31"/>
      <c r="AI1791" s="31"/>
      <c r="AJ1791" s="31"/>
      <c r="AK1791" s="31"/>
      <c r="AL1791" s="28" t="e">
        <f>VLOOKUP($G1791,'[42]Sheet1 (2)'!$A$1:$B$1048440,2,FALSE)</f>
        <v>#N/A</v>
      </c>
      <c r="AM1791" s="32"/>
      <c r="AN1791" s="31"/>
      <c r="AO1791" s="33"/>
    </row>
    <row r="1792" spans="1:41" ht="126" x14ac:dyDescent="0.25">
      <c r="A1792" s="20">
        <v>1646</v>
      </c>
      <c r="B1792" s="25" t="s">
        <v>2951</v>
      </c>
      <c r="C1792" s="22">
        <v>48.3</v>
      </c>
      <c r="D1792" s="24" t="s">
        <v>44</v>
      </c>
      <c r="E1792" s="23" t="s">
        <v>2956</v>
      </c>
      <c r="F1792" s="24" t="s">
        <v>44</v>
      </c>
      <c r="G1792" s="25" t="s">
        <v>45</v>
      </c>
      <c r="H1792" s="26">
        <v>17844</v>
      </c>
      <c r="I1792" s="26">
        <v>782</v>
      </c>
      <c r="J1792" s="232">
        <f>0.25/20</f>
        <v>1.2500000000000001E-2</v>
      </c>
      <c r="K1792" s="232"/>
      <c r="L1792" s="232"/>
      <c r="M1792" s="232"/>
      <c r="N1792" s="232"/>
      <c r="O1792" s="232"/>
      <c r="P1792" s="232">
        <v>3.5000000000000003E-2</v>
      </c>
      <c r="Q1792" s="31"/>
      <c r="R1792" s="31"/>
      <c r="S1792" s="31"/>
      <c r="T1792" s="31"/>
      <c r="U1792" s="31"/>
      <c r="V1792" s="31"/>
      <c r="W1792" s="31"/>
      <c r="X1792" s="31"/>
      <c r="Y1792" s="31"/>
      <c r="Z1792" s="31"/>
      <c r="AA1792" s="31"/>
      <c r="AB1792" s="31"/>
      <c r="AC1792" s="31"/>
      <c r="AD1792" s="31"/>
      <c r="AE1792" s="31"/>
      <c r="AF1792" s="31"/>
      <c r="AG1792" s="31"/>
      <c r="AH1792" s="31"/>
      <c r="AI1792" s="31"/>
      <c r="AJ1792" s="31"/>
      <c r="AK1792" s="31"/>
      <c r="AL1792" s="28" t="str">
        <f>VLOOKUP($G1792,'[42]Sheet1 (2)'!$A$1:$B$1048440,2,FALSE)</f>
        <v>No.</v>
      </c>
      <c r="AM1792" s="32" t="s">
        <v>2957</v>
      </c>
      <c r="AN1792" s="31"/>
      <c r="AO1792" s="33"/>
    </row>
    <row r="1793" spans="1:41" ht="98" x14ac:dyDescent="0.25">
      <c r="A1793" s="20">
        <v>1647</v>
      </c>
      <c r="B1793" s="25" t="s">
        <v>2951</v>
      </c>
      <c r="C1793" s="22">
        <v>48.31</v>
      </c>
      <c r="D1793" s="24" t="s">
        <v>44</v>
      </c>
      <c r="E1793" s="23" t="s">
        <v>2958</v>
      </c>
      <c r="F1793" s="24" t="s">
        <v>44</v>
      </c>
      <c r="G1793" s="25" t="s">
        <v>45</v>
      </c>
      <c r="H1793" s="26">
        <v>10391</v>
      </c>
      <c r="I1793" s="26">
        <v>1028</v>
      </c>
      <c r="J1793" s="31"/>
      <c r="K1793" s="31"/>
      <c r="L1793" s="31"/>
      <c r="M1793" s="31"/>
      <c r="N1793" s="31"/>
      <c r="O1793" s="31"/>
      <c r="P1793" s="31"/>
      <c r="Q1793" s="31"/>
      <c r="R1793" s="31"/>
      <c r="S1793" s="31"/>
      <c r="T1793" s="31"/>
      <c r="U1793" s="31"/>
      <c r="V1793" s="31"/>
      <c r="W1793" s="31"/>
      <c r="X1793" s="31"/>
      <c r="Y1793" s="31"/>
      <c r="Z1793" s="31"/>
      <c r="AA1793" s="31"/>
      <c r="AB1793" s="31"/>
      <c r="AC1793" s="31"/>
      <c r="AD1793" s="31"/>
      <c r="AE1793" s="31"/>
      <c r="AF1793" s="31"/>
      <c r="AG1793" s="31"/>
      <c r="AH1793" s="31"/>
      <c r="AI1793" s="31"/>
      <c r="AJ1793" s="31"/>
      <c r="AK1793" s="31"/>
      <c r="AL1793" s="28" t="str">
        <f>VLOOKUP($G1793,'[42]Sheet1 (2)'!$A$1:$B$1048440,2,FALSE)</f>
        <v>No.</v>
      </c>
      <c r="AM1793" s="32"/>
      <c r="AN1793" s="31"/>
      <c r="AO1793" s="33"/>
    </row>
    <row r="1794" spans="1:41" ht="112" x14ac:dyDescent="0.25">
      <c r="A1794" s="20">
        <v>1648</v>
      </c>
      <c r="B1794" s="25" t="s">
        <v>2951</v>
      </c>
      <c r="C1794" s="22">
        <v>48.32</v>
      </c>
      <c r="D1794" s="24" t="s">
        <v>44</v>
      </c>
      <c r="E1794" s="24" t="s">
        <v>2959</v>
      </c>
      <c r="F1794" s="24" t="s">
        <v>44</v>
      </c>
      <c r="G1794" s="25" t="s">
        <v>45</v>
      </c>
      <c r="H1794" s="26">
        <v>6055</v>
      </c>
      <c r="I1794" s="26">
        <v>1564</v>
      </c>
      <c r="J1794" s="31"/>
      <c r="K1794" s="31"/>
      <c r="L1794" s="31"/>
      <c r="M1794" s="31"/>
      <c r="N1794" s="31"/>
      <c r="O1794" s="31"/>
      <c r="P1794" s="31"/>
      <c r="Q1794" s="31"/>
      <c r="R1794" s="31"/>
      <c r="S1794" s="31"/>
      <c r="T1794" s="31"/>
      <c r="U1794" s="31"/>
      <c r="V1794" s="31"/>
      <c r="W1794" s="31"/>
      <c r="X1794" s="31"/>
      <c r="Y1794" s="31"/>
      <c r="Z1794" s="31"/>
      <c r="AA1794" s="31"/>
      <c r="AB1794" s="31"/>
      <c r="AC1794" s="31"/>
      <c r="AD1794" s="31"/>
      <c r="AE1794" s="31"/>
      <c r="AF1794" s="31"/>
      <c r="AG1794" s="31"/>
      <c r="AH1794" s="31"/>
      <c r="AI1794" s="31"/>
      <c r="AJ1794" s="31"/>
      <c r="AK1794" s="31"/>
      <c r="AL1794" s="28" t="str">
        <f>VLOOKUP($G1794,'[42]Sheet1 (2)'!$A$1:$B$1048440,2,FALSE)</f>
        <v>No.</v>
      </c>
      <c r="AM1794" s="32"/>
      <c r="AN1794" s="31"/>
      <c r="AO1794" s="33"/>
    </row>
    <row r="1795" spans="1:41" ht="98" x14ac:dyDescent="0.25">
      <c r="A1795" s="20">
        <v>1649</v>
      </c>
      <c r="B1795" s="25" t="s">
        <v>2951</v>
      </c>
      <c r="C1795" s="22">
        <v>48.33</v>
      </c>
      <c r="D1795" s="24" t="s">
        <v>44</v>
      </c>
      <c r="E1795" s="24" t="s">
        <v>2960</v>
      </c>
      <c r="F1795" s="24" t="s">
        <v>44</v>
      </c>
      <c r="G1795" s="25" t="s">
        <v>45</v>
      </c>
      <c r="H1795" s="26">
        <v>14866</v>
      </c>
      <c r="I1795" s="26">
        <v>1095</v>
      </c>
      <c r="J1795" s="31"/>
      <c r="K1795" s="31"/>
      <c r="L1795" s="31"/>
      <c r="M1795" s="31"/>
      <c r="N1795" s="31"/>
      <c r="O1795" s="31"/>
      <c r="P1795" s="31"/>
      <c r="Q1795" s="31"/>
      <c r="R1795" s="31"/>
      <c r="S1795" s="31"/>
      <c r="T1795" s="31"/>
      <c r="U1795" s="31"/>
      <c r="V1795" s="31"/>
      <c r="W1795" s="31"/>
      <c r="X1795" s="31"/>
      <c r="Y1795" s="31"/>
      <c r="Z1795" s="31"/>
      <c r="AA1795" s="31"/>
      <c r="AB1795" s="31"/>
      <c r="AC1795" s="31"/>
      <c r="AD1795" s="31"/>
      <c r="AE1795" s="31"/>
      <c r="AF1795" s="31"/>
      <c r="AG1795" s="31"/>
      <c r="AH1795" s="31"/>
      <c r="AI1795" s="31"/>
      <c r="AJ1795" s="31"/>
      <c r="AK1795" s="31"/>
      <c r="AL1795" s="28" t="str">
        <f>VLOOKUP($G1795,'[42]Sheet1 (2)'!$A$1:$B$1048440,2,FALSE)</f>
        <v>No.</v>
      </c>
      <c r="AM1795" s="32"/>
      <c r="AN1795" s="31"/>
      <c r="AO1795" s="33"/>
    </row>
    <row r="1796" spans="1:41" ht="98" x14ac:dyDescent="0.25">
      <c r="A1796" s="20">
        <v>1650</v>
      </c>
      <c r="B1796" s="25" t="s">
        <v>2951</v>
      </c>
      <c r="C1796" s="22">
        <v>48.34</v>
      </c>
      <c r="D1796" s="25" t="s">
        <v>44</v>
      </c>
      <c r="E1796" s="24" t="s">
        <v>2961</v>
      </c>
      <c r="F1796" s="25" t="s">
        <v>44</v>
      </c>
      <c r="G1796" s="25" t="s">
        <v>45</v>
      </c>
      <c r="H1796" s="26">
        <v>5485</v>
      </c>
      <c r="I1796" s="26">
        <v>321</v>
      </c>
      <c r="J1796" s="31"/>
      <c r="K1796" s="31"/>
      <c r="L1796" s="31"/>
      <c r="M1796" s="31"/>
      <c r="N1796" s="31"/>
      <c r="O1796" s="31"/>
      <c r="P1796" s="31"/>
      <c r="Q1796" s="31"/>
      <c r="R1796" s="31"/>
      <c r="S1796" s="31"/>
      <c r="T1796" s="31"/>
      <c r="U1796" s="31"/>
      <c r="V1796" s="31"/>
      <c r="W1796" s="31"/>
      <c r="X1796" s="31"/>
      <c r="Y1796" s="31"/>
      <c r="Z1796" s="31"/>
      <c r="AA1796" s="31"/>
      <c r="AB1796" s="31"/>
      <c r="AC1796" s="31"/>
      <c r="AD1796" s="31"/>
      <c r="AE1796" s="31"/>
      <c r="AF1796" s="31"/>
      <c r="AG1796" s="31"/>
      <c r="AH1796" s="31"/>
      <c r="AI1796" s="31"/>
      <c r="AJ1796" s="31"/>
      <c r="AK1796" s="31"/>
      <c r="AL1796" s="28" t="str">
        <f>VLOOKUP($G1796,'[42]Sheet1 (2)'!$A$1:$B$1048440,2,FALSE)</f>
        <v>No.</v>
      </c>
      <c r="AM1796" s="32"/>
      <c r="AN1796" s="31"/>
      <c r="AO1796" s="33"/>
    </row>
    <row r="1797" spans="1:41" ht="112" x14ac:dyDescent="0.25">
      <c r="A1797" s="20">
        <v>1651</v>
      </c>
      <c r="B1797" s="25" t="s">
        <v>2951</v>
      </c>
      <c r="C1797" s="22">
        <v>48.35</v>
      </c>
      <c r="D1797" s="24" t="s">
        <v>44</v>
      </c>
      <c r="E1797" s="24" t="s">
        <v>2962</v>
      </c>
      <c r="F1797" s="24" t="s">
        <v>44</v>
      </c>
      <c r="G1797" s="25" t="s">
        <v>45</v>
      </c>
      <c r="H1797" s="26">
        <v>19889</v>
      </c>
      <c r="I1797" s="26">
        <v>1564</v>
      </c>
      <c r="J1797" s="31"/>
      <c r="K1797" s="31"/>
      <c r="L1797" s="31"/>
      <c r="M1797" s="31"/>
      <c r="N1797" s="31"/>
      <c r="O1797" s="31"/>
      <c r="P1797" s="31"/>
      <c r="Q1797" s="31"/>
      <c r="R1797" s="31"/>
      <c r="S1797" s="31"/>
      <c r="T1797" s="31"/>
      <c r="U1797" s="31"/>
      <c r="V1797" s="31"/>
      <c r="W1797" s="31"/>
      <c r="X1797" s="31"/>
      <c r="Y1797" s="31"/>
      <c r="Z1797" s="31"/>
      <c r="AA1797" s="31"/>
      <c r="AB1797" s="31"/>
      <c r="AC1797" s="31"/>
      <c r="AD1797" s="31"/>
      <c r="AE1797" s="31"/>
      <c r="AF1797" s="31"/>
      <c r="AG1797" s="31"/>
      <c r="AH1797" s="31"/>
      <c r="AI1797" s="31"/>
      <c r="AJ1797" s="31"/>
      <c r="AK1797" s="31"/>
      <c r="AL1797" s="28" t="str">
        <f>VLOOKUP($G1797,'[42]Sheet1 (2)'!$A$1:$B$1048440,2,FALSE)</f>
        <v>No.</v>
      </c>
      <c r="AM1797" s="32"/>
      <c r="AN1797" s="31"/>
      <c r="AO1797" s="33"/>
    </row>
    <row r="1798" spans="1:41" ht="84" x14ac:dyDescent="0.25">
      <c r="A1798" s="20">
        <v>1652</v>
      </c>
      <c r="B1798" s="25" t="s">
        <v>2951</v>
      </c>
      <c r="C1798" s="22">
        <v>48.36</v>
      </c>
      <c r="D1798" s="24" t="s">
        <v>44</v>
      </c>
      <c r="E1798" s="24" t="s">
        <v>2963</v>
      </c>
      <c r="F1798" s="24" t="s">
        <v>44</v>
      </c>
      <c r="G1798" s="25" t="s">
        <v>45</v>
      </c>
      <c r="H1798" s="26">
        <v>24356</v>
      </c>
      <c r="I1798" s="26">
        <v>1564</v>
      </c>
      <c r="J1798" s="31"/>
      <c r="K1798" s="31"/>
      <c r="L1798" s="31"/>
      <c r="M1798" s="31"/>
      <c r="N1798" s="31"/>
      <c r="O1798" s="31"/>
      <c r="P1798" s="31"/>
      <c r="Q1798" s="31"/>
      <c r="R1798" s="31"/>
      <c r="S1798" s="31"/>
      <c r="T1798" s="31"/>
      <c r="U1798" s="31"/>
      <c r="V1798" s="31"/>
      <c r="W1798" s="31"/>
      <c r="X1798" s="31"/>
      <c r="Y1798" s="31"/>
      <c r="Z1798" s="31"/>
      <c r="AA1798" s="31"/>
      <c r="AB1798" s="31"/>
      <c r="AC1798" s="31"/>
      <c r="AD1798" s="31"/>
      <c r="AE1798" s="31"/>
      <c r="AF1798" s="31"/>
      <c r="AG1798" s="31"/>
      <c r="AH1798" s="31"/>
      <c r="AI1798" s="31"/>
      <c r="AJ1798" s="31"/>
      <c r="AK1798" s="31"/>
      <c r="AL1798" s="28" t="str">
        <f>VLOOKUP($G1798,'[42]Sheet1 (2)'!$A$1:$B$1048440,2,FALSE)</f>
        <v>No.</v>
      </c>
      <c r="AM1798" s="32"/>
      <c r="AN1798" s="31"/>
      <c r="AO1798" s="33"/>
    </row>
    <row r="1799" spans="1:41" ht="84" x14ac:dyDescent="0.25">
      <c r="A1799" s="20">
        <v>1653</v>
      </c>
      <c r="B1799" s="25" t="s">
        <v>2951</v>
      </c>
      <c r="C1799" s="22">
        <v>48.37</v>
      </c>
      <c r="D1799" s="24" t="s">
        <v>44</v>
      </c>
      <c r="E1799" s="24" t="s">
        <v>2964</v>
      </c>
      <c r="F1799" s="24" t="s">
        <v>44</v>
      </c>
      <c r="G1799" s="25" t="s">
        <v>45</v>
      </c>
      <c r="H1799" s="26">
        <v>23429</v>
      </c>
      <c r="I1799" s="26">
        <v>624</v>
      </c>
      <c r="J1799" s="31"/>
      <c r="K1799" s="31"/>
      <c r="L1799" s="31"/>
      <c r="M1799" s="31"/>
      <c r="N1799" s="31"/>
      <c r="O1799" s="31"/>
      <c r="P1799" s="31"/>
      <c r="Q1799" s="31"/>
      <c r="R1799" s="31"/>
      <c r="S1799" s="31"/>
      <c r="T1799" s="31"/>
      <c r="U1799" s="31"/>
      <c r="V1799" s="31"/>
      <c r="W1799" s="31"/>
      <c r="X1799" s="31"/>
      <c r="Y1799" s="31"/>
      <c r="Z1799" s="31"/>
      <c r="AA1799" s="31"/>
      <c r="AB1799" s="31"/>
      <c r="AC1799" s="31"/>
      <c r="AD1799" s="31"/>
      <c r="AE1799" s="31"/>
      <c r="AF1799" s="31"/>
      <c r="AG1799" s="31"/>
      <c r="AH1799" s="31"/>
      <c r="AI1799" s="31"/>
      <c r="AJ1799" s="31"/>
      <c r="AK1799" s="31"/>
      <c r="AL1799" s="28" t="str">
        <f>VLOOKUP($G1799,'[42]Sheet1 (2)'!$A$1:$B$1048440,2,FALSE)</f>
        <v>No.</v>
      </c>
      <c r="AM1799" s="32"/>
      <c r="AN1799" s="31"/>
      <c r="AO1799" s="33"/>
    </row>
    <row r="1800" spans="1:41" ht="84" x14ac:dyDescent="0.25">
      <c r="A1800" s="20">
        <v>1654</v>
      </c>
      <c r="B1800" s="25" t="s">
        <v>2951</v>
      </c>
      <c r="C1800" s="22">
        <v>48.38</v>
      </c>
      <c r="D1800" s="24" t="s">
        <v>44</v>
      </c>
      <c r="E1800" s="23" t="s">
        <v>2965</v>
      </c>
      <c r="F1800" s="24" t="s">
        <v>44</v>
      </c>
      <c r="G1800" s="25" t="s">
        <v>45</v>
      </c>
      <c r="H1800" s="26">
        <v>7234</v>
      </c>
      <c r="I1800" s="26">
        <v>1564</v>
      </c>
      <c r="J1800" s="242">
        <f>0.25/20</f>
        <v>1.2500000000000001E-2</v>
      </c>
      <c r="K1800" s="242"/>
      <c r="L1800" s="242"/>
      <c r="M1800" s="242"/>
      <c r="N1800" s="242"/>
      <c r="O1800" s="242"/>
      <c r="P1800" s="242">
        <v>1.7999999999999999E-2</v>
      </c>
      <c r="Q1800" s="31"/>
      <c r="R1800" s="31"/>
      <c r="S1800" s="31"/>
      <c r="T1800" s="31"/>
      <c r="U1800" s="31"/>
      <c r="V1800" s="31"/>
      <c r="W1800" s="31"/>
      <c r="X1800" s="31"/>
      <c r="Y1800" s="31"/>
      <c r="Z1800" s="31"/>
      <c r="AA1800" s="31"/>
      <c r="AB1800" s="31"/>
      <c r="AC1800" s="31"/>
      <c r="AD1800" s="31"/>
      <c r="AE1800" s="31"/>
      <c r="AF1800" s="31"/>
      <c r="AG1800" s="31"/>
      <c r="AH1800" s="31"/>
      <c r="AI1800" s="31"/>
      <c r="AJ1800" s="31"/>
      <c r="AK1800" s="31"/>
      <c r="AL1800" s="28" t="str">
        <f>VLOOKUP($G1800,'[42]Sheet1 (2)'!$A$1:$B$1048440,2,FALSE)</f>
        <v>No.</v>
      </c>
      <c r="AM1800" s="32" t="s">
        <v>2966</v>
      </c>
      <c r="AN1800" s="31"/>
      <c r="AO1800" s="33"/>
    </row>
    <row r="1801" spans="1:41" ht="42" x14ac:dyDescent="0.25">
      <c r="A1801" s="20">
        <v>1655</v>
      </c>
      <c r="B1801" s="25" t="s">
        <v>2951</v>
      </c>
      <c r="C1801" s="22">
        <v>48.39</v>
      </c>
      <c r="D1801" s="24" t="s">
        <v>44</v>
      </c>
      <c r="E1801" s="24" t="s">
        <v>2967</v>
      </c>
      <c r="F1801" s="24" t="s">
        <v>44</v>
      </c>
      <c r="G1801" s="25" t="s">
        <v>45</v>
      </c>
      <c r="H1801" s="26">
        <v>2364</v>
      </c>
      <c r="I1801" s="26">
        <v>223</v>
      </c>
      <c r="J1801" s="31"/>
      <c r="K1801" s="31"/>
      <c r="L1801" s="31"/>
      <c r="M1801" s="31"/>
      <c r="N1801" s="31"/>
      <c r="O1801" s="31"/>
      <c r="P1801" s="31"/>
      <c r="Q1801" s="31"/>
      <c r="R1801" s="31"/>
      <c r="S1801" s="31"/>
      <c r="T1801" s="31"/>
      <c r="U1801" s="31"/>
      <c r="V1801" s="31"/>
      <c r="W1801" s="31"/>
      <c r="X1801" s="31"/>
      <c r="Y1801" s="31"/>
      <c r="Z1801" s="31"/>
      <c r="AA1801" s="31"/>
      <c r="AB1801" s="31"/>
      <c r="AC1801" s="31"/>
      <c r="AD1801" s="31"/>
      <c r="AE1801" s="31"/>
      <c r="AF1801" s="31"/>
      <c r="AG1801" s="31"/>
      <c r="AH1801" s="31"/>
      <c r="AI1801" s="31"/>
      <c r="AJ1801" s="31"/>
      <c r="AK1801" s="31"/>
      <c r="AL1801" s="28" t="str">
        <f>VLOOKUP($G1801,'[42]Sheet1 (2)'!$A$1:$B$1048440,2,FALSE)</f>
        <v>No.</v>
      </c>
      <c r="AM1801" s="32"/>
      <c r="AN1801" s="31"/>
      <c r="AO1801" s="33"/>
    </row>
    <row r="1802" spans="1:41" ht="84" x14ac:dyDescent="0.25">
      <c r="A1802" s="20">
        <v>1656</v>
      </c>
      <c r="B1802" s="25" t="s">
        <v>2951</v>
      </c>
      <c r="C1802" s="22">
        <v>48.4</v>
      </c>
      <c r="D1802" s="24" t="s">
        <v>44</v>
      </c>
      <c r="E1802" s="23" t="s">
        <v>2968</v>
      </c>
      <c r="F1802" s="24" t="s">
        <v>44</v>
      </c>
      <c r="G1802" s="25" t="s">
        <v>45</v>
      </c>
      <c r="H1802" s="26">
        <v>11081</v>
      </c>
      <c r="I1802" s="26">
        <v>1935</v>
      </c>
      <c r="J1802" s="31"/>
      <c r="K1802" s="31"/>
      <c r="L1802" s="31"/>
      <c r="M1802" s="31"/>
      <c r="N1802" s="31"/>
      <c r="O1802" s="31"/>
      <c r="P1802" s="31"/>
      <c r="Q1802" s="31"/>
      <c r="R1802" s="31"/>
      <c r="S1802" s="31"/>
      <c r="T1802" s="31"/>
      <c r="U1802" s="31"/>
      <c r="V1802" s="31"/>
      <c r="W1802" s="31"/>
      <c r="X1802" s="31"/>
      <c r="Y1802" s="31"/>
      <c r="Z1802" s="31"/>
      <c r="AA1802" s="31"/>
      <c r="AB1802" s="31"/>
      <c r="AC1802" s="31"/>
      <c r="AD1802" s="31"/>
      <c r="AE1802" s="31"/>
      <c r="AF1802" s="31"/>
      <c r="AG1802" s="31"/>
      <c r="AH1802" s="31"/>
      <c r="AI1802" s="31"/>
      <c r="AJ1802" s="31"/>
      <c r="AK1802" s="31"/>
      <c r="AL1802" s="28" t="str">
        <f>VLOOKUP($G1802,'[42]Sheet1 (2)'!$A$1:$B$1048440,2,FALSE)</f>
        <v>No.</v>
      </c>
      <c r="AM1802" s="32"/>
      <c r="AN1802" s="31"/>
      <c r="AO1802" s="33"/>
    </row>
    <row r="1803" spans="1:41" ht="98" x14ac:dyDescent="0.25">
      <c r="A1803" s="20">
        <v>1657</v>
      </c>
      <c r="B1803" s="25" t="s">
        <v>2951</v>
      </c>
      <c r="C1803" s="22">
        <v>48.41</v>
      </c>
      <c r="D1803" s="24" t="s">
        <v>44</v>
      </c>
      <c r="E1803" s="24" t="s">
        <v>2969</v>
      </c>
      <c r="F1803" s="24" t="s">
        <v>44</v>
      </c>
      <c r="G1803" s="25" t="s">
        <v>45</v>
      </c>
      <c r="H1803" s="26">
        <v>30447</v>
      </c>
      <c r="I1803" s="26">
        <v>1990</v>
      </c>
      <c r="J1803" s="31"/>
      <c r="K1803" s="31"/>
      <c r="L1803" s="31"/>
      <c r="M1803" s="31"/>
      <c r="N1803" s="31"/>
      <c r="O1803" s="31"/>
      <c r="P1803" s="31"/>
      <c r="Q1803" s="31"/>
      <c r="R1803" s="31"/>
      <c r="S1803" s="31"/>
      <c r="T1803" s="31"/>
      <c r="U1803" s="31"/>
      <c r="V1803" s="31"/>
      <c r="W1803" s="31"/>
      <c r="X1803" s="31"/>
      <c r="Y1803" s="31"/>
      <c r="Z1803" s="31"/>
      <c r="AA1803" s="31"/>
      <c r="AB1803" s="31"/>
      <c r="AC1803" s="31"/>
      <c r="AD1803" s="31"/>
      <c r="AE1803" s="31"/>
      <c r="AF1803" s="31"/>
      <c r="AG1803" s="31"/>
      <c r="AH1803" s="31"/>
      <c r="AI1803" s="31"/>
      <c r="AJ1803" s="31"/>
      <c r="AK1803" s="31"/>
      <c r="AL1803" s="28" t="str">
        <f>VLOOKUP($G1803,'[42]Sheet1 (2)'!$A$1:$B$1048440,2,FALSE)</f>
        <v>No.</v>
      </c>
      <c r="AM1803" s="32"/>
      <c r="AN1803" s="31"/>
      <c r="AO1803" s="33"/>
    </row>
    <row r="1804" spans="1:41" ht="98" x14ac:dyDescent="0.25">
      <c r="A1804" s="20">
        <v>1658</v>
      </c>
      <c r="B1804" s="25" t="s">
        <v>2951</v>
      </c>
      <c r="C1804" s="22">
        <v>48.42</v>
      </c>
      <c r="D1804" s="24" t="s">
        <v>44</v>
      </c>
      <c r="E1804" s="23" t="s">
        <v>2970</v>
      </c>
      <c r="F1804" s="24" t="s">
        <v>44</v>
      </c>
      <c r="G1804" s="25" t="s">
        <v>45</v>
      </c>
      <c r="H1804" s="26">
        <v>3358</v>
      </c>
      <c r="I1804" s="26">
        <v>1651</v>
      </c>
      <c r="J1804" s="31"/>
      <c r="K1804" s="31"/>
      <c r="L1804" s="31"/>
      <c r="M1804" s="31"/>
      <c r="N1804" s="31"/>
      <c r="O1804" s="31"/>
      <c r="P1804" s="31"/>
      <c r="Q1804" s="31"/>
      <c r="R1804" s="31"/>
      <c r="S1804" s="31"/>
      <c r="T1804" s="31"/>
      <c r="U1804" s="31"/>
      <c r="V1804" s="31"/>
      <c r="W1804" s="31"/>
      <c r="X1804" s="31"/>
      <c r="Y1804" s="31"/>
      <c r="Z1804" s="31"/>
      <c r="AA1804" s="31"/>
      <c r="AB1804" s="31"/>
      <c r="AC1804" s="31"/>
      <c r="AD1804" s="31"/>
      <c r="AE1804" s="31"/>
      <c r="AF1804" s="31"/>
      <c r="AG1804" s="31"/>
      <c r="AH1804" s="31"/>
      <c r="AI1804" s="31"/>
      <c r="AJ1804" s="31"/>
      <c r="AK1804" s="31"/>
      <c r="AL1804" s="28" t="str">
        <f>VLOOKUP($G1804,'[42]Sheet1 (2)'!$A$1:$B$1048440,2,FALSE)</f>
        <v>No.</v>
      </c>
      <c r="AM1804" s="32"/>
      <c r="AN1804" s="31"/>
      <c r="AO1804" s="33"/>
    </row>
    <row r="1805" spans="1:41" ht="98" x14ac:dyDescent="0.25">
      <c r="A1805" s="20">
        <v>1659</v>
      </c>
      <c r="B1805" s="25" t="s">
        <v>2951</v>
      </c>
      <c r="C1805" s="22">
        <v>48.43</v>
      </c>
      <c r="D1805" s="24" t="s">
        <v>44</v>
      </c>
      <c r="E1805" s="23" t="s">
        <v>2971</v>
      </c>
      <c r="F1805" s="24" t="s">
        <v>44</v>
      </c>
      <c r="G1805" s="25" t="s">
        <v>45</v>
      </c>
      <c r="H1805" s="26">
        <v>18575</v>
      </c>
      <c r="I1805" s="26">
        <v>1564</v>
      </c>
      <c r="J1805" s="31"/>
      <c r="K1805" s="31"/>
      <c r="L1805" s="31"/>
      <c r="M1805" s="31"/>
      <c r="N1805" s="31"/>
      <c r="O1805" s="31"/>
      <c r="P1805" s="31"/>
      <c r="Q1805" s="31"/>
      <c r="R1805" s="31"/>
      <c r="S1805" s="31"/>
      <c r="T1805" s="31"/>
      <c r="U1805" s="31"/>
      <c r="V1805" s="31"/>
      <c r="W1805" s="31"/>
      <c r="X1805" s="31"/>
      <c r="Y1805" s="31"/>
      <c r="Z1805" s="31"/>
      <c r="AA1805" s="31"/>
      <c r="AB1805" s="31"/>
      <c r="AC1805" s="31"/>
      <c r="AD1805" s="31"/>
      <c r="AE1805" s="31"/>
      <c r="AF1805" s="31"/>
      <c r="AG1805" s="31"/>
      <c r="AH1805" s="31"/>
      <c r="AI1805" s="31"/>
      <c r="AJ1805" s="31"/>
      <c r="AK1805" s="31"/>
      <c r="AL1805" s="28" t="str">
        <f>VLOOKUP($G1805,'[42]Sheet1 (2)'!$A$1:$B$1048440,2,FALSE)</f>
        <v>No.</v>
      </c>
      <c r="AM1805" s="32"/>
      <c r="AN1805" s="31"/>
      <c r="AO1805" s="33"/>
    </row>
    <row r="1806" spans="1:41" ht="56" x14ac:dyDescent="0.25">
      <c r="A1806" s="20">
        <v>1660</v>
      </c>
      <c r="B1806" s="25" t="s">
        <v>2951</v>
      </c>
      <c r="C1806" s="22">
        <v>48.44</v>
      </c>
      <c r="D1806" s="35" t="s">
        <v>64</v>
      </c>
      <c r="E1806" s="24" t="s">
        <v>2972</v>
      </c>
      <c r="F1806" s="35" t="s">
        <v>64</v>
      </c>
      <c r="G1806" s="25" t="s">
        <v>45</v>
      </c>
      <c r="H1806" s="26">
        <v>18037</v>
      </c>
      <c r="I1806" s="26">
        <v>659</v>
      </c>
      <c r="J1806" s="31"/>
      <c r="K1806" s="31"/>
      <c r="L1806" s="31"/>
      <c r="M1806" s="31"/>
      <c r="N1806" s="31"/>
      <c r="O1806" s="31"/>
      <c r="P1806" s="31"/>
      <c r="Q1806" s="31"/>
      <c r="R1806" s="31"/>
      <c r="S1806" s="31"/>
      <c r="T1806" s="31"/>
      <c r="U1806" s="31"/>
      <c r="V1806" s="31"/>
      <c r="W1806" s="31"/>
      <c r="X1806" s="31"/>
      <c r="Y1806" s="31"/>
      <c r="Z1806" s="31"/>
      <c r="AA1806" s="31"/>
      <c r="AB1806" s="31"/>
      <c r="AC1806" s="31"/>
      <c r="AD1806" s="31"/>
      <c r="AE1806" s="31"/>
      <c r="AF1806" s="31"/>
      <c r="AG1806" s="31"/>
      <c r="AH1806" s="31"/>
      <c r="AI1806" s="31"/>
      <c r="AJ1806" s="31"/>
      <c r="AK1806" s="31"/>
      <c r="AL1806" s="28" t="str">
        <f>VLOOKUP($G1806,'[42]Sheet1 (2)'!$A$1:$B$1048440,2,FALSE)</f>
        <v>No.</v>
      </c>
      <c r="AM1806" s="32"/>
      <c r="AN1806" s="31"/>
      <c r="AO1806" s="33"/>
    </row>
    <row r="1807" spans="1:41" ht="84" x14ac:dyDescent="0.25">
      <c r="A1807" s="20">
        <v>1661</v>
      </c>
      <c r="B1807" s="25" t="s">
        <v>2951</v>
      </c>
      <c r="C1807" s="22">
        <v>48.45</v>
      </c>
      <c r="D1807" s="24" t="s">
        <v>44</v>
      </c>
      <c r="E1807" s="23" t="s">
        <v>2973</v>
      </c>
      <c r="F1807" s="24" t="s">
        <v>44</v>
      </c>
      <c r="G1807" s="25" t="s">
        <v>45</v>
      </c>
      <c r="H1807" s="26">
        <v>18013</v>
      </c>
      <c r="I1807" s="26">
        <v>625</v>
      </c>
      <c r="J1807" s="31"/>
      <c r="K1807" s="31"/>
      <c r="L1807" s="31"/>
      <c r="M1807" s="31"/>
      <c r="N1807" s="31"/>
      <c r="O1807" s="31"/>
      <c r="P1807" s="31"/>
      <c r="Q1807" s="31"/>
      <c r="R1807" s="31"/>
      <c r="S1807" s="31"/>
      <c r="T1807" s="31"/>
      <c r="U1807" s="31"/>
      <c r="V1807" s="31"/>
      <c r="W1807" s="31"/>
      <c r="X1807" s="31"/>
      <c r="Y1807" s="31"/>
      <c r="Z1807" s="31"/>
      <c r="AA1807" s="31"/>
      <c r="AB1807" s="31"/>
      <c r="AC1807" s="31"/>
      <c r="AD1807" s="31"/>
      <c r="AE1807" s="31"/>
      <c r="AF1807" s="31"/>
      <c r="AG1807" s="31"/>
      <c r="AH1807" s="31"/>
      <c r="AI1807" s="31"/>
      <c r="AJ1807" s="31"/>
      <c r="AK1807" s="31"/>
      <c r="AL1807" s="28" t="str">
        <f>VLOOKUP($G1807,'[42]Sheet1 (2)'!$A$1:$B$1048440,2,FALSE)</f>
        <v>No.</v>
      </c>
      <c r="AM1807" s="32"/>
      <c r="AN1807" s="31"/>
      <c r="AO1807" s="33"/>
    </row>
    <row r="1808" spans="1:41" ht="266" x14ac:dyDescent="0.25">
      <c r="A1808" s="20">
        <v>1662</v>
      </c>
      <c r="B1808" s="21" t="s">
        <v>2974</v>
      </c>
      <c r="C1808" s="22">
        <v>48.46</v>
      </c>
      <c r="D1808" s="24" t="s">
        <v>44</v>
      </c>
      <c r="E1808" s="24" t="s">
        <v>2975</v>
      </c>
      <c r="F1808" s="24" t="s">
        <v>44</v>
      </c>
      <c r="G1808" s="25" t="s">
        <v>45</v>
      </c>
      <c r="H1808" s="26">
        <v>51500</v>
      </c>
      <c r="I1808" s="26">
        <v>14047</v>
      </c>
      <c r="J1808" s="31"/>
      <c r="K1808" s="31"/>
      <c r="L1808" s="31"/>
      <c r="M1808" s="31"/>
      <c r="N1808" s="31"/>
      <c r="O1808" s="31"/>
      <c r="P1808" s="31"/>
      <c r="Q1808" s="31"/>
      <c r="R1808" s="31"/>
      <c r="S1808" s="31"/>
      <c r="T1808" s="31"/>
      <c r="U1808" s="31"/>
      <c r="V1808" s="31"/>
      <c r="W1808" s="31"/>
      <c r="X1808" s="31"/>
      <c r="Y1808" s="31"/>
      <c r="Z1808" s="31"/>
      <c r="AA1808" s="31"/>
      <c r="AB1808" s="31"/>
      <c r="AC1808" s="31"/>
      <c r="AD1808" s="31"/>
      <c r="AE1808" s="31"/>
      <c r="AF1808" s="31"/>
      <c r="AG1808" s="31"/>
      <c r="AH1808" s="31"/>
      <c r="AI1808" s="31"/>
      <c r="AJ1808" s="31"/>
      <c r="AK1808" s="31"/>
      <c r="AL1808" s="28" t="str">
        <f>VLOOKUP($G1808,'[42]Sheet1 (2)'!$A$1:$B$1048440,2,FALSE)</f>
        <v>No.</v>
      </c>
      <c r="AM1808" s="32"/>
      <c r="AN1808" s="31"/>
      <c r="AO1808" s="33"/>
    </row>
    <row r="1809" spans="1:41" ht="322" x14ac:dyDescent="0.25">
      <c r="A1809" s="20">
        <v>1663</v>
      </c>
      <c r="B1809" s="21" t="s">
        <v>2974</v>
      </c>
      <c r="C1809" s="22">
        <v>48.47</v>
      </c>
      <c r="D1809" s="24" t="s">
        <v>44</v>
      </c>
      <c r="E1809" s="35" t="s">
        <v>2976</v>
      </c>
      <c r="F1809" s="24" t="s">
        <v>44</v>
      </c>
      <c r="G1809" s="25" t="s">
        <v>45</v>
      </c>
      <c r="H1809" s="26">
        <v>91300</v>
      </c>
      <c r="I1809" s="26">
        <v>18098</v>
      </c>
      <c r="J1809" s="31"/>
      <c r="K1809" s="31"/>
      <c r="L1809" s="31"/>
      <c r="M1809" s="31"/>
      <c r="N1809" s="31"/>
      <c r="O1809" s="31"/>
      <c r="P1809" s="31"/>
      <c r="Q1809" s="31"/>
      <c r="R1809" s="31"/>
      <c r="S1809" s="31"/>
      <c r="T1809" s="31"/>
      <c r="U1809" s="31"/>
      <c r="V1809" s="31"/>
      <c r="W1809" s="31"/>
      <c r="X1809" s="31"/>
      <c r="Y1809" s="31"/>
      <c r="Z1809" s="31"/>
      <c r="AA1809" s="31"/>
      <c r="AB1809" s="31"/>
      <c r="AC1809" s="31"/>
      <c r="AD1809" s="31"/>
      <c r="AE1809" s="31"/>
      <c r="AF1809" s="31"/>
      <c r="AG1809" s="31"/>
      <c r="AH1809" s="31"/>
      <c r="AI1809" s="31"/>
      <c r="AJ1809" s="31"/>
      <c r="AK1809" s="31"/>
      <c r="AL1809" s="28" t="str">
        <f>VLOOKUP($G1809,'[42]Sheet1 (2)'!$A$1:$B$1048440,2,FALSE)</f>
        <v>No.</v>
      </c>
      <c r="AM1809" s="32"/>
      <c r="AN1809" s="31"/>
      <c r="AO1809" s="33"/>
    </row>
    <row r="1810" spans="1:41" ht="98" x14ac:dyDescent="0.25">
      <c r="A1810" s="20">
        <v>1664</v>
      </c>
      <c r="B1810" s="21" t="s">
        <v>2974</v>
      </c>
      <c r="C1810" s="22">
        <v>48.48</v>
      </c>
      <c r="D1810" s="24" t="s">
        <v>44</v>
      </c>
      <c r="E1810" s="24" t="s">
        <v>2977</v>
      </c>
      <c r="F1810" s="24" t="s">
        <v>44</v>
      </c>
      <c r="G1810" s="21" t="s">
        <v>80</v>
      </c>
      <c r="H1810" s="26">
        <v>416</v>
      </c>
      <c r="I1810" s="26">
        <v>91</v>
      </c>
      <c r="J1810" s="31"/>
      <c r="K1810" s="31"/>
      <c r="L1810" s="31"/>
      <c r="M1810" s="31"/>
      <c r="N1810" s="31"/>
      <c r="O1810" s="31"/>
      <c r="P1810" s="31"/>
      <c r="Q1810" s="31"/>
      <c r="R1810" s="31"/>
      <c r="S1810" s="31"/>
      <c r="T1810" s="31"/>
      <c r="U1810" s="31"/>
      <c r="V1810" s="31"/>
      <c r="W1810" s="31"/>
      <c r="X1810" s="31"/>
      <c r="Y1810" s="31"/>
      <c r="Z1810" s="31"/>
      <c r="AA1810" s="31"/>
      <c r="AB1810" s="31"/>
      <c r="AC1810" s="31"/>
      <c r="AD1810" s="31"/>
      <c r="AE1810" s="31"/>
      <c r="AF1810" s="31"/>
      <c r="AG1810" s="31"/>
      <c r="AH1810" s="31"/>
      <c r="AI1810" s="31"/>
      <c r="AJ1810" s="31"/>
      <c r="AK1810" s="31"/>
      <c r="AL1810" s="28" t="str">
        <f>VLOOKUP($G1810,'[42]Sheet1 (2)'!$A$1:$B$1048440,2,FALSE)</f>
        <v>Rmt.</v>
      </c>
      <c r="AM1810" s="32"/>
      <c r="AN1810" s="31"/>
      <c r="AO1810" s="33"/>
    </row>
    <row r="1811" spans="1:41" ht="84" x14ac:dyDescent="0.25">
      <c r="A1811" s="20">
        <v>1665</v>
      </c>
      <c r="B1811" s="21" t="s">
        <v>2974</v>
      </c>
      <c r="C1811" s="22">
        <v>48.49</v>
      </c>
      <c r="D1811" s="24" t="s">
        <v>44</v>
      </c>
      <c r="E1811" s="24" t="s">
        <v>2978</v>
      </c>
      <c r="F1811" s="24" t="s">
        <v>44</v>
      </c>
      <c r="G1811" s="21" t="s">
        <v>80</v>
      </c>
      <c r="H1811" s="26">
        <v>494</v>
      </c>
      <c r="I1811" s="26">
        <v>18</v>
      </c>
      <c r="J1811" s="31"/>
      <c r="K1811" s="31"/>
      <c r="L1811" s="31"/>
      <c r="M1811" s="31"/>
      <c r="N1811" s="31"/>
      <c r="O1811" s="31"/>
      <c r="P1811" s="31"/>
      <c r="Q1811" s="31"/>
      <c r="R1811" s="31"/>
      <c r="S1811" s="31"/>
      <c r="T1811" s="31"/>
      <c r="U1811" s="31"/>
      <c r="V1811" s="31"/>
      <c r="W1811" s="31"/>
      <c r="X1811" s="31"/>
      <c r="Y1811" s="31"/>
      <c r="Z1811" s="31"/>
      <c r="AA1811" s="31"/>
      <c r="AB1811" s="31"/>
      <c r="AC1811" s="31"/>
      <c r="AD1811" s="31"/>
      <c r="AE1811" s="31"/>
      <c r="AF1811" s="31"/>
      <c r="AG1811" s="31"/>
      <c r="AH1811" s="31"/>
      <c r="AI1811" s="31"/>
      <c r="AJ1811" s="31"/>
      <c r="AK1811" s="31"/>
      <c r="AL1811" s="28" t="str">
        <f>VLOOKUP($G1811,'[42]Sheet1 (2)'!$A$1:$B$1048440,2,FALSE)</f>
        <v>Rmt.</v>
      </c>
      <c r="AM1811" s="32"/>
      <c r="AN1811" s="31"/>
      <c r="AO1811" s="33"/>
    </row>
    <row r="1812" spans="1:41" ht="84" x14ac:dyDescent="0.25">
      <c r="A1812" s="20">
        <v>1666</v>
      </c>
      <c r="B1812" s="21" t="s">
        <v>2974</v>
      </c>
      <c r="C1812" s="22">
        <v>48.5</v>
      </c>
      <c r="D1812" s="24" t="s">
        <v>44</v>
      </c>
      <c r="E1812" s="24" t="s">
        <v>2979</v>
      </c>
      <c r="F1812" s="24" t="s">
        <v>44</v>
      </c>
      <c r="G1812" s="25" t="s">
        <v>45</v>
      </c>
      <c r="H1812" s="26">
        <v>339</v>
      </c>
      <c r="I1812" s="26">
        <v>7</v>
      </c>
      <c r="J1812" s="31"/>
      <c r="K1812" s="31"/>
      <c r="L1812" s="31"/>
      <c r="M1812" s="31"/>
      <c r="N1812" s="31"/>
      <c r="O1812" s="31"/>
      <c r="P1812" s="31"/>
      <c r="Q1812" s="31"/>
      <c r="R1812" s="31"/>
      <c r="S1812" s="31"/>
      <c r="T1812" s="31"/>
      <c r="U1812" s="31"/>
      <c r="V1812" s="31"/>
      <c r="W1812" s="31"/>
      <c r="X1812" s="31"/>
      <c r="Y1812" s="31"/>
      <c r="Z1812" s="31"/>
      <c r="AA1812" s="31"/>
      <c r="AB1812" s="31"/>
      <c r="AC1812" s="31"/>
      <c r="AD1812" s="31"/>
      <c r="AE1812" s="31"/>
      <c r="AF1812" s="31"/>
      <c r="AG1812" s="31"/>
      <c r="AH1812" s="31"/>
      <c r="AI1812" s="31"/>
      <c r="AJ1812" s="31"/>
      <c r="AK1812" s="31"/>
      <c r="AL1812" s="28" t="str">
        <f>VLOOKUP($G1812,'[42]Sheet1 (2)'!$A$1:$B$1048440,2,FALSE)</f>
        <v>No.</v>
      </c>
      <c r="AM1812" s="32"/>
      <c r="AN1812" s="31"/>
      <c r="AO1812" s="33"/>
    </row>
    <row r="1813" spans="1:41" ht="56" x14ac:dyDescent="0.25">
      <c r="A1813" s="20">
        <v>1667</v>
      </c>
      <c r="B1813" s="21" t="s">
        <v>2974</v>
      </c>
      <c r="C1813" s="22">
        <v>48.51</v>
      </c>
      <c r="D1813" s="35" t="s">
        <v>1742</v>
      </c>
      <c r="E1813" s="23" t="s">
        <v>2980</v>
      </c>
      <c r="F1813" s="35" t="s">
        <v>1742</v>
      </c>
      <c r="G1813" s="25" t="s">
        <v>47</v>
      </c>
      <c r="H1813" s="26">
        <v>1309</v>
      </c>
      <c r="I1813" s="26">
        <v>186</v>
      </c>
      <c r="J1813" s="31"/>
      <c r="K1813" s="31"/>
      <c r="L1813" s="31"/>
      <c r="M1813" s="31"/>
      <c r="N1813" s="31"/>
      <c r="O1813" s="31"/>
      <c r="P1813" s="31"/>
      <c r="Q1813" s="31"/>
      <c r="R1813" s="31"/>
      <c r="S1813" s="31"/>
      <c r="T1813" s="31"/>
      <c r="U1813" s="31"/>
      <c r="V1813" s="31"/>
      <c r="W1813" s="31"/>
      <c r="X1813" s="31"/>
      <c r="Y1813" s="31"/>
      <c r="Z1813" s="31"/>
      <c r="AA1813" s="31"/>
      <c r="AB1813" s="31"/>
      <c r="AC1813" s="31"/>
      <c r="AD1813" s="31"/>
      <c r="AE1813" s="31"/>
      <c r="AF1813" s="31"/>
      <c r="AG1813" s="31"/>
      <c r="AH1813" s="31"/>
      <c r="AI1813" s="31"/>
      <c r="AJ1813" s="31"/>
      <c r="AK1813" s="31"/>
      <c r="AL1813" s="28" t="str">
        <f>VLOOKUP($G1813,'[42]Sheet1 (2)'!$A$1:$B$1048440,2,FALSE)</f>
        <v>Cum</v>
      </c>
      <c r="AM1813" s="32"/>
      <c r="AN1813" s="31"/>
      <c r="AO1813" s="33"/>
    </row>
    <row r="1814" spans="1:41" ht="56" x14ac:dyDescent="0.25">
      <c r="A1814" s="20">
        <v>1668</v>
      </c>
      <c r="B1814" s="21" t="s">
        <v>2974</v>
      </c>
      <c r="C1814" s="22">
        <v>48.52</v>
      </c>
      <c r="D1814" s="24" t="s">
        <v>44</v>
      </c>
      <c r="E1814" s="23" t="s">
        <v>2981</v>
      </c>
      <c r="F1814" s="24" t="s">
        <v>44</v>
      </c>
      <c r="G1814" s="25" t="s">
        <v>47</v>
      </c>
      <c r="H1814" s="26">
        <v>1457</v>
      </c>
      <c r="I1814" s="26">
        <v>186</v>
      </c>
      <c r="J1814" s="31"/>
      <c r="K1814" s="31"/>
      <c r="L1814" s="31"/>
      <c r="M1814" s="31"/>
      <c r="N1814" s="31"/>
      <c r="O1814" s="31"/>
      <c r="P1814" s="31"/>
      <c r="Q1814" s="31"/>
      <c r="R1814" s="31"/>
      <c r="S1814" s="31"/>
      <c r="T1814" s="31"/>
      <c r="U1814" s="31"/>
      <c r="V1814" s="31"/>
      <c r="W1814" s="31"/>
      <c r="X1814" s="31"/>
      <c r="Y1814" s="31"/>
      <c r="Z1814" s="31"/>
      <c r="AA1814" s="31"/>
      <c r="AB1814" s="31"/>
      <c r="AC1814" s="31"/>
      <c r="AD1814" s="31"/>
      <c r="AE1814" s="31"/>
      <c r="AF1814" s="31"/>
      <c r="AG1814" s="31"/>
      <c r="AH1814" s="31"/>
      <c r="AI1814" s="31"/>
      <c r="AJ1814" s="31"/>
      <c r="AK1814" s="31"/>
      <c r="AL1814" s="28" t="str">
        <f>VLOOKUP($G1814,'[42]Sheet1 (2)'!$A$1:$B$1048440,2,FALSE)</f>
        <v>Cum</v>
      </c>
      <c r="AM1814" s="32"/>
      <c r="AN1814" s="31"/>
      <c r="AO1814" s="33"/>
    </row>
    <row r="1815" spans="1:41" ht="70" x14ac:dyDescent="0.25">
      <c r="A1815" s="20">
        <v>1669</v>
      </c>
      <c r="B1815" s="21" t="s">
        <v>2974</v>
      </c>
      <c r="C1815" s="22">
        <v>48.53</v>
      </c>
      <c r="D1815" s="24" t="s">
        <v>44</v>
      </c>
      <c r="E1815" s="24" t="s">
        <v>2982</v>
      </c>
      <c r="F1815" s="24" t="s">
        <v>44</v>
      </c>
      <c r="G1815" s="25" t="s">
        <v>47</v>
      </c>
      <c r="H1815" s="26">
        <v>1457</v>
      </c>
      <c r="I1815" s="26">
        <v>186</v>
      </c>
      <c r="J1815" s="31"/>
      <c r="K1815" s="31"/>
      <c r="L1815" s="31"/>
      <c r="M1815" s="31"/>
      <c r="N1815" s="31"/>
      <c r="O1815" s="31"/>
      <c r="P1815" s="31"/>
      <c r="Q1815" s="31"/>
      <c r="R1815" s="31"/>
      <c r="S1815" s="31"/>
      <c r="T1815" s="31"/>
      <c r="U1815" s="31"/>
      <c r="V1815" s="31"/>
      <c r="W1815" s="31"/>
      <c r="X1815" s="31"/>
      <c r="Y1815" s="31"/>
      <c r="Z1815" s="31"/>
      <c r="AA1815" s="31"/>
      <c r="AB1815" s="31"/>
      <c r="AC1815" s="31"/>
      <c r="AD1815" s="31"/>
      <c r="AE1815" s="31"/>
      <c r="AF1815" s="31"/>
      <c r="AG1815" s="31"/>
      <c r="AH1815" s="31"/>
      <c r="AI1815" s="31"/>
      <c r="AJ1815" s="31"/>
      <c r="AK1815" s="31"/>
      <c r="AL1815" s="28" t="str">
        <f>VLOOKUP($G1815,'[42]Sheet1 (2)'!$A$1:$B$1048440,2,FALSE)</f>
        <v>Cum</v>
      </c>
      <c r="AM1815" s="32"/>
      <c r="AN1815" s="31"/>
      <c r="AO1815" s="33"/>
    </row>
    <row r="1816" spans="1:41" ht="56" x14ac:dyDescent="0.25">
      <c r="A1816" s="20">
        <v>1670</v>
      </c>
      <c r="B1816" s="21" t="s">
        <v>2974</v>
      </c>
      <c r="C1816" s="22">
        <v>48.54</v>
      </c>
      <c r="D1816" s="24" t="s">
        <v>44</v>
      </c>
      <c r="E1816" s="24" t="s">
        <v>2983</v>
      </c>
      <c r="F1816" s="24" t="s">
        <v>44</v>
      </c>
      <c r="G1816" s="25" t="s">
        <v>47</v>
      </c>
      <c r="H1816" s="26">
        <v>1494</v>
      </c>
      <c r="I1816" s="26">
        <v>223</v>
      </c>
      <c r="J1816" s="31"/>
      <c r="K1816" s="31"/>
      <c r="L1816" s="31"/>
      <c r="M1816" s="31"/>
      <c r="N1816" s="31"/>
      <c r="O1816" s="31"/>
      <c r="P1816" s="31"/>
      <c r="Q1816" s="31"/>
      <c r="R1816" s="31"/>
      <c r="S1816" s="31"/>
      <c r="T1816" s="31"/>
      <c r="U1816" s="31"/>
      <c r="V1816" s="31"/>
      <c r="W1816" s="31"/>
      <c r="X1816" s="31"/>
      <c r="Y1816" s="31"/>
      <c r="Z1816" s="31"/>
      <c r="AA1816" s="31"/>
      <c r="AB1816" s="31"/>
      <c r="AC1816" s="31"/>
      <c r="AD1816" s="31"/>
      <c r="AE1816" s="31"/>
      <c r="AF1816" s="31"/>
      <c r="AG1816" s="31"/>
      <c r="AH1816" s="31"/>
      <c r="AI1816" s="31"/>
      <c r="AJ1816" s="31"/>
      <c r="AK1816" s="31"/>
      <c r="AL1816" s="28" t="str">
        <f>VLOOKUP($G1816,'[42]Sheet1 (2)'!$A$1:$B$1048440,2,FALSE)</f>
        <v>Cum</v>
      </c>
      <c r="AM1816" s="32"/>
      <c r="AN1816" s="31"/>
      <c r="AO1816" s="33"/>
    </row>
    <row r="1817" spans="1:41" ht="56" x14ac:dyDescent="0.25">
      <c r="A1817" s="20">
        <v>1671</v>
      </c>
      <c r="B1817" s="39" t="s">
        <v>2984</v>
      </c>
      <c r="C1817" s="22">
        <v>48.55</v>
      </c>
      <c r="D1817" s="24" t="s">
        <v>44</v>
      </c>
      <c r="E1817" s="23" t="s">
        <v>2985</v>
      </c>
      <c r="F1817" s="24" t="s">
        <v>44</v>
      </c>
      <c r="G1817" s="21" t="s">
        <v>217</v>
      </c>
      <c r="H1817" s="26">
        <v>7091</v>
      </c>
      <c r="I1817" s="26">
        <v>895</v>
      </c>
      <c r="J1817" s="31"/>
      <c r="K1817" s="31"/>
      <c r="L1817" s="31"/>
      <c r="M1817" s="31"/>
      <c r="N1817" s="31"/>
      <c r="O1817" s="31"/>
      <c r="P1817" s="31"/>
      <c r="Q1817" s="31"/>
      <c r="R1817" s="31"/>
      <c r="S1817" s="31"/>
      <c r="T1817" s="31"/>
      <c r="U1817" s="31"/>
      <c r="V1817" s="31"/>
      <c r="W1817" s="31"/>
      <c r="X1817" s="31"/>
      <c r="Y1817" s="31"/>
      <c r="Z1817" s="31"/>
      <c r="AA1817" s="31"/>
      <c r="AB1817" s="31"/>
      <c r="AC1817" s="31"/>
      <c r="AD1817" s="31"/>
      <c r="AE1817" s="31"/>
      <c r="AF1817" s="31"/>
      <c r="AG1817" s="31"/>
      <c r="AH1817" s="31"/>
      <c r="AI1817" s="31"/>
      <c r="AJ1817" s="31"/>
      <c r="AK1817" s="31"/>
      <c r="AL1817" s="28" t="str">
        <f>VLOOKUP($G1817,'[42]Sheet1 (2)'!$A$1:$B$1048440,2,FALSE)</f>
        <v>Sqm</v>
      </c>
      <c r="AM1817" s="32"/>
      <c r="AN1817" s="31"/>
      <c r="AO1817" s="33"/>
    </row>
    <row r="1818" spans="1:41" ht="56" x14ac:dyDescent="0.25">
      <c r="A1818" s="20">
        <v>1672</v>
      </c>
      <c r="B1818" s="39" t="s">
        <v>2984</v>
      </c>
      <c r="C1818" s="22">
        <v>48.56</v>
      </c>
      <c r="D1818" s="35" t="s">
        <v>1742</v>
      </c>
      <c r="E1818" s="24" t="s">
        <v>2986</v>
      </c>
      <c r="F1818" s="35" t="s">
        <v>1742</v>
      </c>
      <c r="G1818" s="21" t="s">
        <v>80</v>
      </c>
      <c r="H1818" s="26">
        <v>220</v>
      </c>
      <c r="I1818" s="26">
        <v>41</v>
      </c>
      <c r="J1818" s="31"/>
      <c r="K1818" s="31"/>
      <c r="L1818" s="31"/>
      <c r="M1818" s="31"/>
      <c r="N1818" s="31"/>
      <c r="O1818" s="31"/>
      <c r="P1818" s="31"/>
      <c r="Q1818" s="31"/>
      <c r="R1818" s="31"/>
      <c r="S1818" s="31"/>
      <c r="T1818" s="31"/>
      <c r="U1818" s="31"/>
      <c r="V1818" s="31"/>
      <c r="W1818" s="31"/>
      <c r="X1818" s="31"/>
      <c r="Y1818" s="31"/>
      <c r="Z1818" s="31"/>
      <c r="AA1818" s="31"/>
      <c r="AB1818" s="31"/>
      <c r="AC1818" s="31"/>
      <c r="AD1818" s="31"/>
      <c r="AE1818" s="31"/>
      <c r="AF1818" s="31"/>
      <c r="AG1818" s="31"/>
      <c r="AH1818" s="31"/>
      <c r="AI1818" s="31"/>
      <c r="AJ1818" s="31"/>
      <c r="AK1818" s="31"/>
      <c r="AL1818" s="28" t="str">
        <f>VLOOKUP($G1818,'[42]Sheet1 (2)'!$A$1:$B$1048440,2,FALSE)</f>
        <v>Rmt.</v>
      </c>
      <c r="AM1818" s="32"/>
      <c r="AN1818" s="31"/>
      <c r="AO1818" s="33"/>
    </row>
    <row r="1819" spans="1:41" ht="42" x14ac:dyDescent="0.25">
      <c r="A1819" s="20">
        <v>1673</v>
      </c>
      <c r="B1819" s="39" t="s">
        <v>2984</v>
      </c>
      <c r="C1819" s="22">
        <v>48.57</v>
      </c>
      <c r="D1819" s="24" t="s">
        <v>44</v>
      </c>
      <c r="E1819" s="24" t="s">
        <v>2987</v>
      </c>
      <c r="F1819" s="24" t="s">
        <v>44</v>
      </c>
      <c r="G1819" s="21" t="s">
        <v>80</v>
      </c>
      <c r="H1819" s="26">
        <v>169</v>
      </c>
      <c r="I1819" s="26">
        <v>38</v>
      </c>
      <c r="J1819" s="31"/>
      <c r="K1819" s="31"/>
      <c r="L1819" s="31"/>
      <c r="M1819" s="31"/>
      <c r="N1819" s="31"/>
      <c r="O1819" s="31"/>
      <c r="P1819" s="31"/>
      <c r="Q1819" s="31"/>
      <c r="R1819" s="31"/>
      <c r="S1819" s="31"/>
      <c r="T1819" s="31"/>
      <c r="U1819" s="31"/>
      <c r="V1819" s="31"/>
      <c r="W1819" s="31"/>
      <c r="X1819" s="31"/>
      <c r="Y1819" s="31"/>
      <c r="Z1819" s="31"/>
      <c r="AA1819" s="31"/>
      <c r="AB1819" s="31"/>
      <c r="AC1819" s="31"/>
      <c r="AD1819" s="31"/>
      <c r="AE1819" s="31"/>
      <c r="AF1819" s="31"/>
      <c r="AG1819" s="31"/>
      <c r="AH1819" s="31"/>
      <c r="AI1819" s="31"/>
      <c r="AJ1819" s="31"/>
      <c r="AK1819" s="31"/>
      <c r="AL1819" s="28" t="str">
        <f>VLOOKUP($G1819,'[42]Sheet1 (2)'!$A$1:$B$1048440,2,FALSE)</f>
        <v>Rmt.</v>
      </c>
      <c r="AM1819" s="32"/>
      <c r="AN1819" s="31"/>
      <c r="AO1819" s="33"/>
    </row>
    <row r="1820" spans="1:41" ht="42" x14ac:dyDescent="0.25">
      <c r="A1820" s="20">
        <v>1674</v>
      </c>
      <c r="B1820" s="39" t="s">
        <v>2984</v>
      </c>
      <c r="C1820" s="22">
        <v>48.58</v>
      </c>
      <c r="D1820" s="24" t="s">
        <v>44</v>
      </c>
      <c r="E1820" s="24" t="s">
        <v>2988</v>
      </c>
      <c r="F1820" s="24" t="s">
        <v>44</v>
      </c>
      <c r="G1820" s="21" t="s">
        <v>80</v>
      </c>
      <c r="H1820" s="26">
        <v>136</v>
      </c>
      <c r="I1820" s="26">
        <v>35</v>
      </c>
      <c r="J1820" s="31"/>
      <c r="K1820" s="31"/>
      <c r="L1820" s="31"/>
      <c r="M1820" s="31"/>
      <c r="N1820" s="31"/>
      <c r="O1820" s="31"/>
      <c r="P1820" s="31"/>
      <c r="Q1820" s="31"/>
      <c r="R1820" s="31"/>
      <c r="S1820" s="31"/>
      <c r="T1820" s="31"/>
      <c r="U1820" s="31"/>
      <c r="V1820" s="31"/>
      <c r="W1820" s="31"/>
      <c r="X1820" s="31"/>
      <c r="Y1820" s="31"/>
      <c r="Z1820" s="31"/>
      <c r="AA1820" s="31"/>
      <c r="AB1820" s="31"/>
      <c r="AC1820" s="31"/>
      <c r="AD1820" s="31"/>
      <c r="AE1820" s="31"/>
      <c r="AF1820" s="31"/>
      <c r="AG1820" s="31"/>
      <c r="AH1820" s="31"/>
      <c r="AI1820" s="31"/>
      <c r="AJ1820" s="31"/>
      <c r="AK1820" s="31"/>
      <c r="AL1820" s="28" t="str">
        <f>VLOOKUP($G1820,'[42]Sheet1 (2)'!$A$1:$B$1048440,2,FALSE)</f>
        <v>Rmt.</v>
      </c>
      <c r="AM1820" s="32"/>
      <c r="AN1820" s="31"/>
      <c r="AO1820" s="33"/>
    </row>
    <row r="1821" spans="1:41" ht="126" x14ac:dyDescent="0.25">
      <c r="A1821" s="20">
        <v>1675</v>
      </c>
      <c r="B1821" s="25" t="s">
        <v>2984</v>
      </c>
      <c r="C1821" s="22">
        <v>48.59</v>
      </c>
      <c r="D1821" s="24" t="s">
        <v>44</v>
      </c>
      <c r="E1821" s="24" t="s">
        <v>2989</v>
      </c>
      <c r="F1821" s="24" t="s">
        <v>44</v>
      </c>
      <c r="G1821" s="25" t="s">
        <v>2990</v>
      </c>
      <c r="H1821" s="26">
        <v>3222</v>
      </c>
      <c r="I1821" s="26">
        <v>865</v>
      </c>
      <c r="J1821" s="31"/>
      <c r="K1821" s="31"/>
      <c r="L1821" s="31"/>
      <c r="M1821" s="31"/>
      <c r="N1821" s="31"/>
      <c r="O1821" s="31"/>
      <c r="P1821" s="31"/>
      <c r="Q1821" s="31"/>
      <c r="R1821" s="31"/>
      <c r="S1821" s="31"/>
      <c r="T1821" s="31"/>
      <c r="U1821" s="31"/>
      <c r="V1821" s="31"/>
      <c r="W1821" s="31"/>
      <c r="X1821" s="31"/>
      <c r="Y1821" s="31"/>
      <c r="Z1821" s="31"/>
      <c r="AA1821" s="31"/>
      <c r="AB1821" s="31"/>
      <c r="AC1821" s="31"/>
      <c r="AD1821" s="31"/>
      <c r="AE1821" s="31"/>
      <c r="AF1821" s="31"/>
      <c r="AG1821" s="31"/>
      <c r="AH1821" s="31"/>
      <c r="AI1821" s="31"/>
      <c r="AJ1821" s="31"/>
      <c r="AK1821" s="31"/>
      <c r="AL1821" s="28" t="str">
        <f>VLOOKUP($G1821,'[42]Sheet1 (2)'!$A$1:$B$1048440,2,FALSE)</f>
        <v>Sqm</v>
      </c>
      <c r="AM1821" s="32"/>
      <c r="AN1821" s="31"/>
      <c r="AO1821" s="33"/>
    </row>
    <row r="1822" spans="1:41" ht="266" x14ac:dyDescent="0.25">
      <c r="A1822" s="20">
        <v>1676</v>
      </c>
      <c r="B1822" s="25" t="s">
        <v>2984</v>
      </c>
      <c r="C1822" s="22">
        <v>48.6</v>
      </c>
      <c r="D1822" s="24" t="s">
        <v>44</v>
      </c>
      <c r="E1822" s="24" t="s">
        <v>2991</v>
      </c>
      <c r="F1822" s="24" t="s">
        <v>44</v>
      </c>
      <c r="G1822" s="25" t="s">
        <v>2990</v>
      </c>
      <c r="H1822" s="26">
        <v>6917</v>
      </c>
      <c r="I1822" s="26">
        <v>1222</v>
      </c>
      <c r="J1822" s="31"/>
      <c r="K1822" s="31"/>
      <c r="L1822" s="31"/>
      <c r="M1822" s="31"/>
      <c r="N1822" s="31"/>
      <c r="O1822" s="31"/>
      <c r="P1822" s="31"/>
      <c r="Q1822" s="31"/>
      <c r="R1822" s="31"/>
      <c r="S1822" s="31"/>
      <c r="T1822" s="31"/>
      <c r="U1822" s="31"/>
      <c r="V1822" s="31"/>
      <c r="W1822" s="31"/>
      <c r="X1822" s="31"/>
      <c r="Y1822" s="31"/>
      <c r="Z1822" s="31"/>
      <c r="AA1822" s="31"/>
      <c r="AB1822" s="31"/>
      <c r="AC1822" s="31"/>
      <c r="AD1822" s="31"/>
      <c r="AE1822" s="31"/>
      <c r="AF1822" s="31"/>
      <c r="AG1822" s="31"/>
      <c r="AH1822" s="31"/>
      <c r="AI1822" s="31"/>
      <c r="AJ1822" s="31"/>
      <c r="AK1822" s="31"/>
      <c r="AL1822" s="28" t="str">
        <f>VLOOKUP($G1822,'[42]Sheet1 (2)'!$A$1:$B$1048440,2,FALSE)</f>
        <v>Sqm</v>
      </c>
      <c r="AM1822" s="32"/>
      <c r="AN1822" s="31"/>
      <c r="AO1822" s="33"/>
    </row>
    <row r="1823" spans="1:41" ht="294" x14ac:dyDescent="0.25">
      <c r="A1823" s="20">
        <v>1677</v>
      </c>
      <c r="B1823" s="25" t="s">
        <v>2984</v>
      </c>
      <c r="C1823" s="22">
        <v>48.61</v>
      </c>
      <c r="D1823" s="24" t="s">
        <v>44</v>
      </c>
      <c r="E1823" s="24" t="s">
        <v>2992</v>
      </c>
      <c r="F1823" s="24" t="s">
        <v>44</v>
      </c>
      <c r="G1823" s="25" t="s">
        <v>2990</v>
      </c>
      <c r="H1823" s="26">
        <v>6495</v>
      </c>
      <c r="I1823" s="26">
        <v>300</v>
      </c>
      <c r="J1823" s="31"/>
      <c r="K1823" s="31"/>
      <c r="L1823" s="31"/>
      <c r="M1823" s="31"/>
      <c r="N1823" s="31"/>
      <c r="O1823" s="31"/>
      <c r="P1823" s="31"/>
      <c r="Q1823" s="31"/>
      <c r="R1823" s="31"/>
      <c r="S1823" s="31"/>
      <c r="T1823" s="31"/>
      <c r="U1823" s="31"/>
      <c r="V1823" s="31"/>
      <c r="W1823" s="31"/>
      <c r="X1823" s="31"/>
      <c r="Y1823" s="31"/>
      <c r="Z1823" s="31"/>
      <c r="AA1823" s="31"/>
      <c r="AB1823" s="31"/>
      <c r="AC1823" s="31"/>
      <c r="AD1823" s="31"/>
      <c r="AE1823" s="31"/>
      <c r="AF1823" s="31"/>
      <c r="AG1823" s="31"/>
      <c r="AH1823" s="31"/>
      <c r="AI1823" s="31"/>
      <c r="AJ1823" s="31"/>
      <c r="AK1823" s="31"/>
      <c r="AL1823" s="28" t="str">
        <f>VLOOKUP($G1823,'[42]Sheet1 (2)'!$A$1:$B$1048440,2,FALSE)</f>
        <v>Sqm</v>
      </c>
      <c r="AM1823" s="32"/>
      <c r="AN1823" s="31"/>
      <c r="AO1823" s="33"/>
    </row>
    <row r="1824" spans="1:41" ht="28" x14ac:dyDescent="0.25">
      <c r="A1824" s="204"/>
      <c r="B1824" s="25"/>
      <c r="C1824" s="22"/>
      <c r="D1824" s="166"/>
      <c r="E1824" s="241" t="s">
        <v>2993</v>
      </c>
      <c r="F1824" s="166"/>
      <c r="G1824" s="25" t="s">
        <v>2990</v>
      </c>
      <c r="H1824" s="167"/>
      <c r="I1824" s="167"/>
      <c r="J1824" s="31"/>
      <c r="K1824" s="31"/>
      <c r="L1824" s="31"/>
      <c r="M1824" s="31"/>
      <c r="N1824" s="31"/>
      <c r="O1824" s="31"/>
      <c r="P1824" s="31"/>
      <c r="Q1824" s="31"/>
      <c r="R1824" s="31"/>
      <c r="S1824" s="31"/>
      <c r="T1824" s="31"/>
      <c r="U1824" s="31"/>
      <c r="V1824" s="31"/>
      <c r="W1824" s="31"/>
      <c r="X1824" s="31"/>
      <c r="Y1824" s="31"/>
      <c r="Z1824" s="31"/>
      <c r="AA1824" s="31"/>
      <c r="AB1824" s="31"/>
      <c r="AC1824" s="31"/>
      <c r="AD1824" s="31"/>
      <c r="AE1824" s="31"/>
      <c r="AF1824" s="31"/>
      <c r="AG1824" s="31"/>
      <c r="AH1824" s="31"/>
      <c r="AI1824" s="31"/>
      <c r="AJ1824" s="31"/>
      <c r="AK1824" s="31"/>
      <c r="AL1824" s="28" t="str">
        <f>VLOOKUP($G1824,'[42]Sheet1 (2)'!$A$1:$B$1048440,2,FALSE)</f>
        <v>Sqm</v>
      </c>
      <c r="AM1824" s="32"/>
      <c r="AN1824" s="31"/>
      <c r="AO1824" s="33"/>
    </row>
    <row r="1825" spans="1:41" ht="126" x14ac:dyDescent="0.25">
      <c r="A1825" s="243">
        <v>1678</v>
      </c>
      <c r="B1825" s="39" t="s">
        <v>2994</v>
      </c>
      <c r="C1825" s="127">
        <v>49.01</v>
      </c>
      <c r="D1825" s="23"/>
      <c r="E1825" s="23" t="s">
        <v>2995</v>
      </c>
      <c r="F1825" s="24" t="s">
        <v>44</v>
      </c>
      <c r="G1825" s="25" t="s">
        <v>2990</v>
      </c>
      <c r="H1825" s="26">
        <v>89</v>
      </c>
      <c r="I1825" s="26">
        <v>11</v>
      </c>
      <c r="J1825" s="31"/>
      <c r="K1825" s="31"/>
      <c r="L1825" s="31"/>
      <c r="M1825" s="31"/>
      <c r="N1825" s="31"/>
      <c r="O1825" s="31"/>
      <c r="P1825" s="31"/>
      <c r="Q1825" s="31"/>
      <c r="R1825" s="31"/>
      <c r="S1825" s="31"/>
      <c r="T1825" s="31"/>
      <c r="U1825" s="31"/>
      <c r="V1825" s="31"/>
      <c r="W1825" s="31"/>
      <c r="X1825" s="31"/>
      <c r="Y1825" s="31"/>
      <c r="Z1825" s="31"/>
      <c r="AA1825" s="31"/>
      <c r="AB1825" s="31"/>
      <c r="AC1825" s="31"/>
      <c r="AD1825" s="31"/>
      <c r="AE1825" s="31"/>
      <c r="AF1825" s="31"/>
      <c r="AG1825" s="31"/>
      <c r="AH1825" s="31"/>
      <c r="AI1825" s="31"/>
      <c r="AJ1825" s="31"/>
      <c r="AK1825" s="31"/>
      <c r="AL1825" s="28" t="str">
        <f>VLOOKUP($G1825,'[42]Sheet1 (2)'!$A$1:$B$1048440,2,FALSE)</f>
        <v>Sqm</v>
      </c>
      <c r="AM1825" s="32"/>
      <c r="AN1825" s="31"/>
      <c r="AO1825" s="33"/>
    </row>
    <row r="1826" spans="1:41" ht="56" x14ac:dyDescent="0.25">
      <c r="A1826" s="23"/>
      <c r="B1826" s="39" t="s">
        <v>2994</v>
      </c>
      <c r="C1826" s="127">
        <v>49.02</v>
      </c>
      <c r="D1826" s="23"/>
      <c r="E1826" s="23" t="s">
        <v>2996</v>
      </c>
      <c r="F1826" s="24" t="s">
        <v>44</v>
      </c>
      <c r="G1826" s="23"/>
      <c r="H1826" s="23"/>
      <c r="I1826" s="23"/>
      <c r="J1826" s="31"/>
      <c r="K1826" s="31"/>
      <c r="L1826" s="31"/>
      <c r="M1826" s="31"/>
      <c r="N1826" s="31"/>
      <c r="O1826" s="31"/>
      <c r="P1826" s="31"/>
      <c r="Q1826" s="31"/>
      <c r="R1826" s="31"/>
      <c r="S1826" s="31"/>
      <c r="T1826" s="31"/>
      <c r="U1826" s="31"/>
      <c r="V1826" s="31"/>
      <c r="W1826" s="31"/>
      <c r="X1826" s="31"/>
      <c r="Y1826" s="31"/>
      <c r="Z1826" s="31"/>
      <c r="AA1826" s="31"/>
      <c r="AB1826" s="31"/>
      <c r="AC1826" s="31"/>
      <c r="AD1826" s="31"/>
      <c r="AE1826" s="31"/>
      <c r="AF1826" s="31"/>
      <c r="AG1826" s="31"/>
      <c r="AH1826" s="31"/>
      <c r="AI1826" s="31"/>
      <c r="AJ1826" s="31"/>
      <c r="AK1826" s="31"/>
      <c r="AL1826" s="28" t="e">
        <f>VLOOKUP($G1826,'[42]Sheet1 (2)'!$A$1:$B$1048440,2,FALSE)</f>
        <v>#N/A</v>
      </c>
      <c r="AM1826" s="32"/>
      <c r="AN1826" s="31"/>
      <c r="AO1826" s="33"/>
    </row>
    <row r="1827" spans="1:41" ht="48" customHeight="1" x14ac:dyDescent="0.25">
      <c r="A1827" s="243">
        <v>1679</v>
      </c>
      <c r="B1827" s="34"/>
      <c r="C1827" s="25" t="s">
        <v>373</v>
      </c>
      <c r="D1827" s="34"/>
      <c r="E1827" s="24" t="s">
        <v>2997</v>
      </c>
      <c r="F1827" s="34"/>
      <c r="G1827" s="25" t="s">
        <v>47</v>
      </c>
      <c r="H1827" s="26">
        <v>435</v>
      </c>
      <c r="I1827" s="26">
        <v>149</v>
      </c>
      <c r="J1827" s="31"/>
      <c r="K1827" s="31"/>
      <c r="L1827" s="31"/>
      <c r="M1827" s="31"/>
      <c r="N1827" s="31"/>
      <c r="O1827" s="31"/>
      <c r="P1827" s="31"/>
      <c r="Q1827" s="31"/>
      <c r="R1827" s="31"/>
      <c r="S1827" s="31"/>
      <c r="T1827" s="31"/>
      <c r="U1827" s="31"/>
      <c r="V1827" s="31"/>
      <c r="W1827" s="31"/>
      <c r="X1827" s="31"/>
      <c r="Y1827" s="31"/>
      <c r="Z1827" s="31"/>
      <c r="AA1827" s="31"/>
      <c r="AB1827" s="31"/>
      <c r="AC1827" s="31"/>
      <c r="AD1827" s="31"/>
      <c r="AE1827" s="31"/>
      <c r="AF1827" s="31"/>
      <c r="AG1827" s="31"/>
      <c r="AH1827" s="31"/>
      <c r="AI1827" s="31"/>
      <c r="AJ1827" s="31"/>
      <c r="AK1827" s="31"/>
      <c r="AL1827" s="28" t="str">
        <f>VLOOKUP($G1827,'[42]Sheet1 (2)'!$A$1:$B$1048440,2,FALSE)</f>
        <v>Cum</v>
      </c>
      <c r="AM1827" s="32"/>
      <c r="AN1827" s="31"/>
      <c r="AO1827" s="33"/>
    </row>
    <row r="1828" spans="1:41" ht="48" customHeight="1" x14ac:dyDescent="0.25">
      <c r="A1828" s="243">
        <v>1680</v>
      </c>
      <c r="B1828" s="34"/>
      <c r="C1828" s="25" t="s">
        <v>375</v>
      </c>
      <c r="D1828" s="34"/>
      <c r="E1828" s="24" t="s">
        <v>2998</v>
      </c>
      <c r="F1828" s="34"/>
      <c r="G1828" s="25" t="s">
        <v>47</v>
      </c>
      <c r="H1828" s="26">
        <v>1121</v>
      </c>
      <c r="I1828" s="26">
        <v>179</v>
      </c>
      <c r="J1828" s="31"/>
      <c r="K1828" s="31"/>
      <c r="L1828" s="31"/>
      <c r="M1828" s="31"/>
      <c r="N1828" s="31"/>
      <c r="O1828" s="31"/>
      <c r="P1828" s="31"/>
      <c r="Q1828" s="31"/>
      <c r="R1828" s="31"/>
      <c r="S1828" s="31"/>
      <c r="T1828" s="31"/>
      <c r="U1828" s="31"/>
      <c r="V1828" s="31"/>
      <c r="W1828" s="31"/>
      <c r="X1828" s="31"/>
      <c r="Y1828" s="31"/>
      <c r="Z1828" s="31"/>
      <c r="AA1828" s="31"/>
      <c r="AB1828" s="31"/>
      <c r="AC1828" s="31"/>
      <c r="AD1828" s="31"/>
      <c r="AE1828" s="31"/>
      <c r="AF1828" s="31"/>
      <c r="AG1828" s="31"/>
      <c r="AH1828" s="31"/>
      <c r="AI1828" s="31"/>
      <c r="AJ1828" s="31"/>
      <c r="AK1828" s="31"/>
      <c r="AL1828" s="28" t="str">
        <f>VLOOKUP($G1828,'[42]Sheet1 (2)'!$A$1:$B$1048440,2,FALSE)</f>
        <v>Cum</v>
      </c>
      <c r="AM1828" s="32"/>
      <c r="AN1828" s="31"/>
      <c r="AO1828" s="33"/>
    </row>
    <row r="1829" spans="1:41" ht="48" customHeight="1" x14ac:dyDescent="0.25">
      <c r="A1829" s="243">
        <v>1681</v>
      </c>
      <c r="B1829" s="34"/>
      <c r="C1829" s="25" t="s">
        <v>377</v>
      </c>
      <c r="D1829" s="34"/>
      <c r="E1829" s="24" t="s">
        <v>2999</v>
      </c>
      <c r="F1829" s="34"/>
      <c r="G1829" s="25" t="s">
        <v>47</v>
      </c>
      <c r="H1829" s="26">
        <v>1859</v>
      </c>
      <c r="I1829" s="26">
        <v>262</v>
      </c>
      <c r="J1829" s="31"/>
      <c r="K1829" s="31"/>
      <c r="L1829" s="31"/>
      <c r="M1829" s="31"/>
      <c r="N1829" s="31"/>
      <c r="O1829" s="31"/>
      <c r="P1829" s="31"/>
      <c r="Q1829" s="31"/>
      <c r="R1829" s="31"/>
      <c r="S1829" s="31"/>
      <c r="T1829" s="31"/>
      <c r="U1829" s="31"/>
      <c r="V1829" s="31"/>
      <c r="W1829" s="31"/>
      <c r="X1829" s="31"/>
      <c r="Y1829" s="31"/>
      <c r="Z1829" s="31"/>
      <c r="AA1829" s="31"/>
      <c r="AB1829" s="31"/>
      <c r="AC1829" s="31"/>
      <c r="AD1829" s="31"/>
      <c r="AE1829" s="31"/>
      <c r="AF1829" s="31"/>
      <c r="AG1829" s="31"/>
      <c r="AH1829" s="31"/>
      <c r="AI1829" s="31"/>
      <c r="AJ1829" s="31"/>
      <c r="AK1829" s="31"/>
      <c r="AL1829" s="28" t="str">
        <f>VLOOKUP($G1829,'[42]Sheet1 (2)'!$A$1:$B$1048440,2,FALSE)</f>
        <v>Cum</v>
      </c>
      <c r="AM1829" s="32"/>
      <c r="AN1829" s="31"/>
      <c r="AO1829" s="33"/>
    </row>
    <row r="1830" spans="1:41" ht="196" x14ac:dyDescent="0.25">
      <c r="A1830" s="243">
        <v>1682</v>
      </c>
      <c r="B1830" s="39" t="s">
        <v>2994</v>
      </c>
      <c r="C1830" s="127">
        <v>49.03</v>
      </c>
      <c r="D1830" s="35" t="s">
        <v>3000</v>
      </c>
      <c r="E1830" s="24" t="s">
        <v>3001</v>
      </c>
      <c r="F1830" s="35" t="s">
        <v>3002</v>
      </c>
      <c r="G1830" s="25" t="s">
        <v>47</v>
      </c>
      <c r="H1830" s="26">
        <v>894</v>
      </c>
      <c r="I1830" s="26">
        <v>75</v>
      </c>
      <c r="J1830" s="31"/>
      <c r="K1830" s="31"/>
      <c r="L1830" s="31"/>
      <c r="M1830" s="31"/>
      <c r="N1830" s="31"/>
      <c r="O1830" s="31"/>
      <c r="P1830" s="31"/>
      <c r="Q1830" s="31"/>
      <c r="R1830" s="31"/>
      <c r="S1830" s="31"/>
      <c r="T1830" s="31"/>
      <c r="U1830" s="31"/>
      <c r="V1830" s="31"/>
      <c r="W1830" s="31"/>
      <c r="X1830" s="31"/>
      <c r="Y1830" s="31"/>
      <c r="Z1830" s="31"/>
      <c r="AA1830" s="31"/>
      <c r="AB1830" s="31"/>
      <c r="AC1830" s="31"/>
      <c r="AD1830" s="31"/>
      <c r="AE1830" s="31"/>
      <c r="AF1830" s="31"/>
      <c r="AG1830" s="31"/>
      <c r="AH1830" s="31"/>
      <c r="AI1830" s="31"/>
      <c r="AJ1830" s="31"/>
      <c r="AK1830" s="31"/>
      <c r="AL1830" s="28" t="str">
        <f>VLOOKUP($G1830,'[42]Sheet1 (2)'!$A$1:$B$1048440,2,FALSE)</f>
        <v>Cum</v>
      </c>
      <c r="AM1830" s="32"/>
      <c r="AN1830" s="31"/>
      <c r="AO1830" s="33"/>
    </row>
    <row r="1831" spans="1:41" ht="196" x14ac:dyDescent="0.25">
      <c r="A1831" s="243">
        <v>1683</v>
      </c>
      <c r="B1831" s="39" t="s">
        <v>2994</v>
      </c>
      <c r="C1831" s="127">
        <v>49.04</v>
      </c>
      <c r="D1831" s="35" t="s">
        <v>3000</v>
      </c>
      <c r="E1831" s="24" t="s">
        <v>3003</v>
      </c>
      <c r="F1831" s="35" t="s">
        <v>3004</v>
      </c>
      <c r="G1831" s="25" t="s">
        <v>47</v>
      </c>
      <c r="H1831" s="26">
        <v>574</v>
      </c>
      <c r="I1831" s="26">
        <v>75</v>
      </c>
      <c r="J1831" s="31"/>
      <c r="K1831" s="31"/>
      <c r="L1831" s="31"/>
      <c r="M1831" s="31"/>
      <c r="N1831" s="31"/>
      <c r="O1831" s="31"/>
      <c r="P1831" s="31"/>
      <c r="Q1831" s="31"/>
      <c r="R1831" s="31"/>
      <c r="S1831" s="31"/>
      <c r="T1831" s="31"/>
      <c r="U1831" s="31"/>
      <c r="V1831" s="31"/>
      <c r="W1831" s="31"/>
      <c r="X1831" s="31"/>
      <c r="Y1831" s="31"/>
      <c r="Z1831" s="31"/>
      <c r="AA1831" s="31"/>
      <c r="AB1831" s="31"/>
      <c r="AC1831" s="31"/>
      <c r="AD1831" s="31"/>
      <c r="AE1831" s="31"/>
      <c r="AF1831" s="31"/>
      <c r="AG1831" s="31"/>
      <c r="AH1831" s="31"/>
      <c r="AI1831" s="31"/>
      <c r="AJ1831" s="31"/>
      <c r="AK1831" s="31"/>
      <c r="AL1831" s="28" t="str">
        <f>VLOOKUP($G1831,'[42]Sheet1 (2)'!$A$1:$B$1048440,2,FALSE)</f>
        <v>Cum</v>
      </c>
      <c r="AM1831" s="32"/>
      <c r="AN1831" s="31"/>
      <c r="AO1831" s="33"/>
    </row>
    <row r="1832" spans="1:41" ht="196" x14ac:dyDescent="0.25">
      <c r="A1832" s="243">
        <v>1684</v>
      </c>
      <c r="B1832" s="39" t="s">
        <v>2994</v>
      </c>
      <c r="C1832" s="22">
        <v>49.05</v>
      </c>
      <c r="D1832" s="35" t="s">
        <v>3000</v>
      </c>
      <c r="E1832" s="24" t="s">
        <v>3005</v>
      </c>
      <c r="F1832" s="35" t="s">
        <v>3004</v>
      </c>
      <c r="G1832" s="25" t="s">
        <v>47</v>
      </c>
      <c r="H1832" s="103">
        <v>907</v>
      </c>
      <c r="I1832" s="103">
        <v>75</v>
      </c>
      <c r="J1832" s="31"/>
      <c r="K1832" s="31"/>
      <c r="L1832" s="31"/>
      <c r="M1832" s="31"/>
      <c r="N1832" s="31"/>
      <c r="O1832" s="31"/>
      <c r="P1832" s="31"/>
      <c r="Q1832" s="31"/>
      <c r="R1832" s="31"/>
      <c r="S1832" s="31"/>
      <c r="T1832" s="31"/>
      <c r="U1832" s="31"/>
      <c r="V1832" s="31"/>
      <c r="W1832" s="31"/>
      <c r="X1832" s="31"/>
      <c r="Y1832" s="31"/>
      <c r="Z1832" s="31"/>
      <c r="AA1832" s="31"/>
      <c r="AB1832" s="31"/>
      <c r="AC1832" s="31"/>
      <c r="AD1832" s="31"/>
      <c r="AE1832" s="31"/>
      <c r="AF1832" s="31"/>
      <c r="AG1832" s="31"/>
      <c r="AH1832" s="31"/>
      <c r="AI1832" s="31"/>
      <c r="AJ1832" s="31"/>
      <c r="AK1832" s="31"/>
      <c r="AL1832" s="28" t="str">
        <f>VLOOKUP($G1832,'[42]Sheet1 (2)'!$A$1:$B$1048440,2,FALSE)</f>
        <v>Cum</v>
      </c>
      <c r="AM1832" s="32"/>
      <c r="AN1832" s="31"/>
      <c r="AO1832" s="33"/>
    </row>
    <row r="1833" spans="1:41" ht="196" x14ac:dyDescent="0.25">
      <c r="A1833" s="243">
        <v>1685</v>
      </c>
      <c r="B1833" s="39" t="s">
        <v>2994</v>
      </c>
      <c r="C1833" s="22">
        <v>49.06</v>
      </c>
      <c r="D1833" s="35" t="s">
        <v>3000</v>
      </c>
      <c r="E1833" s="24" t="s">
        <v>3006</v>
      </c>
      <c r="F1833" s="35" t="s">
        <v>3004</v>
      </c>
      <c r="G1833" s="25" t="s">
        <v>47</v>
      </c>
      <c r="H1833" s="103">
        <v>599</v>
      </c>
      <c r="I1833" s="103">
        <v>75</v>
      </c>
      <c r="J1833" s="31"/>
      <c r="K1833" s="31"/>
      <c r="L1833" s="31"/>
      <c r="M1833" s="31"/>
      <c r="N1833" s="31"/>
      <c r="O1833" s="31"/>
      <c r="P1833" s="31"/>
      <c r="Q1833" s="31"/>
      <c r="R1833" s="31"/>
      <c r="S1833" s="31"/>
      <c r="T1833" s="31"/>
      <c r="U1833" s="31"/>
      <c r="V1833" s="31"/>
      <c r="W1833" s="31"/>
      <c r="X1833" s="31"/>
      <c r="Y1833" s="31"/>
      <c r="Z1833" s="31"/>
      <c r="AA1833" s="31"/>
      <c r="AB1833" s="31"/>
      <c r="AC1833" s="31"/>
      <c r="AD1833" s="31"/>
      <c r="AE1833" s="31"/>
      <c r="AF1833" s="31"/>
      <c r="AG1833" s="31"/>
      <c r="AH1833" s="31"/>
      <c r="AI1833" s="31"/>
      <c r="AJ1833" s="31"/>
      <c r="AK1833" s="31"/>
      <c r="AL1833" s="28" t="str">
        <f>VLOOKUP($G1833,'[42]Sheet1 (2)'!$A$1:$B$1048440,2,FALSE)</f>
        <v>Cum</v>
      </c>
      <c r="AM1833" s="32"/>
      <c r="AN1833" s="31"/>
      <c r="AO1833" s="33"/>
    </row>
    <row r="1834" spans="1:41" ht="84" x14ac:dyDescent="0.25">
      <c r="A1834" s="243">
        <v>1686</v>
      </c>
      <c r="B1834" s="39" t="s">
        <v>2994</v>
      </c>
      <c r="C1834" s="22">
        <v>49.07</v>
      </c>
      <c r="D1834" s="23"/>
      <c r="E1834" s="24" t="s">
        <v>3007</v>
      </c>
      <c r="F1834" s="24" t="s">
        <v>3008</v>
      </c>
      <c r="G1834" s="25" t="s">
        <v>47</v>
      </c>
      <c r="H1834" s="103">
        <v>152</v>
      </c>
      <c r="I1834" s="103">
        <v>75</v>
      </c>
      <c r="J1834" s="31"/>
      <c r="K1834" s="31"/>
      <c r="L1834" s="31"/>
      <c r="M1834" s="31"/>
      <c r="N1834" s="31"/>
      <c r="O1834" s="31"/>
      <c r="P1834" s="31"/>
      <c r="Q1834" s="31"/>
      <c r="R1834" s="31"/>
      <c r="S1834" s="31"/>
      <c r="T1834" s="31"/>
      <c r="U1834" s="31"/>
      <c r="V1834" s="31"/>
      <c r="W1834" s="31"/>
      <c r="X1834" s="31"/>
      <c r="Y1834" s="31"/>
      <c r="Z1834" s="31"/>
      <c r="AA1834" s="31"/>
      <c r="AB1834" s="31"/>
      <c r="AC1834" s="31"/>
      <c r="AD1834" s="31"/>
      <c r="AE1834" s="31"/>
      <c r="AF1834" s="31"/>
      <c r="AG1834" s="31"/>
      <c r="AH1834" s="31"/>
      <c r="AI1834" s="31"/>
      <c r="AJ1834" s="31"/>
      <c r="AK1834" s="31"/>
      <c r="AL1834" s="28" t="str">
        <f>VLOOKUP($G1834,'[42]Sheet1 (2)'!$A$1:$B$1048440,2,FALSE)</f>
        <v>Cum</v>
      </c>
      <c r="AM1834" s="32"/>
      <c r="AN1834" s="31"/>
      <c r="AO1834" s="33"/>
    </row>
    <row r="1835" spans="1:41" ht="196" x14ac:dyDescent="0.25">
      <c r="A1835" s="243">
        <v>1687</v>
      </c>
      <c r="B1835" s="39" t="s">
        <v>2994</v>
      </c>
      <c r="C1835" s="22">
        <v>49.08</v>
      </c>
      <c r="D1835" s="35" t="s">
        <v>3000</v>
      </c>
      <c r="E1835" s="24" t="s">
        <v>3009</v>
      </c>
      <c r="F1835" s="35" t="s">
        <v>3004</v>
      </c>
      <c r="G1835" s="25" t="s">
        <v>47</v>
      </c>
      <c r="H1835" s="103">
        <v>974</v>
      </c>
      <c r="I1835" s="103">
        <v>75</v>
      </c>
      <c r="J1835" s="31"/>
      <c r="K1835" s="31"/>
      <c r="L1835" s="31"/>
      <c r="M1835" s="31"/>
      <c r="N1835" s="31"/>
      <c r="O1835" s="31"/>
      <c r="P1835" s="31"/>
      <c r="Q1835" s="31"/>
      <c r="R1835" s="31"/>
      <c r="S1835" s="31"/>
      <c r="T1835" s="31"/>
      <c r="U1835" s="31"/>
      <c r="V1835" s="31"/>
      <c r="W1835" s="31"/>
      <c r="X1835" s="31"/>
      <c r="Y1835" s="31"/>
      <c r="Z1835" s="31"/>
      <c r="AA1835" s="31"/>
      <c r="AB1835" s="31"/>
      <c r="AC1835" s="31"/>
      <c r="AD1835" s="31"/>
      <c r="AE1835" s="31"/>
      <c r="AF1835" s="31"/>
      <c r="AG1835" s="31"/>
      <c r="AH1835" s="31"/>
      <c r="AI1835" s="31"/>
      <c r="AJ1835" s="31"/>
      <c r="AK1835" s="31"/>
      <c r="AL1835" s="28" t="str">
        <f>VLOOKUP($G1835,'[42]Sheet1 (2)'!$A$1:$B$1048440,2,FALSE)</f>
        <v>Cum</v>
      </c>
      <c r="AM1835" s="32"/>
      <c r="AN1835" s="31"/>
      <c r="AO1835" s="33"/>
    </row>
    <row r="1836" spans="1:41" ht="196" x14ac:dyDescent="0.25">
      <c r="A1836" s="243">
        <v>1688</v>
      </c>
      <c r="B1836" s="39" t="s">
        <v>2994</v>
      </c>
      <c r="C1836" s="22">
        <v>49.09</v>
      </c>
      <c r="D1836" s="35" t="s">
        <v>3000</v>
      </c>
      <c r="E1836" s="24" t="s">
        <v>3010</v>
      </c>
      <c r="F1836" s="35" t="s">
        <v>3004</v>
      </c>
      <c r="G1836" s="25" t="s">
        <v>47</v>
      </c>
      <c r="H1836" s="26">
        <v>670</v>
      </c>
      <c r="I1836" s="26">
        <v>75</v>
      </c>
      <c r="J1836" s="31"/>
      <c r="K1836" s="31"/>
      <c r="L1836" s="31"/>
      <c r="M1836" s="31"/>
      <c r="N1836" s="31"/>
      <c r="O1836" s="31"/>
      <c r="P1836" s="31"/>
      <c r="Q1836" s="31"/>
      <c r="R1836" s="31"/>
      <c r="S1836" s="31"/>
      <c r="T1836" s="31"/>
      <c r="U1836" s="31"/>
      <c r="V1836" s="31"/>
      <c r="W1836" s="31"/>
      <c r="X1836" s="31"/>
      <c r="Y1836" s="31"/>
      <c r="Z1836" s="31"/>
      <c r="AA1836" s="31"/>
      <c r="AB1836" s="31"/>
      <c r="AC1836" s="31"/>
      <c r="AD1836" s="31"/>
      <c r="AE1836" s="31"/>
      <c r="AF1836" s="31"/>
      <c r="AG1836" s="31"/>
      <c r="AH1836" s="31"/>
      <c r="AI1836" s="31"/>
      <c r="AJ1836" s="31"/>
      <c r="AK1836" s="31"/>
      <c r="AL1836" s="28" t="str">
        <f>VLOOKUP($G1836,'[42]Sheet1 (2)'!$A$1:$B$1048440,2,FALSE)</f>
        <v>Cum</v>
      </c>
      <c r="AM1836" s="32"/>
      <c r="AN1836" s="31"/>
      <c r="AO1836" s="33"/>
    </row>
    <row r="1837" spans="1:41" ht="98" x14ac:dyDescent="0.25">
      <c r="A1837" s="243">
        <v>1689</v>
      </c>
      <c r="B1837" s="39" t="s">
        <v>2994</v>
      </c>
      <c r="C1837" s="22">
        <v>49.1</v>
      </c>
      <c r="D1837" s="23"/>
      <c r="E1837" s="23" t="s">
        <v>3011</v>
      </c>
      <c r="F1837" s="24" t="s">
        <v>3008</v>
      </c>
      <c r="G1837" s="25" t="s">
        <v>47</v>
      </c>
      <c r="H1837" s="26">
        <v>230</v>
      </c>
      <c r="I1837" s="26">
        <v>75</v>
      </c>
      <c r="J1837" s="31"/>
      <c r="K1837" s="31"/>
      <c r="L1837" s="31"/>
      <c r="M1837" s="31"/>
      <c r="N1837" s="31"/>
      <c r="O1837" s="31"/>
      <c r="P1837" s="31"/>
      <c r="Q1837" s="31"/>
      <c r="R1837" s="31"/>
      <c r="S1837" s="31"/>
      <c r="T1837" s="31"/>
      <c r="U1837" s="31"/>
      <c r="V1837" s="31"/>
      <c r="W1837" s="31"/>
      <c r="X1837" s="31"/>
      <c r="Y1837" s="31"/>
      <c r="Z1837" s="31"/>
      <c r="AA1837" s="31"/>
      <c r="AB1837" s="31"/>
      <c r="AC1837" s="31"/>
      <c r="AD1837" s="31"/>
      <c r="AE1837" s="31"/>
      <c r="AF1837" s="31"/>
      <c r="AG1837" s="31"/>
      <c r="AH1837" s="31"/>
      <c r="AI1837" s="31"/>
      <c r="AJ1837" s="31"/>
      <c r="AK1837" s="31"/>
      <c r="AL1837" s="28" t="str">
        <f>VLOOKUP($G1837,'[42]Sheet1 (2)'!$A$1:$B$1048440,2,FALSE)</f>
        <v>Cum</v>
      </c>
      <c r="AM1837" s="32"/>
      <c r="AN1837" s="31"/>
      <c r="AO1837" s="33"/>
    </row>
    <row r="1838" spans="1:41" ht="196" x14ac:dyDescent="0.25">
      <c r="A1838" s="243">
        <v>1690</v>
      </c>
      <c r="B1838" s="39" t="s">
        <v>2994</v>
      </c>
      <c r="C1838" s="22">
        <v>49.11</v>
      </c>
      <c r="D1838" s="35" t="s">
        <v>3000</v>
      </c>
      <c r="E1838" s="24" t="s">
        <v>3012</v>
      </c>
      <c r="F1838" s="35" t="s">
        <v>3004</v>
      </c>
      <c r="G1838" s="25" t="s">
        <v>47</v>
      </c>
      <c r="H1838" s="26">
        <v>1206</v>
      </c>
      <c r="I1838" s="26">
        <v>149</v>
      </c>
      <c r="J1838" s="31"/>
      <c r="K1838" s="31"/>
      <c r="L1838" s="31"/>
      <c r="M1838" s="31"/>
      <c r="N1838" s="31"/>
      <c r="O1838" s="31"/>
      <c r="P1838" s="31"/>
      <c r="Q1838" s="31"/>
      <c r="R1838" s="31"/>
      <c r="S1838" s="31"/>
      <c r="T1838" s="31"/>
      <c r="U1838" s="31"/>
      <c r="V1838" s="31"/>
      <c r="W1838" s="31"/>
      <c r="X1838" s="31"/>
      <c r="Y1838" s="31"/>
      <c r="Z1838" s="31"/>
      <c r="AA1838" s="31"/>
      <c r="AB1838" s="31"/>
      <c r="AC1838" s="31"/>
      <c r="AD1838" s="31"/>
      <c r="AE1838" s="31"/>
      <c r="AF1838" s="31"/>
      <c r="AG1838" s="31"/>
      <c r="AH1838" s="31"/>
      <c r="AI1838" s="31"/>
      <c r="AJ1838" s="31"/>
      <c r="AK1838" s="31"/>
      <c r="AL1838" s="28" t="str">
        <f>VLOOKUP($G1838,'[42]Sheet1 (2)'!$A$1:$B$1048440,2,FALSE)</f>
        <v>Cum</v>
      </c>
      <c r="AM1838" s="32"/>
      <c r="AN1838" s="31"/>
      <c r="AO1838" s="33"/>
    </row>
    <row r="1839" spans="1:41" ht="84" x14ac:dyDescent="0.25">
      <c r="A1839" s="243">
        <v>1691</v>
      </c>
      <c r="B1839" s="39" t="s">
        <v>2994</v>
      </c>
      <c r="C1839" s="22">
        <v>49.12</v>
      </c>
      <c r="D1839" s="23"/>
      <c r="E1839" s="24" t="s">
        <v>3013</v>
      </c>
      <c r="F1839" s="24" t="s">
        <v>3008</v>
      </c>
      <c r="G1839" s="25" t="s">
        <v>47</v>
      </c>
      <c r="H1839" s="26">
        <v>460</v>
      </c>
      <c r="I1839" s="26">
        <v>149</v>
      </c>
      <c r="J1839" s="31"/>
      <c r="K1839" s="31"/>
      <c r="L1839" s="31"/>
      <c r="M1839" s="31"/>
      <c r="N1839" s="31"/>
      <c r="O1839" s="31"/>
      <c r="P1839" s="31"/>
      <c r="Q1839" s="31"/>
      <c r="R1839" s="31"/>
      <c r="S1839" s="31"/>
      <c r="T1839" s="31"/>
      <c r="U1839" s="31"/>
      <c r="V1839" s="31"/>
      <c r="W1839" s="31"/>
      <c r="X1839" s="31"/>
      <c r="Y1839" s="31"/>
      <c r="Z1839" s="31"/>
      <c r="AA1839" s="31"/>
      <c r="AB1839" s="31"/>
      <c r="AC1839" s="31"/>
      <c r="AD1839" s="31"/>
      <c r="AE1839" s="31"/>
      <c r="AF1839" s="31"/>
      <c r="AG1839" s="31"/>
      <c r="AH1839" s="31"/>
      <c r="AI1839" s="31"/>
      <c r="AJ1839" s="31"/>
      <c r="AK1839" s="31"/>
      <c r="AL1839" s="28" t="str">
        <f>VLOOKUP($G1839,'[42]Sheet1 (2)'!$A$1:$B$1048440,2,FALSE)</f>
        <v>Cum</v>
      </c>
      <c r="AM1839" s="32"/>
      <c r="AN1839" s="31"/>
      <c r="AO1839" s="33"/>
    </row>
    <row r="1840" spans="1:41" ht="196" x14ac:dyDescent="0.25">
      <c r="A1840" s="243">
        <v>1692</v>
      </c>
      <c r="B1840" s="39" t="s">
        <v>2994</v>
      </c>
      <c r="C1840" s="22">
        <v>49.13</v>
      </c>
      <c r="D1840" s="35" t="s">
        <v>3000</v>
      </c>
      <c r="E1840" s="24" t="s">
        <v>3014</v>
      </c>
      <c r="F1840" s="35" t="s">
        <v>3004</v>
      </c>
      <c r="G1840" s="25" t="s">
        <v>47</v>
      </c>
      <c r="H1840" s="26">
        <v>1261</v>
      </c>
      <c r="I1840" s="26">
        <v>149</v>
      </c>
      <c r="J1840" s="31"/>
      <c r="K1840" s="31"/>
      <c r="L1840" s="31"/>
      <c r="M1840" s="31"/>
      <c r="N1840" s="31"/>
      <c r="O1840" s="31"/>
      <c r="P1840" s="31"/>
      <c r="Q1840" s="31"/>
      <c r="R1840" s="31"/>
      <c r="S1840" s="31"/>
      <c r="T1840" s="31"/>
      <c r="U1840" s="31"/>
      <c r="V1840" s="31"/>
      <c r="W1840" s="31"/>
      <c r="X1840" s="31"/>
      <c r="Y1840" s="31"/>
      <c r="Z1840" s="31"/>
      <c r="AA1840" s="31"/>
      <c r="AB1840" s="31"/>
      <c r="AC1840" s="31"/>
      <c r="AD1840" s="31"/>
      <c r="AE1840" s="31"/>
      <c r="AF1840" s="31"/>
      <c r="AG1840" s="31"/>
      <c r="AH1840" s="31"/>
      <c r="AI1840" s="31"/>
      <c r="AJ1840" s="31"/>
      <c r="AK1840" s="31"/>
      <c r="AL1840" s="28" t="str">
        <f>VLOOKUP($G1840,'[42]Sheet1 (2)'!$A$1:$B$1048440,2,FALSE)</f>
        <v>Cum</v>
      </c>
      <c r="AM1840" s="32"/>
      <c r="AN1840" s="31"/>
      <c r="AO1840" s="33"/>
    </row>
    <row r="1841" spans="1:41" ht="70" x14ac:dyDescent="0.25">
      <c r="A1841" s="243">
        <v>1693</v>
      </c>
      <c r="B1841" s="39" t="s">
        <v>2994</v>
      </c>
      <c r="C1841" s="22">
        <v>49.14</v>
      </c>
      <c r="D1841" s="23"/>
      <c r="E1841" s="24" t="s">
        <v>3015</v>
      </c>
      <c r="F1841" s="24" t="s">
        <v>3008</v>
      </c>
      <c r="G1841" s="25" t="s">
        <v>47</v>
      </c>
      <c r="H1841" s="26">
        <v>522</v>
      </c>
      <c r="I1841" s="26">
        <v>149</v>
      </c>
      <c r="J1841" s="31"/>
      <c r="K1841" s="31"/>
      <c r="L1841" s="31"/>
      <c r="M1841" s="31"/>
      <c r="N1841" s="31"/>
      <c r="O1841" s="31"/>
      <c r="P1841" s="31"/>
      <c r="Q1841" s="31"/>
      <c r="R1841" s="31"/>
      <c r="S1841" s="31"/>
      <c r="T1841" s="31"/>
      <c r="U1841" s="31"/>
      <c r="V1841" s="31"/>
      <c r="W1841" s="31"/>
      <c r="X1841" s="31"/>
      <c r="Y1841" s="31"/>
      <c r="Z1841" s="31"/>
      <c r="AA1841" s="31"/>
      <c r="AB1841" s="31"/>
      <c r="AC1841" s="31"/>
      <c r="AD1841" s="31"/>
      <c r="AE1841" s="31"/>
      <c r="AF1841" s="31"/>
      <c r="AG1841" s="31"/>
      <c r="AH1841" s="31"/>
      <c r="AI1841" s="31"/>
      <c r="AJ1841" s="31"/>
      <c r="AK1841" s="31"/>
      <c r="AL1841" s="28" t="str">
        <f>VLOOKUP($G1841,'[42]Sheet1 (2)'!$A$1:$B$1048440,2,FALSE)</f>
        <v>Cum</v>
      </c>
      <c r="AM1841" s="32"/>
      <c r="AN1841" s="31"/>
      <c r="AO1841" s="33"/>
    </row>
    <row r="1842" spans="1:41" ht="196" x14ac:dyDescent="0.25">
      <c r="A1842" s="243">
        <v>1694</v>
      </c>
      <c r="B1842" s="39" t="s">
        <v>2994</v>
      </c>
      <c r="C1842" s="22">
        <v>49.15</v>
      </c>
      <c r="D1842" s="35" t="s">
        <v>3000</v>
      </c>
      <c r="E1842" s="24" t="s">
        <v>3016</v>
      </c>
      <c r="F1842" s="35" t="s">
        <v>3004</v>
      </c>
      <c r="G1842" s="25" t="s">
        <v>47</v>
      </c>
      <c r="H1842" s="26">
        <v>1316</v>
      </c>
      <c r="I1842" s="26">
        <v>149</v>
      </c>
      <c r="J1842" s="31"/>
      <c r="K1842" s="31"/>
      <c r="L1842" s="31"/>
      <c r="M1842" s="31"/>
      <c r="N1842" s="31"/>
      <c r="O1842" s="31"/>
      <c r="P1842" s="31"/>
      <c r="Q1842" s="31"/>
      <c r="R1842" s="31"/>
      <c r="S1842" s="31"/>
      <c r="T1842" s="31"/>
      <c r="U1842" s="31"/>
      <c r="V1842" s="31"/>
      <c r="W1842" s="31"/>
      <c r="X1842" s="31"/>
      <c r="Y1842" s="31"/>
      <c r="Z1842" s="31"/>
      <c r="AA1842" s="31"/>
      <c r="AB1842" s="31"/>
      <c r="AC1842" s="31"/>
      <c r="AD1842" s="31"/>
      <c r="AE1842" s="31"/>
      <c r="AF1842" s="31"/>
      <c r="AG1842" s="31"/>
      <c r="AH1842" s="31"/>
      <c r="AI1842" s="31"/>
      <c r="AJ1842" s="31"/>
      <c r="AK1842" s="31"/>
      <c r="AL1842" s="28" t="str">
        <f>VLOOKUP($G1842,'[42]Sheet1 (2)'!$A$1:$B$1048440,2,FALSE)</f>
        <v>Cum</v>
      </c>
      <c r="AM1842" s="32"/>
      <c r="AN1842" s="31"/>
      <c r="AO1842" s="33"/>
    </row>
    <row r="1843" spans="1:41" ht="84" x14ac:dyDescent="0.25">
      <c r="A1843" s="243">
        <v>1695</v>
      </c>
      <c r="B1843" s="39" t="s">
        <v>2994</v>
      </c>
      <c r="C1843" s="22">
        <v>49.16</v>
      </c>
      <c r="D1843" s="23"/>
      <c r="E1843" s="24" t="s">
        <v>3017</v>
      </c>
      <c r="F1843" s="24" t="s">
        <v>3008</v>
      </c>
      <c r="G1843" s="25" t="s">
        <v>47</v>
      </c>
      <c r="H1843" s="26">
        <v>584</v>
      </c>
      <c r="I1843" s="26">
        <v>149</v>
      </c>
      <c r="J1843" s="31"/>
      <c r="K1843" s="31"/>
      <c r="L1843" s="31"/>
      <c r="M1843" s="31"/>
      <c r="N1843" s="31"/>
      <c r="O1843" s="31"/>
      <c r="P1843" s="31"/>
      <c r="Q1843" s="31"/>
      <c r="R1843" s="31"/>
      <c r="S1843" s="31"/>
      <c r="T1843" s="31"/>
      <c r="U1843" s="31"/>
      <c r="V1843" s="31"/>
      <c r="W1843" s="31"/>
      <c r="X1843" s="31"/>
      <c r="Y1843" s="31"/>
      <c r="Z1843" s="31"/>
      <c r="AA1843" s="31"/>
      <c r="AB1843" s="31"/>
      <c r="AC1843" s="31"/>
      <c r="AD1843" s="31"/>
      <c r="AE1843" s="31"/>
      <c r="AF1843" s="31"/>
      <c r="AG1843" s="31"/>
      <c r="AH1843" s="31"/>
      <c r="AI1843" s="31"/>
      <c r="AJ1843" s="31"/>
      <c r="AK1843" s="31"/>
      <c r="AL1843" s="28" t="str">
        <f>VLOOKUP($G1843,'[42]Sheet1 (2)'!$A$1:$B$1048440,2,FALSE)</f>
        <v>Cum</v>
      </c>
      <c r="AM1843" s="32"/>
      <c r="AN1843" s="31"/>
      <c r="AO1843" s="33"/>
    </row>
    <row r="1844" spans="1:41" ht="196" x14ac:dyDescent="0.25">
      <c r="A1844" s="243">
        <v>1696</v>
      </c>
      <c r="B1844" s="39" t="s">
        <v>2994</v>
      </c>
      <c r="C1844" s="22">
        <v>49.17</v>
      </c>
      <c r="D1844" s="35" t="s">
        <v>3000</v>
      </c>
      <c r="E1844" s="24" t="s">
        <v>3018</v>
      </c>
      <c r="F1844" s="35" t="s">
        <v>3004</v>
      </c>
      <c r="G1844" s="25" t="s">
        <v>47</v>
      </c>
      <c r="H1844" s="26">
        <v>1371</v>
      </c>
      <c r="I1844" s="26">
        <v>149</v>
      </c>
      <c r="J1844" s="31"/>
      <c r="K1844" s="31"/>
      <c r="L1844" s="31"/>
      <c r="M1844" s="31"/>
      <c r="N1844" s="31"/>
      <c r="O1844" s="31"/>
      <c r="P1844" s="31"/>
      <c r="Q1844" s="31"/>
      <c r="R1844" s="31"/>
      <c r="S1844" s="31"/>
      <c r="T1844" s="31"/>
      <c r="U1844" s="31"/>
      <c r="V1844" s="31"/>
      <c r="W1844" s="31"/>
      <c r="X1844" s="31"/>
      <c r="Y1844" s="31"/>
      <c r="Z1844" s="31"/>
      <c r="AA1844" s="31"/>
      <c r="AB1844" s="31"/>
      <c r="AC1844" s="31"/>
      <c r="AD1844" s="31"/>
      <c r="AE1844" s="31"/>
      <c r="AF1844" s="31"/>
      <c r="AG1844" s="31"/>
      <c r="AH1844" s="31"/>
      <c r="AI1844" s="31"/>
      <c r="AJ1844" s="31"/>
      <c r="AK1844" s="31"/>
      <c r="AL1844" s="28" t="str">
        <f>VLOOKUP($G1844,'[42]Sheet1 (2)'!$A$1:$B$1048440,2,FALSE)</f>
        <v>Cum</v>
      </c>
      <c r="AM1844" s="32"/>
      <c r="AN1844" s="31"/>
      <c r="AO1844" s="33"/>
    </row>
    <row r="1845" spans="1:41" ht="84" x14ac:dyDescent="0.25">
      <c r="A1845" s="243">
        <v>1697</v>
      </c>
      <c r="B1845" s="39" t="s">
        <v>2994</v>
      </c>
      <c r="C1845" s="22">
        <v>49.18</v>
      </c>
      <c r="D1845" s="23"/>
      <c r="E1845" s="24" t="s">
        <v>3019</v>
      </c>
      <c r="F1845" s="24" t="s">
        <v>3008</v>
      </c>
      <c r="G1845" s="25" t="s">
        <v>47</v>
      </c>
      <c r="H1845" s="26">
        <v>646</v>
      </c>
      <c r="I1845" s="26">
        <v>149</v>
      </c>
      <c r="J1845" s="31"/>
      <c r="K1845" s="31"/>
      <c r="L1845" s="31"/>
      <c r="M1845" s="31"/>
      <c r="N1845" s="31"/>
      <c r="O1845" s="31"/>
      <c r="P1845" s="31"/>
      <c r="Q1845" s="31"/>
      <c r="R1845" s="31"/>
      <c r="S1845" s="31"/>
      <c r="T1845" s="31"/>
      <c r="U1845" s="31"/>
      <c r="V1845" s="31"/>
      <c r="W1845" s="31"/>
      <c r="X1845" s="31"/>
      <c r="Y1845" s="31"/>
      <c r="Z1845" s="31"/>
      <c r="AA1845" s="31"/>
      <c r="AB1845" s="31"/>
      <c r="AC1845" s="31"/>
      <c r="AD1845" s="31"/>
      <c r="AE1845" s="31"/>
      <c r="AF1845" s="31"/>
      <c r="AG1845" s="31"/>
      <c r="AH1845" s="31"/>
      <c r="AI1845" s="31"/>
      <c r="AJ1845" s="31"/>
      <c r="AK1845" s="31"/>
      <c r="AL1845" s="28" t="str">
        <f>VLOOKUP($G1845,'[42]Sheet1 (2)'!$A$1:$B$1048440,2,FALSE)</f>
        <v>Cum</v>
      </c>
      <c r="AM1845" s="32"/>
      <c r="AN1845" s="31"/>
      <c r="AO1845" s="33"/>
    </row>
    <row r="1846" spans="1:41" ht="196" x14ac:dyDescent="0.25">
      <c r="A1846" s="243">
        <v>1698</v>
      </c>
      <c r="B1846" s="39" t="s">
        <v>2994</v>
      </c>
      <c r="C1846" s="127">
        <v>49.19</v>
      </c>
      <c r="D1846" s="35" t="s">
        <v>3000</v>
      </c>
      <c r="E1846" s="24" t="s">
        <v>3020</v>
      </c>
      <c r="F1846" s="35" t="s">
        <v>3004</v>
      </c>
      <c r="G1846" s="25" t="s">
        <v>47</v>
      </c>
      <c r="H1846" s="26">
        <v>1429</v>
      </c>
      <c r="I1846" s="26">
        <v>149</v>
      </c>
      <c r="J1846" s="31"/>
      <c r="K1846" s="31"/>
      <c r="L1846" s="31"/>
      <c r="M1846" s="31"/>
      <c r="N1846" s="31"/>
      <c r="O1846" s="31"/>
      <c r="P1846" s="31"/>
      <c r="Q1846" s="31"/>
      <c r="R1846" s="31"/>
      <c r="S1846" s="31"/>
      <c r="T1846" s="31"/>
      <c r="U1846" s="31"/>
      <c r="V1846" s="31"/>
      <c r="W1846" s="31"/>
      <c r="X1846" s="31"/>
      <c r="Y1846" s="31"/>
      <c r="Z1846" s="31"/>
      <c r="AA1846" s="31"/>
      <c r="AB1846" s="31"/>
      <c r="AC1846" s="31"/>
      <c r="AD1846" s="31"/>
      <c r="AE1846" s="31"/>
      <c r="AF1846" s="31"/>
      <c r="AG1846" s="31"/>
      <c r="AH1846" s="31"/>
      <c r="AI1846" s="31"/>
      <c r="AJ1846" s="31"/>
      <c r="AK1846" s="31"/>
      <c r="AL1846" s="28" t="str">
        <f>VLOOKUP($G1846,'[42]Sheet1 (2)'!$A$1:$B$1048440,2,FALSE)</f>
        <v>Cum</v>
      </c>
      <c r="AM1846" s="32"/>
      <c r="AN1846" s="31"/>
      <c r="AO1846" s="33"/>
    </row>
    <row r="1847" spans="1:41" ht="70" x14ac:dyDescent="0.25">
      <c r="A1847" s="243">
        <v>1699</v>
      </c>
      <c r="B1847" s="39" t="s">
        <v>2994</v>
      </c>
      <c r="C1847" s="127">
        <v>49.2</v>
      </c>
      <c r="D1847" s="23"/>
      <c r="E1847" s="24" t="s">
        <v>3021</v>
      </c>
      <c r="F1847" s="24" t="s">
        <v>3008</v>
      </c>
      <c r="G1847" s="25" t="s">
        <v>47</v>
      </c>
      <c r="H1847" s="26">
        <v>708</v>
      </c>
      <c r="I1847" s="26">
        <v>149</v>
      </c>
      <c r="J1847" s="31"/>
      <c r="K1847" s="31"/>
      <c r="L1847" s="31"/>
      <c r="M1847" s="31"/>
      <c r="N1847" s="31"/>
      <c r="O1847" s="31"/>
      <c r="P1847" s="31"/>
      <c r="Q1847" s="31"/>
      <c r="R1847" s="31"/>
      <c r="S1847" s="31"/>
      <c r="T1847" s="31"/>
      <c r="U1847" s="31"/>
      <c r="V1847" s="31"/>
      <c r="W1847" s="31"/>
      <c r="X1847" s="31"/>
      <c r="Y1847" s="31"/>
      <c r="Z1847" s="31"/>
      <c r="AA1847" s="31"/>
      <c r="AB1847" s="31"/>
      <c r="AC1847" s="31"/>
      <c r="AD1847" s="31"/>
      <c r="AE1847" s="31"/>
      <c r="AF1847" s="31"/>
      <c r="AG1847" s="31"/>
      <c r="AH1847" s="31"/>
      <c r="AI1847" s="31"/>
      <c r="AJ1847" s="31"/>
      <c r="AK1847" s="31"/>
      <c r="AL1847" s="28" t="str">
        <f>VLOOKUP($G1847,'[42]Sheet1 (2)'!$A$1:$B$1048440,2,FALSE)</f>
        <v>Cum</v>
      </c>
      <c r="AM1847" s="32"/>
      <c r="AN1847" s="31"/>
      <c r="AO1847" s="33"/>
    </row>
    <row r="1848" spans="1:41" ht="196" x14ac:dyDescent="0.25">
      <c r="A1848" s="23"/>
      <c r="B1848" s="39" t="s">
        <v>2994</v>
      </c>
      <c r="C1848" s="127">
        <v>49.21</v>
      </c>
      <c r="D1848" s="35" t="s">
        <v>3000</v>
      </c>
      <c r="E1848" s="24" t="s">
        <v>3022</v>
      </c>
      <c r="F1848" s="35" t="s">
        <v>3004</v>
      </c>
      <c r="G1848" s="23"/>
      <c r="H1848" s="23"/>
      <c r="I1848" s="23"/>
      <c r="J1848" s="31"/>
      <c r="K1848" s="31"/>
      <c r="L1848" s="31"/>
      <c r="M1848" s="31"/>
      <c r="N1848" s="31"/>
      <c r="O1848" s="31"/>
      <c r="P1848" s="31"/>
      <c r="Q1848" s="31"/>
      <c r="R1848" s="31"/>
      <c r="S1848" s="31"/>
      <c r="T1848" s="31"/>
      <c r="U1848" s="31"/>
      <c r="V1848" s="31"/>
      <c r="W1848" s="31"/>
      <c r="X1848" s="31"/>
      <c r="Y1848" s="31"/>
      <c r="Z1848" s="31"/>
      <c r="AA1848" s="31"/>
      <c r="AB1848" s="31"/>
      <c r="AC1848" s="31"/>
      <c r="AD1848" s="31"/>
      <c r="AE1848" s="31"/>
      <c r="AF1848" s="31"/>
      <c r="AG1848" s="31"/>
      <c r="AH1848" s="31"/>
      <c r="AI1848" s="31"/>
      <c r="AJ1848" s="31"/>
      <c r="AK1848" s="31"/>
      <c r="AL1848" s="28" t="e">
        <f>VLOOKUP($G1848,'[42]Sheet1 (2)'!$A$1:$B$1048440,2,FALSE)</f>
        <v>#N/A</v>
      </c>
      <c r="AM1848" s="32"/>
      <c r="AN1848" s="31"/>
      <c r="AO1848" s="33"/>
    </row>
    <row r="1849" spans="1:41" ht="42" x14ac:dyDescent="0.25">
      <c r="A1849" s="243">
        <v>1700</v>
      </c>
      <c r="B1849" s="34"/>
      <c r="C1849" s="25" t="s">
        <v>373</v>
      </c>
      <c r="D1849" s="34"/>
      <c r="E1849" s="24" t="s">
        <v>3023</v>
      </c>
      <c r="F1849" s="34"/>
      <c r="G1849" s="25" t="s">
        <v>47</v>
      </c>
      <c r="H1849" s="26">
        <v>3153</v>
      </c>
      <c r="I1849" s="26">
        <v>385</v>
      </c>
      <c r="J1849" s="31"/>
      <c r="K1849" s="31"/>
      <c r="L1849" s="31"/>
      <c r="M1849" s="31"/>
      <c r="N1849" s="31"/>
      <c r="O1849" s="31"/>
      <c r="P1849" s="31"/>
      <c r="Q1849" s="31"/>
      <c r="R1849" s="31"/>
      <c r="S1849" s="31"/>
      <c r="T1849" s="31"/>
      <c r="U1849" s="31"/>
      <c r="V1849" s="31"/>
      <c r="W1849" s="31"/>
      <c r="X1849" s="31"/>
      <c r="Y1849" s="31"/>
      <c r="Z1849" s="31"/>
      <c r="AA1849" s="31"/>
      <c r="AB1849" s="31"/>
      <c r="AC1849" s="31"/>
      <c r="AD1849" s="31"/>
      <c r="AE1849" s="31"/>
      <c r="AF1849" s="31"/>
      <c r="AG1849" s="31"/>
      <c r="AH1849" s="31"/>
      <c r="AI1849" s="31"/>
      <c r="AJ1849" s="31"/>
      <c r="AK1849" s="31"/>
      <c r="AL1849" s="28" t="str">
        <f>VLOOKUP($G1849,'[42]Sheet1 (2)'!$A$1:$B$1048440,2,FALSE)</f>
        <v>Cum</v>
      </c>
      <c r="AM1849" s="32"/>
      <c r="AN1849" s="31"/>
      <c r="AO1849" s="33"/>
    </row>
    <row r="1850" spans="1:41" ht="42" x14ac:dyDescent="0.25">
      <c r="A1850" s="243">
        <v>1701</v>
      </c>
      <c r="B1850" s="34"/>
      <c r="C1850" s="25" t="s">
        <v>375</v>
      </c>
      <c r="D1850" s="34"/>
      <c r="E1850" s="24" t="s">
        <v>3024</v>
      </c>
      <c r="F1850" s="34"/>
      <c r="G1850" s="25" t="s">
        <v>47</v>
      </c>
      <c r="H1850" s="26">
        <v>2875</v>
      </c>
      <c r="I1850" s="26">
        <v>359</v>
      </c>
      <c r="J1850" s="31"/>
      <c r="K1850" s="31"/>
      <c r="L1850" s="31"/>
      <c r="M1850" s="31"/>
      <c r="N1850" s="31"/>
      <c r="O1850" s="31"/>
      <c r="P1850" s="31"/>
      <c r="Q1850" s="31"/>
      <c r="R1850" s="31"/>
      <c r="S1850" s="31"/>
      <c r="T1850" s="31"/>
      <c r="U1850" s="31"/>
      <c r="V1850" s="31"/>
      <c r="W1850" s="31"/>
      <c r="X1850" s="31"/>
      <c r="Y1850" s="31"/>
      <c r="Z1850" s="31"/>
      <c r="AA1850" s="31"/>
      <c r="AB1850" s="31"/>
      <c r="AC1850" s="31"/>
      <c r="AD1850" s="31"/>
      <c r="AE1850" s="31"/>
      <c r="AF1850" s="31"/>
      <c r="AG1850" s="31"/>
      <c r="AH1850" s="31"/>
      <c r="AI1850" s="31"/>
      <c r="AJ1850" s="31"/>
      <c r="AK1850" s="31"/>
      <c r="AL1850" s="28" t="str">
        <f>VLOOKUP($G1850,'[42]Sheet1 (2)'!$A$1:$B$1048440,2,FALSE)</f>
        <v>Cum</v>
      </c>
      <c r="AM1850" s="32"/>
      <c r="AN1850" s="31"/>
      <c r="AO1850" s="33"/>
    </row>
    <row r="1851" spans="1:41" ht="42" x14ac:dyDescent="0.25">
      <c r="A1851" s="243">
        <v>1702</v>
      </c>
      <c r="B1851" s="34"/>
      <c r="C1851" s="25" t="s">
        <v>377</v>
      </c>
      <c r="D1851" s="34"/>
      <c r="E1851" s="24" t="s">
        <v>3025</v>
      </c>
      <c r="F1851" s="34"/>
      <c r="G1851" s="25" t="s">
        <v>47</v>
      </c>
      <c r="H1851" s="26">
        <v>2718</v>
      </c>
      <c r="I1851" s="26">
        <v>327</v>
      </c>
      <c r="J1851" s="31"/>
      <c r="K1851" s="31"/>
      <c r="L1851" s="31"/>
      <c r="M1851" s="31"/>
      <c r="N1851" s="31"/>
      <c r="O1851" s="31"/>
      <c r="P1851" s="31"/>
      <c r="Q1851" s="31"/>
      <c r="R1851" s="31"/>
      <c r="S1851" s="31"/>
      <c r="T1851" s="31"/>
      <c r="U1851" s="31"/>
      <c r="V1851" s="31"/>
      <c r="W1851" s="31"/>
      <c r="X1851" s="31"/>
      <c r="Y1851" s="31"/>
      <c r="Z1851" s="31"/>
      <c r="AA1851" s="31"/>
      <c r="AB1851" s="31"/>
      <c r="AC1851" s="31"/>
      <c r="AD1851" s="31"/>
      <c r="AE1851" s="31"/>
      <c r="AF1851" s="31"/>
      <c r="AG1851" s="31"/>
      <c r="AH1851" s="31"/>
      <c r="AI1851" s="31"/>
      <c r="AJ1851" s="31"/>
      <c r="AK1851" s="31"/>
      <c r="AL1851" s="28" t="str">
        <f>VLOOKUP($G1851,'[42]Sheet1 (2)'!$A$1:$B$1048440,2,FALSE)</f>
        <v>Cum</v>
      </c>
      <c r="AM1851" s="32"/>
      <c r="AN1851" s="31"/>
      <c r="AO1851" s="33"/>
    </row>
    <row r="1852" spans="1:41" ht="42" x14ac:dyDescent="0.25">
      <c r="A1852" s="243">
        <v>1703</v>
      </c>
      <c r="B1852" s="34"/>
      <c r="C1852" s="25" t="s">
        <v>384</v>
      </c>
      <c r="D1852" s="34"/>
      <c r="E1852" s="24" t="s">
        <v>3026</v>
      </c>
      <c r="F1852" s="34"/>
      <c r="G1852" s="25" t="s">
        <v>47</v>
      </c>
      <c r="H1852" s="26">
        <v>2533</v>
      </c>
      <c r="I1852" s="26">
        <v>269</v>
      </c>
      <c r="J1852" s="31"/>
      <c r="K1852" s="31"/>
      <c r="L1852" s="31"/>
      <c r="M1852" s="31"/>
      <c r="N1852" s="31"/>
      <c r="O1852" s="31"/>
      <c r="P1852" s="31"/>
      <c r="Q1852" s="31"/>
      <c r="R1852" s="31"/>
      <c r="S1852" s="31"/>
      <c r="T1852" s="31"/>
      <c r="U1852" s="31"/>
      <c r="V1852" s="31"/>
      <c r="W1852" s="31"/>
      <c r="X1852" s="31"/>
      <c r="Y1852" s="31"/>
      <c r="Z1852" s="31"/>
      <c r="AA1852" s="31"/>
      <c r="AB1852" s="31"/>
      <c r="AC1852" s="31"/>
      <c r="AD1852" s="31"/>
      <c r="AE1852" s="31"/>
      <c r="AF1852" s="31"/>
      <c r="AG1852" s="31"/>
      <c r="AH1852" s="31"/>
      <c r="AI1852" s="31"/>
      <c r="AJ1852" s="31"/>
      <c r="AK1852" s="31"/>
      <c r="AL1852" s="28" t="str">
        <f>VLOOKUP($G1852,'[42]Sheet1 (2)'!$A$1:$B$1048440,2,FALSE)</f>
        <v>Cum</v>
      </c>
      <c r="AM1852" s="32"/>
      <c r="AN1852" s="31"/>
      <c r="AO1852" s="33"/>
    </row>
    <row r="1853" spans="1:41" ht="42" x14ac:dyDescent="0.25">
      <c r="A1853" s="243">
        <v>1704</v>
      </c>
      <c r="B1853" s="34"/>
      <c r="C1853" s="25" t="s">
        <v>387</v>
      </c>
      <c r="D1853" s="34"/>
      <c r="E1853" s="24" t="s">
        <v>3027</v>
      </c>
      <c r="F1853" s="34"/>
      <c r="G1853" s="25" t="s">
        <v>47</v>
      </c>
      <c r="H1853" s="26">
        <v>2415</v>
      </c>
      <c r="I1853" s="26">
        <v>202</v>
      </c>
      <c r="J1853" s="31"/>
      <c r="K1853" s="31"/>
      <c r="L1853" s="31"/>
      <c r="M1853" s="31"/>
      <c r="N1853" s="31"/>
      <c r="O1853" s="31"/>
      <c r="P1853" s="31"/>
      <c r="Q1853" s="31"/>
      <c r="R1853" s="31"/>
      <c r="S1853" s="31"/>
      <c r="T1853" s="31"/>
      <c r="U1853" s="31"/>
      <c r="V1853" s="31"/>
      <c r="W1853" s="31"/>
      <c r="X1853" s="31"/>
      <c r="Y1853" s="31"/>
      <c r="Z1853" s="31"/>
      <c r="AA1853" s="31"/>
      <c r="AB1853" s="31"/>
      <c r="AC1853" s="31"/>
      <c r="AD1853" s="31"/>
      <c r="AE1853" s="31"/>
      <c r="AF1853" s="31"/>
      <c r="AG1853" s="31"/>
      <c r="AH1853" s="31"/>
      <c r="AI1853" s="31"/>
      <c r="AJ1853" s="31"/>
      <c r="AK1853" s="31"/>
      <c r="AL1853" s="28" t="str">
        <f>VLOOKUP($G1853,'[42]Sheet1 (2)'!$A$1:$B$1048440,2,FALSE)</f>
        <v>Cum</v>
      </c>
      <c r="AM1853" s="32"/>
      <c r="AN1853" s="31"/>
      <c r="AO1853" s="33"/>
    </row>
    <row r="1854" spans="1:41" ht="196" x14ac:dyDescent="0.25">
      <c r="A1854" s="23"/>
      <c r="B1854" s="39" t="s">
        <v>2994</v>
      </c>
      <c r="C1854" s="127">
        <v>49.22</v>
      </c>
      <c r="D1854" s="35" t="s">
        <v>3000</v>
      </c>
      <c r="E1854" s="24" t="s">
        <v>3028</v>
      </c>
      <c r="F1854" s="35" t="s">
        <v>3004</v>
      </c>
      <c r="G1854" s="23"/>
      <c r="H1854" s="23"/>
      <c r="I1854" s="23"/>
      <c r="J1854" s="31"/>
      <c r="K1854" s="31"/>
      <c r="L1854" s="31"/>
      <c r="M1854" s="31"/>
      <c r="N1854" s="31"/>
      <c r="O1854" s="31"/>
      <c r="P1854" s="31"/>
      <c r="Q1854" s="31"/>
      <c r="R1854" s="31"/>
      <c r="S1854" s="31"/>
      <c r="T1854" s="31"/>
      <c r="U1854" s="31"/>
      <c r="V1854" s="31"/>
      <c r="W1854" s="31"/>
      <c r="X1854" s="31"/>
      <c r="Y1854" s="31"/>
      <c r="Z1854" s="31"/>
      <c r="AA1854" s="31"/>
      <c r="AB1854" s="31"/>
      <c r="AC1854" s="31"/>
      <c r="AD1854" s="31"/>
      <c r="AE1854" s="31"/>
      <c r="AF1854" s="31"/>
      <c r="AG1854" s="31"/>
      <c r="AH1854" s="31"/>
      <c r="AI1854" s="31"/>
      <c r="AJ1854" s="31"/>
      <c r="AK1854" s="31"/>
      <c r="AL1854" s="28" t="e">
        <f>VLOOKUP($G1854,'[42]Sheet1 (2)'!$A$1:$B$1048440,2,FALSE)</f>
        <v>#N/A</v>
      </c>
      <c r="AM1854" s="32"/>
      <c r="AN1854" s="31"/>
      <c r="AO1854" s="33"/>
    </row>
    <row r="1855" spans="1:41" ht="42" x14ac:dyDescent="0.25">
      <c r="A1855" s="243">
        <v>1705</v>
      </c>
      <c r="B1855" s="34"/>
      <c r="C1855" s="25" t="s">
        <v>373</v>
      </c>
      <c r="D1855" s="34"/>
      <c r="E1855" s="24" t="s">
        <v>3029</v>
      </c>
      <c r="F1855" s="34"/>
      <c r="G1855" s="25" t="s">
        <v>47</v>
      </c>
      <c r="H1855" s="26">
        <v>2681</v>
      </c>
      <c r="I1855" s="26">
        <v>385</v>
      </c>
      <c r="J1855" s="31"/>
      <c r="K1855" s="31"/>
      <c r="L1855" s="31"/>
      <c r="M1855" s="31"/>
      <c r="N1855" s="31"/>
      <c r="O1855" s="31"/>
      <c r="P1855" s="31"/>
      <c r="Q1855" s="31"/>
      <c r="R1855" s="31"/>
      <c r="S1855" s="31"/>
      <c r="T1855" s="31"/>
      <c r="U1855" s="31"/>
      <c r="V1855" s="31"/>
      <c r="W1855" s="31"/>
      <c r="X1855" s="31"/>
      <c r="Y1855" s="31"/>
      <c r="Z1855" s="31"/>
      <c r="AA1855" s="31"/>
      <c r="AB1855" s="31"/>
      <c r="AC1855" s="31"/>
      <c r="AD1855" s="31"/>
      <c r="AE1855" s="31"/>
      <c r="AF1855" s="31"/>
      <c r="AG1855" s="31"/>
      <c r="AH1855" s="31"/>
      <c r="AI1855" s="31"/>
      <c r="AJ1855" s="31"/>
      <c r="AK1855" s="31"/>
      <c r="AL1855" s="28" t="str">
        <f>VLOOKUP($G1855,'[42]Sheet1 (2)'!$A$1:$B$1048440,2,FALSE)</f>
        <v>Cum</v>
      </c>
      <c r="AM1855" s="32"/>
      <c r="AN1855" s="31"/>
      <c r="AO1855" s="33"/>
    </row>
    <row r="1856" spans="1:41" ht="42" x14ac:dyDescent="0.25">
      <c r="A1856" s="243">
        <v>1706</v>
      </c>
      <c r="B1856" s="34"/>
      <c r="C1856" s="25" t="s">
        <v>375</v>
      </c>
      <c r="D1856" s="34"/>
      <c r="E1856" s="24" t="s">
        <v>3030</v>
      </c>
      <c r="F1856" s="34"/>
      <c r="G1856" s="25" t="s">
        <v>47</v>
      </c>
      <c r="H1856" s="26">
        <v>2489</v>
      </c>
      <c r="I1856" s="26">
        <v>359</v>
      </c>
      <c r="J1856" s="31"/>
      <c r="K1856" s="31"/>
      <c r="L1856" s="31"/>
      <c r="M1856" s="31"/>
      <c r="N1856" s="31"/>
      <c r="O1856" s="31"/>
      <c r="P1856" s="31"/>
      <c r="Q1856" s="31"/>
      <c r="R1856" s="31"/>
      <c r="S1856" s="31"/>
      <c r="T1856" s="31"/>
      <c r="U1856" s="31"/>
      <c r="V1856" s="31"/>
      <c r="W1856" s="31"/>
      <c r="X1856" s="31"/>
      <c r="Y1856" s="31"/>
      <c r="Z1856" s="31"/>
      <c r="AA1856" s="31"/>
      <c r="AB1856" s="31"/>
      <c r="AC1856" s="31"/>
      <c r="AD1856" s="31"/>
      <c r="AE1856" s="31"/>
      <c r="AF1856" s="31"/>
      <c r="AG1856" s="31"/>
      <c r="AH1856" s="31"/>
      <c r="AI1856" s="31"/>
      <c r="AJ1856" s="31"/>
      <c r="AK1856" s="31"/>
      <c r="AL1856" s="28" t="str">
        <f>VLOOKUP($G1856,'[42]Sheet1 (2)'!$A$1:$B$1048440,2,FALSE)</f>
        <v>Cum</v>
      </c>
      <c r="AM1856" s="32"/>
      <c r="AN1856" s="31"/>
      <c r="AO1856" s="33"/>
    </row>
    <row r="1857" spans="1:41" ht="42" x14ac:dyDescent="0.25">
      <c r="A1857" s="243">
        <v>1707</v>
      </c>
      <c r="B1857" s="34"/>
      <c r="C1857" s="25" t="s">
        <v>377</v>
      </c>
      <c r="D1857" s="34"/>
      <c r="E1857" s="24" t="s">
        <v>3031</v>
      </c>
      <c r="F1857" s="34"/>
      <c r="G1857" s="25" t="s">
        <v>47</v>
      </c>
      <c r="H1857" s="26">
        <v>2366</v>
      </c>
      <c r="I1857" s="26">
        <v>327</v>
      </c>
      <c r="J1857" s="31"/>
      <c r="K1857" s="31"/>
      <c r="L1857" s="31"/>
      <c r="M1857" s="31"/>
      <c r="N1857" s="31"/>
      <c r="O1857" s="31"/>
      <c r="P1857" s="31"/>
      <c r="Q1857" s="31"/>
      <c r="R1857" s="31"/>
      <c r="S1857" s="31"/>
      <c r="T1857" s="31"/>
      <c r="U1857" s="31"/>
      <c r="V1857" s="31"/>
      <c r="W1857" s="31"/>
      <c r="X1857" s="31"/>
      <c r="Y1857" s="31"/>
      <c r="Z1857" s="31"/>
      <c r="AA1857" s="31"/>
      <c r="AB1857" s="31"/>
      <c r="AC1857" s="31"/>
      <c r="AD1857" s="31"/>
      <c r="AE1857" s="31"/>
      <c r="AF1857" s="31"/>
      <c r="AG1857" s="31"/>
      <c r="AH1857" s="31"/>
      <c r="AI1857" s="31"/>
      <c r="AJ1857" s="31"/>
      <c r="AK1857" s="31"/>
      <c r="AL1857" s="28" t="str">
        <f>VLOOKUP($G1857,'[42]Sheet1 (2)'!$A$1:$B$1048440,2,FALSE)</f>
        <v>Cum</v>
      </c>
      <c r="AM1857" s="32"/>
      <c r="AN1857" s="31"/>
      <c r="AO1857" s="33"/>
    </row>
    <row r="1858" spans="1:41" ht="42" x14ac:dyDescent="0.25">
      <c r="A1858" s="243">
        <v>1708</v>
      </c>
      <c r="B1858" s="34"/>
      <c r="C1858" s="25" t="s">
        <v>384</v>
      </c>
      <c r="D1858" s="34"/>
      <c r="E1858" s="24" t="s">
        <v>3032</v>
      </c>
      <c r="F1858" s="34"/>
      <c r="G1858" s="25" t="s">
        <v>47</v>
      </c>
      <c r="H1858" s="26">
        <v>2225</v>
      </c>
      <c r="I1858" s="26">
        <v>269</v>
      </c>
      <c r="J1858" s="31"/>
      <c r="K1858" s="31"/>
      <c r="L1858" s="31"/>
      <c r="M1858" s="31"/>
      <c r="N1858" s="31"/>
      <c r="O1858" s="31"/>
      <c r="P1858" s="31"/>
      <c r="Q1858" s="31"/>
      <c r="R1858" s="31"/>
      <c r="S1858" s="31"/>
      <c r="T1858" s="31"/>
      <c r="U1858" s="31"/>
      <c r="V1858" s="31"/>
      <c r="W1858" s="31"/>
      <c r="X1858" s="31"/>
      <c r="Y1858" s="31"/>
      <c r="Z1858" s="31"/>
      <c r="AA1858" s="31"/>
      <c r="AB1858" s="31"/>
      <c r="AC1858" s="31"/>
      <c r="AD1858" s="31"/>
      <c r="AE1858" s="31"/>
      <c r="AF1858" s="31"/>
      <c r="AG1858" s="31"/>
      <c r="AH1858" s="31"/>
      <c r="AI1858" s="31"/>
      <c r="AJ1858" s="31"/>
      <c r="AK1858" s="31"/>
      <c r="AL1858" s="28" t="str">
        <f>VLOOKUP($G1858,'[42]Sheet1 (2)'!$A$1:$B$1048440,2,FALSE)</f>
        <v>Cum</v>
      </c>
      <c r="AM1858" s="32"/>
      <c r="AN1858" s="31"/>
      <c r="AO1858" s="33"/>
    </row>
    <row r="1859" spans="1:41" ht="112" x14ac:dyDescent="0.25">
      <c r="A1859" s="243">
        <v>1709</v>
      </c>
      <c r="B1859" s="39" t="s">
        <v>2994</v>
      </c>
      <c r="C1859" s="127">
        <v>49.23</v>
      </c>
      <c r="D1859" s="25" t="s">
        <v>3033</v>
      </c>
      <c r="E1859" s="24" t="s">
        <v>3034</v>
      </c>
      <c r="F1859" s="25" t="s">
        <v>3035</v>
      </c>
      <c r="G1859" s="25" t="s">
        <v>45</v>
      </c>
      <c r="H1859" s="26">
        <v>9387</v>
      </c>
      <c r="I1859" s="26">
        <v>1733</v>
      </c>
      <c r="J1859" s="31"/>
      <c r="K1859" s="31"/>
      <c r="L1859" s="31"/>
      <c r="M1859" s="31"/>
      <c r="N1859" s="31"/>
      <c r="O1859" s="31"/>
      <c r="P1859" s="31"/>
      <c r="Q1859" s="31"/>
      <c r="R1859" s="31"/>
      <c r="S1859" s="31"/>
      <c r="T1859" s="31"/>
      <c r="U1859" s="31"/>
      <c r="V1859" s="31"/>
      <c r="W1859" s="31"/>
      <c r="X1859" s="31"/>
      <c r="Y1859" s="31"/>
      <c r="Z1859" s="31"/>
      <c r="AA1859" s="31"/>
      <c r="AB1859" s="31"/>
      <c r="AC1859" s="31"/>
      <c r="AD1859" s="31"/>
      <c r="AE1859" s="31"/>
      <c r="AF1859" s="31"/>
      <c r="AG1859" s="31"/>
      <c r="AH1859" s="31"/>
      <c r="AI1859" s="31"/>
      <c r="AJ1859" s="31"/>
      <c r="AK1859" s="31"/>
      <c r="AL1859" s="28" t="str">
        <f>VLOOKUP($G1859,'[42]Sheet1 (2)'!$A$1:$B$1048440,2,FALSE)</f>
        <v>No.</v>
      </c>
      <c r="AM1859" s="32"/>
      <c r="AN1859" s="31"/>
      <c r="AO1859" s="33"/>
    </row>
    <row r="1860" spans="1:41" ht="112" x14ac:dyDescent="0.25">
      <c r="A1860" s="243">
        <v>1710</v>
      </c>
      <c r="B1860" s="39" t="s">
        <v>2994</v>
      </c>
      <c r="C1860" s="127">
        <v>49.24</v>
      </c>
      <c r="D1860" s="25" t="s">
        <v>3033</v>
      </c>
      <c r="E1860" s="24" t="s">
        <v>3036</v>
      </c>
      <c r="F1860" s="25" t="s">
        <v>3035</v>
      </c>
      <c r="G1860" s="25" t="s">
        <v>45</v>
      </c>
      <c r="H1860" s="26">
        <v>12688</v>
      </c>
      <c r="I1860" s="26">
        <v>2441</v>
      </c>
      <c r="J1860" s="31"/>
      <c r="K1860" s="31"/>
      <c r="L1860" s="31"/>
      <c r="M1860" s="31"/>
      <c r="N1860" s="31"/>
      <c r="O1860" s="31"/>
      <c r="P1860" s="31"/>
      <c r="Q1860" s="31"/>
      <c r="R1860" s="31"/>
      <c r="S1860" s="31"/>
      <c r="T1860" s="31"/>
      <c r="U1860" s="31"/>
      <c r="V1860" s="31"/>
      <c r="W1860" s="31"/>
      <c r="X1860" s="31"/>
      <c r="Y1860" s="31"/>
      <c r="Z1860" s="31"/>
      <c r="AA1860" s="31"/>
      <c r="AB1860" s="31"/>
      <c r="AC1860" s="31"/>
      <c r="AD1860" s="31"/>
      <c r="AE1860" s="31"/>
      <c r="AF1860" s="31"/>
      <c r="AG1860" s="31"/>
      <c r="AH1860" s="31"/>
      <c r="AI1860" s="31"/>
      <c r="AJ1860" s="31"/>
      <c r="AK1860" s="31"/>
      <c r="AL1860" s="28" t="str">
        <f>VLOOKUP($G1860,'[42]Sheet1 (2)'!$A$1:$B$1048440,2,FALSE)</f>
        <v>No.</v>
      </c>
      <c r="AM1860" s="32"/>
      <c r="AN1860" s="31"/>
      <c r="AO1860" s="33"/>
    </row>
    <row r="1861" spans="1:41" ht="98" x14ac:dyDescent="0.25">
      <c r="A1861" s="243">
        <v>1711</v>
      </c>
      <c r="B1861" s="39" t="s">
        <v>2994</v>
      </c>
      <c r="C1861" s="127">
        <v>49.25</v>
      </c>
      <c r="D1861" s="26">
        <v>25</v>
      </c>
      <c r="E1861" s="23" t="s">
        <v>3037</v>
      </c>
      <c r="F1861" s="24" t="s">
        <v>3038</v>
      </c>
      <c r="G1861" s="25" t="s">
        <v>45</v>
      </c>
      <c r="H1861" s="26">
        <v>2577</v>
      </c>
      <c r="I1861" s="26">
        <v>299</v>
      </c>
      <c r="J1861" s="31"/>
      <c r="K1861" s="31"/>
      <c r="L1861" s="31"/>
      <c r="M1861" s="31"/>
      <c r="N1861" s="31"/>
      <c r="O1861" s="31"/>
      <c r="P1861" s="31"/>
      <c r="Q1861" s="31"/>
      <c r="R1861" s="31"/>
      <c r="S1861" s="31"/>
      <c r="T1861" s="31"/>
      <c r="U1861" s="31"/>
      <c r="V1861" s="31"/>
      <c r="W1861" s="31"/>
      <c r="X1861" s="31"/>
      <c r="Y1861" s="31"/>
      <c r="Z1861" s="31"/>
      <c r="AA1861" s="31"/>
      <c r="AB1861" s="31"/>
      <c r="AC1861" s="31"/>
      <c r="AD1861" s="31"/>
      <c r="AE1861" s="31"/>
      <c r="AF1861" s="31"/>
      <c r="AG1861" s="31"/>
      <c r="AH1861" s="31"/>
      <c r="AI1861" s="31"/>
      <c r="AJ1861" s="31"/>
      <c r="AK1861" s="31"/>
      <c r="AL1861" s="28" t="str">
        <f>VLOOKUP($G1861,'[42]Sheet1 (2)'!$A$1:$B$1048440,2,FALSE)</f>
        <v>No.</v>
      </c>
      <c r="AM1861" s="32"/>
      <c r="AN1861" s="31"/>
      <c r="AO1861" s="33"/>
    </row>
    <row r="1862" spans="1:41" ht="84" x14ac:dyDescent="0.25">
      <c r="A1862" s="243">
        <v>1712</v>
      </c>
      <c r="B1862" s="39" t="s">
        <v>2994</v>
      </c>
      <c r="C1862" s="22">
        <v>49.26</v>
      </c>
      <c r="D1862" s="25" t="s">
        <v>3033</v>
      </c>
      <c r="E1862" s="23" t="s">
        <v>3039</v>
      </c>
      <c r="F1862" s="35" t="s">
        <v>3040</v>
      </c>
      <c r="G1862" s="25" t="s">
        <v>47</v>
      </c>
      <c r="H1862" s="26">
        <v>6213</v>
      </c>
      <c r="I1862" s="26">
        <v>1700</v>
      </c>
      <c r="J1862" s="31"/>
      <c r="K1862" s="31"/>
      <c r="L1862" s="31"/>
      <c r="M1862" s="31"/>
      <c r="N1862" s="31"/>
      <c r="O1862" s="31"/>
      <c r="P1862" s="31"/>
      <c r="Q1862" s="31"/>
      <c r="R1862" s="31"/>
      <c r="S1862" s="31"/>
      <c r="T1862" s="31"/>
      <c r="U1862" s="31"/>
      <c r="V1862" s="31"/>
      <c r="W1862" s="31"/>
      <c r="X1862" s="31"/>
      <c r="Y1862" s="31"/>
      <c r="Z1862" s="31"/>
      <c r="AA1862" s="31"/>
      <c r="AB1862" s="31"/>
      <c r="AC1862" s="31"/>
      <c r="AD1862" s="31"/>
      <c r="AE1862" s="31"/>
      <c r="AF1862" s="31"/>
      <c r="AG1862" s="31"/>
      <c r="AH1862" s="31"/>
      <c r="AI1862" s="31"/>
      <c r="AJ1862" s="31"/>
      <c r="AK1862" s="31"/>
      <c r="AL1862" s="28" t="str">
        <f>VLOOKUP($G1862,'[42]Sheet1 (2)'!$A$1:$B$1048440,2,FALSE)</f>
        <v>Cum</v>
      </c>
      <c r="AM1862" s="32"/>
      <c r="AN1862" s="31"/>
      <c r="AO1862" s="33"/>
    </row>
    <row r="1863" spans="1:41" ht="84" x14ac:dyDescent="0.25">
      <c r="A1863" s="243">
        <v>1713</v>
      </c>
      <c r="B1863" s="39" t="s">
        <v>2994</v>
      </c>
      <c r="C1863" s="22">
        <v>49.27</v>
      </c>
      <c r="D1863" s="25" t="s">
        <v>3033</v>
      </c>
      <c r="E1863" s="24" t="s">
        <v>3041</v>
      </c>
      <c r="F1863" s="35" t="s">
        <v>3040</v>
      </c>
      <c r="G1863" s="25" t="s">
        <v>47</v>
      </c>
      <c r="H1863" s="26">
        <v>6377</v>
      </c>
      <c r="I1863" s="26">
        <v>1700</v>
      </c>
      <c r="J1863" s="31"/>
      <c r="K1863" s="31"/>
      <c r="L1863" s="31"/>
      <c r="M1863" s="31"/>
      <c r="N1863" s="31"/>
      <c r="O1863" s="31"/>
      <c r="P1863" s="31"/>
      <c r="Q1863" s="31"/>
      <c r="R1863" s="31"/>
      <c r="S1863" s="31"/>
      <c r="T1863" s="31"/>
      <c r="U1863" s="31"/>
      <c r="V1863" s="31"/>
      <c r="W1863" s="31"/>
      <c r="X1863" s="31"/>
      <c r="Y1863" s="31"/>
      <c r="Z1863" s="31"/>
      <c r="AA1863" s="31"/>
      <c r="AB1863" s="31"/>
      <c r="AC1863" s="31"/>
      <c r="AD1863" s="31"/>
      <c r="AE1863" s="31"/>
      <c r="AF1863" s="31"/>
      <c r="AG1863" s="31"/>
      <c r="AH1863" s="31"/>
      <c r="AI1863" s="31"/>
      <c r="AJ1863" s="31"/>
      <c r="AK1863" s="31"/>
      <c r="AL1863" s="28" t="str">
        <f>VLOOKUP($G1863,'[42]Sheet1 (2)'!$A$1:$B$1048440,2,FALSE)</f>
        <v>Cum</v>
      </c>
      <c r="AM1863" s="32"/>
      <c r="AN1863" s="31"/>
      <c r="AO1863" s="33"/>
    </row>
    <row r="1864" spans="1:41" ht="84" x14ac:dyDescent="0.25">
      <c r="A1864" s="243">
        <v>1714</v>
      </c>
      <c r="B1864" s="39" t="s">
        <v>2994</v>
      </c>
      <c r="C1864" s="22">
        <v>49.28</v>
      </c>
      <c r="D1864" s="26">
        <v>28</v>
      </c>
      <c r="E1864" s="23" t="s">
        <v>3042</v>
      </c>
      <c r="F1864" s="24" t="s">
        <v>3038</v>
      </c>
      <c r="G1864" s="25" t="s">
        <v>45</v>
      </c>
      <c r="H1864" s="26">
        <v>20873</v>
      </c>
      <c r="I1864" s="26">
        <v>1494</v>
      </c>
      <c r="J1864" s="31"/>
      <c r="K1864" s="31"/>
      <c r="L1864" s="31"/>
      <c r="M1864" s="31"/>
      <c r="N1864" s="31"/>
      <c r="O1864" s="31"/>
      <c r="P1864" s="31"/>
      <c r="Q1864" s="31"/>
      <c r="R1864" s="31"/>
      <c r="S1864" s="31"/>
      <c r="T1864" s="31"/>
      <c r="U1864" s="31"/>
      <c r="V1864" s="31"/>
      <c r="W1864" s="31"/>
      <c r="X1864" s="31"/>
      <c r="Y1864" s="31"/>
      <c r="Z1864" s="31"/>
      <c r="AA1864" s="31"/>
      <c r="AB1864" s="31"/>
      <c r="AC1864" s="31"/>
      <c r="AD1864" s="31"/>
      <c r="AE1864" s="31"/>
      <c r="AF1864" s="31"/>
      <c r="AG1864" s="31"/>
      <c r="AH1864" s="31"/>
      <c r="AI1864" s="31"/>
      <c r="AJ1864" s="31"/>
      <c r="AK1864" s="31"/>
      <c r="AL1864" s="28" t="str">
        <f>VLOOKUP($G1864,'[42]Sheet1 (2)'!$A$1:$B$1048440,2,FALSE)</f>
        <v>No.</v>
      </c>
      <c r="AM1864" s="32"/>
      <c r="AN1864" s="31"/>
      <c r="AO1864" s="33"/>
    </row>
    <row r="1865" spans="1:41" ht="84" x14ac:dyDescent="0.25">
      <c r="A1865" s="243">
        <v>1715</v>
      </c>
      <c r="B1865" s="39" t="s">
        <v>2994</v>
      </c>
      <c r="C1865" s="22">
        <v>49.29</v>
      </c>
      <c r="D1865" s="26">
        <v>29</v>
      </c>
      <c r="E1865" s="23" t="s">
        <v>3043</v>
      </c>
      <c r="F1865" s="24" t="s">
        <v>3038</v>
      </c>
      <c r="G1865" s="25" t="s">
        <v>45</v>
      </c>
      <c r="H1865" s="26">
        <v>9830</v>
      </c>
      <c r="I1865" s="26">
        <v>299</v>
      </c>
      <c r="J1865" s="31"/>
      <c r="K1865" s="31"/>
      <c r="L1865" s="31"/>
      <c r="M1865" s="31"/>
      <c r="N1865" s="31"/>
      <c r="O1865" s="31"/>
      <c r="P1865" s="31"/>
      <c r="Q1865" s="31"/>
      <c r="R1865" s="31"/>
      <c r="S1865" s="31"/>
      <c r="T1865" s="31"/>
      <c r="U1865" s="31"/>
      <c r="V1865" s="31"/>
      <c r="W1865" s="31"/>
      <c r="X1865" s="31"/>
      <c r="Y1865" s="31"/>
      <c r="Z1865" s="31"/>
      <c r="AA1865" s="31"/>
      <c r="AB1865" s="31"/>
      <c r="AC1865" s="31"/>
      <c r="AD1865" s="31"/>
      <c r="AE1865" s="31"/>
      <c r="AF1865" s="31"/>
      <c r="AG1865" s="31"/>
      <c r="AH1865" s="31"/>
      <c r="AI1865" s="31"/>
      <c r="AJ1865" s="31"/>
      <c r="AK1865" s="31"/>
      <c r="AL1865" s="28" t="str">
        <f>VLOOKUP($G1865,'[42]Sheet1 (2)'!$A$1:$B$1048440,2,FALSE)</f>
        <v>No.</v>
      </c>
      <c r="AM1865" s="32"/>
      <c r="AN1865" s="31"/>
      <c r="AO1865" s="33"/>
    </row>
    <row r="1866" spans="1:41" ht="56" x14ac:dyDescent="0.25">
      <c r="A1866" s="243">
        <v>1716</v>
      </c>
      <c r="B1866" s="39" t="s">
        <v>2994</v>
      </c>
      <c r="C1866" s="22">
        <v>49.3</v>
      </c>
      <c r="D1866" s="26">
        <v>30</v>
      </c>
      <c r="E1866" s="23" t="s">
        <v>3044</v>
      </c>
      <c r="F1866" s="24" t="s">
        <v>3038</v>
      </c>
      <c r="G1866" s="25" t="s">
        <v>45</v>
      </c>
      <c r="H1866" s="26">
        <v>2466</v>
      </c>
      <c r="I1866" s="26">
        <v>953</v>
      </c>
      <c r="J1866" s="31"/>
      <c r="K1866" s="31"/>
      <c r="L1866" s="31"/>
      <c r="M1866" s="31"/>
      <c r="N1866" s="31"/>
      <c r="O1866" s="31"/>
      <c r="P1866" s="31"/>
      <c r="Q1866" s="31"/>
      <c r="R1866" s="31"/>
      <c r="S1866" s="31"/>
      <c r="T1866" s="31"/>
      <c r="U1866" s="31"/>
      <c r="V1866" s="31"/>
      <c r="W1866" s="31"/>
      <c r="X1866" s="31"/>
      <c r="Y1866" s="31"/>
      <c r="Z1866" s="31"/>
      <c r="AA1866" s="31"/>
      <c r="AB1866" s="31"/>
      <c r="AC1866" s="31"/>
      <c r="AD1866" s="31"/>
      <c r="AE1866" s="31"/>
      <c r="AF1866" s="31"/>
      <c r="AG1866" s="31"/>
      <c r="AH1866" s="31"/>
      <c r="AI1866" s="31"/>
      <c r="AJ1866" s="31"/>
      <c r="AK1866" s="31"/>
      <c r="AL1866" s="28" t="str">
        <f>VLOOKUP($G1866,'[42]Sheet1 (2)'!$A$1:$B$1048440,2,FALSE)</f>
        <v>No.</v>
      </c>
      <c r="AM1866" s="32"/>
      <c r="AN1866" s="31"/>
      <c r="AO1866" s="33"/>
    </row>
    <row r="1867" spans="1:41" ht="154" x14ac:dyDescent="0.25">
      <c r="A1867" s="243">
        <v>1717</v>
      </c>
      <c r="B1867" s="39" t="s">
        <v>2994</v>
      </c>
      <c r="C1867" s="22">
        <v>49.31</v>
      </c>
      <c r="D1867" s="26">
        <v>31</v>
      </c>
      <c r="E1867" s="24" t="s">
        <v>3045</v>
      </c>
      <c r="F1867" s="24" t="s">
        <v>3038</v>
      </c>
      <c r="G1867" s="25" t="s">
        <v>45</v>
      </c>
      <c r="H1867" s="26">
        <v>309</v>
      </c>
      <c r="I1867" s="26">
        <v>49</v>
      </c>
      <c r="J1867" s="31"/>
      <c r="K1867" s="31"/>
      <c r="L1867" s="31"/>
      <c r="M1867" s="31"/>
      <c r="N1867" s="31"/>
      <c r="O1867" s="31"/>
      <c r="P1867" s="31"/>
      <c r="Q1867" s="31"/>
      <c r="R1867" s="31"/>
      <c r="S1867" s="31"/>
      <c r="T1867" s="31"/>
      <c r="U1867" s="31"/>
      <c r="V1867" s="31"/>
      <c r="W1867" s="31"/>
      <c r="X1867" s="31"/>
      <c r="Y1867" s="31"/>
      <c r="Z1867" s="31"/>
      <c r="AA1867" s="31"/>
      <c r="AB1867" s="31"/>
      <c r="AC1867" s="31"/>
      <c r="AD1867" s="31"/>
      <c r="AE1867" s="31"/>
      <c r="AF1867" s="31"/>
      <c r="AG1867" s="31"/>
      <c r="AH1867" s="31"/>
      <c r="AI1867" s="31"/>
      <c r="AJ1867" s="31"/>
      <c r="AK1867" s="31"/>
      <c r="AL1867" s="28" t="str">
        <f>VLOOKUP($G1867,'[42]Sheet1 (2)'!$A$1:$B$1048440,2,FALSE)</f>
        <v>No.</v>
      </c>
      <c r="AM1867" s="32"/>
      <c r="AN1867" s="31"/>
      <c r="AO1867" s="33"/>
    </row>
    <row r="1868" spans="1:41" ht="154" x14ac:dyDescent="0.25">
      <c r="A1868" s="243">
        <v>1718</v>
      </c>
      <c r="B1868" s="39" t="s">
        <v>2994</v>
      </c>
      <c r="C1868" s="22">
        <v>49.32</v>
      </c>
      <c r="D1868" s="26">
        <v>32</v>
      </c>
      <c r="E1868" s="24" t="s">
        <v>3046</v>
      </c>
      <c r="F1868" s="24" t="s">
        <v>3038</v>
      </c>
      <c r="G1868" s="25" t="s">
        <v>45</v>
      </c>
      <c r="H1868" s="26">
        <v>1753</v>
      </c>
      <c r="I1868" s="26">
        <v>185</v>
      </c>
      <c r="J1868" s="31"/>
      <c r="K1868" s="31"/>
      <c r="L1868" s="31"/>
      <c r="M1868" s="31"/>
      <c r="N1868" s="31"/>
      <c r="O1868" s="31"/>
      <c r="P1868" s="31"/>
      <c r="Q1868" s="31"/>
      <c r="R1868" s="31"/>
      <c r="S1868" s="31"/>
      <c r="T1868" s="31"/>
      <c r="U1868" s="31"/>
      <c r="V1868" s="31"/>
      <c r="W1868" s="31"/>
      <c r="X1868" s="31"/>
      <c r="Y1868" s="31"/>
      <c r="Z1868" s="31"/>
      <c r="AA1868" s="31"/>
      <c r="AB1868" s="31"/>
      <c r="AC1868" s="31"/>
      <c r="AD1868" s="31"/>
      <c r="AE1868" s="31"/>
      <c r="AF1868" s="31"/>
      <c r="AG1868" s="31"/>
      <c r="AH1868" s="31"/>
      <c r="AI1868" s="31"/>
      <c r="AJ1868" s="31"/>
      <c r="AK1868" s="31"/>
      <c r="AL1868" s="28" t="str">
        <f>VLOOKUP($G1868,'[42]Sheet1 (2)'!$A$1:$B$1048440,2,FALSE)</f>
        <v>No.</v>
      </c>
      <c r="AM1868" s="32"/>
      <c r="AN1868" s="31"/>
      <c r="AO1868" s="33"/>
    </row>
    <row r="1869" spans="1:41" ht="196" x14ac:dyDescent="0.25">
      <c r="A1869" s="23"/>
      <c r="B1869" s="39" t="s">
        <v>2994</v>
      </c>
      <c r="C1869" s="127">
        <v>49.33</v>
      </c>
      <c r="D1869" s="26">
        <v>33</v>
      </c>
      <c r="E1869" s="24" t="s">
        <v>3047</v>
      </c>
      <c r="F1869" s="23"/>
      <c r="G1869" s="23"/>
      <c r="H1869" s="23"/>
      <c r="I1869" s="23"/>
      <c r="J1869" s="31"/>
      <c r="K1869" s="31"/>
      <c r="L1869" s="31"/>
      <c r="M1869" s="31"/>
      <c r="N1869" s="31"/>
      <c r="O1869" s="31"/>
      <c r="P1869" s="31"/>
      <c r="Q1869" s="31"/>
      <c r="R1869" s="31"/>
      <c r="S1869" s="31"/>
      <c r="T1869" s="31"/>
      <c r="U1869" s="31"/>
      <c r="V1869" s="31"/>
      <c r="W1869" s="31"/>
      <c r="X1869" s="31"/>
      <c r="Y1869" s="31"/>
      <c r="Z1869" s="31"/>
      <c r="AA1869" s="31"/>
      <c r="AB1869" s="31"/>
      <c r="AC1869" s="31"/>
      <c r="AD1869" s="31"/>
      <c r="AE1869" s="31"/>
      <c r="AF1869" s="31"/>
      <c r="AG1869" s="31"/>
      <c r="AH1869" s="31"/>
      <c r="AI1869" s="31"/>
      <c r="AJ1869" s="31"/>
      <c r="AK1869" s="31"/>
      <c r="AL1869" s="28" t="e">
        <f>VLOOKUP($G1869,'[42]Sheet1 (2)'!$A$1:$B$1048440,2,FALSE)</f>
        <v>#N/A</v>
      </c>
      <c r="AM1869" s="32"/>
      <c r="AN1869" s="31"/>
      <c r="AO1869" s="33"/>
    </row>
    <row r="1870" spans="1:41" ht="54" customHeight="1" x14ac:dyDescent="0.25">
      <c r="A1870" s="243">
        <v>1719</v>
      </c>
      <c r="B1870" s="23"/>
      <c r="C1870" s="25" t="s">
        <v>373</v>
      </c>
      <c r="D1870" s="23"/>
      <c r="E1870" s="24" t="s">
        <v>3048</v>
      </c>
      <c r="F1870" s="24" t="s">
        <v>3038</v>
      </c>
      <c r="G1870" s="21" t="s">
        <v>80</v>
      </c>
      <c r="H1870" s="26">
        <v>13882</v>
      </c>
      <c r="I1870" s="26">
        <v>533</v>
      </c>
      <c r="J1870" s="31"/>
      <c r="K1870" s="31"/>
      <c r="L1870" s="31"/>
      <c r="M1870" s="31"/>
      <c r="N1870" s="31"/>
      <c r="O1870" s="31"/>
      <c r="P1870" s="31"/>
      <c r="Q1870" s="31"/>
      <c r="R1870" s="31"/>
      <c r="S1870" s="31"/>
      <c r="T1870" s="31"/>
      <c r="U1870" s="31"/>
      <c r="V1870" s="31"/>
      <c r="W1870" s="31"/>
      <c r="X1870" s="31"/>
      <c r="Y1870" s="31"/>
      <c r="Z1870" s="31"/>
      <c r="AA1870" s="31"/>
      <c r="AB1870" s="31"/>
      <c r="AC1870" s="31"/>
      <c r="AD1870" s="31"/>
      <c r="AE1870" s="31"/>
      <c r="AF1870" s="31"/>
      <c r="AG1870" s="31"/>
      <c r="AH1870" s="31"/>
      <c r="AI1870" s="31"/>
      <c r="AJ1870" s="31"/>
      <c r="AK1870" s="31"/>
      <c r="AL1870" s="28" t="str">
        <f>VLOOKUP($G1870,'[42]Sheet1 (2)'!$A$1:$B$1048440,2,FALSE)</f>
        <v>Rmt.</v>
      </c>
      <c r="AM1870" s="32"/>
      <c r="AN1870" s="31"/>
      <c r="AO1870" s="33"/>
    </row>
    <row r="1871" spans="1:41" ht="49.5" customHeight="1" x14ac:dyDescent="0.25">
      <c r="A1871" s="243">
        <v>1720</v>
      </c>
      <c r="B1871" s="23"/>
      <c r="C1871" s="25" t="s">
        <v>375</v>
      </c>
      <c r="D1871" s="23"/>
      <c r="E1871" s="24" t="s">
        <v>3049</v>
      </c>
      <c r="F1871" s="24" t="s">
        <v>3038</v>
      </c>
      <c r="G1871" s="21" t="s">
        <v>80</v>
      </c>
      <c r="H1871" s="26">
        <v>6637</v>
      </c>
      <c r="I1871" s="26">
        <v>266</v>
      </c>
      <c r="J1871" s="31"/>
      <c r="K1871" s="31"/>
      <c r="L1871" s="31"/>
      <c r="M1871" s="31"/>
      <c r="N1871" s="31"/>
      <c r="O1871" s="31"/>
      <c r="P1871" s="31"/>
      <c r="Q1871" s="31"/>
      <c r="R1871" s="31"/>
      <c r="S1871" s="31"/>
      <c r="T1871" s="31"/>
      <c r="U1871" s="31"/>
      <c r="V1871" s="31"/>
      <c r="W1871" s="31"/>
      <c r="X1871" s="31"/>
      <c r="Y1871" s="31"/>
      <c r="Z1871" s="31"/>
      <c r="AA1871" s="31"/>
      <c r="AB1871" s="31"/>
      <c r="AC1871" s="31"/>
      <c r="AD1871" s="31"/>
      <c r="AE1871" s="31"/>
      <c r="AF1871" s="31"/>
      <c r="AG1871" s="31"/>
      <c r="AH1871" s="31"/>
      <c r="AI1871" s="31"/>
      <c r="AJ1871" s="31"/>
      <c r="AK1871" s="31"/>
      <c r="AL1871" s="28" t="str">
        <f>VLOOKUP($G1871,'[42]Sheet1 (2)'!$A$1:$B$1048440,2,FALSE)</f>
        <v>Rmt.</v>
      </c>
      <c r="AM1871" s="32"/>
      <c r="AN1871" s="31"/>
      <c r="AO1871" s="33"/>
    </row>
    <row r="1872" spans="1:41" ht="140" x14ac:dyDescent="0.25">
      <c r="A1872" s="243">
        <v>1721</v>
      </c>
      <c r="B1872" s="39" t="s">
        <v>2994</v>
      </c>
      <c r="C1872" s="127">
        <v>49.34</v>
      </c>
      <c r="D1872" s="26">
        <v>34</v>
      </c>
      <c r="E1872" s="24" t="s">
        <v>3050</v>
      </c>
      <c r="F1872" s="24" t="s">
        <v>3038</v>
      </c>
      <c r="G1872" s="25" t="s">
        <v>47</v>
      </c>
      <c r="H1872" s="26">
        <v>1786</v>
      </c>
      <c r="I1872" s="26">
        <v>150</v>
      </c>
      <c r="J1872" s="31"/>
      <c r="K1872" s="31"/>
      <c r="L1872" s="31"/>
      <c r="M1872" s="31"/>
      <c r="N1872" s="31"/>
      <c r="O1872" s="31"/>
      <c r="P1872" s="31"/>
      <c r="Q1872" s="31"/>
      <c r="R1872" s="31"/>
      <c r="S1872" s="31"/>
      <c r="T1872" s="31"/>
      <c r="U1872" s="31"/>
      <c r="V1872" s="31"/>
      <c r="W1872" s="31"/>
      <c r="X1872" s="31"/>
      <c r="Y1872" s="31"/>
      <c r="Z1872" s="31"/>
      <c r="AA1872" s="31"/>
      <c r="AB1872" s="31"/>
      <c r="AC1872" s="31"/>
      <c r="AD1872" s="31"/>
      <c r="AE1872" s="31"/>
      <c r="AF1872" s="31"/>
      <c r="AG1872" s="31"/>
      <c r="AH1872" s="31"/>
      <c r="AI1872" s="31"/>
      <c r="AJ1872" s="31"/>
      <c r="AK1872" s="31"/>
      <c r="AL1872" s="28" t="str">
        <f>VLOOKUP($G1872,'[42]Sheet1 (2)'!$A$1:$B$1048440,2,FALSE)</f>
        <v>Cum</v>
      </c>
      <c r="AM1872" s="32"/>
      <c r="AN1872" s="31"/>
      <c r="AO1872" s="33"/>
    </row>
    <row r="1873" spans="1:41" ht="154" x14ac:dyDescent="0.25">
      <c r="A1873" s="243">
        <v>1722</v>
      </c>
      <c r="B1873" s="39" t="s">
        <v>2994</v>
      </c>
      <c r="C1873" s="127">
        <v>49.35</v>
      </c>
      <c r="D1873" s="26">
        <v>35</v>
      </c>
      <c r="E1873" s="24" t="s">
        <v>3051</v>
      </c>
      <c r="F1873" s="24" t="s">
        <v>3038</v>
      </c>
      <c r="G1873" s="25" t="s">
        <v>45</v>
      </c>
      <c r="H1873" s="26">
        <v>1251</v>
      </c>
      <c r="I1873" s="26">
        <v>49</v>
      </c>
      <c r="J1873" s="31"/>
      <c r="K1873" s="31"/>
      <c r="L1873" s="31"/>
      <c r="M1873" s="31"/>
      <c r="N1873" s="31"/>
      <c r="O1873" s="31"/>
      <c r="P1873" s="31"/>
      <c r="Q1873" s="31"/>
      <c r="R1873" s="31"/>
      <c r="S1873" s="31"/>
      <c r="T1873" s="31"/>
      <c r="U1873" s="31"/>
      <c r="V1873" s="31"/>
      <c r="W1873" s="31"/>
      <c r="X1873" s="31"/>
      <c r="Y1873" s="31"/>
      <c r="Z1873" s="31"/>
      <c r="AA1873" s="31"/>
      <c r="AB1873" s="31"/>
      <c r="AC1873" s="31"/>
      <c r="AD1873" s="31"/>
      <c r="AE1873" s="31"/>
      <c r="AF1873" s="31"/>
      <c r="AG1873" s="31"/>
      <c r="AH1873" s="31"/>
      <c r="AI1873" s="31"/>
      <c r="AJ1873" s="31"/>
      <c r="AK1873" s="31"/>
      <c r="AL1873" s="28" t="str">
        <f>VLOOKUP($G1873,'[42]Sheet1 (2)'!$A$1:$B$1048440,2,FALSE)</f>
        <v>No.</v>
      </c>
      <c r="AM1873" s="32"/>
      <c r="AN1873" s="31"/>
      <c r="AO1873" s="33"/>
    </row>
    <row r="1874" spans="1:41" ht="168" x14ac:dyDescent="0.25">
      <c r="A1874" s="243">
        <v>1723</v>
      </c>
      <c r="B1874" s="39" t="s">
        <v>2994</v>
      </c>
      <c r="C1874" s="22">
        <v>49.36</v>
      </c>
      <c r="D1874" s="26">
        <v>36</v>
      </c>
      <c r="E1874" s="23" t="s">
        <v>3052</v>
      </c>
      <c r="F1874" s="24" t="s">
        <v>3038</v>
      </c>
      <c r="G1874" s="25" t="s">
        <v>45</v>
      </c>
      <c r="H1874" s="26">
        <v>3110</v>
      </c>
      <c r="I1874" s="26">
        <v>185</v>
      </c>
      <c r="J1874" s="31"/>
      <c r="K1874" s="31"/>
      <c r="L1874" s="31"/>
      <c r="M1874" s="31"/>
      <c r="N1874" s="31"/>
      <c r="O1874" s="31"/>
      <c r="P1874" s="31"/>
      <c r="Q1874" s="31"/>
      <c r="R1874" s="31"/>
      <c r="S1874" s="31"/>
      <c r="T1874" s="31"/>
      <c r="U1874" s="31"/>
      <c r="V1874" s="31"/>
      <c r="W1874" s="31"/>
      <c r="X1874" s="31"/>
      <c r="Y1874" s="31"/>
      <c r="Z1874" s="31"/>
      <c r="AA1874" s="31"/>
      <c r="AB1874" s="31"/>
      <c r="AC1874" s="31"/>
      <c r="AD1874" s="31"/>
      <c r="AE1874" s="31"/>
      <c r="AF1874" s="31"/>
      <c r="AG1874" s="31"/>
      <c r="AH1874" s="31"/>
      <c r="AI1874" s="31"/>
      <c r="AJ1874" s="31"/>
      <c r="AK1874" s="31"/>
      <c r="AL1874" s="28" t="str">
        <f>VLOOKUP($G1874,'[42]Sheet1 (2)'!$A$1:$B$1048440,2,FALSE)</f>
        <v>No.</v>
      </c>
      <c r="AM1874" s="32"/>
      <c r="AN1874" s="31"/>
      <c r="AO1874" s="33"/>
    </row>
    <row r="1875" spans="1:41" ht="371.25" customHeight="1" x14ac:dyDescent="0.25">
      <c r="A1875" s="243">
        <v>1724</v>
      </c>
      <c r="B1875" s="39" t="s">
        <v>2994</v>
      </c>
      <c r="C1875" s="22">
        <v>49.37</v>
      </c>
      <c r="D1875" s="26">
        <v>37</v>
      </c>
      <c r="E1875" s="24" t="s">
        <v>3053</v>
      </c>
      <c r="F1875" s="24" t="s">
        <v>3038</v>
      </c>
      <c r="G1875" s="25" t="s">
        <v>47</v>
      </c>
      <c r="H1875" s="26">
        <v>426</v>
      </c>
      <c r="I1875" s="26">
        <v>219</v>
      </c>
      <c r="J1875" s="31"/>
      <c r="K1875" s="31"/>
      <c r="L1875" s="31"/>
      <c r="M1875" s="31"/>
      <c r="N1875" s="31"/>
      <c r="O1875" s="31"/>
      <c r="P1875" s="31"/>
      <c r="Q1875" s="31"/>
      <c r="R1875" s="31"/>
      <c r="S1875" s="31"/>
      <c r="T1875" s="31"/>
      <c r="U1875" s="31"/>
      <c r="V1875" s="31"/>
      <c r="W1875" s="31"/>
      <c r="X1875" s="31"/>
      <c r="Y1875" s="31"/>
      <c r="Z1875" s="31"/>
      <c r="AA1875" s="31"/>
      <c r="AB1875" s="31"/>
      <c r="AC1875" s="31"/>
      <c r="AD1875" s="31"/>
      <c r="AE1875" s="31"/>
      <c r="AF1875" s="31"/>
      <c r="AG1875" s="31"/>
      <c r="AH1875" s="31"/>
      <c r="AI1875" s="31"/>
      <c r="AJ1875" s="31"/>
      <c r="AK1875" s="31"/>
      <c r="AL1875" s="28" t="str">
        <f>VLOOKUP($G1875,'[42]Sheet1 (2)'!$A$1:$B$1048440,2,FALSE)</f>
        <v>Cum</v>
      </c>
      <c r="AM1875" s="32"/>
      <c r="AN1875" s="31"/>
      <c r="AO1875" s="33"/>
    </row>
    <row r="1876" spans="1:41" ht="17.5" x14ac:dyDescent="0.25">
      <c r="A1876" s="244"/>
      <c r="B1876" s="245"/>
      <c r="C1876" s="246"/>
      <c r="D1876" s="167"/>
      <c r="E1876" s="241" t="s">
        <v>3054</v>
      </c>
      <c r="F1876" s="166"/>
      <c r="G1876" s="165"/>
      <c r="H1876" s="167"/>
      <c r="I1876" s="167"/>
      <c r="J1876" s="31"/>
      <c r="K1876" s="31"/>
      <c r="L1876" s="31"/>
      <c r="M1876" s="31"/>
      <c r="N1876" s="31"/>
      <c r="O1876" s="31"/>
      <c r="P1876" s="31"/>
      <c r="Q1876" s="31"/>
      <c r="R1876" s="31"/>
      <c r="S1876" s="31"/>
      <c r="T1876" s="31"/>
      <c r="U1876" s="31"/>
      <c r="V1876" s="31"/>
      <c r="W1876" s="31"/>
      <c r="X1876" s="31"/>
      <c r="Y1876" s="31"/>
      <c r="Z1876" s="31"/>
      <c r="AA1876" s="31"/>
      <c r="AB1876" s="31"/>
      <c r="AC1876" s="31"/>
      <c r="AD1876" s="31"/>
      <c r="AE1876" s="31"/>
      <c r="AF1876" s="31"/>
      <c r="AG1876" s="31"/>
      <c r="AH1876" s="31"/>
      <c r="AI1876" s="31"/>
      <c r="AJ1876" s="31"/>
      <c r="AK1876" s="31"/>
      <c r="AL1876" s="28" t="e">
        <f>VLOOKUP($G1876,'[42]Sheet1 (2)'!$A$1:$B$1048440,2,FALSE)</f>
        <v>#N/A</v>
      </c>
      <c r="AM1876" s="32"/>
      <c r="AN1876" s="31"/>
      <c r="AO1876" s="33"/>
    </row>
    <row r="1877" spans="1:41" ht="70" x14ac:dyDescent="0.25">
      <c r="A1877" s="34"/>
      <c r="B1877" s="35" t="s">
        <v>3055</v>
      </c>
      <c r="C1877" s="22">
        <v>50.01</v>
      </c>
      <c r="D1877" s="34"/>
      <c r="E1877" s="24" t="s">
        <v>82</v>
      </c>
      <c r="F1877" s="92" t="s">
        <v>3056</v>
      </c>
      <c r="G1877" s="34"/>
      <c r="H1877" s="34"/>
      <c r="I1877" s="34"/>
      <c r="J1877" s="31"/>
      <c r="K1877" s="31"/>
      <c r="L1877" s="31"/>
      <c r="M1877" s="31"/>
      <c r="N1877" s="31"/>
      <c r="O1877" s="31"/>
      <c r="P1877" s="31"/>
      <c r="Q1877" s="31"/>
      <c r="R1877" s="31"/>
      <c r="S1877" s="31"/>
      <c r="T1877" s="31"/>
      <c r="U1877" s="31"/>
      <c r="V1877" s="31"/>
      <c r="W1877" s="31"/>
      <c r="X1877" s="31"/>
      <c r="Y1877" s="31"/>
      <c r="Z1877" s="31"/>
      <c r="AA1877" s="31"/>
      <c r="AB1877" s="31"/>
      <c r="AC1877" s="31"/>
      <c r="AD1877" s="31"/>
      <c r="AE1877" s="31"/>
      <c r="AF1877" s="31"/>
      <c r="AG1877" s="31"/>
      <c r="AH1877" s="31"/>
      <c r="AI1877" s="31"/>
      <c r="AJ1877" s="31"/>
      <c r="AK1877" s="31"/>
      <c r="AL1877" s="28" t="e">
        <f>VLOOKUP($G1877,'[42]Sheet1 (2)'!$A$1:$B$1048440,2,FALSE)</f>
        <v>#N/A</v>
      </c>
      <c r="AM1877" s="32"/>
      <c r="AN1877" s="31"/>
      <c r="AO1877" s="33"/>
    </row>
    <row r="1878" spans="1:41" ht="56" x14ac:dyDescent="0.25">
      <c r="A1878" s="34"/>
      <c r="B1878" s="35" t="s">
        <v>3055</v>
      </c>
      <c r="C1878" s="22">
        <v>50.02</v>
      </c>
      <c r="D1878" s="34"/>
      <c r="E1878" s="24" t="s">
        <v>82</v>
      </c>
      <c r="F1878" s="35" t="s">
        <v>64</v>
      </c>
      <c r="G1878" s="34"/>
      <c r="H1878" s="34"/>
      <c r="I1878" s="34"/>
      <c r="J1878" s="31"/>
      <c r="K1878" s="31"/>
      <c r="L1878" s="31"/>
      <c r="M1878" s="31"/>
      <c r="N1878" s="31"/>
      <c r="O1878" s="31"/>
      <c r="P1878" s="31"/>
      <c r="Q1878" s="31"/>
      <c r="R1878" s="31"/>
      <c r="S1878" s="31"/>
      <c r="T1878" s="31"/>
      <c r="U1878" s="31"/>
      <c r="V1878" s="31"/>
      <c r="W1878" s="31"/>
      <c r="X1878" s="31"/>
      <c r="Y1878" s="31"/>
      <c r="Z1878" s="31"/>
      <c r="AA1878" s="31"/>
      <c r="AB1878" s="31"/>
      <c r="AC1878" s="31"/>
      <c r="AD1878" s="31"/>
      <c r="AE1878" s="31"/>
      <c r="AF1878" s="31"/>
      <c r="AG1878" s="31"/>
      <c r="AH1878" s="31"/>
      <c r="AI1878" s="31"/>
      <c r="AJ1878" s="31"/>
      <c r="AK1878" s="31"/>
      <c r="AL1878" s="28" t="e">
        <f>VLOOKUP($G1878,'[42]Sheet1 (2)'!$A$1:$B$1048440,2,FALSE)</f>
        <v>#N/A</v>
      </c>
      <c r="AM1878" s="32"/>
      <c r="AN1878" s="31"/>
      <c r="AO1878" s="33"/>
    </row>
    <row r="1879" spans="1:41" ht="56" x14ac:dyDescent="0.25">
      <c r="A1879" s="34"/>
      <c r="B1879" s="35" t="s">
        <v>3055</v>
      </c>
      <c r="C1879" s="22">
        <v>50.03</v>
      </c>
      <c r="D1879" s="34"/>
      <c r="E1879" s="24" t="s">
        <v>82</v>
      </c>
      <c r="F1879" s="35" t="s">
        <v>64</v>
      </c>
      <c r="G1879" s="34"/>
      <c r="H1879" s="34"/>
      <c r="I1879" s="34"/>
      <c r="J1879" s="31"/>
      <c r="K1879" s="31"/>
      <c r="L1879" s="31"/>
      <c r="M1879" s="31"/>
      <c r="N1879" s="31"/>
      <c r="O1879" s="31"/>
      <c r="P1879" s="31"/>
      <c r="Q1879" s="31"/>
      <c r="R1879" s="31"/>
      <c r="S1879" s="31"/>
      <c r="T1879" s="31"/>
      <c r="U1879" s="31"/>
      <c r="V1879" s="31"/>
      <c r="W1879" s="31"/>
      <c r="X1879" s="31"/>
      <c r="Y1879" s="31"/>
      <c r="Z1879" s="31"/>
      <c r="AA1879" s="31"/>
      <c r="AB1879" s="31"/>
      <c r="AC1879" s="31"/>
      <c r="AD1879" s="31"/>
      <c r="AE1879" s="31"/>
      <c r="AF1879" s="31"/>
      <c r="AG1879" s="31"/>
      <c r="AH1879" s="31"/>
      <c r="AI1879" s="31"/>
      <c r="AJ1879" s="31"/>
      <c r="AK1879" s="31"/>
      <c r="AL1879" s="28" t="e">
        <f>VLOOKUP($G1879,'[42]Sheet1 (2)'!$A$1:$B$1048440,2,FALSE)</f>
        <v>#N/A</v>
      </c>
      <c r="AM1879" s="32"/>
      <c r="AN1879" s="31"/>
      <c r="AO1879" s="33"/>
    </row>
    <row r="1880" spans="1:41" ht="56" x14ac:dyDescent="0.25">
      <c r="A1880" s="34"/>
      <c r="B1880" s="35" t="s">
        <v>3055</v>
      </c>
      <c r="C1880" s="22">
        <v>50.04</v>
      </c>
      <c r="D1880" s="34"/>
      <c r="E1880" s="24" t="s">
        <v>82</v>
      </c>
      <c r="F1880" s="35" t="s">
        <v>64</v>
      </c>
      <c r="G1880" s="34"/>
      <c r="H1880" s="34"/>
      <c r="I1880" s="34"/>
      <c r="J1880" s="31"/>
      <c r="K1880" s="31"/>
      <c r="L1880" s="31"/>
      <c r="M1880" s="31"/>
      <c r="N1880" s="31"/>
      <c r="O1880" s="31"/>
      <c r="P1880" s="31"/>
      <c r="Q1880" s="31"/>
      <c r="R1880" s="31"/>
      <c r="S1880" s="31"/>
      <c r="T1880" s="31"/>
      <c r="U1880" s="31"/>
      <c r="V1880" s="31"/>
      <c r="W1880" s="31"/>
      <c r="X1880" s="31"/>
      <c r="Y1880" s="31"/>
      <c r="Z1880" s="31"/>
      <c r="AA1880" s="31"/>
      <c r="AB1880" s="31"/>
      <c r="AC1880" s="31"/>
      <c r="AD1880" s="31"/>
      <c r="AE1880" s="31"/>
      <c r="AF1880" s="31"/>
      <c r="AG1880" s="31"/>
      <c r="AH1880" s="31"/>
      <c r="AI1880" s="31"/>
      <c r="AJ1880" s="31"/>
      <c r="AK1880" s="31"/>
      <c r="AL1880" s="28" t="e">
        <f>VLOOKUP($G1880,'[42]Sheet1 (2)'!$A$1:$B$1048440,2,FALSE)</f>
        <v>#N/A</v>
      </c>
      <c r="AM1880" s="32"/>
      <c r="AN1880" s="31"/>
      <c r="AO1880" s="33"/>
    </row>
    <row r="1881" spans="1:41" ht="56" x14ac:dyDescent="0.25">
      <c r="A1881" s="34"/>
      <c r="B1881" s="35" t="s">
        <v>3055</v>
      </c>
      <c r="C1881" s="22">
        <v>50.05</v>
      </c>
      <c r="D1881" s="34"/>
      <c r="E1881" s="24" t="s">
        <v>82</v>
      </c>
      <c r="F1881" s="35" t="s">
        <v>64</v>
      </c>
      <c r="G1881" s="34"/>
      <c r="H1881" s="34"/>
      <c r="I1881" s="34"/>
      <c r="J1881" s="31"/>
      <c r="K1881" s="31"/>
      <c r="L1881" s="31"/>
      <c r="M1881" s="31"/>
      <c r="N1881" s="31"/>
      <c r="O1881" s="31"/>
      <c r="P1881" s="31"/>
      <c r="Q1881" s="31"/>
      <c r="R1881" s="31"/>
      <c r="S1881" s="31"/>
      <c r="T1881" s="31"/>
      <c r="U1881" s="31"/>
      <c r="V1881" s="31"/>
      <c r="W1881" s="31"/>
      <c r="X1881" s="31"/>
      <c r="Y1881" s="31"/>
      <c r="Z1881" s="31"/>
      <c r="AA1881" s="31"/>
      <c r="AB1881" s="31"/>
      <c r="AC1881" s="31"/>
      <c r="AD1881" s="31"/>
      <c r="AE1881" s="31"/>
      <c r="AF1881" s="31"/>
      <c r="AG1881" s="31"/>
      <c r="AH1881" s="31"/>
      <c r="AI1881" s="31"/>
      <c r="AJ1881" s="31"/>
      <c r="AK1881" s="31"/>
      <c r="AL1881" s="28" t="e">
        <f>VLOOKUP($G1881,'[42]Sheet1 (2)'!$A$1:$B$1048440,2,FALSE)</f>
        <v>#N/A</v>
      </c>
      <c r="AM1881" s="32"/>
      <c r="AN1881" s="31"/>
      <c r="AO1881" s="33"/>
    </row>
    <row r="1882" spans="1:41" ht="182" x14ac:dyDescent="0.25">
      <c r="A1882" s="243">
        <v>1725</v>
      </c>
      <c r="B1882" s="24" t="s">
        <v>3057</v>
      </c>
      <c r="C1882" s="22">
        <v>50.06</v>
      </c>
      <c r="D1882" s="23"/>
      <c r="E1882" s="24" t="s">
        <v>3058</v>
      </c>
      <c r="F1882" s="24" t="s">
        <v>44</v>
      </c>
      <c r="G1882" s="202" t="s">
        <v>621</v>
      </c>
      <c r="H1882" s="26">
        <v>247</v>
      </c>
      <c r="I1882" s="26">
        <v>120</v>
      </c>
      <c r="J1882" s="31"/>
      <c r="K1882" s="31"/>
      <c r="L1882" s="31"/>
      <c r="M1882" s="31"/>
      <c r="N1882" s="31"/>
      <c r="O1882" s="31"/>
      <c r="P1882" s="31"/>
      <c r="Q1882" s="31"/>
      <c r="R1882" s="31"/>
      <c r="S1882" s="31"/>
      <c r="T1882" s="31"/>
      <c r="U1882" s="31"/>
      <c r="V1882" s="31"/>
      <c r="W1882" s="31"/>
      <c r="X1882" s="31"/>
      <c r="Y1882" s="31"/>
      <c r="Z1882" s="31"/>
      <c r="AA1882" s="31"/>
      <c r="AB1882" s="31"/>
      <c r="AC1882" s="31"/>
      <c r="AD1882" s="31"/>
      <c r="AE1882" s="31"/>
      <c r="AF1882" s="31"/>
      <c r="AG1882" s="31"/>
      <c r="AH1882" s="31"/>
      <c r="AI1882" s="31"/>
      <c r="AJ1882" s="31"/>
      <c r="AK1882" s="31"/>
      <c r="AL1882" s="28" t="str">
        <f>VLOOKUP($G1882,'[42]Sheet1 (2)'!$A$1:$B$1048440,2,FALSE)</f>
        <v>Sqm</v>
      </c>
      <c r="AM1882" s="32"/>
      <c r="AN1882" s="31"/>
      <c r="AO1882" s="33"/>
    </row>
    <row r="1883" spans="1:41" ht="336" x14ac:dyDescent="0.25">
      <c r="A1883" s="243">
        <v>1726</v>
      </c>
      <c r="B1883" s="21" t="s">
        <v>3059</v>
      </c>
      <c r="C1883" s="22">
        <v>50.07</v>
      </c>
      <c r="D1883" s="23"/>
      <c r="E1883" s="24" t="s">
        <v>3060</v>
      </c>
      <c r="F1883" s="24" t="s">
        <v>44</v>
      </c>
      <c r="G1883" s="25" t="s">
        <v>2916</v>
      </c>
      <c r="H1883" s="26">
        <v>210</v>
      </c>
      <c r="I1883" s="25" t="s">
        <v>3061</v>
      </c>
      <c r="J1883" s="31"/>
      <c r="K1883" s="31"/>
      <c r="L1883" s="31"/>
      <c r="M1883" s="31"/>
      <c r="N1883" s="31"/>
      <c r="O1883" s="31"/>
      <c r="P1883" s="31"/>
      <c r="Q1883" s="31"/>
      <c r="R1883" s="31"/>
      <c r="S1883" s="31"/>
      <c r="T1883" s="31"/>
      <c r="U1883" s="31"/>
      <c r="V1883" s="31"/>
      <c r="W1883" s="31"/>
      <c r="X1883" s="31"/>
      <c r="Y1883" s="31"/>
      <c r="Z1883" s="31"/>
      <c r="AA1883" s="31"/>
      <c r="AB1883" s="31"/>
      <c r="AC1883" s="31"/>
      <c r="AD1883" s="31"/>
      <c r="AE1883" s="31"/>
      <c r="AF1883" s="31"/>
      <c r="AG1883" s="31"/>
      <c r="AH1883" s="31"/>
      <c r="AI1883" s="31"/>
      <c r="AJ1883" s="31"/>
      <c r="AK1883" s="31"/>
      <c r="AL1883" s="28" t="str">
        <f>VLOOKUP($G1883,'[42]Sheet1 (2)'!$A$1:$B$1048440,2,FALSE)</f>
        <v>kg</v>
      </c>
      <c r="AM1883" s="32"/>
      <c r="AN1883" s="31"/>
      <c r="AO1883" s="33"/>
    </row>
    <row r="1884" spans="1:41" ht="98" x14ac:dyDescent="0.25">
      <c r="A1884" s="243">
        <v>1727</v>
      </c>
      <c r="B1884" s="24" t="s">
        <v>3062</v>
      </c>
      <c r="C1884" s="22">
        <v>50.08</v>
      </c>
      <c r="D1884" s="23"/>
      <c r="E1884" s="23" t="s">
        <v>3063</v>
      </c>
      <c r="F1884" s="24" t="s">
        <v>44</v>
      </c>
      <c r="G1884" s="25" t="s">
        <v>3064</v>
      </c>
      <c r="H1884" s="26">
        <v>42</v>
      </c>
      <c r="I1884" s="25" t="s">
        <v>3061</v>
      </c>
      <c r="J1884" s="31"/>
      <c r="K1884" s="31"/>
      <c r="L1884" s="31"/>
      <c r="M1884" s="31"/>
      <c r="N1884" s="31"/>
      <c r="O1884" s="31"/>
      <c r="P1884" s="31"/>
      <c r="Q1884" s="31"/>
      <c r="R1884" s="31"/>
      <c r="S1884" s="31"/>
      <c r="T1884" s="31"/>
      <c r="U1884" s="31"/>
      <c r="V1884" s="31"/>
      <c r="W1884" s="31"/>
      <c r="X1884" s="31"/>
      <c r="Y1884" s="31"/>
      <c r="Z1884" s="31"/>
      <c r="AA1884" s="31"/>
      <c r="AB1884" s="31"/>
      <c r="AC1884" s="31"/>
      <c r="AD1884" s="31"/>
      <c r="AE1884" s="31"/>
      <c r="AF1884" s="31"/>
      <c r="AG1884" s="31"/>
      <c r="AH1884" s="31"/>
      <c r="AI1884" s="31"/>
      <c r="AJ1884" s="31"/>
      <c r="AK1884" s="31"/>
      <c r="AL1884" s="28" t="str">
        <f>VLOOKUP($G1884,'[42]Sheet1 (2)'!$A$1:$B$1048440,2,FALSE)</f>
        <v>One Pouch</v>
      </c>
      <c r="AM1884" s="32"/>
      <c r="AN1884" s="31"/>
      <c r="AO1884" s="33"/>
    </row>
    <row r="1885" spans="1:41" ht="168" x14ac:dyDescent="0.25">
      <c r="A1885" s="247">
        <v>1728</v>
      </c>
      <c r="B1885" s="248" t="s">
        <v>3065</v>
      </c>
      <c r="C1885" s="246">
        <v>50.09</v>
      </c>
      <c r="D1885" s="249"/>
      <c r="E1885" s="249" t="s">
        <v>3066</v>
      </c>
      <c r="F1885" s="250" t="s">
        <v>44</v>
      </c>
      <c r="G1885" s="202" t="s">
        <v>621</v>
      </c>
      <c r="H1885" s="251">
        <v>54</v>
      </c>
      <c r="I1885" s="251">
        <v>33</v>
      </c>
      <c r="J1885" s="31"/>
      <c r="K1885" s="31"/>
      <c r="L1885" s="31"/>
      <c r="M1885" s="31"/>
      <c r="N1885" s="31"/>
      <c r="O1885" s="31"/>
      <c r="P1885" s="31"/>
      <c r="Q1885" s="31"/>
      <c r="R1885" s="31"/>
      <c r="S1885" s="31"/>
      <c r="T1885" s="31"/>
      <c r="U1885" s="31"/>
      <c r="V1885" s="31"/>
      <c r="W1885" s="31"/>
      <c r="X1885" s="31"/>
      <c r="Y1885" s="31"/>
      <c r="Z1885" s="31"/>
      <c r="AA1885" s="31"/>
      <c r="AB1885" s="31"/>
      <c r="AC1885" s="31"/>
      <c r="AD1885" s="31"/>
      <c r="AE1885" s="31"/>
      <c r="AF1885" s="31"/>
      <c r="AG1885" s="31"/>
      <c r="AH1885" s="31"/>
      <c r="AI1885" s="31"/>
      <c r="AJ1885" s="31"/>
      <c r="AK1885" s="31"/>
      <c r="AL1885" s="28" t="str">
        <f>VLOOKUP($G1885,'[42]Sheet1 (2)'!$A$1:$B$1048440,2,FALSE)</f>
        <v>Sqm</v>
      </c>
      <c r="AM1885" s="32"/>
      <c r="AN1885" s="31"/>
      <c r="AO1885" s="33"/>
    </row>
    <row r="1886" spans="1:41" ht="406" x14ac:dyDescent="0.25">
      <c r="A1886" s="252">
        <v>1729</v>
      </c>
      <c r="B1886" s="253" t="s">
        <v>3067</v>
      </c>
      <c r="C1886" s="254">
        <v>50.1</v>
      </c>
      <c r="D1886" s="255"/>
      <c r="E1886" s="255" t="s">
        <v>3068</v>
      </c>
      <c r="F1886" s="256" t="s">
        <v>44</v>
      </c>
      <c r="G1886" s="202" t="s">
        <v>621</v>
      </c>
      <c r="H1886" s="257">
        <v>251</v>
      </c>
      <c r="I1886" s="258">
        <v>163</v>
      </c>
      <c r="J1886" s="31"/>
      <c r="K1886" s="31"/>
      <c r="L1886" s="31"/>
      <c r="M1886" s="31"/>
      <c r="N1886" s="31"/>
      <c r="O1886" s="31"/>
      <c r="P1886" s="31"/>
      <c r="Q1886" s="31"/>
      <c r="R1886" s="31"/>
      <c r="S1886" s="31"/>
      <c r="T1886" s="31"/>
      <c r="U1886" s="31"/>
      <c r="V1886" s="31"/>
      <c r="W1886" s="31"/>
      <c r="X1886" s="31"/>
      <c r="Y1886" s="31"/>
      <c r="Z1886" s="31"/>
      <c r="AA1886" s="31"/>
      <c r="AB1886" s="31"/>
      <c r="AC1886" s="31"/>
      <c r="AD1886" s="31"/>
      <c r="AE1886" s="31"/>
      <c r="AF1886" s="31"/>
      <c r="AG1886" s="31"/>
      <c r="AH1886" s="31"/>
      <c r="AI1886" s="31"/>
      <c r="AJ1886" s="31"/>
      <c r="AK1886" s="31"/>
      <c r="AL1886" s="28" t="str">
        <f>VLOOKUP($G1886,'[42]Sheet1 (2)'!$A$1:$B$1048440,2,FALSE)</f>
        <v>Sqm</v>
      </c>
      <c r="AM1886" s="32"/>
      <c r="AN1886" s="31"/>
      <c r="AO1886" s="33"/>
    </row>
    <row r="1887" spans="1:41" ht="224" x14ac:dyDescent="0.25">
      <c r="A1887" s="23"/>
      <c r="B1887" s="336" t="s">
        <v>3069</v>
      </c>
      <c r="C1887" s="127">
        <v>50.11</v>
      </c>
      <c r="D1887" s="338" t="s">
        <v>3070</v>
      </c>
      <c r="E1887" s="23" t="s">
        <v>3071</v>
      </c>
      <c r="F1887" s="24" t="s">
        <v>3072</v>
      </c>
      <c r="G1887" s="238" t="s">
        <v>80</v>
      </c>
      <c r="H1887" s="23"/>
      <c r="I1887" s="23"/>
      <c r="J1887" s="31"/>
      <c r="K1887" s="31"/>
      <c r="L1887" s="31"/>
      <c r="M1887" s="31"/>
      <c r="N1887" s="31"/>
      <c r="O1887" s="31"/>
      <c r="P1887" s="31"/>
      <c r="Q1887" s="31"/>
      <c r="R1887" s="31"/>
      <c r="S1887" s="31"/>
      <c r="T1887" s="31"/>
      <c r="U1887" s="31"/>
      <c r="V1887" s="31"/>
      <c r="W1887" s="31"/>
      <c r="X1887" s="31"/>
      <c r="Y1887" s="31"/>
      <c r="Z1887" s="31"/>
      <c r="AA1887" s="31"/>
      <c r="AB1887" s="31"/>
      <c r="AC1887" s="31"/>
      <c r="AD1887" s="31"/>
      <c r="AE1887" s="31"/>
      <c r="AF1887" s="31"/>
      <c r="AG1887" s="31"/>
      <c r="AH1887" s="31"/>
      <c r="AI1887" s="31"/>
      <c r="AJ1887" s="31"/>
      <c r="AK1887" s="31"/>
      <c r="AL1887" s="28" t="str">
        <f>VLOOKUP($G1887,'[42]Sheet1 (2)'!$A$1:$B$1048440,2,FALSE)</f>
        <v>Rmt.</v>
      </c>
      <c r="AM1887" s="32"/>
      <c r="AN1887" s="31"/>
      <c r="AO1887" s="33"/>
    </row>
    <row r="1888" spans="1:41" ht="46.5" x14ac:dyDescent="0.25">
      <c r="A1888" s="243">
        <v>1730</v>
      </c>
      <c r="B1888" s="337"/>
      <c r="C1888" s="25" t="s">
        <v>373</v>
      </c>
      <c r="D1888" s="339"/>
      <c r="E1888" s="24" t="s">
        <v>3073</v>
      </c>
      <c r="F1888" s="34"/>
      <c r="G1888" s="238" t="s">
        <v>80</v>
      </c>
      <c r="H1888" s="103">
        <v>435</v>
      </c>
      <c r="I1888" s="26">
        <v>74</v>
      </c>
      <c r="J1888" s="31"/>
      <c r="K1888" s="31"/>
      <c r="L1888" s="31"/>
      <c r="M1888" s="31"/>
      <c r="N1888" s="31"/>
      <c r="O1888" s="31"/>
      <c r="P1888" s="31"/>
      <c r="Q1888" s="31"/>
      <c r="R1888" s="31"/>
      <c r="S1888" s="31"/>
      <c r="T1888" s="31"/>
      <c r="U1888" s="31"/>
      <c r="V1888" s="31"/>
      <c r="W1888" s="31"/>
      <c r="X1888" s="31"/>
      <c r="Y1888" s="31"/>
      <c r="Z1888" s="31"/>
      <c r="AA1888" s="31"/>
      <c r="AB1888" s="31"/>
      <c r="AC1888" s="31"/>
      <c r="AD1888" s="31"/>
      <c r="AE1888" s="31"/>
      <c r="AF1888" s="31"/>
      <c r="AG1888" s="31"/>
      <c r="AH1888" s="31"/>
      <c r="AI1888" s="31"/>
      <c r="AJ1888" s="31"/>
      <c r="AK1888" s="31"/>
      <c r="AL1888" s="28" t="str">
        <f>VLOOKUP($G1888,'[42]Sheet1 (2)'!$A$1:$B$1048440,2,FALSE)</f>
        <v>Rmt.</v>
      </c>
      <c r="AM1888" s="32"/>
      <c r="AN1888" s="31"/>
      <c r="AO1888" s="33"/>
    </row>
    <row r="1889" spans="1:41" ht="46.5" x14ac:dyDescent="0.25">
      <c r="A1889" s="247">
        <v>1731</v>
      </c>
      <c r="B1889" s="337"/>
      <c r="C1889" s="248" t="s">
        <v>375</v>
      </c>
      <c r="D1889" s="339"/>
      <c r="E1889" s="250" t="s">
        <v>3074</v>
      </c>
      <c r="F1889" s="259"/>
      <c r="G1889" s="238" t="s">
        <v>80</v>
      </c>
      <c r="H1889" s="260">
        <v>535</v>
      </c>
      <c r="I1889" s="251">
        <v>90</v>
      </c>
      <c r="J1889" s="31"/>
      <c r="K1889" s="31"/>
      <c r="L1889" s="31"/>
      <c r="M1889" s="31"/>
      <c r="N1889" s="31"/>
      <c r="O1889" s="31"/>
      <c r="P1889" s="31"/>
      <c r="Q1889" s="31"/>
      <c r="R1889" s="31"/>
      <c r="S1889" s="31"/>
      <c r="T1889" s="31"/>
      <c r="U1889" s="31"/>
      <c r="V1889" s="31"/>
      <c r="W1889" s="31"/>
      <c r="X1889" s="31"/>
      <c r="Y1889" s="31"/>
      <c r="Z1889" s="31"/>
      <c r="AA1889" s="31"/>
      <c r="AB1889" s="31"/>
      <c r="AC1889" s="31"/>
      <c r="AD1889" s="31"/>
      <c r="AE1889" s="31"/>
      <c r="AF1889" s="31"/>
      <c r="AG1889" s="31"/>
      <c r="AH1889" s="31"/>
      <c r="AI1889" s="31"/>
      <c r="AJ1889" s="31"/>
      <c r="AK1889" s="31"/>
      <c r="AL1889" s="28" t="str">
        <f>VLOOKUP($G1889,'[42]Sheet1 (2)'!$A$1:$B$1048440,2,FALSE)</f>
        <v>Rmt.</v>
      </c>
      <c r="AM1889" s="32"/>
      <c r="AN1889" s="31"/>
      <c r="AO1889" s="33"/>
    </row>
    <row r="1890" spans="1:41" ht="46.5" x14ac:dyDescent="0.25">
      <c r="A1890" s="252">
        <v>1732</v>
      </c>
      <c r="B1890" s="326"/>
      <c r="C1890" s="253" t="s">
        <v>377</v>
      </c>
      <c r="D1890" s="326"/>
      <c r="E1890" s="256" t="s">
        <v>3075</v>
      </c>
      <c r="F1890" s="261"/>
      <c r="G1890" s="238" t="s">
        <v>80</v>
      </c>
      <c r="H1890" s="258">
        <v>635</v>
      </c>
      <c r="I1890" s="258">
        <v>108</v>
      </c>
      <c r="J1890" s="31"/>
      <c r="K1890" s="31"/>
      <c r="L1890" s="31"/>
      <c r="M1890" s="31"/>
      <c r="N1890" s="31"/>
      <c r="O1890" s="31"/>
      <c r="P1890" s="31"/>
      <c r="Q1890" s="31"/>
      <c r="R1890" s="31"/>
      <c r="S1890" s="31"/>
      <c r="T1890" s="31"/>
      <c r="U1890" s="31"/>
      <c r="V1890" s="31"/>
      <c r="W1890" s="31"/>
      <c r="X1890" s="31"/>
      <c r="Y1890" s="31"/>
      <c r="Z1890" s="31"/>
      <c r="AA1890" s="31"/>
      <c r="AB1890" s="31"/>
      <c r="AC1890" s="31"/>
      <c r="AD1890" s="31"/>
      <c r="AE1890" s="31"/>
      <c r="AF1890" s="31"/>
      <c r="AG1890" s="31"/>
      <c r="AH1890" s="31"/>
      <c r="AI1890" s="31"/>
      <c r="AJ1890" s="31"/>
      <c r="AK1890" s="31"/>
      <c r="AL1890" s="28" t="str">
        <f>VLOOKUP($G1890,'[42]Sheet1 (2)'!$A$1:$B$1048440,2,FALSE)</f>
        <v>Rmt.</v>
      </c>
      <c r="AM1890" s="32"/>
      <c r="AN1890" s="31"/>
      <c r="AO1890" s="33"/>
    </row>
    <row r="1891" spans="1:41" ht="46.5" x14ac:dyDescent="0.25">
      <c r="A1891" s="243">
        <v>1733</v>
      </c>
      <c r="B1891" s="327"/>
      <c r="C1891" s="25" t="s">
        <v>384</v>
      </c>
      <c r="D1891" s="327"/>
      <c r="E1891" s="24" t="s">
        <v>3076</v>
      </c>
      <c r="F1891" s="34"/>
      <c r="G1891" s="238" t="s">
        <v>80</v>
      </c>
      <c r="H1891" s="26">
        <v>650</v>
      </c>
      <c r="I1891" s="26">
        <v>110</v>
      </c>
      <c r="J1891" s="31"/>
      <c r="K1891" s="31"/>
      <c r="L1891" s="31"/>
      <c r="M1891" s="31"/>
      <c r="N1891" s="31"/>
      <c r="O1891" s="31"/>
      <c r="P1891" s="31"/>
      <c r="Q1891" s="31"/>
      <c r="R1891" s="31"/>
      <c r="S1891" s="31"/>
      <c r="T1891" s="31"/>
      <c r="U1891" s="31"/>
      <c r="V1891" s="31"/>
      <c r="W1891" s="31"/>
      <c r="X1891" s="31"/>
      <c r="Y1891" s="31"/>
      <c r="Z1891" s="31"/>
      <c r="AA1891" s="31"/>
      <c r="AB1891" s="31"/>
      <c r="AC1891" s="31"/>
      <c r="AD1891" s="31"/>
      <c r="AE1891" s="31"/>
      <c r="AF1891" s="31"/>
      <c r="AG1891" s="31"/>
      <c r="AH1891" s="31"/>
      <c r="AI1891" s="31"/>
      <c r="AJ1891" s="31"/>
      <c r="AK1891" s="31"/>
      <c r="AL1891" s="28" t="str">
        <f>VLOOKUP($G1891,'[42]Sheet1 (2)'!$A$1:$B$1048440,2,FALSE)</f>
        <v>Rmt.</v>
      </c>
      <c r="AM1891" s="32"/>
      <c r="AN1891" s="31"/>
      <c r="AO1891" s="33"/>
    </row>
    <row r="1892" spans="1:41" ht="409.5" x14ac:dyDescent="0.25">
      <c r="A1892" s="23"/>
      <c r="B1892" s="24" t="s">
        <v>3077</v>
      </c>
      <c r="C1892" s="127">
        <v>50.12</v>
      </c>
      <c r="D1892" s="25" t="s">
        <v>3078</v>
      </c>
      <c r="E1892" s="24" t="s">
        <v>3079</v>
      </c>
      <c r="F1892" s="24" t="s">
        <v>3072</v>
      </c>
      <c r="G1892" s="202" t="s">
        <v>621</v>
      </c>
      <c r="H1892" s="26">
        <v>8694</v>
      </c>
      <c r="I1892" s="26">
        <v>1478</v>
      </c>
      <c r="J1892" s="31"/>
      <c r="K1892" s="31"/>
      <c r="L1892" s="31"/>
      <c r="M1892" s="31"/>
      <c r="N1892" s="31"/>
      <c r="O1892" s="31"/>
      <c r="P1892" s="31"/>
      <c r="Q1892" s="31"/>
      <c r="R1892" s="31"/>
      <c r="S1892" s="31"/>
      <c r="T1892" s="31"/>
      <c r="U1892" s="31"/>
      <c r="V1892" s="31"/>
      <c r="W1892" s="31">
        <v>1</v>
      </c>
      <c r="X1892" s="31"/>
      <c r="Y1892" s="31"/>
      <c r="Z1892" s="31"/>
      <c r="AA1892" s="31"/>
      <c r="AB1892" s="31"/>
      <c r="AC1892" s="31"/>
      <c r="AD1892" s="31"/>
      <c r="AE1892" s="31"/>
      <c r="AF1892" s="31"/>
      <c r="AG1892" s="31"/>
      <c r="AH1892" s="31"/>
      <c r="AI1892" s="31"/>
      <c r="AJ1892" s="31"/>
      <c r="AK1892" s="31"/>
      <c r="AL1892" s="28" t="str">
        <f>VLOOKUP($G1892,'[42]Sheet1 (2)'!$A$1:$B$1048440,2,FALSE)</f>
        <v>Sqm</v>
      </c>
      <c r="AM1892" s="32"/>
      <c r="AN1892" s="31"/>
      <c r="AO1892" s="33"/>
    </row>
    <row r="1893" spans="1:41" ht="70" x14ac:dyDescent="0.25">
      <c r="A1893" s="247">
        <v>1734</v>
      </c>
      <c r="B1893" s="250" t="s">
        <v>3077</v>
      </c>
      <c r="C1893" s="262">
        <v>50.13</v>
      </c>
      <c r="D1893" s="248" t="s">
        <v>3078</v>
      </c>
      <c r="E1893" s="250" t="s">
        <v>3080</v>
      </c>
      <c r="F1893" s="250" t="s">
        <v>3072</v>
      </c>
      <c r="G1893" s="202" t="s">
        <v>621</v>
      </c>
      <c r="H1893" s="251">
        <v>2850</v>
      </c>
      <c r="I1893" s="251">
        <v>485</v>
      </c>
      <c r="J1893" s="31"/>
      <c r="K1893" s="31"/>
      <c r="L1893" s="31"/>
      <c r="M1893" s="31"/>
      <c r="N1893" s="31"/>
      <c r="O1893" s="31"/>
      <c r="P1893" s="31"/>
      <c r="Q1893" s="31"/>
      <c r="R1893" s="31"/>
      <c r="S1893" s="31"/>
      <c r="T1893" s="31"/>
      <c r="U1893" s="31"/>
      <c r="V1893" s="31"/>
      <c r="W1893" s="31">
        <v>1</v>
      </c>
      <c r="X1893" s="31"/>
      <c r="Y1893" s="31"/>
      <c r="Z1893" s="31"/>
      <c r="AA1893" s="31"/>
      <c r="AB1893" s="31"/>
      <c r="AC1893" s="31"/>
      <c r="AD1893" s="31"/>
      <c r="AE1893" s="31"/>
      <c r="AF1893" s="31"/>
      <c r="AG1893" s="31"/>
      <c r="AH1893" s="31"/>
      <c r="AI1893" s="31"/>
      <c r="AJ1893" s="31"/>
      <c r="AK1893" s="31"/>
      <c r="AL1893" s="28" t="str">
        <f>VLOOKUP($G1893,'[42]Sheet1 (2)'!$A$1:$B$1048440,2,FALSE)</f>
        <v>Sqm</v>
      </c>
      <c r="AM1893" s="32"/>
      <c r="AN1893" s="31"/>
      <c r="AO1893" s="33"/>
    </row>
    <row r="1894" spans="1:41" ht="70" x14ac:dyDescent="0.25">
      <c r="A1894" s="252">
        <v>1735</v>
      </c>
      <c r="B1894" s="256" t="s">
        <v>3077</v>
      </c>
      <c r="C1894" s="263">
        <v>50.14</v>
      </c>
      <c r="D1894" s="253" t="s">
        <v>3078</v>
      </c>
      <c r="E1894" s="256" t="s">
        <v>3081</v>
      </c>
      <c r="F1894" s="256" t="s">
        <v>3072</v>
      </c>
      <c r="G1894" s="202" t="s">
        <v>621</v>
      </c>
      <c r="H1894" s="258">
        <v>2650</v>
      </c>
      <c r="I1894" s="258">
        <v>450</v>
      </c>
      <c r="J1894" s="31"/>
      <c r="K1894" s="31"/>
      <c r="L1894" s="31"/>
      <c r="M1894" s="31"/>
      <c r="N1894" s="31"/>
      <c r="O1894" s="31"/>
      <c r="P1894" s="31"/>
      <c r="Q1894" s="31"/>
      <c r="R1894" s="31"/>
      <c r="S1894" s="31"/>
      <c r="T1894" s="31"/>
      <c r="U1894" s="31"/>
      <c r="V1894" s="31"/>
      <c r="W1894" s="31">
        <v>1</v>
      </c>
      <c r="X1894" s="31"/>
      <c r="Y1894" s="31"/>
      <c r="Z1894" s="31"/>
      <c r="AA1894" s="31"/>
      <c r="AB1894" s="31"/>
      <c r="AC1894" s="31"/>
      <c r="AD1894" s="31"/>
      <c r="AE1894" s="31"/>
      <c r="AF1894" s="31"/>
      <c r="AG1894" s="31"/>
      <c r="AH1894" s="31"/>
      <c r="AI1894" s="31"/>
      <c r="AJ1894" s="31"/>
      <c r="AK1894" s="31"/>
      <c r="AL1894" s="28" t="str">
        <f>VLOOKUP($G1894,'[42]Sheet1 (2)'!$A$1:$B$1048440,2,FALSE)</f>
        <v>Sqm</v>
      </c>
      <c r="AM1894" s="32"/>
      <c r="AN1894" s="31"/>
      <c r="AO1894" s="33"/>
    </row>
    <row r="1895" spans="1:41" ht="70" x14ac:dyDescent="0.25">
      <c r="A1895" s="243">
        <v>1736</v>
      </c>
      <c r="B1895" s="24" t="s">
        <v>3077</v>
      </c>
      <c r="C1895" s="22">
        <v>50.15</v>
      </c>
      <c r="D1895" s="25" t="s">
        <v>3078</v>
      </c>
      <c r="E1895" s="24" t="s">
        <v>3082</v>
      </c>
      <c r="F1895" s="24" t="s">
        <v>3072</v>
      </c>
      <c r="G1895" s="202" t="s">
        <v>621</v>
      </c>
      <c r="H1895" s="26">
        <v>2550</v>
      </c>
      <c r="I1895" s="26">
        <v>433</v>
      </c>
      <c r="J1895" s="31"/>
      <c r="K1895" s="31"/>
      <c r="L1895" s="31"/>
      <c r="M1895" s="31"/>
      <c r="N1895" s="31"/>
      <c r="O1895" s="31"/>
      <c r="P1895" s="31"/>
      <c r="Q1895" s="31"/>
      <c r="R1895" s="31"/>
      <c r="S1895" s="31"/>
      <c r="T1895" s="31"/>
      <c r="U1895" s="31"/>
      <c r="V1895" s="31"/>
      <c r="W1895" s="31">
        <v>1</v>
      </c>
      <c r="X1895" s="31"/>
      <c r="Y1895" s="31"/>
      <c r="Z1895" s="31"/>
      <c r="AA1895" s="31"/>
      <c r="AB1895" s="31"/>
      <c r="AC1895" s="31"/>
      <c r="AD1895" s="31"/>
      <c r="AE1895" s="31"/>
      <c r="AF1895" s="31"/>
      <c r="AG1895" s="31"/>
      <c r="AH1895" s="31"/>
      <c r="AI1895" s="31"/>
      <c r="AJ1895" s="31"/>
      <c r="AK1895" s="31"/>
      <c r="AL1895" s="28" t="str">
        <f>VLOOKUP($G1895,'[42]Sheet1 (2)'!$A$1:$B$1048440,2,FALSE)</f>
        <v>Sqm</v>
      </c>
      <c r="AM1895" s="32"/>
      <c r="AN1895" s="31"/>
      <c r="AO1895" s="33"/>
    </row>
    <row r="1896" spans="1:41" ht="84" x14ac:dyDescent="0.25">
      <c r="A1896" s="243">
        <v>1737</v>
      </c>
      <c r="B1896" s="24" t="s">
        <v>3077</v>
      </c>
      <c r="C1896" s="22">
        <v>50.16</v>
      </c>
      <c r="D1896" s="25" t="s">
        <v>3078</v>
      </c>
      <c r="E1896" s="24" t="s">
        <v>3083</v>
      </c>
      <c r="F1896" s="24" t="s">
        <v>3072</v>
      </c>
      <c r="G1896" s="202" t="s">
        <v>621</v>
      </c>
      <c r="H1896" s="26">
        <v>2850</v>
      </c>
      <c r="I1896" s="26">
        <v>485</v>
      </c>
      <c r="J1896" s="31"/>
      <c r="K1896" s="31"/>
      <c r="L1896" s="31"/>
      <c r="M1896" s="31"/>
      <c r="N1896" s="31"/>
      <c r="O1896" s="31"/>
      <c r="P1896" s="31"/>
      <c r="Q1896" s="31"/>
      <c r="R1896" s="31"/>
      <c r="S1896" s="31"/>
      <c r="T1896" s="31"/>
      <c r="U1896" s="31"/>
      <c r="V1896" s="31"/>
      <c r="W1896" s="31">
        <v>1</v>
      </c>
      <c r="X1896" s="31"/>
      <c r="Y1896" s="31"/>
      <c r="Z1896" s="31"/>
      <c r="AA1896" s="31"/>
      <c r="AB1896" s="31"/>
      <c r="AC1896" s="31"/>
      <c r="AD1896" s="31"/>
      <c r="AE1896" s="31"/>
      <c r="AF1896" s="31"/>
      <c r="AG1896" s="31"/>
      <c r="AH1896" s="31"/>
      <c r="AI1896" s="31"/>
      <c r="AJ1896" s="31"/>
      <c r="AK1896" s="31"/>
      <c r="AL1896" s="28" t="str">
        <f>VLOOKUP($G1896,'[42]Sheet1 (2)'!$A$1:$B$1048440,2,FALSE)</f>
        <v>Sqm</v>
      </c>
      <c r="AM1896" s="32"/>
      <c r="AN1896" s="31"/>
      <c r="AO1896" s="33"/>
    </row>
    <row r="1897" spans="1:41" ht="70" x14ac:dyDescent="0.25">
      <c r="A1897" s="243">
        <v>1738</v>
      </c>
      <c r="B1897" s="24" t="s">
        <v>3077</v>
      </c>
      <c r="C1897" s="22">
        <v>50.17</v>
      </c>
      <c r="D1897" s="25" t="s">
        <v>3078</v>
      </c>
      <c r="E1897" s="24" t="s">
        <v>3084</v>
      </c>
      <c r="F1897" s="24" t="s">
        <v>3072</v>
      </c>
      <c r="G1897" s="202" t="s">
        <v>621</v>
      </c>
      <c r="H1897" s="26">
        <v>2450</v>
      </c>
      <c r="I1897" s="26">
        <v>416</v>
      </c>
      <c r="J1897" s="31"/>
      <c r="K1897" s="31"/>
      <c r="L1897" s="31"/>
      <c r="M1897" s="31"/>
      <c r="N1897" s="31"/>
      <c r="O1897" s="31"/>
      <c r="P1897" s="31"/>
      <c r="Q1897" s="31"/>
      <c r="R1897" s="31"/>
      <c r="S1897" s="31"/>
      <c r="T1897" s="31"/>
      <c r="U1897" s="31"/>
      <c r="V1897" s="31"/>
      <c r="W1897" s="31">
        <v>1</v>
      </c>
      <c r="X1897" s="31"/>
      <c r="Y1897" s="31"/>
      <c r="Z1897" s="31"/>
      <c r="AA1897" s="31"/>
      <c r="AB1897" s="31"/>
      <c r="AC1897" s="31"/>
      <c r="AD1897" s="31"/>
      <c r="AE1897" s="31"/>
      <c r="AF1897" s="31"/>
      <c r="AG1897" s="31"/>
      <c r="AH1897" s="31"/>
      <c r="AI1897" s="31"/>
      <c r="AJ1897" s="31"/>
      <c r="AK1897" s="31"/>
      <c r="AL1897" s="28" t="str">
        <f>VLOOKUP($G1897,'[42]Sheet1 (2)'!$A$1:$B$1048440,2,FALSE)</f>
        <v>Sqm</v>
      </c>
      <c r="AM1897" s="32"/>
      <c r="AN1897" s="31"/>
      <c r="AO1897" s="33"/>
    </row>
    <row r="1898" spans="1:41" ht="84" x14ac:dyDescent="0.25">
      <c r="A1898" s="243">
        <v>1739</v>
      </c>
      <c r="B1898" s="24" t="s">
        <v>3077</v>
      </c>
      <c r="C1898" s="22">
        <v>50.18</v>
      </c>
      <c r="D1898" s="25" t="s">
        <v>3078</v>
      </c>
      <c r="E1898" s="24" t="s">
        <v>3085</v>
      </c>
      <c r="F1898" s="24" t="s">
        <v>3072</v>
      </c>
      <c r="G1898" s="202" t="s">
        <v>621</v>
      </c>
      <c r="H1898" s="26">
        <v>3150</v>
      </c>
      <c r="I1898" s="26">
        <v>535</v>
      </c>
      <c r="J1898" s="31"/>
      <c r="K1898" s="31"/>
      <c r="L1898" s="31"/>
      <c r="M1898" s="31"/>
      <c r="N1898" s="31"/>
      <c r="O1898" s="31"/>
      <c r="P1898" s="31"/>
      <c r="Q1898" s="31"/>
      <c r="R1898" s="31"/>
      <c r="S1898" s="31"/>
      <c r="T1898" s="31"/>
      <c r="U1898" s="31"/>
      <c r="V1898" s="31"/>
      <c r="W1898" s="31">
        <v>1</v>
      </c>
      <c r="X1898" s="31"/>
      <c r="Y1898" s="31"/>
      <c r="Z1898" s="31"/>
      <c r="AA1898" s="31"/>
      <c r="AB1898" s="31"/>
      <c r="AC1898" s="31"/>
      <c r="AD1898" s="31"/>
      <c r="AE1898" s="31"/>
      <c r="AF1898" s="31"/>
      <c r="AG1898" s="31"/>
      <c r="AH1898" s="31"/>
      <c r="AI1898" s="31"/>
      <c r="AJ1898" s="31"/>
      <c r="AK1898" s="31"/>
      <c r="AL1898" s="28" t="str">
        <f>VLOOKUP($G1898,'[42]Sheet1 (2)'!$A$1:$B$1048440,2,FALSE)</f>
        <v>Sqm</v>
      </c>
      <c r="AM1898" s="32"/>
      <c r="AN1898" s="31"/>
      <c r="AO1898" s="33"/>
    </row>
    <row r="1899" spans="1:41" ht="84" x14ac:dyDescent="0.25">
      <c r="A1899" s="243">
        <v>1740</v>
      </c>
      <c r="B1899" s="24" t="s">
        <v>3077</v>
      </c>
      <c r="C1899" s="22">
        <v>50.19</v>
      </c>
      <c r="D1899" s="25" t="s">
        <v>3078</v>
      </c>
      <c r="E1899" s="24" t="s">
        <v>3086</v>
      </c>
      <c r="F1899" s="24" t="s">
        <v>3072</v>
      </c>
      <c r="G1899" s="202" t="s">
        <v>621</v>
      </c>
      <c r="H1899" s="26">
        <v>2650</v>
      </c>
      <c r="I1899" s="26">
        <v>450</v>
      </c>
      <c r="J1899" s="183">
        <f>0.2/20</f>
        <v>0.01</v>
      </c>
      <c r="K1899" s="31"/>
      <c r="L1899" s="31"/>
      <c r="M1899" s="31"/>
      <c r="N1899" s="31"/>
      <c r="O1899" s="31"/>
      <c r="P1899" s="183">
        <v>1.7000000000000001E-2</v>
      </c>
      <c r="Q1899" s="31"/>
      <c r="R1899" s="31"/>
      <c r="S1899" s="31"/>
      <c r="T1899" s="31"/>
      <c r="U1899" s="31"/>
      <c r="V1899" s="31"/>
      <c r="W1899" s="31">
        <v>1</v>
      </c>
      <c r="X1899" s="31"/>
      <c r="Y1899" s="31"/>
      <c r="Z1899" s="31"/>
      <c r="AA1899" s="31"/>
      <c r="AB1899" s="31"/>
      <c r="AC1899" s="31"/>
      <c r="AD1899" s="31"/>
      <c r="AE1899" s="31"/>
      <c r="AF1899" s="31"/>
      <c r="AG1899" s="31"/>
      <c r="AH1899" s="31"/>
      <c r="AI1899" s="31"/>
      <c r="AJ1899" s="31"/>
      <c r="AK1899" s="31"/>
      <c r="AL1899" s="28" t="str">
        <f>VLOOKUP($G1899,'[42]Sheet1 (2)'!$A$1:$B$1048440,2,FALSE)</f>
        <v>Sqm</v>
      </c>
      <c r="AM1899" s="32"/>
      <c r="AN1899" s="31"/>
      <c r="AO1899" s="33"/>
    </row>
    <row r="1900" spans="1:41" ht="126" x14ac:dyDescent="0.25">
      <c r="A1900" s="247">
        <v>1741</v>
      </c>
      <c r="B1900" s="248" t="s">
        <v>2060</v>
      </c>
      <c r="C1900" s="246">
        <v>50.2</v>
      </c>
      <c r="D1900" s="248" t="s">
        <v>3087</v>
      </c>
      <c r="E1900" s="249" t="s">
        <v>3088</v>
      </c>
      <c r="F1900" s="250" t="s">
        <v>3072</v>
      </c>
      <c r="G1900" s="264" t="s">
        <v>758</v>
      </c>
      <c r="H1900" s="251">
        <v>15513</v>
      </c>
      <c r="I1900" s="251">
        <v>2637</v>
      </c>
      <c r="J1900" s="31"/>
      <c r="K1900" s="31"/>
      <c r="L1900" s="31"/>
      <c r="M1900" s="31"/>
      <c r="N1900" s="31"/>
      <c r="O1900" s="31"/>
      <c r="P1900" s="31"/>
      <c r="Q1900" s="31"/>
      <c r="R1900" s="31"/>
      <c r="S1900" s="31"/>
      <c r="T1900" s="31"/>
      <c r="U1900" s="31"/>
      <c r="V1900" s="31"/>
      <c r="W1900" s="31"/>
      <c r="X1900" s="31"/>
      <c r="Y1900" s="31"/>
      <c r="Z1900" s="31"/>
      <c r="AA1900" s="31"/>
      <c r="AB1900" s="31"/>
      <c r="AC1900" s="31"/>
      <c r="AD1900" s="31"/>
      <c r="AE1900" s="31"/>
      <c r="AF1900" s="31"/>
      <c r="AG1900" s="31"/>
      <c r="AH1900" s="31"/>
      <c r="AI1900" s="31"/>
      <c r="AJ1900" s="31"/>
      <c r="AK1900" s="31"/>
      <c r="AL1900" s="28" t="str">
        <f>VLOOKUP($G1900,'[42]Sheet1 (2)'!$A$1:$B$1048440,2,FALSE)</f>
        <v>M.T.</v>
      </c>
      <c r="AM1900" s="32"/>
      <c r="AN1900" s="31"/>
      <c r="AO1900" s="33"/>
    </row>
    <row r="1901" spans="1:41" ht="126" x14ac:dyDescent="0.25">
      <c r="A1901" s="252">
        <v>1742</v>
      </c>
      <c r="B1901" s="253" t="s">
        <v>2060</v>
      </c>
      <c r="C1901" s="263">
        <v>50.21</v>
      </c>
      <c r="D1901" s="253" t="s">
        <v>3087</v>
      </c>
      <c r="E1901" s="255" t="s">
        <v>3089</v>
      </c>
      <c r="F1901" s="256" t="s">
        <v>3072</v>
      </c>
      <c r="G1901" s="265" t="s">
        <v>758</v>
      </c>
      <c r="H1901" s="258">
        <v>16296</v>
      </c>
      <c r="I1901" s="258">
        <v>2770</v>
      </c>
      <c r="J1901" s="31"/>
      <c r="K1901" s="31"/>
      <c r="L1901" s="31"/>
      <c r="M1901" s="31"/>
      <c r="N1901" s="31"/>
      <c r="O1901" s="31"/>
      <c r="P1901" s="31"/>
      <c r="Q1901" s="31"/>
      <c r="R1901" s="31"/>
      <c r="S1901" s="31"/>
      <c r="T1901" s="31"/>
      <c r="U1901" s="31"/>
      <c r="V1901" s="31"/>
      <c r="W1901" s="31"/>
      <c r="X1901" s="31"/>
      <c r="Y1901" s="31"/>
      <c r="Z1901" s="31"/>
      <c r="AA1901" s="31"/>
      <c r="AB1901" s="31"/>
      <c r="AC1901" s="31"/>
      <c r="AD1901" s="31"/>
      <c r="AE1901" s="31"/>
      <c r="AF1901" s="31"/>
      <c r="AG1901" s="31"/>
      <c r="AH1901" s="31"/>
      <c r="AI1901" s="31"/>
      <c r="AJ1901" s="31"/>
      <c r="AK1901" s="31"/>
      <c r="AL1901" s="28" t="str">
        <f>VLOOKUP($G1901,'[42]Sheet1 (2)'!$A$1:$B$1048440,2,FALSE)</f>
        <v>M.T.</v>
      </c>
      <c r="AM1901" s="32"/>
      <c r="AN1901" s="31"/>
      <c r="AO1901" s="33"/>
    </row>
    <row r="1902" spans="1:41" ht="126" x14ac:dyDescent="0.25">
      <c r="A1902" s="243">
        <v>1743</v>
      </c>
      <c r="B1902" s="25" t="s">
        <v>2060</v>
      </c>
      <c r="C1902" s="22">
        <v>50.22</v>
      </c>
      <c r="D1902" s="25" t="s">
        <v>3087</v>
      </c>
      <c r="E1902" s="23" t="s">
        <v>3090</v>
      </c>
      <c r="F1902" s="24" t="s">
        <v>3072</v>
      </c>
      <c r="G1902" s="21" t="s">
        <v>758</v>
      </c>
      <c r="H1902" s="26">
        <v>16941</v>
      </c>
      <c r="I1902" s="26">
        <v>2880</v>
      </c>
      <c r="J1902" s="31"/>
      <c r="K1902" s="31"/>
      <c r="L1902" s="31"/>
      <c r="M1902" s="31"/>
      <c r="N1902" s="31"/>
      <c r="O1902" s="31"/>
      <c r="P1902" s="31"/>
      <c r="Q1902" s="31"/>
      <c r="R1902" s="31"/>
      <c r="S1902" s="31"/>
      <c r="T1902" s="31"/>
      <c r="U1902" s="31"/>
      <c r="V1902" s="31"/>
      <c r="W1902" s="31"/>
      <c r="X1902" s="31"/>
      <c r="Y1902" s="31"/>
      <c r="Z1902" s="31"/>
      <c r="AA1902" s="31"/>
      <c r="AB1902" s="31"/>
      <c r="AC1902" s="31"/>
      <c r="AD1902" s="31"/>
      <c r="AE1902" s="31"/>
      <c r="AF1902" s="31"/>
      <c r="AG1902" s="31"/>
      <c r="AH1902" s="31"/>
      <c r="AI1902" s="31"/>
      <c r="AJ1902" s="31"/>
      <c r="AK1902" s="31"/>
      <c r="AL1902" s="28" t="str">
        <f>VLOOKUP($G1902,'[42]Sheet1 (2)'!$A$1:$B$1048440,2,FALSE)</f>
        <v>M.T.</v>
      </c>
      <c r="AM1902" s="32"/>
      <c r="AN1902" s="31"/>
      <c r="AO1902" s="33"/>
    </row>
    <row r="1903" spans="1:41" ht="210" x14ac:dyDescent="0.25">
      <c r="A1903" s="243">
        <v>1744</v>
      </c>
      <c r="B1903" s="25" t="s">
        <v>3091</v>
      </c>
      <c r="C1903" s="22">
        <v>50.23</v>
      </c>
      <c r="D1903" s="25" t="s">
        <v>3092</v>
      </c>
      <c r="E1903" s="24" t="s">
        <v>3093</v>
      </c>
      <c r="F1903" s="24" t="s">
        <v>3072</v>
      </c>
      <c r="G1903" s="202" t="s">
        <v>621</v>
      </c>
      <c r="H1903" s="26">
        <v>2840</v>
      </c>
      <c r="I1903" s="26">
        <v>555</v>
      </c>
      <c r="J1903" s="31"/>
      <c r="K1903" s="31"/>
      <c r="L1903" s="31"/>
      <c r="M1903" s="31"/>
      <c r="N1903" s="31"/>
      <c r="O1903" s="31"/>
      <c r="P1903" s="31"/>
      <c r="Q1903" s="31"/>
      <c r="R1903" s="31"/>
      <c r="S1903" s="31"/>
      <c r="T1903" s="31"/>
      <c r="U1903" s="31"/>
      <c r="V1903" s="31"/>
      <c r="W1903" s="31"/>
      <c r="X1903" s="31"/>
      <c r="Y1903" s="31"/>
      <c r="Z1903" s="31"/>
      <c r="AA1903" s="31"/>
      <c r="AB1903" s="31"/>
      <c r="AC1903" s="31"/>
      <c r="AD1903" s="31"/>
      <c r="AE1903" s="31"/>
      <c r="AF1903" s="31"/>
      <c r="AG1903" s="31"/>
      <c r="AH1903" s="31"/>
      <c r="AI1903" s="31"/>
      <c r="AJ1903" s="31"/>
      <c r="AK1903" s="31"/>
      <c r="AL1903" s="28" t="str">
        <f>VLOOKUP($G1903,'[42]Sheet1 (2)'!$A$1:$B$1048440,2,FALSE)</f>
        <v>Sqm</v>
      </c>
      <c r="AM1903" s="32"/>
      <c r="AN1903" s="31"/>
      <c r="AO1903" s="33"/>
    </row>
    <row r="1904" spans="1:41" ht="210" x14ac:dyDescent="0.25">
      <c r="A1904" s="243">
        <v>1745</v>
      </c>
      <c r="B1904" s="25" t="s">
        <v>3091</v>
      </c>
      <c r="C1904" s="22">
        <v>50.24</v>
      </c>
      <c r="D1904" s="25" t="s">
        <v>3094</v>
      </c>
      <c r="E1904" s="24" t="s">
        <v>3095</v>
      </c>
      <c r="F1904" s="24" t="s">
        <v>3072</v>
      </c>
      <c r="G1904" s="21" t="s">
        <v>217</v>
      </c>
      <c r="H1904" s="26">
        <v>2750</v>
      </c>
      <c r="I1904" s="26">
        <v>467</v>
      </c>
      <c r="J1904" s="31"/>
      <c r="K1904" s="31"/>
      <c r="L1904" s="31"/>
      <c r="M1904" s="31"/>
      <c r="N1904" s="31"/>
      <c r="O1904" s="31"/>
      <c r="P1904" s="31"/>
      <c r="Q1904" s="31"/>
      <c r="R1904" s="31"/>
      <c r="S1904" s="31"/>
      <c r="T1904" s="31"/>
      <c r="U1904" s="31"/>
      <c r="V1904" s="31"/>
      <c r="W1904" s="31"/>
      <c r="X1904" s="31"/>
      <c r="Y1904" s="31"/>
      <c r="Z1904" s="31"/>
      <c r="AA1904" s="31"/>
      <c r="AB1904" s="31"/>
      <c r="AC1904" s="31"/>
      <c r="AD1904" s="31"/>
      <c r="AE1904" s="31"/>
      <c r="AF1904" s="31"/>
      <c r="AG1904" s="31"/>
      <c r="AH1904" s="31"/>
      <c r="AI1904" s="31"/>
      <c r="AJ1904" s="31"/>
      <c r="AK1904" s="31"/>
      <c r="AL1904" s="28" t="str">
        <f>VLOOKUP($G1904,'[42]Sheet1 (2)'!$A$1:$B$1048440,2,FALSE)</f>
        <v>Sqm</v>
      </c>
      <c r="AM1904" s="32"/>
      <c r="AN1904" s="31"/>
      <c r="AO1904" s="33"/>
    </row>
    <row r="1905" spans="1:41" ht="182" x14ac:dyDescent="0.25">
      <c r="A1905" s="243">
        <v>1746</v>
      </c>
      <c r="B1905" s="21" t="s">
        <v>3096</v>
      </c>
      <c r="C1905" s="22">
        <v>50.25</v>
      </c>
      <c r="D1905" s="23"/>
      <c r="E1905" s="24" t="s">
        <v>3097</v>
      </c>
      <c r="F1905" s="24" t="s">
        <v>3072</v>
      </c>
      <c r="G1905" s="21" t="s">
        <v>217</v>
      </c>
      <c r="H1905" s="26">
        <v>10590</v>
      </c>
      <c r="I1905" s="26">
        <v>400</v>
      </c>
      <c r="J1905" s="31"/>
      <c r="K1905" s="31"/>
      <c r="L1905" s="31"/>
      <c r="M1905" s="31"/>
      <c r="N1905" s="31"/>
      <c r="O1905" s="31"/>
      <c r="P1905" s="31"/>
      <c r="Q1905" s="31"/>
      <c r="R1905" s="31"/>
      <c r="S1905" s="31"/>
      <c r="T1905" s="31"/>
      <c r="U1905" s="31"/>
      <c r="V1905" s="31"/>
      <c r="W1905" s="31"/>
      <c r="X1905" s="31"/>
      <c r="Y1905" s="31"/>
      <c r="Z1905" s="31"/>
      <c r="AA1905" s="31"/>
      <c r="AB1905" s="31"/>
      <c r="AC1905" s="31"/>
      <c r="AD1905" s="31"/>
      <c r="AE1905" s="31"/>
      <c r="AF1905" s="31"/>
      <c r="AG1905" s="31"/>
      <c r="AH1905" s="31"/>
      <c r="AI1905" s="31"/>
      <c r="AJ1905" s="31"/>
      <c r="AK1905" s="31"/>
      <c r="AL1905" s="28" t="str">
        <f>VLOOKUP($G1905,'[42]Sheet1 (2)'!$A$1:$B$1048440,2,FALSE)</f>
        <v>Sqm</v>
      </c>
      <c r="AM1905" s="32"/>
      <c r="AN1905" s="31"/>
      <c r="AO1905" s="33"/>
    </row>
    <row r="1906" spans="1:41" ht="224" x14ac:dyDescent="0.25">
      <c r="A1906" s="243">
        <v>1747</v>
      </c>
      <c r="B1906" s="25" t="s">
        <v>3091</v>
      </c>
      <c r="C1906" s="22">
        <v>50.26</v>
      </c>
      <c r="D1906" s="23"/>
      <c r="E1906" s="23" t="s">
        <v>3098</v>
      </c>
      <c r="F1906" s="24" t="s">
        <v>3072</v>
      </c>
      <c r="G1906" s="21" t="s">
        <v>217</v>
      </c>
      <c r="H1906" s="26">
        <v>1822</v>
      </c>
      <c r="I1906" s="26">
        <v>130</v>
      </c>
      <c r="J1906" s="31"/>
      <c r="K1906" s="31"/>
      <c r="L1906" s="31"/>
      <c r="M1906" s="31"/>
      <c r="N1906" s="31"/>
      <c r="O1906" s="31"/>
      <c r="P1906" s="31"/>
      <c r="Q1906" s="31"/>
      <c r="R1906" s="31"/>
      <c r="S1906" s="31"/>
      <c r="T1906" s="31"/>
      <c r="U1906" s="31"/>
      <c r="V1906" s="31"/>
      <c r="W1906" s="31"/>
      <c r="X1906" s="31"/>
      <c r="Y1906" s="31"/>
      <c r="Z1906" s="31"/>
      <c r="AA1906" s="31"/>
      <c r="AB1906" s="31"/>
      <c r="AC1906" s="31"/>
      <c r="AD1906" s="31"/>
      <c r="AE1906" s="31"/>
      <c r="AF1906" s="31"/>
      <c r="AG1906" s="31"/>
      <c r="AH1906" s="31"/>
      <c r="AI1906" s="31"/>
      <c r="AJ1906" s="31"/>
      <c r="AK1906" s="31"/>
      <c r="AL1906" s="28" t="str">
        <f>VLOOKUP($G1906,'[42]Sheet1 (2)'!$A$1:$B$1048440,2,FALSE)</f>
        <v>Sqm</v>
      </c>
      <c r="AM1906" s="32"/>
      <c r="AN1906" s="31"/>
      <c r="AO1906" s="33"/>
    </row>
    <row r="1907" spans="1:41" ht="210" x14ac:dyDescent="0.25">
      <c r="A1907" s="243">
        <v>1748</v>
      </c>
      <c r="B1907" s="25" t="s">
        <v>3091</v>
      </c>
      <c r="C1907" s="22">
        <v>50.27</v>
      </c>
      <c r="D1907" s="23"/>
      <c r="E1907" s="23" t="s">
        <v>3099</v>
      </c>
      <c r="F1907" s="24" t="s">
        <v>3072</v>
      </c>
      <c r="G1907" s="21" t="s">
        <v>217</v>
      </c>
      <c r="H1907" s="26">
        <v>1650</v>
      </c>
      <c r="I1907" s="26">
        <v>130</v>
      </c>
      <c r="J1907" s="31"/>
      <c r="K1907" s="31"/>
      <c r="L1907" s="31"/>
      <c r="M1907" s="31"/>
      <c r="N1907" s="31"/>
      <c r="O1907" s="31"/>
      <c r="P1907" s="31"/>
      <c r="Q1907" s="31"/>
      <c r="R1907" s="31"/>
      <c r="S1907" s="31"/>
      <c r="T1907" s="31"/>
      <c r="U1907" s="31"/>
      <c r="V1907" s="31"/>
      <c r="W1907" s="31"/>
      <c r="X1907" s="31"/>
      <c r="Y1907" s="31"/>
      <c r="Z1907" s="31"/>
      <c r="AA1907" s="31"/>
      <c r="AB1907" s="31"/>
      <c r="AC1907" s="31"/>
      <c r="AD1907" s="31"/>
      <c r="AE1907" s="31"/>
      <c r="AF1907" s="31"/>
      <c r="AG1907" s="31"/>
      <c r="AH1907" s="31"/>
      <c r="AI1907" s="31"/>
      <c r="AJ1907" s="31"/>
      <c r="AK1907" s="31"/>
      <c r="AL1907" s="28" t="str">
        <f>VLOOKUP($G1907,'[42]Sheet1 (2)'!$A$1:$B$1048440,2,FALSE)</f>
        <v>Sqm</v>
      </c>
      <c r="AM1907" s="32"/>
      <c r="AN1907" s="31"/>
      <c r="AO1907" s="33"/>
    </row>
    <row r="1908" spans="1:41" ht="238" x14ac:dyDescent="0.25">
      <c r="A1908" s="243">
        <v>1749</v>
      </c>
      <c r="B1908" s="25" t="s">
        <v>3091</v>
      </c>
      <c r="C1908" s="22">
        <v>50.28</v>
      </c>
      <c r="D1908" s="25" t="s">
        <v>3092</v>
      </c>
      <c r="E1908" s="23" t="s">
        <v>3100</v>
      </c>
      <c r="F1908" s="24" t="s">
        <v>3072</v>
      </c>
      <c r="G1908" s="21" t="s">
        <v>217</v>
      </c>
      <c r="H1908" s="26">
        <v>1325</v>
      </c>
      <c r="I1908" s="26">
        <v>130</v>
      </c>
      <c r="J1908" s="31"/>
      <c r="K1908" s="31"/>
      <c r="L1908" s="31"/>
      <c r="M1908" s="31"/>
      <c r="N1908" s="31"/>
      <c r="O1908" s="31"/>
      <c r="P1908" s="31"/>
      <c r="Q1908" s="31"/>
      <c r="R1908" s="31"/>
      <c r="S1908" s="31"/>
      <c r="T1908" s="31"/>
      <c r="U1908" s="31"/>
      <c r="V1908" s="31"/>
      <c r="W1908" s="31"/>
      <c r="X1908" s="31"/>
      <c r="Y1908" s="31"/>
      <c r="Z1908" s="31"/>
      <c r="AA1908" s="31"/>
      <c r="AB1908" s="31"/>
      <c r="AC1908" s="31"/>
      <c r="AD1908" s="31"/>
      <c r="AE1908" s="31"/>
      <c r="AF1908" s="31"/>
      <c r="AG1908" s="31"/>
      <c r="AH1908" s="31"/>
      <c r="AI1908" s="31"/>
      <c r="AJ1908" s="31"/>
      <c r="AK1908" s="31"/>
      <c r="AL1908" s="28" t="str">
        <f>VLOOKUP($G1908,'[42]Sheet1 (2)'!$A$1:$B$1048440,2,FALSE)</f>
        <v>Sqm</v>
      </c>
      <c r="AM1908" s="32"/>
      <c r="AN1908" s="31"/>
      <c r="AO1908" s="33"/>
    </row>
    <row r="1909" spans="1:41" ht="84" x14ac:dyDescent="0.25">
      <c r="A1909" s="243">
        <v>1750</v>
      </c>
      <c r="B1909" s="21" t="s">
        <v>3096</v>
      </c>
      <c r="C1909" s="22">
        <v>50.29</v>
      </c>
      <c r="D1909" s="25" t="s">
        <v>3092</v>
      </c>
      <c r="E1909" s="23" t="s">
        <v>3101</v>
      </c>
      <c r="F1909" s="24" t="s">
        <v>3072</v>
      </c>
      <c r="G1909" s="21" t="s">
        <v>217</v>
      </c>
      <c r="H1909" s="26">
        <v>3062</v>
      </c>
      <c r="I1909" s="26">
        <v>555</v>
      </c>
      <c r="J1909" s="31"/>
      <c r="K1909" s="31"/>
      <c r="L1909" s="31"/>
      <c r="M1909" s="31"/>
      <c r="N1909" s="31"/>
      <c r="O1909" s="31"/>
      <c r="P1909" s="31"/>
      <c r="Q1909" s="31"/>
      <c r="R1909" s="31"/>
      <c r="S1909" s="31"/>
      <c r="T1909" s="31"/>
      <c r="U1909" s="31"/>
      <c r="V1909" s="31"/>
      <c r="W1909" s="31"/>
      <c r="X1909" s="31"/>
      <c r="Y1909" s="31"/>
      <c r="Z1909" s="31"/>
      <c r="AA1909" s="31"/>
      <c r="AB1909" s="31"/>
      <c r="AC1909" s="31"/>
      <c r="AD1909" s="31"/>
      <c r="AE1909" s="31"/>
      <c r="AF1909" s="31"/>
      <c r="AG1909" s="31"/>
      <c r="AH1909" s="31"/>
      <c r="AI1909" s="31"/>
      <c r="AJ1909" s="31"/>
      <c r="AK1909" s="31"/>
      <c r="AL1909" s="28" t="str">
        <f>VLOOKUP($G1909,'[42]Sheet1 (2)'!$A$1:$B$1048440,2,FALSE)</f>
        <v>Sqm</v>
      </c>
      <c r="AM1909" s="32"/>
      <c r="AN1909" s="31"/>
      <c r="AO1909" s="33"/>
    </row>
    <row r="1910" spans="1:41" ht="70" x14ac:dyDescent="0.25">
      <c r="A1910" s="243">
        <v>1751</v>
      </c>
      <c r="B1910" s="24" t="s">
        <v>3102</v>
      </c>
      <c r="C1910" s="22">
        <v>50.3</v>
      </c>
      <c r="D1910" s="25" t="s">
        <v>3103</v>
      </c>
      <c r="E1910" s="23" t="s">
        <v>3104</v>
      </c>
      <c r="F1910" s="24" t="s">
        <v>3072</v>
      </c>
      <c r="G1910" s="25" t="s">
        <v>1070</v>
      </c>
      <c r="H1910" s="26">
        <v>75</v>
      </c>
      <c r="I1910" s="26">
        <v>12</v>
      </c>
      <c r="J1910" s="31"/>
      <c r="K1910" s="31"/>
      <c r="L1910" s="31"/>
      <c r="M1910" s="31"/>
      <c r="N1910" s="31"/>
      <c r="O1910" s="31"/>
      <c r="P1910" s="31"/>
      <c r="Q1910" s="31"/>
      <c r="R1910" s="31"/>
      <c r="S1910" s="31"/>
      <c r="T1910" s="31"/>
      <c r="U1910" s="31"/>
      <c r="V1910" s="31"/>
      <c r="W1910" s="31"/>
      <c r="X1910" s="31"/>
      <c r="Y1910" s="31"/>
      <c r="Z1910" s="31"/>
      <c r="AA1910" s="31"/>
      <c r="AB1910" s="31"/>
      <c r="AC1910" s="31"/>
      <c r="AD1910" s="31"/>
      <c r="AE1910" s="31"/>
      <c r="AF1910" s="31"/>
      <c r="AG1910" s="31"/>
      <c r="AH1910" s="31"/>
      <c r="AI1910" s="31"/>
      <c r="AJ1910" s="31"/>
      <c r="AK1910" s="31"/>
      <c r="AL1910" s="28" t="e">
        <f>VLOOKUP($G1910,'[42]Sheet1 (2)'!$A$1:$B$1048440,2,FALSE)</f>
        <v>#N/A</v>
      </c>
      <c r="AM1910" s="32"/>
      <c r="AN1910" s="31"/>
      <c r="AO1910" s="33"/>
    </row>
    <row r="1911" spans="1:41" ht="168" x14ac:dyDescent="0.25">
      <c r="A1911" s="243">
        <v>1752</v>
      </c>
      <c r="B1911" s="24" t="s">
        <v>3102</v>
      </c>
      <c r="C1911" s="127">
        <v>50.31</v>
      </c>
      <c r="D1911" s="25" t="s">
        <v>3103</v>
      </c>
      <c r="E1911" s="23" t="s">
        <v>3105</v>
      </c>
      <c r="F1911" s="24" t="s">
        <v>3072</v>
      </c>
      <c r="G1911" s="25" t="s">
        <v>45</v>
      </c>
      <c r="H1911" s="26">
        <v>12000</v>
      </c>
      <c r="I1911" s="26">
        <v>2040</v>
      </c>
      <c r="J1911" s="31"/>
      <c r="K1911" s="31"/>
      <c r="L1911" s="31"/>
      <c r="M1911" s="31"/>
      <c r="N1911" s="31"/>
      <c r="O1911" s="31"/>
      <c r="P1911" s="31"/>
      <c r="Q1911" s="31"/>
      <c r="R1911" s="31"/>
      <c r="S1911" s="31"/>
      <c r="T1911" s="31"/>
      <c r="U1911" s="31"/>
      <c r="V1911" s="31"/>
      <c r="W1911" s="31"/>
      <c r="X1911" s="31"/>
      <c r="Y1911" s="31"/>
      <c r="Z1911" s="31"/>
      <c r="AA1911" s="31"/>
      <c r="AB1911" s="31"/>
      <c r="AC1911" s="31"/>
      <c r="AD1911" s="31"/>
      <c r="AE1911" s="31"/>
      <c r="AF1911" s="31"/>
      <c r="AG1911" s="31"/>
      <c r="AH1911" s="31"/>
      <c r="AI1911" s="31"/>
      <c r="AJ1911" s="31"/>
      <c r="AK1911" s="31"/>
      <c r="AL1911" s="28" t="str">
        <f>VLOOKUP($G1911,'[42]Sheet1 (2)'!$A$1:$B$1048440,2,FALSE)</f>
        <v>No.</v>
      </c>
      <c r="AM1911" s="32"/>
      <c r="AN1911" s="31"/>
      <c r="AO1911" s="33"/>
    </row>
    <row r="1912" spans="1:41" ht="112" x14ac:dyDescent="0.25">
      <c r="A1912" s="243">
        <v>1753</v>
      </c>
      <c r="B1912" s="25" t="s">
        <v>3106</v>
      </c>
      <c r="C1912" s="127">
        <v>50.32</v>
      </c>
      <c r="D1912" s="21" t="s">
        <v>3107</v>
      </c>
      <c r="E1912" s="24" t="s">
        <v>3108</v>
      </c>
      <c r="F1912" s="24" t="s">
        <v>3072</v>
      </c>
      <c r="G1912" s="21" t="s">
        <v>217</v>
      </c>
      <c r="H1912" s="26">
        <v>160</v>
      </c>
      <c r="I1912" s="26">
        <v>44</v>
      </c>
      <c r="J1912" s="31"/>
      <c r="K1912" s="31"/>
      <c r="L1912" s="31"/>
      <c r="M1912" s="31"/>
      <c r="N1912" s="31"/>
      <c r="O1912" s="31"/>
      <c r="P1912" s="31"/>
      <c r="Q1912" s="31"/>
      <c r="R1912" s="31"/>
      <c r="S1912" s="31"/>
      <c r="T1912" s="31"/>
      <c r="U1912" s="31"/>
      <c r="V1912" s="31"/>
      <c r="W1912" s="31"/>
      <c r="X1912" s="31"/>
      <c r="Y1912" s="31"/>
      <c r="Z1912" s="31"/>
      <c r="AA1912" s="31"/>
      <c r="AB1912" s="31"/>
      <c r="AC1912" s="31"/>
      <c r="AD1912" s="31"/>
      <c r="AE1912" s="31"/>
      <c r="AF1912" s="31"/>
      <c r="AG1912" s="31"/>
      <c r="AH1912" s="31"/>
      <c r="AI1912" s="31"/>
      <c r="AJ1912" s="31"/>
      <c r="AK1912" s="31"/>
      <c r="AL1912" s="28" t="str">
        <f>VLOOKUP($G1912,'[42]Sheet1 (2)'!$A$1:$B$1048440,2,FALSE)</f>
        <v>Sqm</v>
      </c>
      <c r="AM1912" s="32"/>
      <c r="AN1912" s="31"/>
      <c r="AO1912" s="33"/>
    </row>
    <row r="1913" spans="1:41" ht="112" x14ac:dyDescent="0.25">
      <c r="A1913" s="23"/>
      <c r="B1913" s="340" t="s">
        <v>3106</v>
      </c>
      <c r="C1913" s="127">
        <v>50.33</v>
      </c>
      <c r="D1913" s="21" t="s">
        <v>3107</v>
      </c>
      <c r="E1913" s="24" t="s">
        <v>3109</v>
      </c>
      <c r="F1913" s="24" t="s">
        <v>3072</v>
      </c>
      <c r="G1913" s="23"/>
      <c r="H1913" s="23"/>
      <c r="I1913" s="23"/>
      <c r="J1913" s="31"/>
      <c r="K1913" s="31"/>
      <c r="L1913" s="31"/>
      <c r="M1913" s="31"/>
      <c r="N1913" s="31"/>
      <c r="O1913" s="31"/>
      <c r="P1913" s="31"/>
      <c r="Q1913" s="31"/>
      <c r="R1913" s="31"/>
      <c r="S1913" s="31"/>
      <c r="T1913" s="31"/>
      <c r="U1913" s="31"/>
      <c r="V1913" s="31"/>
      <c r="W1913" s="31"/>
      <c r="X1913" s="31"/>
      <c r="Y1913" s="31"/>
      <c r="Z1913" s="31"/>
      <c r="AA1913" s="31"/>
      <c r="AB1913" s="31"/>
      <c r="AC1913" s="31"/>
      <c r="AD1913" s="31"/>
      <c r="AE1913" s="31"/>
      <c r="AF1913" s="31"/>
      <c r="AG1913" s="31"/>
      <c r="AH1913" s="31"/>
      <c r="AI1913" s="31"/>
      <c r="AJ1913" s="31"/>
      <c r="AK1913" s="31"/>
      <c r="AL1913" s="28" t="e">
        <f>VLOOKUP($G1913,'[42]Sheet1 (2)'!$A$1:$B$1048440,2,FALSE)</f>
        <v>#N/A</v>
      </c>
      <c r="AM1913" s="32"/>
      <c r="AN1913" s="31"/>
      <c r="AO1913" s="33"/>
    </row>
    <row r="1914" spans="1:41" ht="42" x14ac:dyDescent="0.25">
      <c r="A1914" s="243">
        <v>1754</v>
      </c>
      <c r="B1914" s="341"/>
      <c r="C1914" s="25" t="s">
        <v>373</v>
      </c>
      <c r="D1914" s="34"/>
      <c r="E1914" s="24" t="s">
        <v>3110</v>
      </c>
      <c r="F1914" s="34"/>
      <c r="G1914" s="35" t="s">
        <v>151</v>
      </c>
      <c r="H1914" s="26">
        <v>160</v>
      </c>
      <c r="I1914" s="26">
        <v>44</v>
      </c>
      <c r="J1914" s="31"/>
      <c r="K1914" s="31"/>
      <c r="L1914" s="31"/>
      <c r="M1914" s="31"/>
      <c r="N1914" s="31"/>
      <c r="O1914" s="31"/>
      <c r="P1914" s="31"/>
      <c r="Q1914" s="31"/>
      <c r="R1914" s="31"/>
      <c r="S1914" s="31"/>
      <c r="T1914" s="31"/>
      <c r="U1914" s="31"/>
      <c r="V1914" s="31"/>
      <c r="W1914" s="31"/>
      <c r="X1914" s="31"/>
      <c r="Y1914" s="31"/>
      <c r="Z1914" s="31"/>
      <c r="AA1914" s="31"/>
      <c r="AB1914" s="31"/>
      <c r="AC1914" s="31"/>
      <c r="AD1914" s="31"/>
      <c r="AE1914" s="31"/>
      <c r="AF1914" s="31"/>
      <c r="AG1914" s="31"/>
      <c r="AH1914" s="31"/>
      <c r="AI1914" s="31"/>
      <c r="AJ1914" s="31"/>
      <c r="AK1914" s="31"/>
      <c r="AL1914" s="28" t="str">
        <f>VLOOKUP($G1914,'[42]Sheet1 (2)'!$A$1:$B$1048440,2,FALSE)</f>
        <v>Sqm</v>
      </c>
      <c r="AM1914" s="32"/>
      <c r="AN1914" s="31"/>
      <c r="AO1914" s="33"/>
    </row>
    <row r="1915" spans="1:41" ht="42" x14ac:dyDescent="0.25">
      <c r="A1915" s="243">
        <v>1755</v>
      </c>
      <c r="B1915" s="342"/>
      <c r="C1915" s="25" t="s">
        <v>375</v>
      </c>
      <c r="D1915" s="34"/>
      <c r="E1915" s="24" t="s">
        <v>3111</v>
      </c>
      <c r="F1915" s="34"/>
      <c r="G1915" s="35" t="s">
        <v>151</v>
      </c>
      <c r="H1915" s="26">
        <v>224</v>
      </c>
      <c r="I1915" s="26">
        <v>44</v>
      </c>
      <c r="J1915" s="31"/>
      <c r="K1915" s="31"/>
      <c r="L1915" s="31"/>
      <c r="M1915" s="31"/>
      <c r="N1915" s="31"/>
      <c r="O1915" s="31"/>
      <c r="P1915" s="31"/>
      <c r="Q1915" s="31"/>
      <c r="R1915" s="31"/>
      <c r="S1915" s="31"/>
      <c r="T1915" s="31"/>
      <c r="U1915" s="31"/>
      <c r="V1915" s="31"/>
      <c r="W1915" s="31"/>
      <c r="X1915" s="31"/>
      <c r="Y1915" s="31"/>
      <c r="Z1915" s="31"/>
      <c r="AA1915" s="31"/>
      <c r="AB1915" s="31"/>
      <c r="AC1915" s="31"/>
      <c r="AD1915" s="31"/>
      <c r="AE1915" s="31"/>
      <c r="AF1915" s="31"/>
      <c r="AG1915" s="31"/>
      <c r="AH1915" s="31"/>
      <c r="AI1915" s="31"/>
      <c r="AJ1915" s="31"/>
      <c r="AK1915" s="31"/>
      <c r="AL1915" s="28" t="str">
        <f>VLOOKUP($G1915,'[42]Sheet1 (2)'!$A$1:$B$1048440,2,FALSE)</f>
        <v>Sqm</v>
      </c>
      <c r="AM1915" s="32"/>
      <c r="AN1915" s="31"/>
      <c r="AO1915" s="33"/>
    </row>
    <row r="1916" spans="1:41" ht="112" x14ac:dyDescent="0.25">
      <c r="A1916" s="23"/>
      <c r="B1916" s="340" t="s">
        <v>3106</v>
      </c>
      <c r="C1916" s="127">
        <v>50.34</v>
      </c>
      <c r="D1916" s="340" t="s">
        <v>3107</v>
      </c>
      <c r="E1916" s="24" t="s">
        <v>3112</v>
      </c>
      <c r="F1916" s="24" t="s">
        <v>3072</v>
      </c>
      <c r="G1916" s="23"/>
      <c r="H1916" s="23"/>
      <c r="I1916" s="23"/>
      <c r="J1916" s="31"/>
      <c r="K1916" s="31"/>
      <c r="L1916" s="31"/>
      <c r="M1916" s="31"/>
      <c r="N1916" s="31"/>
      <c r="O1916" s="31"/>
      <c r="P1916" s="31"/>
      <c r="Q1916" s="31"/>
      <c r="R1916" s="31"/>
      <c r="S1916" s="31"/>
      <c r="T1916" s="31"/>
      <c r="U1916" s="31"/>
      <c r="V1916" s="31"/>
      <c r="W1916" s="31"/>
      <c r="X1916" s="31"/>
      <c r="Y1916" s="31"/>
      <c r="Z1916" s="31"/>
      <c r="AA1916" s="31"/>
      <c r="AB1916" s="31"/>
      <c r="AC1916" s="31"/>
      <c r="AD1916" s="31"/>
      <c r="AE1916" s="31"/>
      <c r="AF1916" s="31"/>
      <c r="AG1916" s="31"/>
      <c r="AH1916" s="31"/>
      <c r="AI1916" s="31"/>
      <c r="AJ1916" s="31"/>
      <c r="AK1916" s="31"/>
      <c r="AL1916" s="28" t="e">
        <f>VLOOKUP($G1916,'[42]Sheet1 (2)'!$A$1:$B$1048440,2,FALSE)</f>
        <v>#N/A</v>
      </c>
      <c r="AM1916" s="32"/>
      <c r="AN1916" s="31"/>
      <c r="AO1916" s="33"/>
    </row>
    <row r="1917" spans="1:41" ht="42" x14ac:dyDescent="0.25">
      <c r="A1917" s="243">
        <v>1756</v>
      </c>
      <c r="B1917" s="341"/>
      <c r="C1917" s="25" t="s">
        <v>373</v>
      </c>
      <c r="D1917" s="341"/>
      <c r="E1917" s="24" t="s">
        <v>3113</v>
      </c>
      <c r="F1917" s="34"/>
      <c r="G1917" s="35" t="s">
        <v>151</v>
      </c>
      <c r="H1917" s="26">
        <v>134</v>
      </c>
      <c r="I1917" s="26">
        <v>44</v>
      </c>
      <c r="J1917" s="31"/>
      <c r="K1917" s="31"/>
      <c r="L1917" s="31"/>
      <c r="M1917" s="31"/>
      <c r="N1917" s="31"/>
      <c r="O1917" s="31"/>
      <c r="P1917" s="31"/>
      <c r="Q1917" s="31"/>
      <c r="R1917" s="31"/>
      <c r="S1917" s="31"/>
      <c r="T1917" s="31"/>
      <c r="U1917" s="31"/>
      <c r="V1917" s="31"/>
      <c r="W1917" s="31"/>
      <c r="X1917" s="31"/>
      <c r="Y1917" s="31"/>
      <c r="Z1917" s="31"/>
      <c r="AA1917" s="31"/>
      <c r="AB1917" s="31"/>
      <c r="AC1917" s="31"/>
      <c r="AD1917" s="31"/>
      <c r="AE1917" s="31"/>
      <c r="AF1917" s="31"/>
      <c r="AG1917" s="31"/>
      <c r="AH1917" s="31"/>
      <c r="AI1917" s="31"/>
      <c r="AJ1917" s="31"/>
      <c r="AK1917" s="31"/>
      <c r="AL1917" s="28" t="str">
        <f>VLOOKUP($G1917,'[42]Sheet1 (2)'!$A$1:$B$1048440,2,FALSE)</f>
        <v>Sqm</v>
      </c>
      <c r="AM1917" s="32"/>
      <c r="AN1917" s="31"/>
      <c r="AO1917" s="33"/>
    </row>
    <row r="1918" spans="1:41" ht="42" x14ac:dyDescent="0.25">
      <c r="A1918" s="243">
        <v>1757</v>
      </c>
      <c r="B1918" s="341"/>
      <c r="C1918" s="25" t="s">
        <v>375</v>
      </c>
      <c r="D1918" s="341"/>
      <c r="E1918" s="24" t="s">
        <v>3114</v>
      </c>
      <c r="F1918" s="34"/>
      <c r="G1918" s="35" t="s">
        <v>151</v>
      </c>
      <c r="H1918" s="26">
        <v>151</v>
      </c>
      <c r="I1918" s="26">
        <v>44</v>
      </c>
      <c r="J1918" s="31"/>
      <c r="K1918" s="31"/>
      <c r="L1918" s="31"/>
      <c r="M1918" s="31"/>
      <c r="N1918" s="31"/>
      <c r="O1918" s="31"/>
      <c r="P1918" s="31"/>
      <c r="Q1918" s="31"/>
      <c r="R1918" s="31"/>
      <c r="S1918" s="31"/>
      <c r="T1918" s="31"/>
      <c r="U1918" s="31"/>
      <c r="V1918" s="31"/>
      <c r="W1918" s="31"/>
      <c r="X1918" s="31"/>
      <c r="Y1918" s="31"/>
      <c r="Z1918" s="31"/>
      <c r="AA1918" s="31"/>
      <c r="AB1918" s="31"/>
      <c r="AC1918" s="31"/>
      <c r="AD1918" s="31"/>
      <c r="AE1918" s="31"/>
      <c r="AF1918" s="31"/>
      <c r="AG1918" s="31"/>
      <c r="AH1918" s="31"/>
      <c r="AI1918" s="31"/>
      <c r="AJ1918" s="31"/>
      <c r="AK1918" s="31"/>
      <c r="AL1918" s="28" t="str">
        <f>VLOOKUP($G1918,'[42]Sheet1 (2)'!$A$1:$B$1048440,2,FALSE)</f>
        <v>Sqm</v>
      </c>
      <c r="AM1918" s="32"/>
      <c r="AN1918" s="31"/>
      <c r="AO1918" s="33"/>
    </row>
    <row r="1919" spans="1:41" ht="42" x14ac:dyDescent="0.25">
      <c r="A1919" s="247">
        <v>1758</v>
      </c>
      <c r="B1919" s="341"/>
      <c r="C1919" s="248" t="s">
        <v>377</v>
      </c>
      <c r="D1919" s="341"/>
      <c r="E1919" s="250" t="s">
        <v>3115</v>
      </c>
      <c r="F1919" s="259"/>
      <c r="G1919" s="266" t="s">
        <v>151</v>
      </c>
      <c r="H1919" s="251">
        <v>167</v>
      </c>
      <c r="I1919" s="251">
        <v>44</v>
      </c>
      <c r="J1919" s="31"/>
      <c r="K1919" s="31"/>
      <c r="L1919" s="31"/>
      <c r="M1919" s="31"/>
      <c r="N1919" s="31"/>
      <c r="O1919" s="31"/>
      <c r="P1919" s="31"/>
      <c r="Q1919" s="31"/>
      <c r="R1919" s="31"/>
      <c r="S1919" s="31"/>
      <c r="T1919" s="31"/>
      <c r="U1919" s="31"/>
      <c r="V1919" s="31"/>
      <c r="W1919" s="31"/>
      <c r="X1919" s="31"/>
      <c r="Y1919" s="31"/>
      <c r="Z1919" s="31"/>
      <c r="AA1919" s="31"/>
      <c r="AB1919" s="31"/>
      <c r="AC1919" s="31"/>
      <c r="AD1919" s="31"/>
      <c r="AE1919" s="31"/>
      <c r="AF1919" s="31"/>
      <c r="AG1919" s="31"/>
      <c r="AH1919" s="31"/>
      <c r="AI1919" s="31"/>
      <c r="AJ1919" s="31"/>
      <c r="AK1919" s="31"/>
      <c r="AL1919" s="28" t="str">
        <f>VLOOKUP($G1919,'[42]Sheet1 (2)'!$A$1:$B$1048440,2,FALSE)</f>
        <v>Sqm</v>
      </c>
      <c r="AM1919" s="32"/>
      <c r="AN1919" s="31"/>
      <c r="AO1919" s="33"/>
    </row>
    <row r="1920" spans="1:41" ht="42" x14ac:dyDescent="0.25">
      <c r="A1920" s="252">
        <v>1759</v>
      </c>
      <c r="B1920" s="326"/>
      <c r="C1920" s="253" t="s">
        <v>384</v>
      </c>
      <c r="D1920" s="326"/>
      <c r="E1920" s="256" t="s">
        <v>3116</v>
      </c>
      <c r="F1920" s="261"/>
      <c r="G1920" s="267" t="s">
        <v>151</v>
      </c>
      <c r="H1920" s="257">
        <v>207</v>
      </c>
      <c r="I1920" s="257">
        <v>44</v>
      </c>
      <c r="J1920" s="31"/>
      <c r="K1920" s="31"/>
      <c r="L1920" s="31"/>
      <c r="M1920" s="31"/>
      <c r="N1920" s="31"/>
      <c r="O1920" s="31"/>
      <c r="P1920" s="31"/>
      <c r="Q1920" s="31"/>
      <c r="R1920" s="31"/>
      <c r="S1920" s="31"/>
      <c r="T1920" s="31"/>
      <c r="U1920" s="31"/>
      <c r="V1920" s="31"/>
      <c r="W1920" s="31"/>
      <c r="X1920" s="31"/>
      <c r="Y1920" s="31"/>
      <c r="Z1920" s="31"/>
      <c r="AA1920" s="31"/>
      <c r="AB1920" s="31"/>
      <c r="AC1920" s="31"/>
      <c r="AD1920" s="31"/>
      <c r="AE1920" s="31"/>
      <c r="AF1920" s="31"/>
      <c r="AG1920" s="31"/>
      <c r="AH1920" s="31"/>
      <c r="AI1920" s="31"/>
      <c r="AJ1920" s="31"/>
      <c r="AK1920" s="31"/>
      <c r="AL1920" s="28" t="str">
        <f>VLOOKUP($G1920,'[42]Sheet1 (2)'!$A$1:$B$1048440,2,FALSE)</f>
        <v>Sqm</v>
      </c>
      <c r="AM1920" s="32"/>
      <c r="AN1920" s="31"/>
      <c r="AO1920" s="33"/>
    </row>
    <row r="1921" spans="1:41" ht="42" x14ac:dyDescent="0.25">
      <c r="A1921" s="243">
        <v>1760</v>
      </c>
      <c r="B1921" s="327"/>
      <c r="C1921" s="25" t="s">
        <v>387</v>
      </c>
      <c r="D1921" s="327"/>
      <c r="E1921" s="24" t="s">
        <v>3117</v>
      </c>
      <c r="F1921" s="34"/>
      <c r="G1921" s="35" t="s">
        <v>151</v>
      </c>
      <c r="H1921" s="103">
        <v>279</v>
      </c>
      <c r="I1921" s="103">
        <v>88</v>
      </c>
      <c r="J1921" s="31"/>
      <c r="K1921" s="31"/>
      <c r="L1921" s="31"/>
      <c r="M1921" s="31"/>
      <c r="N1921" s="31"/>
      <c r="O1921" s="31"/>
      <c r="P1921" s="31"/>
      <c r="Q1921" s="31"/>
      <c r="R1921" s="31"/>
      <c r="S1921" s="31"/>
      <c r="T1921" s="31"/>
      <c r="U1921" s="31"/>
      <c r="V1921" s="31"/>
      <c r="W1921" s="31"/>
      <c r="X1921" s="31"/>
      <c r="Y1921" s="31"/>
      <c r="Z1921" s="31"/>
      <c r="AA1921" s="31"/>
      <c r="AB1921" s="31"/>
      <c r="AC1921" s="31"/>
      <c r="AD1921" s="31"/>
      <c r="AE1921" s="31"/>
      <c r="AF1921" s="31"/>
      <c r="AG1921" s="31"/>
      <c r="AH1921" s="31"/>
      <c r="AI1921" s="31"/>
      <c r="AJ1921" s="31"/>
      <c r="AK1921" s="31"/>
      <c r="AL1921" s="28" t="str">
        <f>VLOOKUP($G1921,'[42]Sheet1 (2)'!$A$1:$B$1048440,2,FALSE)</f>
        <v>Sqm</v>
      </c>
      <c r="AM1921" s="32"/>
      <c r="AN1921" s="31"/>
      <c r="AO1921" s="33"/>
    </row>
    <row r="1922" spans="1:41" ht="196" x14ac:dyDescent="0.25">
      <c r="A1922" s="23"/>
      <c r="B1922" s="340" t="s">
        <v>3106</v>
      </c>
      <c r="C1922" s="127">
        <v>50.35</v>
      </c>
      <c r="D1922" s="340" t="s">
        <v>3107</v>
      </c>
      <c r="E1922" s="24" t="s">
        <v>3118</v>
      </c>
      <c r="F1922" s="24" t="s">
        <v>3072</v>
      </c>
      <c r="G1922" s="23"/>
      <c r="H1922" s="23"/>
      <c r="I1922" s="23"/>
      <c r="J1922" s="31"/>
      <c r="K1922" s="31"/>
      <c r="L1922" s="31"/>
      <c r="M1922" s="31"/>
      <c r="N1922" s="31"/>
      <c r="O1922" s="31"/>
      <c r="P1922" s="31"/>
      <c r="Q1922" s="31"/>
      <c r="R1922" s="31"/>
      <c r="S1922" s="31"/>
      <c r="T1922" s="31"/>
      <c r="U1922" s="31"/>
      <c r="V1922" s="31"/>
      <c r="W1922" s="31"/>
      <c r="X1922" s="31"/>
      <c r="Y1922" s="31"/>
      <c r="Z1922" s="31"/>
      <c r="AA1922" s="31"/>
      <c r="AB1922" s="31"/>
      <c r="AC1922" s="31"/>
      <c r="AD1922" s="31"/>
      <c r="AE1922" s="31"/>
      <c r="AF1922" s="31"/>
      <c r="AG1922" s="31"/>
      <c r="AH1922" s="31"/>
      <c r="AI1922" s="31"/>
      <c r="AJ1922" s="31"/>
      <c r="AK1922" s="31"/>
      <c r="AL1922" s="28" t="e">
        <f>VLOOKUP($G1922,'[42]Sheet1 (2)'!$A$1:$B$1048440,2,FALSE)</f>
        <v>#N/A</v>
      </c>
      <c r="AM1922" s="32"/>
      <c r="AN1922" s="31"/>
      <c r="AO1922" s="33"/>
    </row>
    <row r="1923" spans="1:41" ht="42" x14ac:dyDescent="0.25">
      <c r="A1923" s="243">
        <v>1761</v>
      </c>
      <c r="B1923" s="341"/>
      <c r="C1923" s="25" t="s">
        <v>373</v>
      </c>
      <c r="D1923" s="341"/>
      <c r="E1923" s="24" t="s">
        <v>3119</v>
      </c>
      <c r="F1923" s="34"/>
      <c r="G1923" s="35" t="s">
        <v>151</v>
      </c>
      <c r="H1923" s="103">
        <v>199</v>
      </c>
      <c r="I1923" s="103">
        <v>44</v>
      </c>
      <c r="J1923" s="31"/>
      <c r="K1923" s="31"/>
      <c r="L1923" s="31"/>
      <c r="M1923" s="31"/>
      <c r="N1923" s="31"/>
      <c r="O1923" s="31"/>
      <c r="P1923" s="31"/>
      <c r="Q1923" s="31"/>
      <c r="R1923" s="31"/>
      <c r="S1923" s="31"/>
      <c r="T1923" s="31"/>
      <c r="U1923" s="31"/>
      <c r="V1923" s="31"/>
      <c r="W1923" s="31"/>
      <c r="X1923" s="31"/>
      <c r="Y1923" s="31"/>
      <c r="Z1923" s="31"/>
      <c r="AA1923" s="31"/>
      <c r="AB1923" s="31"/>
      <c r="AC1923" s="31"/>
      <c r="AD1923" s="31"/>
      <c r="AE1923" s="31"/>
      <c r="AF1923" s="31"/>
      <c r="AG1923" s="31"/>
      <c r="AH1923" s="31"/>
      <c r="AI1923" s="31"/>
      <c r="AJ1923" s="31"/>
      <c r="AK1923" s="31"/>
      <c r="AL1923" s="28" t="str">
        <f>VLOOKUP($G1923,'[42]Sheet1 (2)'!$A$1:$B$1048440,2,FALSE)</f>
        <v>Sqm</v>
      </c>
      <c r="AM1923" s="32"/>
      <c r="AN1923" s="31"/>
      <c r="AO1923" s="33"/>
    </row>
    <row r="1924" spans="1:41" ht="42" x14ac:dyDescent="0.25">
      <c r="A1924" s="243">
        <v>1762</v>
      </c>
      <c r="B1924" s="342"/>
      <c r="C1924" s="25" t="s">
        <v>375</v>
      </c>
      <c r="D1924" s="342"/>
      <c r="E1924" s="24" t="s">
        <v>3120</v>
      </c>
      <c r="F1924" s="34"/>
      <c r="G1924" s="35" t="s">
        <v>151</v>
      </c>
      <c r="H1924" s="103">
        <v>240</v>
      </c>
      <c r="I1924" s="103">
        <v>44</v>
      </c>
      <c r="J1924" s="31"/>
      <c r="K1924" s="31"/>
      <c r="L1924" s="31"/>
      <c r="M1924" s="31"/>
      <c r="N1924" s="31"/>
      <c r="O1924" s="31"/>
      <c r="P1924" s="31"/>
      <c r="Q1924" s="31"/>
      <c r="R1924" s="31"/>
      <c r="S1924" s="31"/>
      <c r="T1924" s="31"/>
      <c r="U1924" s="31"/>
      <c r="V1924" s="31"/>
      <c r="W1924" s="31"/>
      <c r="X1924" s="31"/>
      <c r="Y1924" s="31"/>
      <c r="Z1924" s="31"/>
      <c r="AA1924" s="31"/>
      <c r="AB1924" s="31"/>
      <c r="AC1924" s="31"/>
      <c r="AD1924" s="31"/>
      <c r="AE1924" s="31"/>
      <c r="AF1924" s="31"/>
      <c r="AG1924" s="31"/>
      <c r="AH1924" s="31"/>
      <c r="AI1924" s="31"/>
      <c r="AJ1924" s="31"/>
      <c r="AK1924" s="31"/>
      <c r="AL1924" s="28" t="str">
        <f>VLOOKUP($G1924,'[42]Sheet1 (2)'!$A$1:$B$1048440,2,FALSE)</f>
        <v>Sqm</v>
      </c>
      <c r="AM1924" s="32"/>
      <c r="AN1924" s="31"/>
      <c r="AO1924" s="33"/>
    </row>
    <row r="1925" spans="1:41" ht="140" x14ac:dyDescent="0.25">
      <c r="A1925" s="23"/>
      <c r="B1925" s="340" t="s">
        <v>3106</v>
      </c>
      <c r="C1925" s="127">
        <v>50.36</v>
      </c>
      <c r="D1925" s="340" t="s">
        <v>3107</v>
      </c>
      <c r="E1925" s="24" t="s">
        <v>3121</v>
      </c>
      <c r="F1925" s="24" t="s">
        <v>3072</v>
      </c>
      <c r="G1925" s="23"/>
      <c r="H1925" s="23"/>
      <c r="I1925" s="23"/>
      <c r="J1925" s="31"/>
      <c r="K1925" s="31"/>
      <c r="L1925" s="31"/>
      <c r="M1925" s="31"/>
      <c r="N1925" s="31"/>
      <c r="O1925" s="31"/>
      <c r="P1925" s="31"/>
      <c r="Q1925" s="31"/>
      <c r="R1925" s="31"/>
      <c r="S1925" s="31"/>
      <c r="T1925" s="31"/>
      <c r="U1925" s="31"/>
      <c r="V1925" s="31"/>
      <c r="W1925" s="31"/>
      <c r="X1925" s="31"/>
      <c r="Y1925" s="31"/>
      <c r="Z1925" s="31"/>
      <c r="AA1925" s="31"/>
      <c r="AB1925" s="31"/>
      <c r="AC1925" s="31"/>
      <c r="AD1925" s="31"/>
      <c r="AE1925" s="31"/>
      <c r="AF1925" s="31"/>
      <c r="AG1925" s="31"/>
      <c r="AH1925" s="31"/>
      <c r="AI1925" s="31"/>
      <c r="AJ1925" s="31"/>
      <c r="AK1925" s="31"/>
      <c r="AL1925" s="28" t="e">
        <f>VLOOKUP($G1925,'[42]Sheet1 (2)'!$A$1:$B$1048440,2,FALSE)</f>
        <v>#N/A</v>
      </c>
      <c r="AM1925" s="32"/>
      <c r="AN1925" s="31"/>
      <c r="AO1925" s="33"/>
    </row>
    <row r="1926" spans="1:41" ht="42" x14ac:dyDescent="0.25">
      <c r="A1926" s="243">
        <v>1763</v>
      </c>
      <c r="B1926" s="341"/>
      <c r="C1926" s="25" t="s">
        <v>373</v>
      </c>
      <c r="D1926" s="341"/>
      <c r="E1926" s="24" t="s">
        <v>3122</v>
      </c>
      <c r="F1926" s="34"/>
      <c r="G1926" s="35" t="s">
        <v>151</v>
      </c>
      <c r="H1926" s="103">
        <v>230</v>
      </c>
      <c r="I1926" s="103">
        <v>44</v>
      </c>
      <c r="J1926" s="31"/>
      <c r="K1926" s="31"/>
      <c r="L1926" s="31"/>
      <c r="M1926" s="31"/>
      <c r="N1926" s="31"/>
      <c r="O1926" s="31"/>
      <c r="P1926" s="31"/>
      <c r="Q1926" s="31"/>
      <c r="R1926" s="31"/>
      <c r="S1926" s="31"/>
      <c r="T1926" s="31"/>
      <c r="U1926" s="31"/>
      <c r="V1926" s="31"/>
      <c r="W1926" s="31"/>
      <c r="X1926" s="31"/>
      <c r="Y1926" s="31"/>
      <c r="Z1926" s="31"/>
      <c r="AA1926" s="31"/>
      <c r="AB1926" s="31"/>
      <c r="AC1926" s="31"/>
      <c r="AD1926" s="31"/>
      <c r="AE1926" s="31"/>
      <c r="AF1926" s="31"/>
      <c r="AG1926" s="31"/>
      <c r="AH1926" s="31"/>
      <c r="AI1926" s="31"/>
      <c r="AJ1926" s="31"/>
      <c r="AK1926" s="31"/>
      <c r="AL1926" s="28" t="str">
        <f>VLOOKUP($G1926,'[42]Sheet1 (2)'!$A$1:$B$1048440,2,FALSE)</f>
        <v>Sqm</v>
      </c>
      <c r="AM1926" s="32"/>
      <c r="AN1926" s="31"/>
      <c r="AO1926" s="33"/>
    </row>
    <row r="1927" spans="1:41" ht="42" x14ac:dyDescent="0.25">
      <c r="A1927" s="247">
        <v>1764</v>
      </c>
      <c r="B1927" s="341"/>
      <c r="C1927" s="248" t="s">
        <v>375</v>
      </c>
      <c r="D1927" s="341"/>
      <c r="E1927" s="250" t="s">
        <v>3123</v>
      </c>
      <c r="F1927" s="259"/>
      <c r="G1927" s="266" t="s">
        <v>151</v>
      </c>
      <c r="H1927" s="260">
        <v>296</v>
      </c>
      <c r="I1927" s="260">
        <v>44</v>
      </c>
      <c r="J1927" s="31"/>
      <c r="K1927" s="31"/>
      <c r="L1927" s="31"/>
      <c r="M1927" s="31"/>
      <c r="N1927" s="31"/>
      <c r="O1927" s="31"/>
      <c r="P1927" s="31"/>
      <c r="Q1927" s="31"/>
      <c r="R1927" s="31"/>
      <c r="S1927" s="31"/>
      <c r="T1927" s="31"/>
      <c r="U1927" s="31"/>
      <c r="V1927" s="31"/>
      <c r="W1927" s="31"/>
      <c r="X1927" s="31"/>
      <c r="Y1927" s="31"/>
      <c r="Z1927" s="31"/>
      <c r="AA1927" s="31"/>
      <c r="AB1927" s="31"/>
      <c r="AC1927" s="31"/>
      <c r="AD1927" s="31"/>
      <c r="AE1927" s="31"/>
      <c r="AF1927" s="31"/>
      <c r="AG1927" s="31"/>
      <c r="AH1927" s="31"/>
      <c r="AI1927" s="31"/>
      <c r="AJ1927" s="31"/>
      <c r="AK1927" s="31"/>
      <c r="AL1927" s="28" t="str">
        <f>VLOOKUP($G1927,'[42]Sheet1 (2)'!$A$1:$B$1048440,2,FALSE)</f>
        <v>Sqm</v>
      </c>
      <c r="AM1927" s="32"/>
      <c r="AN1927" s="31"/>
      <c r="AO1927" s="33"/>
    </row>
    <row r="1928" spans="1:41" ht="224" x14ac:dyDescent="0.25">
      <c r="A1928" s="255"/>
      <c r="B1928" s="341" t="s">
        <v>3106</v>
      </c>
      <c r="C1928" s="254">
        <v>50.37</v>
      </c>
      <c r="D1928" s="341" t="s">
        <v>3107</v>
      </c>
      <c r="E1928" s="256" t="s">
        <v>3124</v>
      </c>
      <c r="F1928" s="256" t="s">
        <v>3072</v>
      </c>
      <c r="G1928" s="255"/>
      <c r="H1928" s="255"/>
      <c r="I1928" s="255"/>
      <c r="J1928" s="31"/>
      <c r="K1928" s="31"/>
      <c r="L1928" s="31"/>
      <c r="M1928" s="31"/>
      <c r="N1928" s="31"/>
      <c r="O1928" s="31"/>
      <c r="P1928" s="31"/>
      <c r="Q1928" s="31"/>
      <c r="R1928" s="31"/>
      <c r="S1928" s="31"/>
      <c r="T1928" s="31"/>
      <c r="U1928" s="31"/>
      <c r="V1928" s="31"/>
      <c r="W1928" s="31"/>
      <c r="X1928" s="31"/>
      <c r="Y1928" s="31"/>
      <c r="Z1928" s="31"/>
      <c r="AA1928" s="31"/>
      <c r="AB1928" s="31"/>
      <c r="AC1928" s="31"/>
      <c r="AD1928" s="31"/>
      <c r="AE1928" s="31"/>
      <c r="AF1928" s="31"/>
      <c r="AG1928" s="31"/>
      <c r="AH1928" s="31"/>
      <c r="AI1928" s="31"/>
      <c r="AJ1928" s="31"/>
      <c r="AK1928" s="31"/>
      <c r="AL1928" s="28" t="e">
        <f>VLOOKUP($G1928,'[42]Sheet1 (2)'!$A$1:$B$1048440,2,FALSE)</f>
        <v>#N/A</v>
      </c>
      <c r="AM1928" s="32"/>
      <c r="AN1928" s="31"/>
      <c r="AO1928" s="33"/>
    </row>
    <row r="1929" spans="1:41" ht="42" x14ac:dyDescent="0.25">
      <c r="A1929" s="243">
        <v>1765</v>
      </c>
      <c r="B1929" s="341"/>
      <c r="C1929" s="25" t="s">
        <v>373</v>
      </c>
      <c r="D1929" s="341"/>
      <c r="E1929" s="24" t="s">
        <v>3125</v>
      </c>
      <c r="F1929" s="34"/>
      <c r="G1929" s="35" t="s">
        <v>151</v>
      </c>
      <c r="H1929" s="103">
        <v>181</v>
      </c>
      <c r="I1929" s="103">
        <v>44</v>
      </c>
      <c r="J1929" s="31"/>
      <c r="K1929" s="31"/>
      <c r="L1929" s="31"/>
      <c r="M1929" s="31"/>
      <c r="N1929" s="31"/>
      <c r="O1929" s="31"/>
      <c r="P1929" s="31"/>
      <c r="Q1929" s="31"/>
      <c r="R1929" s="31"/>
      <c r="S1929" s="31"/>
      <c r="T1929" s="31"/>
      <c r="U1929" s="31"/>
      <c r="V1929" s="31"/>
      <c r="W1929" s="31"/>
      <c r="X1929" s="31"/>
      <c r="Y1929" s="31"/>
      <c r="Z1929" s="31"/>
      <c r="AA1929" s="31"/>
      <c r="AB1929" s="31"/>
      <c r="AC1929" s="31"/>
      <c r="AD1929" s="31"/>
      <c r="AE1929" s="31"/>
      <c r="AF1929" s="31"/>
      <c r="AG1929" s="31"/>
      <c r="AH1929" s="31"/>
      <c r="AI1929" s="31"/>
      <c r="AJ1929" s="31"/>
      <c r="AK1929" s="31"/>
      <c r="AL1929" s="28" t="str">
        <f>VLOOKUP($G1929,'[42]Sheet1 (2)'!$A$1:$B$1048440,2,FALSE)</f>
        <v>Sqm</v>
      </c>
      <c r="AM1929" s="32"/>
      <c r="AN1929" s="31"/>
      <c r="AO1929" s="33"/>
    </row>
    <row r="1930" spans="1:41" ht="42" x14ac:dyDescent="0.25">
      <c r="A1930" s="243">
        <v>1766</v>
      </c>
      <c r="B1930" s="342"/>
      <c r="C1930" s="25" t="s">
        <v>375</v>
      </c>
      <c r="D1930" s="342"/>
      <c r="E1930" s="24" t="s">
        <v>3126</v>
      </c>
      <c r="F1930" s="34"/>
      <c r="G1930" s="35" t="s">
        <v>151</v>
      </c>
      <c r="H1930" s="103">
        <v>202</v>
      </c>
      <c r="I1930" s="103">
        <v>44</v>
      </c>
      <c r="J1930" s="31"/>
      <c r="K1930" s="31"/>
      <c r="L1930" s="31"/>
      <c r="M1930" s="31"/>
      <c r="N1930" s="31"/>
      <c r="O1930" s="31"/>
      <c r="P1930" s="31"/>
      <c r="Q1930" s="31"/>
      <c r="R1930" s="31"/>
      <c r="S1930" s="31"/>
      <c r="T1930" s="31"/>
      <c r="U1930" s="31"/>
      <c r="V1930" s="31"/>
      <c r="W1930" s="31"/>
      <c r="X1930" s="31"/>
      <c r="Y1930" s="31"/>
      <c r="Z1930" s="31"/>
      <c r="AA1930" s="31"/>
      <c r="AB1930" s="31"/>
      <c r="AC1930" s="31"/>
      <c r="AD1930" s="31"/>
      <c r="AE1930" s="31"/>
      <c r="AF1930" s="31"/>
      <c r="AG1930" s="31"/>
      <c r="AH1930" s="31"/>
      <c r="AI1930" s="31"/>
      <c r="AJ1930" s="31"/>
      <c r="AK1930" s="31"/>
      <c r="AL1930" s="28" t="str">
        <f>VLOOKUP($G1930,'[42]Sheet1 (2)'!$A$1:$B$1048440,2,FALSE)</f>
        <v>Sqm</v>
      </c>
      <c r="AM1930" s="32"/>
      <c r="AN1930" s="31"/>
      <c r="AO1930" s="33"/>
    </row>
    <row r="1931" spans="1:41" ht="168" x14ac:dyDescent="0.25">
      <c r="A1931" s="23"/>
      <c r="B1931" s="340" t="s">
        <v>3106</v>
      </c>
      <c r="C1931" s="127">
        <v>50.38</v>
      </c>
      <c r="D1931" s="340" t="s">
        <v>3107</v>
      </c>
      <c r="E1931" s="23" t="s">
        <v>3127</v>
      </c>
      <c r="F1931" s="24" t="s">
        <v>3072</v>
      </c>
      <c r="G1931" s="202" t="s">
        <v>621</v>
      </c>
      <c r="H1931" s="23"/>
      <c r="I1931" s="23"/>
      <c r="J1931" s="31"/>
      <c r="K1931" s="31"/>
      <c r="L1931" s="31"/>
      <c r="M1931" s="31"/>
      <c r="N1931" s="31"/>
      <c r="O1931" s="31"/>
      <c r="P1931" s="31"/>
      <c r="Q1931" s="31"/>
      <c r="R1931" s="31"/>
      <c r="S1931" s="31"/>
      <c r="T1931" s="31"/>
      <c r="U1931" s="31"/>
      <c r="V1931" s="31"/>
      <c r="W1931" s="31"/>
      <c r="X1931" s="31"/>
      <c r="Y1931" s="31"/>
      <c r="Z1931" s="31"/>
      <c r="AA1931" s="31"/>
      <c r="AB1931" s="31"/>
      <c r="AC1931" s="31"/>
      <c r="AD1931" s="31"/>
      <c r="AE1931" s="31"/>
      <c r="AF1931" s="31"/>
      <c r="AG1931" s="31"/>
      <c r="AH1931" s="31"/>
      <c r="AI1931" s="31"/>
      <c r="AJ1931" s="31"/>
      <c r="AK1931" s="31"/>
      <c r="AL1931" s="28" t="str">
        <f>VLOOKUP($G1931,'[42]Sheet1 (2)'!$A$1:$B$1048440,2,FALSE)</f>
        <v>Sqm</v>
      </c>
      <c r="AM1931" s="32"/>
      <c r="AN1931" s="31"/>
      <c r="AO1931" s="33"/>
    </row>
    <row r="1932" spans="1:41" ht="46.5" x14ac:dyDescent="0.25">
      <c r="A1932" s="243">
        <v>1767</v>
      </c>
      <c r="B1932" s="341"/>
      <c r="C1932" s="25" t="s">
        <v>373</v>
      </c>
      <c r="D1932" s="341"/>
      <c r="E1932" s="24" t="s">
        <v>3128</v>
      </c>
      <c r="F1932" s="34"/>
      <c r="G1932" s="202" t="s">
        <v>621</v>
      </c>
      <c r="H1932" s="103">
        <v>560</v>
      </c>
      <c r="I1932" s="103">
        <v>44</v>
      </c>
      <c r="J1932" s="31"/>
      <c r="K1932" s="31"/>
      <c r="L1932" s="31"/>
      <c r="M1932" s="31"/>
      <c r="N1932" s="31"/>
      <c r="O1932" s="31"/>
      <c r="P1932" s="31"/>
      <c r="Q1932" s="31"/>
      <c r="R1932" s="31"/>
      <c r="S1932" s="31"/>
      <c r="T1932" s="31"/>
      <c r="U1932" s="31"/>
      <c r="V1932" s="31"/>
      <c r="W1932" s="31"/>
      <c r="X1932" s="31"/>
      <c r="Y1932" s="31"/>
      <c r="Z1932" s="31"/>
      <c r="AA1932" s="31"/>
      <c r="AB1932" s="31"/>
      <c r="AC1932" s="31"/>
      <c r="AD1932" s="31"/>
      <c r="AE1932" s="31"/>
      <c r="AF1932" s="31"/>
      <c r="AG1932" s="31"/>
      <c r="AH1932" s="31"/>
      <c r="AI1932" s="31"/>
      <c r="AJ1932" s="31"/>
      <c r="AK1932" s="31"/>
      <c r="AL1932" s="28" t="str">
        <f>VLOOKUP($G1932,'[42]Sheet1 (2)'!$A$1:$B$1048440,2,FALSE)</f>
        <v>Sqm</v>
      </c>
      <c r="AM1932" s="32"/>
      <c r="AN1932" s="31"/>
      <c r="AO1932" s="33"/>
    </row>
    <row r="1933" spans="1:41" ht="46.5" x14ac:dyDescent="0.25">
      <c r="A1933" s="243">
        <v>1768</v>
      </c>
      <c r="B1933" s="342"/>
      <c r="C1933" s="25" t="s">
        <v>375</v>
      </c>
      <c r="D1933" s="342"/>
      <c r="E1933" s="24" t="s">
        <v>3129</v>
      </c>
      <c r="F1933" s="34"/>
      <c r="G1933" s="202" t="s">
        <v>621</v>
      </c>
      <c r="H1933" s="103">
        <v>326</v>
      </c>
      <c r="I1933" s="103">
        <v>44</v>
      </c>
      <c r="J1933" s="31"/>
      <c r="K1933" s="31"/>
      <c r="L1933" s="31"/>
      <c r="M1933" s="31"/>
      <c r="N1933" s="31"/>
      <c r="O1933" s="31"/>
      <c r="P1933" s="31"/>
      <c r="Q1933" s="31"/>
      <c r="R1933" s="31"/>
      <c r="S1933" s="31"/>
      <c r="T1933" s="31"/>
      <c r="U1933" s="31"/>
      <c r="V1933" s="31"/>
      <c r="W1933" s="31"/>
      <c r="X1933" s="31"/>
      <c r="Y1933" s="31"/>
      <c r="Z1933" s="31"/>
      <c r="AA1933" s="31"/>
      <c r="AB1933" s="31"/>
      <c r="AC1933" s="31"/>
      <c r="AD1933" s="31"/>
      <c r="AE1933" s="31"/>
      <c r="AF1933" s="31"/>
      <c r="AG1933" s="31"/>
      <c r="AH1933" s="31"/>
      <c r="AI1933" s="31"/>
      <c r="AJ1933" s="31"/>
      <c r="AK1933" s="31"/>
      <c r="AL1933" s="28" t="str">
        <f>VLOOKUP($G1933,'[42]Sheet1 (2)'!$A$1:$B$1048440,2,FALSE)</f>
        <v>Sqm</v>
      </c>
      <c r="AM1933" s="32"/>
      <c r="AN1933" s="31"/>
      <c r="AO1933" s="33"/>
    </row>
    <row r="1934" spans="1:41" ht="126" x14ac:dyDescent="0.25">
      <c r="A1934" s="23"/>
      <c r="B1934" s="340" t="s">
        <v>3106</v>
      </c>
      <c r="C1934" s="127">
        <v>50.39</v>
      </c>
      <c r="D1934" s="340" t="s">
        <v>3107</v>
      </c>
      <c r="E1934" s="24" t="s">
        <v>3130</v>
      </c>
      <c r="F1934" s="24" t="s">
        <v>3072</v>
      </c>
      <c r="G1934" s="202" t="s">
        <v>621</v>
      </c>
      <c r="H1934" s="23"/>
      <c r="I1934" s="23"/>
      <c r="J1934" s="31"/>
      <c r="K1934" s="31"/>
      <c r="L1934" s="31"/>
      <c r="M1934" s="31"/>
      <c r="N1934" s="31"/>
      <c r="O1934" s="31"/>
      <c r="P1934" s="31"/>
      <c r="Q1934" s="31"/>
      <c r="R1934" s="31"/>
      <c r="S1934" s="31"/>
      <c r="T1934" s="31"/>
      <c r="U1934" s="31"/>
      <c r="V1934" s="31"/>
      <c r="W1934" s="31"/>
      <c r="X1934" s="31"/>
      <c r="Y1934" s="31"/>
      <c r="Z1934" s="31"/>
      <c r="AA1934" s="31"/>
      <c r="AB1934" s="31"/>
      <c r="AC1934" s="31"/>
      <c r="AD1934" s="31"/>
      <c r="AE1934" s="31"/>
      <c r="AF1934" s="31"/>
      <c r="AG1934" s="31"/>
      <c r="AH1934" s="31"/>
      <c r="AI1934" s="31"/>
      <c r="AJ1934" s="31"/>
      <c r="AK1934" s="31"/>
      <c r="AL1934" s="28" t="str">
        <f>VLOOKUP($G1934,'[42]Sheet1 (2)'!$A$1:$B$1048440,2,FALSE)</f>
        <v>Sqm</v>
      </c>
      <c r="AM1934" s="32"/>
      <c r="AN1934" s="31"/>
      <c r="AO1934" s="33"/>
    </row>
    <row r="1935" spans="1:41" ht="46.5" x14ac:dyDescent="0.25">
      <c r="A1935" s="243">
        <v>1769</v>
      </c>
      <c r="B1935" s="341"/>
      <c r="C1935" s="25" t="s">
        <v>373</v>
      </c>
      <c r="D1935" s="341"/>
      <c r="E1935" s="24" t="s">
        <v>3131</v>
      </c>
      <c r="F1935" s="34"/>
      <c r="G1935" s="202" t="s">
        <v>621</v>
      </c>
      <c r="H1935" s="103">
        <v>207</v>
      </c>
      <c r="I1935" s="103">
        <v>44</v>
      </c>
      <c r="J1935" s="31"/>
      <c r="K1935" s="31"/>
      <c r="L1935" s="31"/>
      <c r="M1935" s="31"/>
      <c r="N1935" s="31"/>
      <c r="O1935" s="31"/>
      <c r="P1935" s="31"/>
      <c r="Q1935" s="31"/>
      <c r="R1935" s="31"/>
      <c r="S1935" s="31"/>
      <c r="T1935" s="31"/>
      <c r="U1935" s="31"/>
      <c r="V1935" s="31"/>
      <c r="W1935" s="31"/>
      <c r="X1935" s="31"/>
      <c r="Y1935" s="31"/>
      <c r="Z1935" s="31"/>
      <c r="AA1935" s="31"/>
      <c r="AB1935" s="31"/>
      <c r="AC1935" s="31"/>
      <c r="AD1935" s="31"/>
      <c r="AE1935" s="31"/>
      <c r="AF1935" s="31"/>
      <c r="AG1935" s="31"/>
      <c r="AH1935" s="31"/>
      <c r="AI1935" s="31"/>
      <c r="AJ1935" s="31"/>
      <c r="AK1935" s="31"/>
      <c r="AL1935" s="28" t="str">
        <f>VLOOKUP($G1935,'[42]Sheet1 (2)'!$A$1:$B$1048440,2,FALSE)</f>
        <v>Sqm</v>
      </c>
      <c r="AM1935" s="32"/>
      <c r="AN1935" s="31"/>
      <c r="AO1935" s="33"/>
    </row>
    <row r="1936" spans="1:41" ht="46.5" x14ac:dyDescent="0.25">
      <c r="A1936" s="268">
        <v>1770</v>
      </c>
      <c r="B1936" s="34"/>
      <c r="C1936" s="25" t="s">
        <v>375</v>
      </c>
      <c r="D1936" s="34"/>
      <c r="E1936" s="24" t="s">
        <v>3132</v>
      </c>
      <c r="F1936" s="34"/>
      <c r="G1936" s="202" t="s">
        <v>621</v>
      </c>
      <c r="H1936" s="40">
        <v>252</v>
      </c>
      <c r="I1936" s="40">
        <v>44</v>
      </c>
      <c r="J1936" s="31"/>
      <c r="K1936" s="31"/>
      <c r="L1936" s="31"/>
      <c r="M1936" s="31"/>
      <c r="N1936" s="31"/>
      <c r="O1936" s="31"/>
      <c r="P1936" s="31"/>
      <c r="Q1936" s="31"/>
      <c r="R1936" s="31"/>
      <c r="S1936" s="31"/>
      <c r="T1936" s="31"/>
      <c r="U1936" s="31"/>
      <c r="V1936" s="31"/>
      <c r="W1936" s="31"/>
      <c r="X1936" s="31"/>
      <c r="Y1936" s="31"/>
      <c r="Z1936" s="31"/>
      <c r="AA1936" s="31"/>
      <c r="AB1936" s="31"/>
      <c r="AC1936" s="31"/>
      <c r="AD1936" s="31"/>
      <c r="AE1936" s="31"/>
      <c r="AF1936" s="31"/>
      <c r="AG1936" s="31"/>
      <c r="AH1936" s="31"/>
      <c r="AI1936" s="31"/>
      <c r="AJ1936" s="31"/>
      <c r="AK1936" s="31"/>
      <c r="AL1936" s="28" t="str">
        <f>VLOOKUP($G1936,'[42]Sheet1 (2)'!$A$1:$B$1048440,2,FALSE)</f>
        <v>Sqm</v>
      </c>
      <c r="AM1936" s="32"/>
      <c r="AN1936" s="31"/>
      <c r="AO1936" s="33"/>
    </row>
    <row r="1937" spans="1:41" ht="98" x14ac:dyDescent="0.25">
      <c r="A1937" s="23"/>
      <c r="B1937" s="340" t="s">
        <v>3106</v>
      </c>
      <c r="C1937" s="129">
        <v>50.4</v>
      </c>
      <c r="D1937" s="340" t="s">
        <v>3107</v>
      </c>
      <c r="E1937" s="24" t="s">
        <v>3133</v>
      </c>
      <c r="F1937" s="24" t="s">
        <v>3072</v>
      </c>
      <c r="G1937" s="238" t="s">
        <v>80</v>
      </c>
      <c r="H1937" s="23"/>
      <c r="I1937" s="23"/>
      <c r="J1937" s="31"/>
      <c r="K1937" s="31"/>
      <c r="L1937" s="31"/>
      <c r="M1937" s="31"/>
      <c r="N1937" s="31"/>
      <c r="O1937" s="31"/>
      <c r="P1937" s="31"/>
      <c r="Q1937" s="31"/>
      <c r="R1937" s="31"/>
      <c r="S1937" s="31"/>
      <c r="T1937" s="31"/>
      <c r="U1937" s="31"/>
      <c r="V1937" s="31"/>
      <c r="W1937" s="31"/>
      <c r="X1937" s="31"/>
      <c r="Y1937" s="31"/>
      <c r="Z1937" s="31"/>
      <c r="AA1937" s="31"/>
      <c r="AB1937" s="31"/>
      <c r="AC1937" s="31"/>
      <c r="AD1937" s="31"/>
      <c r="AE1937" s="31"/>
      <c r="AF1937" s="31"/>
      <c r="AG1937" s="31"/>
      <c r="AH1937" s="31"/>
      <c r="AI1937" s="31"/>
      <c r="AJ1937" s="31"/>
      <c r="AK1937" s="31"/>
      <c r="AL1937" s="28" t="str">
        <f>VLOOKUP($G1937,'[42]Sheet1 (2)'!$A$1:$B$1048440,2,FALSE)</f>
        <v>Rmt.</v>
      </c>
      <c r="AM1937" s="32"/>
      <c r="AN1937" s="31"/>
      <c r="AO1937" s="33"/>
    </row>
    <row r="1938" spans="1:41" ht="46.5" x14ac:dyDescent="0.25">
      <c r="A1938" s="268">
        <v>1771</v>
      </c>
      <c r="B1938" s="341"/>
      <c r="C1938" s="25" t="s">
        <v>373</v>
      </c>
      <c r="D1938" s="341"/>
      <c r="E1938" s="24" t="s">
        <v>3134</v>
      </c>
      <c r="F1938" s="34"/>
      <c r="G1938" s="238" t="s">
        <v>80</v>
      </c>
      <c r="H1938" s="40">
        <v>73</v>
      </c>
      <c r="I1938" s="40">
        <v>4</v>
      </c>
      <c r="J1938" s="31"/>
      <c r="K1938" s="31"/>
      <c r="L1938" s="31"/>
      <c r="M1938" s="31"/>
      <c r="N1938" s="31"/>
      <c r="O1938" s="31"/>
      <c r="P1938" s="31"/>
      <c r="Q1938" s="31"/>
      <c r="R1938" s="31"/>
      <c r="S1938" s="31"/>
      <c r="T1938" s="31"/>
      <c r="U1938" s="31"/>
      <c r="V1938" s="31"/>
      <c r="W1938" s="31"/>
      <c r="X1938" s="31"/>
      <c r="Y1938" s="31"/>
      <c r="Z1938" s="31"/>
      <c r="AA1938" s="31"/>
      <c r="AB1938" s="31"/>
      <c r="AC1938" s="31"/>
      <c r="AD1938" s="31"/>
      <c r="AE1938" s="31"/>
      <c r="AF1938" s="31"/>
      <c r="AG1938" s="31"/>
      <c r="AH1938" s="31"/>
      <c r="AI1938" s="31"/>
      <c r="AJ1938" s="31"/>
      <c r="AK1938" s="31"/>
      <c r="AL1938" s="28" t="str">
        <f>VLOOKUP($G1938,'[42]Sheet1 (2)'!$A$1:$B$1048440,2,FALSE)</f>
        <v>Rmt.</v>
      </c>
      <c r="AM1938" s="32"/>
      <c r="AN1938" s="31"/>
      <c r="AO1938" s="33"/>
    </row>
    <row r="1939" spans="1:41" ht="46.5" x14ac:dyDescent="0.25">
      <c r="A1939" s="268">
        <v>1772</v>
      </c>
      <c r="B1939" s="342"/>
      <c r="C1939" s="25" t="s">
        <v>375</v>
      </c>
      <c r="D1939" s="342"/>
      <c r="E1939" s="24" t="s">
        <v>3135</v>
      </c>
      <c r="F1939" s="34"/>
      <c r="G1939" s="238" t="s">
        <v>80</v>
      </c>
      <c r="H1939" s="40">
        <v>87</v>
      </c>
      <c r="I1939" s="40">
        <v>4</v>
      </c>
      <c r="J1939" s="31"/>
      <c r="K1939" s="31"/>
      <c r="L1939" s="31"/>
      <c r="M1939" s="31"/>
      <c r="N1939" s="31"/>
      <c r="O1939" s="31"/>
      <c r="P1939" s="31"/>
      <c r="Q1939" s="31"/>
      <c r="R1939" s="31"/>
      <c r="S1939" s="31"/>
      <c r="T1939" s="31"/>
      <c r="U1939" s="31"/>
      <c r="V1939" s="31"/>
      <c r="W1939" s="31"/>
      <c r="X1939" s="31"/>
      <c r="Y1939" s="31"/>
      <c r="Z1939" s="31"/>
      <c r="AA1939" s="31"/>
      <c r="AB1939" s="31"/>
      <c r="AC1939" s="31"/>
      <c r="AD1939" s="31"/>
      <c r="AE1939" s="31"/>
      <c r="AF1939" s="31"/>
      <c r="AG1939" s="31"/>
      <c r="AH1939" s="31"/>
      <c r="AI1939" s="31"/>
      <c r="AJ1939" s="31"/>
      <c r="AK1939" s="31"/>
      <c r="AL1939" s="28" t="str">
        <f>VLOOKUP($G1939,'[42]Sheet1 (2)'!$A$1:$B$1048440,2,FALSE)</f>
        <v>Rmt.</v>
      </c>
      <c r="AM1939" s="32"/>
      <c r="AN1939" s="31"/>
      <c r="AO1939" s="33"/>
    </row>
    <row r="1940" spans="1:41" ht="210" x14ac:dyDescent="0.25">
      <c r="A1940" s="23"/>
      <c r="B1940" s="340" t="s">
        <v>3106</v>
      </c>
      <c r="C1940" s="129">
        <v>50.41</v>
      </c>
      <c r="D1940" s="340" t="s">
        <v>3107</v>
      </c>
      <c r="E1940" s="24" t="s">
        <v>3136</v>
      </c>
      <c r="F1940" s="24" t="s">
        <v>3072</v>
      </c>
      <c r="G1940" s="23"/>
      <c r="H1940" s="23"/>
      <c r="I1940" s="23"/>
      <c r="J1940" s="31"/>
      <c r="K1940" s="31"/>
      <c r="L1940" s="31"/>
      <c r="M1940" s="31"/>
      <c r="N1940" s="31"/>
      <c r="O1940" s="31"/>
      <c r="P1940" s="31"/>
      <c r="Q1940" s="31"/>
      <c r="R1940" s="31"/>
      <c r="S1940" s="31"/>
      <c r="T1940" s="31"/>
      <c r="U1940" s="31"/>
      <c r="V1940" s="31"/>
      <c r="W1940" s="31"/>
      <c r="X1940" s="31"/>
      <c r="Y1940" s="31"/>
      <c r="Z1940" s="31"/>
      <c r="AA1940" s="31"/>
      <c r="AB1940" s="31"/>
      <c r="AC1940" s="31"/>
      <c r="AD1940" s="31"/>
      <c r="AE1940" s="31"/>
      <c r="AF1940" s="31"/>
      <c r="AG1940" s="31"/>
      <c r="AH1940" s="31"/>
      <c r="AI1940" s="31"/>
      <c r="AJ1940" s="31"/>
      <c r="AK1940" s="31"/>
      <c r="AL1940" s="28" t="e">
        <f>VLOOKUP($G1940,'[42]Sheet1 (2)'!$A$1:$B$1048440,2,FALSE)</f>
        <v>#N/A</v>
      </c>
      <c r="AM1940" s="32"/>
      <c r="AN1940" s="31"/>
      <c r="AO1940" s="33"/>
    </row>
    <row r="1941" spans="1:41" ht="42" x14ac:dyDescent="0.25">
      <c r="A1941" s="268">
        <v>1773</v>
      </c>
      <c r="B1941" s="341"/>
      <c r="C1941" s="25" t="s">
        <v>373</v>
      </c>
      <c r="D1941" s="341"/>
      <c r="E1941" s="24" t="s">
        <v>3137</v>
      </c>
      <c r="F1941" s="34"/>
      <c r="G1941" s="25" t="s">
        <v>47</v>
      </c>
      <c r="H1941" s="40">
        <v>1953</v>
      </c>
      <c r="I1941" s="40">
        <v>88</v>
      </c>
      <c r="J1941" s="31"/>
      <c r="K1941" s="31"/>
      <c r="L1941" s="31"/>
      <c r="M1941" s="31"/>
      <c r="N1941" s="31"/>
      <c r="O1941" s="31"/>
      <c r="P1941" s="31"/>
      <c r="Q1941" s="31"/>
      <c r="R1941" s="31"/>
      <c r="S1941" s="31"/>
      <c r="T1941" s="31"/>
      <c r="U1941" s="31"/>
      <c r="V1941" s="31"/>
      <c r="W1941" s="31"/>
      <c r="X1941" s="31"/>
      <c r="Y1941" s="31"/>
      <c r="Z1941" s="31"/>
      <c r="AA1941" s="31"/>
      <c r="AB1941" s="31"/>
      <c r="AC1941" s="31"/>
      <c r="AD1941" s="31"/>
      <c r="AE1941" s="31"/>
      <c r="AF1941" s="31"/>
      <c r="AG1941" s="31"/>
      <c r="AH1941" s="31"/>
      <c r="AI1941" s="31"/>
      <c r="AJ1941" s="31"/>
      <c r="AK1941" s="31"/>
      <c r="AL1941" s="28" t="str">
        <f>VLOOKUP($G1941,'[42]Sheet1 (2)'!$A$1:$B$1048440,2,FALSE)</f>
        <v>Cum</v>
      </c>
      <c r="AM1941" s="32"/>
      <c r="AN1941" s="31"/>
      <c r="AO1941" s="33"/>
    </row>
    <row r="1942" spans="1:41" ht="42" x14ac:dyDescent="0.25">
      <c r="A1942" s="268">
        <v>1774</v>
      </c>
      <c r="B1942" s="342"/>
      <c r="C1942" s="25" t="s">
        <v>375</v>
      </c>
      <c r="D1942" s="342"/>
      <c r="E1942" s="24" t="s">
        <v>3138</v>
      </c>
      <c r="F1942" s="34"/>
      <c r="G1942" s="25" t="s">
        <v>47</v>
      </c>
      <c r="H1942" s="40">
        <v>2280</v>
      </c>
      <c r="I1942" s="40">
        <v>44</v>
      </c>
      <c r="J1942" s="31"/>
      <c r="K1942" s="31"/>
      <c r="L1942" s="31"/>
      <c r="M1942" s="31"/>
      <c r="N1942" s="31"/>
      <c r="O1942" s="31"/>
      <c r="P1942" s="31"/>
      <c r="Q1942" s="31"/>
      <c r="R1942" s="31"/>
      <c r="S1942" s="31"/>
      <c r="T1942" s="31"/>
      <c r="U1942" s="31"/>
      <c r="V1942" s="31"/>
      <c r="W1942" s="31"/>
      <c r="X1942" s="31"/>
      <c r="Y1942" s="31"/>
      <c r="Z1942" s="31"/>
      <c r="AA1942" s="31"/>
      <c r="AB1942" s="31"/>
      <c r="AC1942" s="31"/>
      <c r="AD1942" s="31"/>
      <c r="AE1942" s="31"/>
      <c r="AF1942" s="31"/>
      <c r="AG1942" s="31"/>
      <c r="AH1942" s="31"/>
      <c r="AI1942" s="31"/>
      <c r="AJ1942" s="31"/>
      <c r="AK1942" s="31"/>
      <c r="AL1942" s="28" t="str">
        <f>VLOOKUP($G1942,'[42]Sheet1 (2)'!$A$1:$B$1048440,2,FALSE)</f>
        <v>Cum</v>
      </c>
      <c r="AM1942" s="32"/>
      <c r="AN1942" s="31"/>
      <c r="AO1942" s="33"/>
    </row>
    <row r="1943" spans="1:41" ht="140" x14ac:dyDescent="0.25">
      <c r="A1943" s="249"/>
      <c r="B1943" s="248" t="s">
        <v>3106</v>
      </c>
      <c r="C1943" s="269">
        <v>50.42</v>
      </c>
      <c r="D1943" s="264" t="s">
        <v>3107</v>
      </c>
      <c r="E1943" s="250" t="s">
        <v>3139</v>
      </c>
      <c r="F1943" s="250" t="s">
        <v>3072</v>
      </c>
      <c r="G1943" s="267" t="s">
        <v>151</v>
      </c>
      <c r="H1943" s="249"/>
      <c r="I1943" s="249"/>
      <c r="J1943" s="31"/>
      <c r="K1943" s="31"/>
      <c r="L1943" s="31"/>
      <c r="M1943" s="31"/>
      <c r="N1943" s="31"/>
      <c r="O1943" s="31"/>
      <c r="P1943" s="31"/>
      <c r="Q1943" s="31"/>
      <c r="R1943" s="31"/>
      <c r="S1943" s="31"/>
      <c r="T1943" s="31"/>
      <c r="U1943" s="31"/>
      <c r="V1943" s="31"/>
      <c r="W1943" s="31"/>
      <c r="X1943" s="31"/>
      <c r="Y1943" s="31"/>
      <c r="Z1943" s="31"/>
      <c r="AA1943" s="31"/>
      <c r="AB1943" s="31"/>
      <c r="AC1943" s="31"/>
      <c r="AD1943" s="31"/>
      <c r="AE1943" s="31"/>
      <c r="AF1943" s="31"/>
      <c r="AG1943" s="31"/>
      <c r="AH1943" s="31"/>
      <c r="AI1943" s="31"/>
      <c r="AJ1943" s="31"/>
      <c r="AK1943" s="31"/>
      <c r="AL1943" s="28" t="str">
        <f>VLOOKUP($G1943,'[42]Sheet1 (2)'!$A$1:$B$1048440,2,FALSE)</f>
        <v>Sqm</v>
      </c>
      <c r="AM1943" s="32"/>
      <c r="AN1943" s="31"/>
      <c r="AO1943" s="33"/>
    </row>
    <row r="1944" spans="1:41" ht="42" x14ac:dyDescent="0.25">
      <c r="A1944" s="270">
        <v>1775</v>
      </c>
      <c r="B1944" s="326"/>
      <c r="C1944" s="253" t="s">
        <v>373</v>
      </c>
      <c r="D1944" s="326"/>
      <c r="E1944" s="256" t="s">
        <v>3140</v>
      </c>
      <c r="F1944" s="261"/>
      <c r="G1944" s="267" t="s">
        <v>151</v>
      </c>
      <c r="H1944" s="271">
        <v>240</v>
      </c>
      <c r="I1944" s="271">
        <v>44</v>
      </c>
      <c r="J1944" s="31"/>
      <c r="K1944" s="31"/>
      <c r="L1944" s="31"/>
      <c r="M1944" s="31"/>
      <c r="N1944" s="31"/>
      <c r="O1944" s="31"/>
      <c r="P1944" s="31"/>
      <c r="Q1944" s="31"/>
      <c r="R1944" s="31"/>
      <c r="S1944" s="31"/>
      <c r="T1944" s="31"/>
      <c r="U1944" s="31"/>
      <c r="V1944" s="31"/>
      <c r="W1944" s="31"/>
      <c r="X1944" s="31"/>
      <c r="Y1944" s="31"/>
      <c r="Z1944" s="31"/>
      <c r="AA1944" s="31"/>
      <c r="AB1944" s="31"/>
      <c r="AC1944" s="31"/>
      <c r="AD1944" s="31"/>
      <c r="AE1944" s="31"/>
      <c r="AF1944" s="31"/>
      <c r="AG1944" s="31"/>
      <c r="AH1944" s="31"/>
      <c r="AI1944" s="31"/>
      <c r="AJ1944" s="31"/>
      <c r="AK1944" s="31"/>
      <c r="AL1944" s="28" t="str">
        <f>VLOOKUP($G1944,'[42]Sheet1 (2)'!$A$1:$B$1048440,2,FALSE)</f>
        <v>Sqm</v>
      </c>
      <c r="AM1944" s="32"/>
      <c r="AN1944" s="31"/>
      <c r="AO1944" s="33"/>
    </row>
    <row r="1945" spans="1:41" ht="42" x14ac:dyDescent="0.25">
      <c r="A1945" s="268">
        <v>1776</v>
      </c>
      <c r="B1945" s="327"/>
      <c r="C1945" s="25" t="s">
        <v>375</v>
      </c>
      <c r="D1945" s="327"/>
      <c r="E1945" s="24" t="s">
        <v>3141</v>
      </c>
      <c r="F1945" s="34"/>
      <c r="G1945" s="35" t="s">
        <v>151</v>
      </c>
      <c r="H1945" s="49">
        <v>268</v>
      </c>
      <c r="I1945" s="49">
        <v>44</v>
      </c>
      <c r="J1945" s="31"/>
      <c r="K1945" s="31"/>
      <c r="L1945" s="31"/>
      <c r="M1945" s="31"/>
      <c r="N1945" s="31"/>
      <c r="O1945" s="31"/>
      <c r="P1945" s="31"/>
      <c r="Q1945" s="31"/>
      <c r="R1945" s="31"/>
      <c r="S1945" s="31"/>
      <c r="T1945" s="31"/>
      <c r="U1945" s="31"/>
      <c r="V1945" s="31"/>
      <c r="W1945" s="31"/>
      <c r="X1945" s="31"/>
      <c r="Y1945" s="31"/>
      <c r="Z1945" s="31"/>
      <c r="AA1945" s="31"/>
      <c r="AB1945" s="31"/>
      <c r="AC1945" s="31"/>
      <c r="AD1945" s="31"/>
      <c r="AE1945" s="31"/>
      <c r="AF1945" s="31"/>
      <c r="AG1945" s="31"/>
      <c r="AH1945" s="31"/>
      <c r="AI1945" s="31"/>
      <c r="AJ1945" s="31"/>
      <c r="AK1945" s="31"/>
      <c r="AL1945" s="28" t="str">
        <f>VLOOKUP($G1945,'[42]Sheet1 (2)'!$A$1:$B$1048440,2,FALSE)</f>
        <v>Sqm</v>
      </c>
      <c r="AM1945" s="32"/>
      <c r="AN1945" s="31"/>
      <c r="AO1945" s="33"/>
    </row>
    <row r="1946" spans="1:41" ht="168" x14ac:dyDescent="0.25">
      <c r="A1946" s="23"/>
      <c r="B1946" s="340" t="s">
        <v>3106</v>
      </c>
      <c r="C1946" s="344">
        <v>50.43</v>
      </c>
      <c r="D1946" s="340" t="s">
        <v>3107</v>
      </c>
      <c r="E1946" s="24" t="s">
        <v>3142</v>
      </c>
      <c r="F1946" s="24" t="s">
        <v>3072</v>
      </c>
      <c r="G1946" s="35" t="s">
        <v>151</v>
      </c>
      <c r="H1946" s="23"/>
      <c r="I1946" s="23"/>
      <c r="J1946" s="31"/>
      <c r="K1946" s="31"/>
      <c r="L1946" s="31"/>
      <c r="M1946" s="31"/>
      <c r="N1946" s="31"/>
      <c r="O1946" s="31"/>
      <c r="P1946" s="31"/>
      <c r="Q1946" s="31"/>
      <c r="R1946" s="31"/>
      <c r="S1946" s="31"/>
      <c r="T1946" s="31"/>
      <c r="U1946" s="31"/>
      <c r="V1946" s="31"/>
      <c r="W1946" s="31"/>
      <c r="X1946" s="31"/>
      <c r="Y1946" s="31"/>
      <c r="Z1946" s="31"/>
      <c r="AA1946" s="31"/>
      <c r="AB1946" s="31"/>
      <c r="AC1946" s="31"/>
      <c r="AD1946" s="31"/>
      <c r="AE1946" s="31"/>
      <c r="AF1946" s="31"/>
      <c r="AG1946" s="31"/>
      <c r="AH1946" s="31"/>
      <c r="AI1946" s="31"/>
      <c r="AJ1946" s="31"/>
      <c r="AK1946" s="31"/>
      <c r="AL1946" s="28" t="str">
        <f>VLOOKUP($G1946,'[42]Sheet1 (2)'!$A$1:$B$1048440,2,FALSE)</f>
        <v>Sqm</v>
      </c>
      <c r="AM1946" s="32"/>
      <c r="AN1946" s="31"/>
      <c r="AO1946" s="33"/>
    </row>
    <row r="1947" spans="1:41" ht="42" x14ac:dyDescent="0.25">
      <c r="A1947" s="268">
        <v>1777</v>
      </c>
      <c r="B1947" s="342"/>
      <c r="C1947" s="345"/>
      <c r="D1947" s="342"/>
      <c r="E1947" s="24" t="s">
        <v>3143</v>
      </c>
      <c r="F1947" s="34"/>
      <c r="G1947" s="35" t="s">
        <v>151</v>
      </c>
      <c r="H1947" s="49">
        <v>116</v>
      </c>
      <c r="I1947" s="49">
        <v>44</v>
      </c>
      <c r="J1947" s="31"/>
      <c r="K1947" s="31"/>
      <c r="L1947" s="31"/>
      <c r="M1947" s="31"/>
      <c r="N1947" s="31"/>
      <c r="O1947" s="31"/>
      <c r="P1947" s="31"/>
      <c r="Q1947" s="31"/>
      <c r="R1947" s="31"/>
      <c r="S1947" s="31"/>
      <c r="T1947" s="31"/>
      <c r="U1947" s="31"/>
      <c r="V1947" s="31"/>
      <c r="W1947" s="31"/>
      <c r="X1947" s="31"/>
      <c r="Y1947" s="31"/>
      <c r="Z1947" s="31"/>
      <c r="AA1947" s="31"/>
      <c r="AB1947" s="31"/>
      <c r="AC1947" s="31"/>
      <c r="AD1947" s="31"/>
      <c r="AE1947" s="31"/>
      <c r="AF1947" s="31"/>
      <c r="AG1947" s="31"/>
      <c r="AH1947" s="31"/>
      <c r="AI1947" s="31"/>
      <c r="AJ1947" s="31"/>
      <c r="AK1947" s="31"/>
      <c r="AL1947" s="28" t="str">
        <f>VLOOKUP($G1947,'[42]Sheet1 (2)'!$A$1:$B$1048440,2,FALSE)</f>
        <v>Sqm</v>
      </c>
      <c r="AM1947" s="32"/>
      <c r="AN1947" s="31"/>
      <c r="AO1947" s="33"/>
    </row>
    <row r="1948" spans="1:41" ht="168" x14ac:dyDescent="0.25">
      <c r="A1948" s="23"/>
      <c r="B1948" s="340" t="s">
        <v>3106</v>
      </c>
      <c r="C1948" s="344">
        <v>50.44</v>
      </c>
      <c r="D1948" s="340" t="s">
        <v>3107</v>
      </c>
      <c r="E1948" s="23" t="s">
        <v>3144</v>
      </c>
      <c r="F1948" s="24" t="s">
        <v>3072</v>
      </c>
      <c r="G1948" s="266" t="s">
        <v>151</v>
      </c>
      <c r="H1948" s="23"/>
      <c r="I1948" s="23"/>
      <c r="J1948" s="31"/>
      <c r="K1948" s="31"/>
      <c r="L1948" s="31"/>
      <c r="M1948" s="31"/>
      <c r="N1948" s="31"/>
      <c r="O1948" s="31"/>
      <c r="P1948" s="31"/>
      <c r="Q1948" s="31"/>
      <c r="R1948" s="31"/>
      <c r="S1948" s="31"/>
      <c r="T1948" s="31"/>
      <c r="U1948" s="31"/>
      <c r="V1948" s="31"/>
      <c r="W1948" s="31"/>
      <c r="X1948" s="31"/>
      <c r="Y1948" s="31"/>
      <c r="Z1948" s="31"/>
      <c r="AA1948" s="31"/>
      <c r="AB1948" s="31"/>
      <c r="AC1948" s="31"/>
      <c r="AD1948" s="31"/>
      <c r="AE1948" s="31"/>
      <c r="AF1948" s="31"/>
      <c r="AG1948" s="31"/>
      <c r="AH1948" s="31"/>
      <c r="AI1948" s="31"/>
      <c r="AJ1948" s="31"/>
      <c r="AK1948" s="31"/>
      <c r="AL1948" s="28" t="str">
        <f>VLOOKUP($G1948,'[42]Sheet1 (2)'!$A$1:$B$1048440,2,FALSE)</f>
        <v>Sqm</v>
      </c>
      <c r="AM1948" s="32"/>
      <c r="AN1948" s="31"/>
      <c r="AO1948" s="33"/>
    </row>
    <row r="1949" spans="1:41" ht="42" x14ac:dyDescent="0.25">
      <c r="A1949" s="272">
        <v>1778</v>
      </c>
      <c r="B1949" s="341"/>
      <c r="C1949" s="346"/>
      <c r="D1949" s="341"/>
      <c r="E1949" s="250" t="s">
        <v>3145</v>
      </c>
      <c r="F1949" s="259"/>
      <c r="G1949" s="266" t="s">
        <v>151</v>
      </c>
      <c r="H1949" s="273">
        <v>431</v>
      </c>
      <c r="I1949" s="273">
        <v>44</v>
      </c>
      <c r="J1949" s="31"/>
      <c r="K1949" s="31"/>
      <c r="L1949" s="31"/>
      <c r="M1949" s="31"/>
      <c r="N1949" s="31"/>
      <c r="O1949" s="31"/>
      <c r="P1949" s="31"/>
      <c r="Q1949" s="31"/>
      <c r="R1949" s="31"/>
      <c r="S1949" s="31"/>
      <c r="T1949" s="31"/>
      <c r="U1949" s="31"/>
      <c r="V1949" s="31"/>
      <c r="W1949" s="31"/>
      <c r="X1949" s="31"/>
      <c r="Y1949" s="31"/>
      <c r="Z1949" s="31"/>
      <c r="AA1949" s="31"/>
      <c r="AB1949" s="31"/>
      <c r="AC1949" s="31"/>
      <c r="AD1949" s="31"/>
      <c r="AE1949" s="31"/>
      <c r="AF1949" s="31"/>
      <c r="AG1949" s="31"/>
      <c r="AH1949" s="31"/>
      <c r="AI1949" s="31"/>
      <c r="AJ1949" s="31"/>
      <c r="AK1949" s="31"/>
      <c r="AL1949" s="28" t="str">
        <f>VLOOKUP($G1949,'[42]Sheet1 (2)'!$A$1:$B$1048440,2,FALSE)</f>
        <v>Sqm</v>
      </c>
      <c r="AM1949" s="32"/>
      <c r="AN1949" s="31"/>
      <c r="AO1949" s="33"/>
    </row>
    <row r="1950" spans="1:41" ht="322" x14ac:dyDescent="0.25">
      <c r="A1950" s="255"/>
      <c r="B1950" s="341" t="s">
        <v>3106</v>
      </c>
      <c r="C1950" s="274">
        <v>50.45</v>
      </c>
      <c r="D1950" s="341" t="s">
        <v>3107</v>
      </c>
      <c r="E1950" s="256" t="s">
        <v>3146</v>
      </c>
      <c r="F1950" s="256" t="s">
        <v>3072</v>
      </c>
      <c r="G1950" s="35" t="s">
        <v>151</v>
      </c>
      <c r="H1950" s="255"/>
      <c r="I1950" s="255"/>
      <c r="J1950" s="31"/>
      <c r="K1950" s="31"/>
      <c r="L1950" s="31"/>
      <c r="M1950" s="31"/>
      <c r="N1950" s="31"/>
      <c r="O1950" s="31"/>
      <c r="P1950" s="31"/>
      <c r="Q1950" s="31"/>
      <c r="R1950" s="31"/>
      <c r="S1950" s="31"/>
      <c r="T1950" s="31"/>
      <c r="U1950" s="31"/>
      <c r="V1950" s="31"/>
      <c r="W1950" s="31"/>
      <c r="X1950" s="31"/>
      <c r="Y1950" s="31"/>
      <c r="Z1950" s="31"/>
      <c r="AA1950" s="31"/>
      <c r="AB1950" s="31"/>
      <c r="AC1950" s="31"/>
      <c r="AD1950" s="31"/>
      <c r="AE1950" s="31"/>
      <c r="AF1950" s="31"/>
      <c r="AG1950" s="31"/>
      <c r="AH1950" s="31"/>
      <c r="AI1950" s="31"/>
      <c r="AJ1950" s="31"/>
      <c r="AK1950" s="31"/>
      <c r="AL1950" s="28" t="str">
        <f>VLOOKUP($G1950,'[42]Sheet1 (2)'!$A$1:$B$1048440,2,FALSE)</f>
        <v>Sqm</v>
      </c>
      <c r="AM1950" s="32"/>
      <c r="AN1950" s="31"/>
      <c r="AO1950" s="33"/>
    </row>
    <row r="1951" spans="1:41" ht="42" x14ac:dyDescent="0.25">
      <c r="A1951" s="268">
        <v>1779</v>
      </c>
      <c r="B1951" s="341"/>
      <c r="C1951" s="25" t="s">
        <v>373</v>
      </c>
      <c r="D1951" s="341"/>
      <c r="E1951" s="24" t="s">
        <v>3147</v>
      </c>
      <c r="F1951" s="34"/>
      <c r="G1951" s="35" t="s">
        <v>151</v>
      </c>
      <c r="H1951" s="40">
        <v>5486</v>
      </c>
      <c r="I1951" s="40">
        <v>44</v>
      </c>
      <c r="J1951" s="31"/>
      <c r="K1951" s="31"/>
      <c r="L1951" s="31"/>
      <c r="M1951" s="31"/>
      <c r="N1951" s="31"/>
      <c r="O1951" s="31"/>
      <c r="P1951" s="31"/>
      <c r="Q1951" s="31"/>
      <c r="R1951" s="31"/>
      <c r="S1951" s="31"/>
      <c r="T1951" s="31"/>
      <c r="U1951" s="31"/>
      <c r="V1951" s="31"/>
      <c r="W1951" s="31"/>
      <c r="X1951" s="31"/>
      <c r="Y1951" s="31"/>
      <c r="Z1951" s="31"/>
      <c r="AA1951" s="31"/>
      <c r="AB1951" s="31"/>
      <c r="AC1951" s="31"/>
      <c r="AD1951" s="31"/>
      <c r="AE1951" s="31"/>
      <c r="AF1951" s="31"/>
      <c r="AG1951" s="31"/>
      <c r="AH1951" s="31"/>
      <c r="AI1951" s="31"/>
      <c r="AJ1951" s="31"/>
      <c r="AK1951" s="31"/>
      <c r="AL1951" s="28" t="str">
        <f>VLOOKUP($G1951,'[42]Sheet1 (2)'!$A$1:$B$1048440,2,FALSE)</f>
        <v>Sqm</v>
      </c>
      <c r="AM1951" s="32"/>
      <c r="AN1951" s="31"/>
      <c r="AO1951" s="33"/>
    </row>
    <row r="1952" spans="1:41" ht="42" x14ac:dyDescent="0.25">
      <c r="A1952" s="268">
        <v>1780</v>
      </c>
      <c r="B1952" s="341"/>
      <c r="C1952" s="25" t="s">
        <v>375</v>
      </c>
      <c r="D1952" s="341"/>
      <c r="E1952" s="24" t="s">
        <v>3148</v>
      </c>
      <c r="F1952" s="34"/>
      <c r="G1952" s="35" t="s">
        <v>151</v>
      </c>
      <c r="H1952" s="40">
        <v>5832</v>
      </c>
      <c r="I1952" s="40">
        <v>88</v>
      </c>
      <c r="J1952" s="31"/>
      <c r="K1952" s="31"/>
      <c r="L1952" s="31"/>
      <c r="M1952" s="31"/>
      <c r="N1952" s="31"/>
      <c r="O1952" s="31"/>
      <c r="P1952" s="31"/>
      <c r="Q1952" s="31"/>
      <c r="R1952" s="31"/>
      <c r="S1952" s="31"/>
      <c r="T1952" s="31"/>
      <c r="U1952" s="31"/>
      <c r="V1952" s="31"/>
      <c r="W1952" s="31"/>
      <c r="X1952" s="31"/>
      <c r="Y1952" s="31"/>
      <c r="Z1952" s="31"/>
      <c r="AA1952" s="31"/>
      <c r="AB1952" s="31"/>
      <c r="AC1952" s="31"/>
      <c r="AD1952" s="31"/>
      <c r="AE1952" s="31"/>
      <c r="AF1952" s="31"/>
      <c r="AG1952" s="31"/>
      <c r="AH1952" s="31"/>
      <c r="AI1952" s="31"/>
      <c r="AJ1952" s="31"/>
      <c r="AK1952" s="31"/>
      <c r="AL1952" s="28" t="str">
        <f>VLOOKUP($G1952,'[42]Sheet1 (2)'!$A$1:$B$1048440,2,FALSE)</f>
        <v>Sqm</v>
      </c>
      <c r="AM1952" s="32"/>
      <c r="AN1952" s="31"/>
      <c r="AO1952" s="33"/>
    </row>
    <row r="1953" spans="1:41" ht="42" x14ac:dyDescent="0.25">
      <c r="A1953" s="268">
        <v>1781</v>
      </c>
      <c r="B1953" s="341"/>
      <c r="C1953" s="25" t="s">
        <v>377</v>
      </c>
      <c r="D1953" s="341"/>
      <c r="E1953" s="24" t="s">
        <v>3149</v>
      </c>
      <c r="F1953" s="34"/>
      <c r="G1953" s="35" t="s">
        <v>151</v>
      </c>
      <c r="H1953" s="40">
        <v>6085</v>
      </c>
      <c r="I1953" s="40">
        <v>132</v>
      </c>
      <c r="J1953" s="31"/>
      <c r="K1953" s="31"/>
      <c r="L1953" s="31"/>
      <c r="M1953" s="31"/>
      <c r="N1953" s="31"/>
      <c r="O1953" s="31"/>
      <c r="P1953" s="31"/>
      <c r="Q1953" s="31"/>
      <c r="R1953" s="31"/>
      <c r="S1953" s="31"/>
      <c r="T1953" s="31"/>
      <c r="U1953" s="31"/>
      <c r="V1953" s="31"/>
      <c r="W1953" s="31"/>
      <c r="X1953" s="31"/>
      <c r="Y1953" s="31"/>
      <c r="Z1953" s="31"/>
      <c r="AA1953" s="31"/>
      <c r="AB1953" s="31"/>
      <c r="AC1953" s="31"/>
      <c r="AD1953" s="31"/>
      <c r="AE1953" s="31"/>
      <c r="AF1953" s="31"/>
      <c r="AG1953" s="31"/>
      <c r="AH1953" s="31"/>
      <c r="AI1953" s="31"/>
      <c r="AJ1953" s="31"/>
      <c r="AK1953" s="31"/>
      <c r="AL1953" s="28" t="str">
        <f>VLOOKUP($G1953,'[42]Sheet1 (2)'!$A$1:$B$1048440,2,FALSE)</f>
        <v>Sqm</v>
      </c>
      <c r="AM1953" s="32"/>
      <c r="AN1953" s="31"/>
      <c r="AO1953" s="33"/>
    </row>
    <row r="1954" spans="1:41" ht="42" x14ac:dyDescent="0.25">
      <c r="A1954" s="268">
        <v>1782</v>
      </c>
      <c r="B1954" s="341"/>
      <c r="C1954" s="25" t="s">
        <v>384</v>
      </c>
      <c r="D1954" s="341"/>
      <c r="E1954" s="24" t="s">
        <v>3150</v>
      </c>
      <c r="F1954" s="34"/>
      <c r="G1954" s="35" t="s">
        <v>151</v>
      </c>
      <c r="H1954" s="40">
        <v>6313</v>
      </c>
      <c r="I1954" s="40">
        <v>177</v>
      </c>
      <c r="J1954" s="31"/>
      <c r="K1954" s="31"/>
      <c r="L1954" s="31"/>
      <c r="M1954" s="31"/>
      <c r="N1954" s="31"/>
      <c r="O1954" s="31"/>
      <c r="P1954" s="31"/>
      <c r="Q1954" s="31"/>
      <c r="R1954" s="31"/>
      <c r="S1954" s="31"/>
      <c r="T1954" s="31"/>
      <c r="U1954" s="31"/>
      <c r="V1954" s="31"/>
      <c r="W1954" s="31"/>
      <c r="X1954" s="31"/>
      <c r="Y1954" s="31"/>
      <c r="Z1954" s="31"/>
      <c r="AA1954" s="31"/>
      <c r="AB1954" s="31"/>
      <c r="AC1954" s="31"/>
      <c r="AD1954" s="31"/>
      <c r="AE1954" s="31"/>
      <c r="AF1954" s="31"/>
      <c r="AG1954" s="31"/>
      <c r="AH1954" s="31"/>
      <c r="AI1954" s="31"/>
      <c r="AJ1954" s="31"/>
      <c r="AK1954" s="31"/>
      <c r="AL1954" s="28" t="str">
        <f>VLOOKUP($G1954,'[42]Sheet1 (2)'!$A$1:$B$1048440,2,FALSE)</f>
        <v>Sqm</v>
      </c>
      <c r="AM1954" s="32"/>
      <c r="AN1954" s="31"/>
      <c r="AO1954" s="33"/>
    </row>
    <row r="1955" spans="1:41" ht="42" x14ac:dyDescent="0.25">
      <c r="A1955" s="268">
        <v>1783</v>
      </c>
      <c r="B1955" s="341"/>
      <c r="C1955" s="25" t="s">
        <v>387</v>
      </c>
      <c r="D1955" s="341"/>
      <c r="E1955" s="24" t="s">
        <v>3151</v>
      </c>
      <c r="F1955" s="34"/>
      <c r="G1955" s="35" t="s">
        <v>151</v>
      </c>
      <c r="H1955" s="40">
        <v>6831</v>
      </c>
      <c r="I1955" s="40">
        <v>221</v>
      </c>
      <c r="J1955" s="31"/>
      <c r="K1955" s="31"/>
      <c r="L1955" s="31"/>
      <c r="M1955" s="31"/>
      <c r="N1955" s="31"/>
      <c r="O1955" s="31"/>
      <c r="P1955" s="31"/>
      <c r="Q1955" s="31"/>
      <c r="R1955" s="31"/>
      <c r="S1955" s="31"/>
      <c r="T1955" s="31"/>
      <c r="U1955" s="31"/>
      <c r="V1955" s="31"/>
      <c r="W1955" s="31"/>
      <c r="X1955" s="31"/>
      <c r="Y1955" s="31"/>
      <c r="Z1955" s="31"/>
      <c r="AA1955" s="31"/>
      <c r="AB1955" s="31"/>
      <c r="AC1955" s="31"/>
      <c r="AD1955" s="31"/>
      <c r="AE1955" s="31"/>
      <c r="AF1955" s="31"/>
      <c r="AG1955" s="31"/>
      <c r="AH1955" s="31"/>
      <c r="AI1955" s="31"/>
      <c r="AJ1955" s="31"/>
      <c r="AK1955" s="31"/>
      <c r="AL1955" s="28" t="str">
        <f>VLOOKUP($G1955,'[42]Sheet1 (2)'!$A$1:$B$1048440,2,FALSE)</f>
        <v>Sqm</v>
      </c>
      <c r="AM1955" s="32"/>
      <c r="AN1955" s="31"/>
      <c r="AO1955" s="33"/>
    </row>
    <row r="1956" spans="1:41" ht="42" x14ac:dyDescent="0.25">
      <c r="A1956" s="272">
        <v>1784</v>
      </c>
      <c r="B1956" s="341"/>
      <c r="C1956" s="248" t="s">
        <v>390</v>
      </c>
      <c r="D1956" s="341"/>
      <c r="E1956" s="250" t="s">
        <v>3152</v>
      </c>
      <c r="F1956" s="259"/>
      <c r="G1956" s="266" t="s">
        <v>151</v>
      </c>
      <c r="H1956" s="275">
        <v>7285</v>
      </c>
      <c r="I1956" s="275">
        <v>265</v>
      </c>
      <c r="J1956" s="31"/>
      <c r="K1956" s="31"/>
      <c r="L1956" s="31"/>
      <c r="M1956" s="31"/>
      <c r="N1956" s="31"/>
      <c r="O1956" s="31"/>
      <c r="P1956" s="31"/>
      <c r="Q1956" s="31"/>
      <c r="R1956" s="31"/>
      <c r="S1956" s="31"/>
      <c r="T1956" s="31"/>
      <c r="U1956" s="31"/>
      <c r="V1956" s="31"/>
      <c r="W1956" s="31"/>
      <c r="X1956" s="31"/>
      <c r="Y1956" s="31"/>
      <c r="Z1956" s="31"/>
      <c r="AA1956" s="31"/>
      <c r="AB1956" s="31"/>
      <c r="AC1956" s="31"/>
      <c r="AD1956" s="31"/>
      <c r="AE1956" s="31"/>
      <c r="AF1956" s="31"/>
      <c r="AG1956" s="31"/>
      <c r="AH1956" s="31"/>
      <c r="AI1956" s="31"/>
      <c r="AJ1956" s="31"/>
      <c r="AK1956" s="31"/>
      <c r="AL1956" s="28" t="str">
        <f>VLOOKUP($G1956,'[42]Sheet1 (2)'!$A$1:$B$1048440,2,FALSE)</f>
        <v>Sqm</v>
      </c>
      <c r="AM1956" s="32"/>
      <c r="AN1956" s="31"/>
      <c r="AO1956" s="33"/>
    </row>
    <row r="1957" spans="1:41" ht="409.5" x14ac:dyDescent="0.25">
      <c r="A1957" s="255"/>
      <c r="B1957" s="343" t="s">
        <v>3153</v>
      </c>
      <c r="C1957" s="274">
        <v>50.46</v>
      </c>
      <c r="D1957" s="341" t="s">
        <v>3154</v>
      </c>
      <c r="E1957" s="255" t="s">
        <v>3155</v>
      </c>
      <c r="F1957" s="256" t="s">
        <v>3072</v>
      </c>
      <c r="G1957" s="21" t="s">
        <v>80</v>
      </c>
      <c r="H1957" s="255"/>
      <c r="I1957" s="255"/>
      <c r="J1957" s="31"/>
      <c r="K1957" s="31"/>
      <c r="L1957" s="31"/>
      <c r="M1957" s="31"/>
      <c r="N1957" s="31"/>
      <c r="O1957" s="31"/>
      <c r="P1957" s="31"/>
      <c r="Q1957" s="31"/>
      <c r="R1957" s="31"/>
      <c r="S1957" s="31"/>
      <c r="T1957" s="31"/>
      <c r="U1957" s="31"/>
      <c r="V1957" s="31"/>
      <c r="W1957" s="31"/>
      <c r="X1957" s="31"/>
      <c r="Y1957" s="31"/>
      <c r="Z1957" s="31"/>
      <c r="AA1957" s="31"/>
      <c r="AB1957" s="31"/>
      <c r="AC1957" s="31"/>
      <c r="AD1957" s="31"/>
      <c r="AE1957" s="31"/>
      <c r="AF1957" s="31"/>
      <c r="AG1957" s="31"/>
      <c r="AH1957" s="31"/>
      <c r="AI1957" s="31"/>
      <c r="AJ1957" s="31"/>
      <c r="AK1957" s="31"/>
      <c r="AL1957" s="28" t="str">
        <f>VLOOKUP($G1957,'[42]Sheet1 (2)'!$A$1:$B$1048440,2,FALSE)</f>
        <v>Rmt.</v>
      </c>
      <c r="AM1957" s="32"/>
      <c r="AN1957" s="31"/>
      <c r="AO1957" s="33"/>
    </row>
    <row r="1958" spans="1:41" ht="56" x14ac:dyDescent="0.25">
      <c r="A1958" s="268">
        <v>1785</v>
      </c>
      <c r="B1958" s="343"/>
      <c r="C1958" s="25" t="s">
        <v>373</v>
      </c>
      <c r="D1958" s="341"/>
      <c r="E1958" s="23" t="s">
        <v>3156</v>
      </c>
      <c r="F1958" s="34"/>
      <c r="G1958" s="21" t="s">
        <v>80</v>
      </c>
      <c r="H1958" s="40">
        <v>1846</v>
      </c>
      <c r="I1958" s="40">
        <v>314</v>
      </c>
      <c r="J1958" s="31"/>
      <c r="K1958" s="31"/>
      <c r="L1958" s="31"/>
      <c r="M1958" s="31"/>
      <c r="N1958" s="31"/>
      <c r="O1958" s="31"/>
      <c r="P1958" s="31"/>
      <c r="Q1958" s="31"/>
      <c r="R1958" s="31"/>
      <c r="S1958" s="31"/>
      <c r="T1958" s="31"/>
      <c r="U1958" s="31"/>
      <c r="V1958" s="31"/>
      <c r="W1958" s="31"/>
      <c r="X1958" s="31"/>
      <c r="Y1958" s="31"/>
      <c r="Z1958" s="31"/>
      <c r="AA1958" s="31"/>
      <c r="AB1958" s="31"/>
      <c r="AC1958" s="31"/>
      <c r="AD1958" s="31"/>
      <c r="AE1958" s="31"/>
      <c r="AF1958" s="31"/>
      <c r="AG1958" s="31"/>
      <c r="AH1958" s="31"/>
      <c r="AI1958" s="31"/>
      <c r="AJ1958" s="31"/>
      <c r="AK1958" s="31"/>
      <c r="AL1958" s="28" t="str">
        <f>VLOOKUP($G1958,'[42]Sheet1 (2)'!$A$1:$B$1048440,2,FALSE)</f>
        <v>Rmt.</v>
      </c>
      <c r="AM1958" s="32"/>
      <c r="AN1958" s="31"/>
      <c r="AO1958" s="33"/>
    </row>
    <row r="1959" spans="1:41" ht="56" x14ac:dyDescent="0.25">
      <c r="A1959" s="268">
        <v>1786</v>
      </c>
      <c r="B1959" s="343"/>
      <c r="C1959" s="25" t="s">
        <v>375</v>
      </c>
      <c r="D1959" s="341"/>
      <c r="E1959" s="23" t="s">
        <v>3157</v>
      </c>
      <c r="F1959" s="23"/>
      <c r="G1959" s="21" t="s">
        <v>80</v>
      </c>
      <c r="H1959" s="40">
        <v>2872</v>
      </c>
      <c r="I1959" s="40">
        <v>488</v>
      </c>
      <c r="J1959" s="31"/>
      <c r="K1959" s="31"/>
      <c r="L1959" s="31"/>
      <c r="M1959" s="31"/>
      <c r="N1959" s="31"/>
      <c r="O1959" s="31"/>
      <c r="P1959" s="31"/>
      <c r="Q1959" s="31"/>
      <c r="R1959" s="31"/>
      <c r="S1959" s="31"/>
      <c r="T1959" s="31"/>
      <c r="U1959" s="31"/>
      <c r="V1959" s="31"/>
      <c r="W1959" s="31"/>
      <c r="X1959" s="31"/>
      <c r="Y1959" s="31"/>
      <c r="Z1959" s="31"/>
      <c r="AA1959" s="31"/>
      <c r="AB1959" s="31"/>
      <c r="AC1959" s="31"/>
      <c r="AD1959" s="31"/>
      <c r="AE1959" s="31"/>
      <c r="AF1959" s="31"/>
      <c r="AG1959" s="31"/>
      <c r="AH1959" s="31"/>
      <c r="AI1959" s="31"/>
      <c r="AJ1959" s="31"/>
      <c r="AK1959" s="31"/>
      <c r="AL1959" s="28" t="str">
        <f>VLOOKUP($G1959,'[42]Sheet1 (2)'!$A$1:$B$1048440,2,FALSE)</f>
        <v>Rmt.</v>
      </c>
      <c r="AM1959" s="32"/>
      <c r="AN1959" s="31"/>
      <c r="AO1959" s="33"/>
    </row>
    <row r="1960" spans="1:41" ht="56" x14ac:dyDescent="0.25">
      <c r="A1960" s="272">
        <v>1787</v>
      </c>
      <c r="B1960" s="343"/>
      <c r="C1960" s="248" t="s">
        <v>377</v>
      </c>
      <c r="D1960" s="341"/>
      <c r="E1960" s="249" t="s">
        <v>3158</v>
      </c>
      <c r="F1960" s="249"/>
      <c r="G1960" s="264" t="s">
        <v>80</v>
      </c>
      <c r="H1960" s="275">
        <v>5026</v>
      </c>
      <c r="I1960" s="275">
        <v>854</v>
      </c>
      <c r="J1960" s="31"/>
      <c r="K1960" s="31"/>
      <c r="L1960" s="31"/>
      <c r="M1960" s="31"/>
      <c r="N1960" s="31"/>
      <c r="O1960" s="31"/>
      <c r="P1960" s="31"/>
      <c r="Q1960" s="31"/>
      <c r="R1960" s="31"/>
      <c r="S1960" s="31"/>
      <c r="T1960" s="31"/>
      <c r="U1960" s="31"/>
      <c r="V1960" s="31"/>
      <c r="W1960" s="31"/>
      <c r="X1960" s="31"/>
      <c r="Y1960" s="31"/>
      <c r="Z1960" s="31"/>
      <c r="AA1960" s="31"/>
      <c r="AB1960" s="31"/>
      <c r="AC1960" s="31"/>
      <c r="AD1960" s="31"/>
      <c r="AE1960" s="31"/>
      <c r="AF1960" s="31"/>
      <c r="AG1960" s="31"/>
      <c r="AH1960" s="31"/>
      <c r="AI1960" s="31"/>
      <c r="AJ1960" s="31"/>
      <c r="AK1960" s="31"/>
      <c r="AL1960" s="28" t="str">
        <f>VLOOKUP($G1960,'[42]Sheet1 (2)'!$A$1:$B$1048440,2,FALSE)</f>
        <v>Rmt.</v>
      </c>
      <c r="AM1960" s="32"/>
      <c r="AN1960" s="31"/>
      <c r="AO1960" s="33"/>
    </row>
    <row r="1961" spans="1:41" ht="56" x14ac:dyDescent="0.25">
      <c r="A1961" s="270">
        <v>1788</v>
      </c>
      <c r="B1961" s="326"/>
      <c r="C1961" s="253" t="s">
        <v>384</v>
      </c>
      <c r="D1961" s="326"/>
      <c r="E1961" s="255" t="s">
        <v>3159</v>
      </c>
      <c r="F1961" s="255"/>
      <c r="G1961" s="265" t="s">
        <v>80</v>
      </c>
      <c r="H1961" s="276">
        <v>8103</v>
      </c>
      <c r="I1961" s="276">
        <v>1377</v>
      </c>
      <c r="J1961" s="31"/>
      <c r="K1961" s="31"/>
      <c r="L1961" s="31"/>
      <c r="M1961" s="31"/>
      <c r="N1961" s="31"/>
      <c r="O1961" s="31"/>
      <c r="P1961" s="31"/>
      <c r="Q1961" s="31"/>
      <c r="R1961" s="31"/>
      <c r="S1961" s="31"/>
      <c r="T1961" s="31"/>
      <c r="U1961" s="31"/>
      <c r="V1961" s="31"/>
      <c r="W1961" s="31"/>
      <c r="X1961" s="31"/>
      <c r="Y1961" s="31"/>
      <c r="Z1961" s="31"/>
      <c r="AA1961" s="31"/>
      <c r="AB1961" s="31"/>
      <c r="AC1961" s="31"/>
      <c r="AD1961" s="31"/>
      <c r="AE1961" s="31"/>
      <c r="AF1961" s="31"/>
      <c r="AG1961" s="31"/>
      <c r="AH1961" s="31"/>
      <c r="AI1961" s="31"/>
      <c r="AJ1961" s="31"/>
      <c r="AK1961" s="31"/>
      <c r="AL1961" s="28" t="str">
        <f>VLOOKUP($G1961,'[42]Sheet1 (2)'!$A$1:$B$1048440,2,FALSE)</f>
        <v>Rmt.</v>
      </c>
      <c r="AM1961" s="32"/>
      <c r="AN1961" s="31"/>
      <c r="AO1961" s="33"/>
    </row>
    <row r="1962" spans="1:41" ht="56" x14ac:dyDescent="0.25">
      <c r="A1962" s="268">
        <v>1789</v>
      </c>
      <c r="B1962" s="327"/>
      <c r="C1962" s="25" t="s">
        <v>387</v>
      </c>
      <c r="D1962" s="327"/>
      <c r="E1962" s="23" t="s">
        <v>3160</v>
      </c>
      <c r="F1962" s="23"/>
      <c r="G1962" s="21" t="s">
        <v>80</v>
      </c>
      <c r="H1962" s="40">
        <v>8718</v>
      </c>
      <c r="I1962" s="40">
        <v>1482</v>
      </c>
      <c r="J1962" s="31"/>
      <c r="K1962" s="31"/>
      <c r="L1962" s="31"/>
      <c r="M1962" s="31"/>
      <c r="N1962" s="31"/>
      <c r="O1962" s="31"/>
      <c r="P1962" s="31"/>
      <c r="Q1962" s="31"/>
      <c r="R1962" s="31"/>
      <c r="S1962" s="31"/>
      <c r="T1962" s="31"/>
      <c r="U1962" s="31"/>
      <c r="V1962" s="31"/>
      <c r="W1962" s="31"/>
      <c r="X1962" s="31"/>
      <c r="Y1962" s="31"/>
      <c r="Z1962" s="31"/>
      <c r="AA1962" s="31"/>
      <c r="AB1962" s="31"/>
      <c r="AC1962" s="31"/>
      <c r="AD1962" s="31"/>
      <c r="AE1962" s="31"/>
      <c r="AF1962" s="31"/>
      <c r="AG1962" s="31"/>
      <c r="AH1962" s="31"/>
      <c r="AI1962" s="31"/>
      <c r="AJ1962" s="31"/>
      <c r="AK1962" s="31"/>
      <c r="AL1962" s="28" t="str">
        <f>VLOOKUP($G1962,'[42]Sheet1 (2)'!$A$1:$B$1048440,2,FALSE)</f>
        <v>Rmt.</v>
      </c>
      <c r="AM1962" s="32"/>
      <c r="AN1962" s="31"/>
      <c r="AO1962" s="33"/>
    </row>
    <row r="1963" spans="1:41" ht="112" x14ac:dyDescent="0.25">
      <c r="A1963" s="268">
        <v>1790</v>
      </c>
      <c r="B1963" s="25" t="s">
        <v>3161</v>
      </c>
      <c r="C1963" s="129">
        <v>50.47</v>
      </c>
      <c r="D1963" s="25" t="s">
        <v>524</v>
      </c>
      <c r="E1963" s="24" t="s">
        <v>3162</v>
      </c>
      <c r="F1963" s="24" t="s">
        <v>3072</v>
      </c>
      <c r="G1963" s="25" t="s">
        <v>2916</v>
      </c>
      <c r="H1963" s="40">
        <v>1400</v>
      </c>
      <c r="I1963" s="40">
        <v>238</v>
      </c>
      <c r="J1963" s="31"/>
      <c r="K1963" s="31"/>
      <c r="L1963" s="31"/>
      <c r="M1963" s="31"/>
      <c r="N1963" s="31"/>
      <c r="O1963" s="31"/>
      <c r="P1963" s="31"/>
      <c r="Q1963" s="31"/>
      <c r="R1963" s="31"/>
      <c r="S1963" s="31"/>
      <c r="T1963" s="31"/>
      <c r="U1963" s="31"/>
      <c r="V1963" s="31"/>
      <c r="W1963" s="31"/>
      <c r="X1963" s="31"/>
      <c r="Y1963" s="31"/>
      <c r="Z1963" s="31"/>
      <c r="AA1963" s="31"/>
      <c r="AB1963" s="31"/>
      <c r="AC1963" s="31"/>
      <c r="AD1963" s="31"/>
      <c r="AE1963" s="31"/>
      <c r="AF1963" s="31"/>
      <c r="AG1963" s="31"/>
      <c r="AH1963" s="31"/>
      <c r="AI1963" s="31"/>
      <c r="AJ1963" s="31"/>
      <c r="AK1963" s="31"/>
      <c r="AL1963" s="28" t="str">
        <f>VLOOKUP($G1963,'[42]Sheet1 (2)'!$A$1:$B$1048440,2,FALSE)</f>
        <v>kg</v>
      </c>
      <c r="AM1963" s="32"/>
      <c r="AN1963" s="31"/>
      <c r="AO1963" s="33"/>
    </row>
    <row r="1964" spans="1:41" ht="126" x14ac:dyDescent="0.25">
      <c r="A1964" s="268">
        <v>1791</v>
      </c>
      <c r="B1964" s="25" t="s">
        <v>3161</v>
      </c>
      <c r="C1964" s="129">
        <v>50.48</v>
      </c>
      <c r="D1964" s="25" t="s">
        <v>524</v>
      </c>
      <c r="E1964" s="24" t="s">
        <v>3163</v>
      </c>
      <c r="F1964" s="24" t="s">
        <v>3072</v>
      </c>
      <c r="G1964" s="266" t="s">
        <v>151</v>
      </c>
      <c r="H1964" s="40">
        <v>15</v>
      </c>
      <c r="I1964" s="40">
        <v>2</v>
      </c>
      <c r="J1964" s="31"/>
      <c r="K1964" s="31"/>
      <c r="L1964" s="31"/>
      <c r="M1964" s="31"/>
      <c r="N1964" s="31"/>
      <c r="O1964" s="31"/>
      <c r="P1964" s="31"/>
      <c r="Q1964" s="31"/>
      <c r="R1964" s="31"/>
      <c r="S1964" s="31"/>
      <c r="T1964" s="31"/>
      <c r="U1964" s="31"/>
      <c r="V1964" s="31"/>
      <c r="W1964" s="31"/>
      <c r="X1964" s="31"/>
      <c r="Y1964" s="31"/>
      <c r="Z1964" s="31"/>
      <c r="AA1964" s="31"/>
      <c r="AB1964" s="31"/>
      <c r="AC1964" s="31"/>
      <c r="AD1964" s="31"/>
      <c r="AE1964" s="31"/>
      <c r="AF1964" s="31"/>
      <c r="AG1964" s="31"/>
      <c r="AH1964" s="31"/>
      <c r="AI1964" s="31"/>
      <c r="AJ1964" s="31"/>
      <c r="AK1964" s="31"/>
      <c r="AL1964" s="28" t="str">
        <f>VLOOKUP($G1964,'[42]Sheet1 (2)'!$A$1:$B$1048440,2,FALSE)</f>
        <v>Sqm</v>
      </c>
      <c r="AM1964" s="32"/>
      <c r="AN1964" s="31"/>
      <c r="AO1964" s="33"/>
    </row>
    <row r="1965" spans="1:41" ht="112" x14ac:dyDescent="0.25">
      <c r="A1965" s="268">
        <v>1792</v>
      </c>
      <c r="B1965" s="25" t="s">
        <v>3161</v>
      </c>
      <c r="C1965" s="129">
        <v>50.49</v>
      </c>
      <c r="D1965" s="25" t="s">
        <v>524</v>
      </c>
      <c r="E1965" s="24" t="s">
        <v>3164</v>
      </c>
      <c r="F1965" s="24" t="s">
        <v>3072</v>
      </c>
      <c r="G1965" s="266" t="s">
        <v>151</v>
      </c>
      <c r="H1965" s="40">
        <v>18</v>
      </c>
      <c r="I1965" s="40">
        <v>3</v>
      </c>
      <c r="J1965" s="31"/>
      <c r="K1965" s="31"/>
      <c r="L1965" s="31"/>
      <c r="M1965" s="31"/>
      <c r="N1965" s="31"/>
      <c r="O1965" s="31"/>
      <c r="P1965" s="31"/>
      <c r="Q1965" s="31"/>
      <c r="R1965" s="31"/>
      <c r="S1965" s="31"/>
      <c r="T1965" s="31"/>
      <c r="U1965" s="31"/>
      <c r="V1965" s="31"/>
      <c r="W1965" s="31"/>
      <c r="X1965" s="31"/>
      <c r="Y1965" s="31"/>
      <c r="Z1965" s="31"/>
      <c r="AA1965" s="31"/>
      <c r="AB1965" s="31"/>
      <c r="AC1965" s="31"/>
      <c r="AD1965" s="31"/>
      <c r="AE1965" s="31"/>
      <c r="AF1965" s="31"/>
      <c r="AG1965" s="31"/>
      <c r="AH1965" s="31"/>
      <c r="AI1965" s="31"/>
      <c r="AJ1965" s="31"/>
      <c r="AK1965" s="31"/>
      <c r="AL1965" s="28" t="str">
        <f>VLOOKUP($G1965,'[42]Sheet1 (2)'!$A$1:$B$1048440,2,FALSE)</f>
        <v>Sqm</v>
      </c>
      <c r="AM1965" s="32"/>
      <c r="AN1965" s="31"/>
      <c r="AO1965" s="33"/>
    </row>
    <row r="1966" spans="1:41" ht="98" x14ac:dyDescent="0.25">
      <c r="A1966" s="272">
        <v>1793</v>
      </c>
      <c r="B1966" s="248" t="s">
        <v>3161</v>
      </c>
      <c r="C1966" s="269">
        <v>50.5</v>
      </c>
      <c r="D1966" s="248" t="s">
        <v>524</v>
      </c>
      <c r="E1966" s="250" t="s">
        <v>3165</v>
      </c>
      <c r="F1966" s="250" t="s">
        <v>3072</v>
      </c>
      <c r="G1966" s="266" t="s">
        <v>151</v>
      </c>
      <c r="H1966" s="275">
        <v>8</v>
      </c>
      <c r="I1966" s="275">
        <v>2</v>
      </c>
      <c r="J1966" s="31"/>
      <c r="K1966" s="31"/>
      <c r="L1966" s="31"/>
      <c r="M1966" s="31"/>
      <c r="N1966" s="31"/>
      <c r="O1966" s="31"/>
      <c r="P1966" s="31"/>
      <c r="Q1966" s="31"/>
      <c r="R1966" s="31"/>
      <c r="S1966" s="31"/>
      <c r="T1966" s="31"/>
      <c r="U1966" s="31"/>
      <c r="V1966" s="31"/>
      <c r="W1966" s="31"/>
      <c r="X1966" s="31"/>
      <c r="Y1966" s="31"/>
      <c r="Z1966" s="31"/>
      <c r="AA1966" s="31"/>
      <c r="AB1966" s="31"/>
      <c r="AC1966" s="31"/>
      <c r="AD1966" s="31"/>
      <c r="AE1966" s="31"/>
      <c r="AF1966" s="31"/>
      <c r="AG1966" s="31"/>
      <c r="AH1966" s="31"/>
      <c r="AI1966" s="31"/>
      <c r="AJ1966" s="31"/>
      <c r="AK1966" s="31"/>
      <c r="AL1966" s="28" t="str">
        <f>VLOOKUP($G1966,'[42]Sheet1 (2)'!$A$1:$B$1048440,2,FALSE)</f>
        <v>Sqm</v>
      </c>
      <c r="AM1966" s="32"/>
      <c r="AN1966" s="31"/>
      <c r="AO1966" s="33"/>
    </row>
    <row r="1967" spans="1:41" ht="142.5" x14ac:dyDescent="0.25">
      <c r="A1967" s="270">
        <v>1794</v>
      </c>
      <c r="B1967" s="253" t="s">
        <v>3161</v>
      </c>
      <c r="C1967" s="277">
        <v>50.51</v>
      </c>
      <c r="D1967" s="253" t="s">
        <v>524</v>
      </c>
      <c r="E1967" s="255" t="s">
        <v>3166</v>
      </c>
      <c r="F1967" s="256" t="s">
        <v>3072</v>
      </c>
      <c r="G1967" s="253" t="s">
        <v>47</v>
      </c>
      <c r="H1967" s="276">
        <v>1613</v>
      </c>
      <c r="I1967" s="276">
        <v>275</v>
      </c>
      <c r="J1967" s="31"/>
      <c r="K1967" s="31"/>
      <c r="L1967" s="31"/>
      <c r="M1967" s="31"/>
      <c r="N1967" s="31"/>
      <c r="O1967" s="31"/>
      <c r="P1967" s="31"/>
      <c r="Q1967" s="31"/>
      <c r="R1967" s="31"/>
      <c r="S1967" s="31"/>
      <c r="T1967" s="31"/>
      <c r="U1967" s="31"/>
      <c r="V1967" s="31"/>
      <c r="W1967" s="31"/>
      <c r="X1967" s="31"/>
      <c r="Y1967" s="31"/>
      <c r="Z1967" s="31"/>
      <c r="AA1967" s="31"/>
      <c r="AB1967" s="31"/>
      <c r="AC1967" s="31"/>
      <c r="AD1967" s="31"/>
      <c r="AE1967" s="31"/>
      <c r="AF1967" s="31"/>
      <c r="AG1967" s="31"/>
      <c r="AH1967" s="31"/>
      <c r="AI1967" s="31"/>
      <c r="AJ1967" s="31"/>
      <c r="AK1967" s="31"/>
      <c r="AL1967" s="28" t="str">
        <f>VLOOKUP($G1967,'[42]Sheet1 (2)'!$A$1:$B$1048440,2,FALSE)</f>
        <v>Cum</v>
      </c>
      <c r="AM1967" s="32"/>
      <c r="AN1967" s="31"/>
      <c r="AO1967" s="33"/>
    </row>
    <row r="1968" spans="1:41" ht="142.5" x14ac:dyDescent="0.25">
      <c r="A1968" s="268">
        <v>1795</v>
      </c>
      <c r="B1968" s="25" t="s">
        <v>3161</v>
      </c>
      <c r="C1968" s="37">
        <v>50.52</v>
      </c>
      <c r="D1968" s="25" t="s">
        <v>524</v>
      </c>
      <c r="E1968" s="23" t="s">
        <v>3167</v>
      </c>
      <c r="F1968" s="24" t="s">
        <v>3072</v>
      </c>
      <c r="G1968" s="25" t="s">
        <v>47</v>
      </c>
      <c r="H1968" s="40">
        <v>1701</v>
      </c>
      <c r="I1968" s="40">
        <v>289</v>
      </c>
      <c r="J1968" s="31"/>
      <c r="K1968" s="31"/>
      <c r="L1968" s="31"/>
      <c r="M1968" s="31"/>
      <c r="N1968" s="31"/>
      <c r="O1968" s="31"/>
      <c r="P1968" s="31"/>
      <c r="Q1968" s="31"/>
      <c r="R1968" s="31"/>
      <c r="S1968" s="31"/>
      <c r="T1968" s="31"/>
      <c r="U1968" s="31"/>
      <c r="V1968" s="31"/>
      <c r="W1968" s="31"/>
      <c r="X1968" s="31"/>
      <c r="Y1968" s="31"/>
      <c r="Z1968" s="31"/>
      <c r="AA1968" s="31"/>
      <c r="AB1968" s="31"/>
      <c r="AC1968" s="31"/>
      <c r="AD1968" s="31"/>
      <c r="AE1968" s="31"/>
      <c r="AF1968" s="31"/>
      <c r="AG1968" s="31"/>
      <c r="AH1968" s="31"/>
      <c r="AI1968" s="31"/>
      <c r="AJ1968" s="31"/>
      <c r="AK1968" s="31"/>
      <c r="AL1968" s="28" t="str">
        <f>VLOOKUP($G1968,'[42]Sheet1 (2)'!$A$1:$B$1048440,2,FALSE)</f>
        <v>Cum</v>
      </c>
      <c r="AM1968" s="32"/>
      <c r="AN1968" s="31"/>
      <c r="AO1968" s="33"/>
    </row>
    <row r="1969" spans="1:41" ht="142.5" x14ac:dyDescent="0.25">
      <c r="A1969" s="268">
        <v>1796</v>
      </c>
      <c r="B1969" s="25" t="s">
        <v>3161</v>
      </c>
      <c r="C1969" s="37">
        <v>50.53</v>
      </c>
      <c r="D1969" s="25" t="s">
        <v>524</v>
      </c>
      <c r="E1969" s="23" t="s">
        <v>3168</v>
      </c>
      <c r="F1969" s="24" t="s">
        <v>3072</v>
      </c>
      <c r="G1969" s="25" t="s">
        <v>47</v>
      </c>
      <c r="H1969" s="40">
        <v>1789</v>
      </c>
      <c r="I1969" s="40">
        <v>304</v>
      </c>
      <c r="J1969" s="31"/>
      <c r="K1969" s="31"/>
      <c r="L1969" s="31"/>
      <c r="M1969" s="31"/>
      <c r="N1969" s="31"/>
      <c r="O1969" s="31"/>
      <c r="P1969" s="31"/>
      <c r="Q1969" s="31"/>
      <c r="R1969" s="31"/>
      <c r="S1969" s="31"/>
      <c r="T1969" s="31"/>
      <c r="U1969" s="31"/>
      <c r="V1969" s="31"/>
      <c r="W1969" s="31"/>
      <c r="X1969" s="31"/>
      <c r="Y1969" s="31"/>
      <c r="Z1969" s="31"/>
      <c r="AA1969" s="31"/>
      <c r="AB1969" s="31"/>
      <c r="AC1969" s="31"/>
      <c r="AD1969" s="31"/>
      <c r="AE1969" s="31"/>
      <c r="AF1969" s="31"/>
      <c r="AG1969" s="31"/>
      <c r="AH1969" s="31"/>
      <c r="AI1969" s="31"/>
      <c r="AJ1969" s="31"/>
      <c r="AK1969" s="31"/>
      <c r="AL1969" s="28" t="str">
        <f>VLOOKUP($G1969,'[42]Sheet1 (2)'!$A$1:$B$1048440,2,FALSE)</f>
        <v>Cum</v>
      </c>
      <c r="AM1969" s="32"/>
      <c r="AN1969" s="31"/>
      <c r="AO1969" s="33"/>
    </row>
    <row r="1970" spans="1:41" ht="140" x14ac:dyDescent="0.25">
      <c r="A1970" s="268">
        <v>1797</v>
      </c>
      <c r="B1970" s="25" t="s">
        <v>3161</v>
      </c>
      <c r="C1970" s="37">
        <v>50.54</v>
      </c>
      <c r="D1970" s="25" t="s">
        <v>524</v>
      </c>
      <c r="E1970" s="23" t="s">
        <v>3169</v>
      </c>
      <c r="F1970" s="24" t="s">
        <v>3072</v>
      </c>
      <c r="G1970" s="25" t="s">
        <v>47</v>
      </c>
      <c r="H1970" s="40">
        <v>730</v>
      </c>
      <c r="I1970" s="40">
        <v>325</v>
      </c>
      <c r="J1970" s="31"/>
      <c r="K1970" s="31"/>
      <c r="L1970" s="31"/>
      <c r="M1970" s="31"/>
      <c r="N1970" s="31"/>
      <c r="O1970" s="31"/>
      <c r="P1970" s="31"/>
      <c r="Q1970" s="31"/>
      <c r="R1970" s="31"/>
      <c r="S1970" s="31"/>
      <c r="T1970" s="31"/>
      <c r="U1970" s="31"/>
      <c r="V1970" s="31"/>
      <c r="W1970" s="31"/>
      <c r="X1970" s="31"/>
      <c r="Y1970" s="31"/>
      <c r="Z1970" s="31"/>
      <c r="AA1970" s="31"/>
      <c r="AB1970" s="31"/>
      <c r="AC1970" s="31"/>
      <c r="AD1970" s="31"/>
      <c r="AE1970" s="31"/>
      <c r="AF1970" s="31"/>
      <c r="AG1970" s="31"/>
      <c r="AH1970" s="31"/>
      <c r="AI1970" s="31"/>
      <c r="AJ1970" s="31"/>
      <c r="AK1970" s="31"/>
      <c r="AL1970" s="28" t="str">
        <f>VLOOKUP($G1970,'[42]Sheet1 (2)'!$A$1:$B$1048440,2,FALSE)</f>
        <v>Cum</v>
      </c>
      <c r="AM1970" s="32"/>
      <c r="AN1970" s="31"/>
      <c r="AO1970" s="33"/>
    </row>
    <row r="1971" spans="1:41" ht="112" x14ac:dyDescent="0.25">
      <c r="A1971" s="272">
        <v>1798</v>
      </c>
      <c r="B1971" s="248" t="s">
        <v>3161</v>
      </c>
      <c r="C1971" s="278">
        <v>50.55</v>
      </c>
      <c r="D1971" s="248" t="s">
        <v>524</v>
      </c>
      <c r="E1971" s="250" t="s">
        <v>3170</v>
      </c>
      <c r="F1971" s="250" t="s">
        <v>3072</v>
      </c>
      <c r="G1971" s="248" t="s">
        <v>47</v>
      </c>
      <c r="H1971" s="275">
        <v>780</v>
      </c>
      <c r="I1971" s="275">
        <v>350</v>
      </c>
      <c r="J1971" s="31"/>
      <c r="K1971" s="31"/>
      <c r="L1971" s="31"/>
      <c r="M1971" s="31"/>
      <c r="N1971" s="31"/>
      <c r="O1971" s="31"/>
      <c r="P1971" s="31"/>
      <c r="Q1971" s="31"/>
      <c r="R1971" s="31"/>
      <c r="S1971" s="31"/>
      <c r="T1971" s="31"/>
      <c r="U1971" s="31"/>
      <c r="V1971" s="31"/>
      <c r="W1971" s="31"/>
      <c r="X1971" s="31"/>
      <c r="Y1971" s="31"/>
      <c r="Z1971" s="31"/>
      <c r="AA1971" s="31"/>
      <c r="AB1971" s="31"/>
      <c r="AC1971" s="31"/>
      <c r="AD1971" s="31"/>
      <c r="AE1971" s="31"/>
      <c r="AF1971" s="31"/>
      <c r="AG1971" s="31"/>
      <c r="AH1971" s="31"/>
      <c r="AI1971" s="31"/>
      <c r="AJ1971" s="31"/>
      <c r="AK1971" s="31"/>
      <c r="AL1971" s="28" t="str">
        <f>VLOOKUP($G1971,'[42]Sheet1 (2)'!$A$1:$B$1048440,2,FALSE)</f>
        <v>Cum</v>
      </c>
      <c r="AM1971" s="32"/>
      <c r="AN1971" s="31"/>
      <c r="AO1971" s="33"/>
    </row>
    <row r="1972" spans="1:41" ht="112" x14ac:dyDescent="0.25">
      <c r="A1972" s="270">
        <v>1799</v>
      </c>
      <c r="B1972" s="253" t="s">
        <v>3161</v>
      </c>
      <c r="C1972" s="277">
        <v>50.56</v>
      </c>
      <c r="D1972" s="253" t="s">
        <v>524</v>
      </c>
      <c r="E1972" s="256" t="s">
        <v>3171</v>
      </c>
      <c r="F1972" s="256" t="s">
        <v>3072</v>
      </c>
      <c r="G1972" s="253" t="s">
        <v>47</v>
      </c>
      <c r="H1972" s="276">
        <v>700</v>
      </c>
      <c r="I1972" s="276">
        <v>335</v>
      </c>
      <c r="J1972" s="31"/>
      <c r="K1972" s="31"/>
      <c r="L1972" s="31"/>
      <c r="M1972" s="31"/>
      <c r="N1972" s="31"/>
      <c r="O1972" s="31"/>
      <c r="P1972" s="31"/>
      <c r="Q1972" s="31"/>
      <c r="R1972" s="31"/>
      <c r="S1972" s="31"/>
      <c r="T1972" s="31"/>
      <c r="U1972" s="31"/>
      <c r="V1972" s="31"/>
      <c r="W1972" s="31"/>
      <c r="X1972" s="31"/>
      <c r="Y1972" s="31"/>
      <c r="Z1972" s="31"/>
      <c r="AA1972" s="31"/>
      <c r="AB1972" s="31"/>
      <c r="AC1972" s="31"/>
      <c r="AD1972" s="31"/>
      <c r="AE1972" s="31"/>
      <c r="AF1972" s="31"/>
      <c r="AG1972" s="31"/>
      <c r="AH1972" s="31"/>
      <c r="AI1972" s="31"/>
      <c r="AJ1972" s="31"/>
      <c r="AK1972" s="31"/>
      <c r="AL1972" s="28" t="str">
        <f>VLOOKUP($G1972,'[42]Sheet1 (2)'!$A$1:$B$1048440,2,FALSE)</f>
        <v>Cum</v>
      </c>
      <c r="AM1972" s="32"/>
      <c r="AN1972" s="31"/>
      <c r="AO1972" s="33"/>
    </row>
    <row r="1973" spans="1:41" ht="126" x14ac:dyDescent="0.25">
      <c r="A1973" s="268">
        <v>1800</v>
      </c>
      <c r="B1973" s="25" t="s">
        <v>3161</v>
      </c>
      <c r="C1973" s="37">
        <v>50.57</v>
      </c>
      <c r="D1973" s="25" t="s">
        <v>524</v>
      </c>
      <c r="E1973" s="23" t="s">
        <v>3172</v>
      </c>
      <c r="F1973" s="24" t="s">
        <v>3072</v>
      </c>
      <c r="G1973" s="25" t="s">
        <v>47</v>
      </c>
      <c r="H1973" s="40">
        <v>750</v>
      </c>
      <c r="I1973" s="40">
        <v>360</v>
      </c>
      <c r="J1973" s="31"/>
      <c r="K1973" s="31"/>
      <c r="L1973" s="31"/>
      <c r="M1973" s="31"/>
      <c r="N1973" s="31"/>
      <c r="O1973" s="31"/>
      <c r="P1973" s="31"/>
      <c r="Q1973" s="31"/>
      <c r="R1973" s="31"/>
      <c r="S1973" s="31"/>
      <c r="T1973" s="31"/>
      <c r="U1973" s="31"/>
      <c r="V1973" s="31"/>
      <c r="W1973" s="31"/>
      <c r="X1973" s="31"/>
      <c r="Y1973" s="31"/>
      <c r="Z1973" s="31"/>
      <c r="AA1973" s="31"/>
      <c r="AB1973" s="31"/>
      <c r="AC1973" s="31"/>
      <c r="AD1973" s="31"/>
      <c r="AE1973" s="31"/>
      <c r="AF1973" s="31"/>
      <c r="AG1973" s="31"/>
      <c r="AH1973" s="31"/>
      <c r="AI1973" s="31"/>
      <c r="AJ1973" s="31"/>
      <c r="AK1973" s="31"/>
      <c r="AL1973" s="28" t="str">
        <f>VLOOKUP($G1973,'[42]Sheet1 (2)'!$A$1:$B$1048440,2,FALSE)</f>
        <v>Cum</v>
      </c>
      <c r="AM1973" s="32"/>
      <c r="AN1973" s="31"/>
      <c r="AO1973" s="33"/>
    </row>
    <row r="1974" spans="1:41" ht="56" x14ac:dyDescent="0.25">
      <c r="A1974" s="268">
        <v>1801</v>
      </c>
      <c r="B1974" s="25" t="s">
        <v>3161</v>
      </c>
      <c r="C1974" s="37">
        <v>50.58</v>
      </c>
      <c r="D1974" s="25" t="s">
        <v>524</v>
      </c>
      <c r="E1974" s="23" t="s">
        <v>3173</v>
      </c>
      <c r="F1974" s="35" t="s">
        <v>3174</v>
      </c>
      <c r="G1974" s="25" t="s">
        <v>47</v>
      </c>
      <c r="H1974" s="40">
        <v>85</v>
      </c>
      <c r="I1974" s="40">
        <v>75</v>
      </c>
      <c r="J1974" s="31"/>
      <c r="K1974" s="31"/>
      <c r="L1974" s="31"/>
      <c r="M1974" s="31"/>
      <c r="N1974" s="31"/>
      <c r="O1974" s="31"/>
      <c r="P1974" s="31"/>
      <c r="Q1974" s="31"/>
      <c r="R1974" s="31"/>
      <c r="S1974" s="31"/>
      <c r="T1974" s="31"/>
      <c r="U1974" s="31"/>
      <c r="V1974" s="31"/>
      <c r="W1974" s="31"/>
      <c r="X1974" s="31"/>
      <c r="Y1974" s="31"/>
      <c r="Z1974" s="31"/>
      <c r="AA1974" s="31"/>
      <c r="AB1974" s="31"/>
      <c r="AC1974" s="31"/>
      <c r="AD1974" s="31"/>
      <c r="AE1974" s="31"/>
      <c r="AF1974" s="31"/>
      <c r="AG1974" s="31"/>
      <c r="AH1974" s="31"/>
      <c r="AI1974" s="31"/>
      <c r="AJ1974" s="31"/>
      <c r="AK1974" s="31"/>
      <c r="AL1974" s="28" t="str">
        <f>VLOOKUP($G1974,'[42]Sheet1 (2)'!$A$1:$B$1048440,2,FALSE)</f>
        <v>Cum</v>
      </c>
      <c r="AM1974" s="32"/>
      <c r="AN1974" s="31"/>
      <c r="AO1974" s="33"/>
    </row>
    <row r="1975" spans="1:41" ht="56" x14ac:dyDescent="0.25">
      <c r="A1975" s="268">
        <v>1802</v>
      </c>
      <c r="B1975" s="25" t="s">
        <v>3161</v>
      </c>
      <c r="C1975" s="37">
        <v>50.59</v>
      </c>
      <c r="D1975" s="25" t="s">
        <v>524</v>
      </c>
      <c r="E1975" s="23" t="s">
        <v>3175</v>
      </c>
      <c r="F1975" s="24" t="s">
        <v>3072</v>
      </c>
      <c r="G1975" s="21" t="s">
        <v>217</v>
      </c>
      <c r="H1975" s="40">
        <v>27</v>
      </c>
      <c r="I1975" s="40">
        <v>4</v>
      </c>
      <c r="J1975" s="31"/>
      <c r="K1975" s="31"/>
      <c r="L1975" s="31"/>
      <c r="M1975" s="31"/>
      <c r="N1975" s="31"/>
      <c r="O1975" s="31"/>
      <c r="P1975" s="31"/>
      <c r="Q1975" s="31"/>
      <c r="R1975" s="31"/>
      <c r="S1975" s="31"/>
      <c r="T1975" s="31"/>
      <c r="U1975" s="31"/>
      <c r="V1975" s="31"/>
      <c r="W1975" s="31"/>
      <c r="X1975" s="31"/>
      <c r="Y1975" s="31"/>
      <c r="Z1975" s="31"/>
      <c r="AA1975" s="31"/>
      <c r="AB1975" s="31"/>
      <c r="AC1975" s="31"/>
      <c r="AD1975" s="31"/>
      <c r="AE1975" s="31"/>
      <c r="AF1975" s="31"/>
      <c r="AG1975" s="31"/>
      <c r="AH1975" s="31"/>
      <c r="AI1975" s="31"/>
      <c r="AJ1975" s="31"/>
      <c r="AK1975" s="31"/>
      <c r="AL1975" s="28" t="str">
        <f>VLOOKUP($G1975,'[42]Sheet1 (2)'!$A$1:$B$1048440,2,FALSE)</f>
        <v>Sqm</v>
      </c>
      <c r="AM1975" s="32"/>
      <c r="AN1975" s="31"/>
      <c r="AO1975" s="33"/>
    </row>
    <row r="1976" spans="1:41" ht="56" x14ac:dyDescent="0.25">
      <c r="A1976" s="268">
        <v>1803</v>
      </c>
      <c r="B1976" s="25" t="s">
        <v>3161</v>
      </c>
      <c r="C1976" s="37">
        <v>50.6</v>
      </c>
      <c r="D1976" s="25" t="s">
        <v>524</v>
      </c>
      <c r="E1976" s="23" t="s">
        <v>3176</v>
      </c>
      <c r="F1976" s="24" t="s">
        <v>3072</v>
      </c>
      <c r="G1976" s="21" t="s">
        <v>217</v>
      </c>
      <c r="H1976" s="40">
        <v>37</v>
      </c>
      <c r="I1976" s="40">
        <v>4</v>
      </c>
      <c r="J1976" s="31"/>
      <c r="K1976" s="31"/>
      <c r="L1976" s="31"/>
      <c r="M1976" s="31"/>
      <c r="N1976" s="31"/>
      <c r="O1976" s="31"/>
      <c r="P1976" s="31"/>
      <c r="Q1976" s="31"/>
      <c r="R1976" s="31"/>
      <c r="S1976" s="31"/>
      <c r="T1976" s="31"/>
      <c r="U1976" s="31"/>
      <c r="V1976" s="31"/>
      <c r="W1976" s="31"/>
      <c r="X1976" s="31"/>
      <c r="Y1976" s="31"/>
      <c r="Z1976" s="31"/>
      <c r="AA1976" s="31"/>
      <c r="AB1976" s="31"/>
      <c r="AC1976" s="31"/>
      <c r="AD1976" s="31"/>
      <c r="AE1976" s="31"/>
      <c r="AF1976" s="31"/>
      <c r="AG1976" s="31"/>
      <c r="AH1976" s="31"/>
      <c r="AI1976" s="31"/>
      <c r="AJ1976" s="31"/>
      <c r="AK1976" s="31"/>
      <c r="AL1976" s="28" t="str">
        <f>VLOOKUP($G1976,'[42]Sheet1 (2)'!$A$1:$B$1048440,2,FALSE)</f>
        <v>Sqm</v>
      </c>
      <c r="AM1976" s="32"/>
      <c r="AN1976" s="31"/>
      <c r="AO1976" s="33"/>
    </row>
    <row r="1977" spans="1:41" ht="56" x14ac:dyDescent="0.25">
      <c r="A1977" s="268">
        <v>1804</v>
      </c>
      <c r="B1977" s="25" t="s">
        <v>3161</v>
      </c>
      <c r="C1977" s="37">
        <v>50.61</v>
      </c>
      <c r="D1977" s="25" t="s">
        <v>524</v>
      </c>
      <c r="E1977" s="23" t="s">
        <v>3177</v>
      </c>
      <c r="F1977" s="24" t="s">
        <v>3072</v>
      </c>
      <c r="G1977" s="21" t="s">
        <v>217</v>
      </c>
      <c r="H1977" s="40">
        <v>25</v>
      </c>
      <c r="I1977" s="40">
        <v>4</v>
      </c>
      <c r="J1977" s="31"/>
      <c r="K1977" s="31"/>
      <c r="L1977" s="31"/>
      <c r="M1977" s="31"/>
      <c r="N1977" s="31"/>
      <c r="O1977" s="31"/>
      <c r="P1977" s="31"/>
      <c r="Q1977" s="31"/>
      <c r="R1977" s="31"/>
      <c r="S1977" s="31"/>
      <c r="T1977" s="31"/>
      <c r="U1977" s="31"/>
      <c r="V1977" s="31"/>
      <c r="W1977" s="31"/>
      <c r="X1977" s="31"/>
      <c r="Y1977" s="31"/>
      <c r="Z1977" s="31"/>
      <c r="AA1977" s="31"/>
      <c r="AB1977" s="31"/>
      <c r="AC1977" s="31"/>
      <c r="AD1977" s="31"/>
      <c r="AE1977" s="31"/>
      <c r="AF1977" s="31"/>
      <c r="AG1977" s="31"/>
      <c r="AH1977" s="31"/>
      <c r="AI1977" s="31"/>
      <c r="AJ1977" s="31"/>
      <c r="AK1977" s="31"/>
      <c r="AL1977" s="28" t="str">
        <f>VLOOKUP($G1977,'[42]Sheet1 (2)'!$A$1:$B$1048440,2,FALSE)</f>
        <v>Sqm</v>
      </c>
      <c r="AM1977" s="32"/>
      <c r="AN1977" s="31"/>
      <c r="AO1977" s="33"/>
    </row>
    <row r="1978" spans="1:41" ht="56" x14ac:dyDescent="0.25">
      <c r="A1978" s="268">
        <v>1805</v>
      </c>
      <c r="B1978" s="25" t="s">
        <v>3161</v>
      </c>
      <c r="C1978" s="37">
        <v>50.62</v>
      </c>
      <c r="D1978" s="25" t="s">
        <v>524</v>
      </c>
      <c r="E1978" s="23" t="s">
        <v>3178</v>
      </c>
      <c r="F1978" s="24" t="s">
        <v>3072</v>
      </c>
      <c r="G1978" s="21" t="s">
        <v>217</v>
      </c>
      <c r="H1978" s="40">
        <v>34</v>
      </c>
      <c r="I1978" s="40">
        <v>4</v>
      </c>
      <c r="J1978" s="31"/>
      <c r="K1978" s="31"/>
      <c r="L1978" s="31"/>
      <c r="M1978" s="31"/>
      <c r="N1978" s="31"/>
      <c r="O1978" s="31"/>
      <c r="P1978" s="31"/>
      <c r="Q1978" s="31"/>
      <c r="R1978" s="31"/>
      <c r="S1978" s="31"/>
      <c r="T1978" s="31"/>
      <c r="U1978" s="31"/>
      <c r="V1978" s="31"/>
      <c r="W1978" s="31"/>
      <c r="X1978" s="31"/>
      <c r="Y1978" s="31"/>
      <c r="Z1978" s="31"/>
      <c r="AA1978" s="31"/>
      <c r="AB1978" s="31"/>
      <c r="AC1978" s="31"/>
      <c r="AD1978" s="31"/>
      <c r="AE1978" s="31"/>
      <c r="AF1978" s="31"/>
      <c r="AG1978" s="31"/>
      <c r="AH1978" s="31"/>
      <c r="AI1978" s="31"/>
      <c r="AJ1978" s="31"/>
      <c r="AK1978" s="31"/>
      <c r="AL1978" s="28" t="str">
        <f>VLOOKUP($G1978,'[42]Sheet1 (2)'!$A$1:$B$1048440,2,FALSE)</f>
        <v>Sqm</v>
      </c>
      <c r="AM1978" s="32"/>
      <c r="AN1978" s="31"/>
      <c r="AO1978" s="33"/>
    </row>
    <row r="1979" spans="1:41" ht="182" x14ac:dyDescent="0.25">
      <c r="A1979" s="272">
        <v>1806</v>
      </c>
      <c r="B1979" s="248" t="s">
        <v>3179</v>
      </c>
      <c r="C1979" s="278">
        <v>50.79</v>
      </c>
      <c r="D1979" s="248" t="s">
        <v>3180</v>
      </c>
      <c r="E1979" s="250" t="s">
        <v>3181</v>
      </c>
      <c r="F1979" s="250" t="s">
        <v>3072</v>
      </c>
      <c r="G1979" s="264" t="s">
        <v>217</v>
      </c>
      <c r="H1979" s="275">
        <v>372</v>
      </c>
      <c r="I1979" s="275">
        <v>0</v>
      </c>
      <c r="J1979" s="31"/>
      <c r="K1979" s="31"/>
      <c r="L1979" s="31"/>
      <c r="M1979" s="31"/>
      <c r="N1979" s="31"/>
      <c r="O1979" s="31"/>
      <c r="P1979" s="31"/>
      <c r="Q1979" s="31"/>
      <c r="R1979" s="31"/>
      <c r="S1979" s="31"/>
      <c r="T1979" s="31"/>
      <c r="U1979" s="31"/>
      <c r="V1979" s="31"/>
      <c r="W1979" s="31"/>
      <c r="X1979" s="31"/>
      <c r="Y1979" s="31"/>
      <c r="Z1979" s="31"/>
      <c r="AA1979" s="31"/>
      <c r="AB1979" s="31"/>
      <c r="AC1979" s="31"/>
      <c r="AD1979" s="31"/>
      <c r="AE1979" s="31"/>
      <c r="AF1979" s="31"/>
      <c r="AG1979" s="31"/>
      <c r="AH1979" s="31"/>
      <c r="AI1979" s="31"/>
      <c r="AJ1979" s="31"/>
      <c r="AK1979" s="31"/>
      <c r="AL1979" s="28" t="str">
        <f>VLOOKUP($G1979,'[42]Sheet1 (2)'!$A$1:$B$1048440,2,FALSE)</f>
        <v>Sqm</v>
      </c>
      <c r="AM1979" s="32"/>
      <c r="AN1979" s="31"/>
      <c r="AO1979" s="33"/>
    </row>
    <row r="1980" spans="1:41" ht="252" x14ac:dyDescent="0.25">
      <c r="A1980" s="270">
        <v>1807</v>
      </c>
      <c r="B1980" s="253" t="s">
        <v>3179</v>
      </c>
      <c r="C1980" s="277">
        <v>50.8</v>
      </c>
      <c r="D1980" s="253" t="s">
        <v>3180</v>
      </c>
      <c r="E1980" s="256" t="s">
        <v>3182</v>
      </c>
      <c r="F1980" s="256" t="s">
        <v>3072</v>
      </c>
      <c r="G1980" s="253" t="s">
        <v>1070</v>
      </c>
      <c r="H1980" s="276">
        <v>25</v>
      </c>
      <c r="I1980" s="276">
        <v>0</v>
      </c>
      <c r="J1980" s="31"/>
      <c r="K1980" s="31"/>
      <c r="L1980" s="31"/>
      <c r="M1980" s="31"/>
      <c r="N1980" s="31"/>
      <c r="O1980" s="31"/>
      <c r="P1980" s="31"/>
      <c r="Q1980" s="31"/>
      <c r="R1980" s="31"/>
      <c r="S1980" s="31"/>
      <c r="T1980" s="31"/>
      <c r="U1980" s="31"/>
      <c r="V1980" s="31"/>
      <c r="W1980" s="31"/>
      <c r="X1980" s="31"/>
      <c r="Y1980" s="31"/>
      <c r="Z1980" s="31"/>
      <c r="AA1980" s="31"/>
      <c r="AB1980" s="31"/>
      <c r="AC1980" s="31"/>
      <c r="AD1980" s="31"/>
      <c r="AE1980" s="31"/>
      <c r="AF1980" s="31"/>
      <c r="AG1980" s="31"/>
      <c r="AH1980" s="31"/>
      <c r="AI1980" s="31"/>
      <c r="AJ1980" s="31"/>
      <c r="AK1980" s="31"/>
      <c r="AL1980" s="28" t="e">
        <f>VLOOKUP($G1980,'[42]Sheet1 (2)'!$A$1:$B$1048440,2,FALSE)</f>
        <v>#N/A</v>
      </c>
      <c r="AM1980" s="32"/>
      <c r="AN1980" s="31"/>
      <c r="AO1980" s="33"/>
    </row>
    <row r="1981" spans="1:41" ht="56" x14ac:dyDescent="0.25">
      <c r="A1981" s="23"/>
      <c r="B1981" s="39" t="s">
        <v>3069</v>
      </c>
      <c r="C1981" s="37">
        <v>50.81</v>
      </c>
      <c r="D1981" s="25" t="s">
        <v>3070</v>
      </c>
      <c r="E1981" s="24" t="s">
        <v>3183</v>
      </c>
      <c r="F1981" s="24" t="s">
        <v>3072</v>
      </c>
      <c r="G1981" s="23"/>
      <c r="H1981" s="23"/>
      <c r="I1981" s="23"/>
      <c r="J1981" s="31"/>
      <c r="K1981" s="31"/>
      <c r="L1981" s="31"/>
      <c r="M1981" s="31"/>
      <c r="N1981" s="31"/>
      <c r="O1981" s="31"/>
      <c r="P1981" s="31"/>
      <c r="Q1981" s="31"/>
      <c r="R1981" s="31"/>
      <c r="S1981" s="31"/>
      <c r="T1981" s="31"/>
      <c r="U1981" s="31"/>
      <c r="V1981" s="31"/>
      <c r="W1981" s="31"/>
      <c r="X1981" s="31"/>
      <c r="Y1981" s="31"/>
      <c r="Z1981" s="31"/>
      <c r="AA1981" s="31"/>
      <c r="AB1981" s="31"/>
      <c r="AC1981" s="31"/>
      <c r="AD1981" s="31"/>
      <c r="AE1981" s="31"/>
      <c r="AF1981" s="31"/>
      <c r="AG1981" s="31"/>
      <c r="AH1981" s="31"/>
      <c r="AI1981" s="31"/>
      <c r="AJ1981" s="31"/>
      <c r="AK1981" s="31"/>
      <c r="AL1981" s="28" t="e">
        <f>VLOOKUP($G1981,'[42]Sheet1 (2)'!$A$1:$B$1048440,2,FALSE)</f>
        <v>#N/A</v>
      </c>
      <c r="AM1981" s="32"/>
      <c r="AN1981" s="31"/>
      <c r="AO1981" s="33"/>
    </row>
    <row r="1982" spans="1:41" ht="182" x14ac:dyDescent="0.25">
      <c r="A1982" s="23"/>
      <c r="B1982" s="23"/>
      <c r="C1982" s="23"/>
      <c r="D1982" s="23"/>
      <c r="E1982" s="24" t="s">
        <v>3184</v>
      </c>
      <c r="F1982" s="23"/>
      <c r="G1982" s="23"/>
      <c r="H1982" s="23"/>
      <c r="I1982" s="23"/>
      <c r="J1982" s="31"/>
      <c r="K1982" s="31"/>
      <c r="L1982" s="31"/>
      <c r="M1982" s="31"/>
      <c r="N1982" s="31"/>
      <c r="O1982" s="31"/>
      <c r="P1982" s="31"/>
      <c r="Q1982" s="31"/>
      <c r="R1982" s="31"/>
      <c r="S1982" s="31"/>
      <c r="T1982" s="31"/>
      <c r="U1982" s="31"/>
      <c r="V1982" s="31"/>
      <c r="W1982" s="31"/>
      <c r="X1982" s="31"/>
      <c r="Y1982" s="31"/>
      <c r="Z1982" s="31"/>
      <c r="AA1982" s="31"/>
      <c r="AB1982" s="31"/>
      <c r="AC1982" s="31"/>
      <c r="AD1982" s="31"/>
      <c r="AE1982" s="31"/>
      <c r="AF1982" s="31"/>
      <c r="AG1982" s="31"/>
      <c r="AH1982" s="31"/>
      <c r="AI1982" s="31"/>
      <c r="AJ1982" s="31"/>
      <c r="AK1982" s="31"/>
      <c r="AL1982" s="28" t="e">
        <f>VLOOKUP($G1982,'[42]Sheet1 (2)'!$A$1:$B$1048440,2,FALSE)</f>
        <v>#N/A</v>
      </c>
      <c r="AM1982" s="32"/>
      <c r="AN1982" s="31"/>
      <c r="AO1982" s="33"/>
    </row>
    <row r="1983" spans="1:41" ht="140" x14ac:dyDescent="0.25">
      <c r="A1983" s="272">
        <v>1808</v>
      </c>
      <c r="B1983" s="249"/>
      <c r="C1983" s="249"/>
      <c r="D1983" s="249"/>
      <c r="E1983" s="250" t="s">
        <v>3185</v>
      </c>
      <c r="F1983" s="249"/>
      <c r="G1983" s="264" t="s">
        <v>80</v>
      </c>
      <c r="H1983" s="275">
        <v>1569</v>
      </c>
      <c r="I1983" s="275">
        <v>540</v>
      </c>
      <c r="J1983" s="31"/>
      <c r="K1983" s="31"/>
      <c r="L1983" s="31"/>
      <c r="M1983" s="31"/>
      <c r="N1983" s="31"/>
      <c r="O1983" s="31"/>
      <c r="P1983" s="31"/>
      <c r="Q1983" s="31"/>
      <c r="R1983" s="31"/>
      <c r="S1983" s="31"/>
      <c r="T1983" s="31"/>
      <c r="U1983" s="31"/>
      <c r="V1983" s="31"/>
      <c r="W1983" s="31"/>
      <c r="X1983" s="31"/>
      <c r="Y1983" s="31"/>
      <c r="Z1983" s="31"/>
      <c r="AA1983" s="31"/>
      <c r="AB1983" s="31"/>
      <c r="AC1983" s="31"/>
      <c r="AD1983" s="31"/>
      <c r="AE1983" s="31"/>
      <c r="AF1983" s="31"/>
      <c r="AG1983" s="31"/>
      <c r="AH1983" s="31"/>
      <c r="AI1983" s="31"/>
      <c r="AJ1983" s="31"/>
      <c r="AK1983" s="31"/>
      <c r="AL1983" s="28" t="str">
        <f>VLOOKUP($G1983,'[42]Sheet1 (2)'!$A$1:$B$1048440,2,FALSE)</f>
        <v>Rmt.</v>
      </c>
      <c r="AM1983" s="32"/>
      <c r="AN1983" s="31"/>
      <c r="AO1983" s="33"/>
    </row>
    <row r="1984" spans="1:41" ht="252" x14ac:dyDescent="0.25">
      <c r="A1984" s="270">
        <v>1809</v>
      </c>
      <c r="B1984" s="255"/>
      <c r="C1984" s="255"/>
      <c r="D1984" s="255"/>
      <c r="E1984" s="255" t="s">
        <v>3186</v>
      </c>
      <c r="F1984" s="255"/>
      <c r="G1984" s="265" t="s">
        <v>217</v>
      </c>
      <c r="H1984" s="276">
        <v>9014</v>
      </c>
      <c r="I1984" s="276">
        <v>2738</v>
      </c>
      <c r="J1984" s="31"/>
      <c r="K1984" s="31"/>
      <c r="L1984" s="31"/>
      <c r="M1984" s="31"/>
      <c r="N1984" s="31"/>
      <c r="O1984" s="31"/>
      <c r="P1984" s="31"/>
      <c r="Q1984" s="31"/>
      <c r="R1984" s="31"/>
      <c r="S1984" s="31"/>
      <c r="T1984" s="31"/>
      <c r="U1984" s="31"/>
      <c r="V1984" s="31"/>
      <c r="W1984" s="31"/>
      <c r="X1984" s="31"/>
      <c r="Y1984" s="31"/>
      <c r="Z1984" s="31"/>
      <c r="AA1984" s="31"/>
      <c r="AB1984" s="31"/>
      <c r="AC1984" s="31"/>
      <c r="AD1984" s="31"/>
      <c r="AE1984" s="31"/>
      <c r="AF1984" s="31"/>
      <c r="AG1984" s="31"/>
      <c r="AH1984" s="31"/>
      <c r="AI1984" s="31"/>
      <c r="AJ1984" s="31"/>
      <c r="AK1984" s="31"/>
      <c r="AL1984" s="28" t="str">
        <f>VLOOKUP($G1984,'[42]Sheet1 (2)'!$A$1:$B$1048440,2,FALSE)</f>
        <v>Sqm</v>
      </c>
      <c r="AM1984" s="32"/>
      <c r="AN1984" s="31"/>
      <c r="AO1984" s="33"/>
    </row>
    <row r="1985" spans="1:41" ht="112" x14ac:dyDescent="0.25">
      <c r="A1985" s="268">
        <v>1810</v>
      </c>
      <c r="B1985" s="23"/>
      <c r="C1985" s="23"/>
      <c r="D1985" s="23"/>
      <c r="E1985" s="23" t="s">
        <v>3187</v>
      </c>
      <c r="F1985" s="23"/>
      <c r="G1985" s="21" t="s">
        <v>217</v>
      </c>
      <c r="H1985" s="40">
        <v>33475</v>
      </c>
      <c r="I1985" s="25" t="s">
        <v>3188</v>
      </c>
      <c r="J1985" s="31"/>
      <c r="K1985" s="31"/>
      <c r="L1985" s="31"/>
      <c r="M1985" s="31"/>
      <c r="N1985" s="31"/>
      <c r="O1985" s="31"/>
      <c r="P1985" s="31"/>
      <c r="Q1985" s="31"/>
      <c r="R1985" s="31"/>
      <c r="S1985" s="31"/>
      <c r="T1985" s="31"/>
      <c r="U1985" s="31"/>
      <c r="V1985" s="31"/>
      <c r="W1985" s="31"/>
      <c r="X1985" s="31"/>
      <c r="Y1985" s="31"/>
      <c r="Z1985" s="31"/>
      <c r="AA1985" s="31"/>
      <c r="AB1985" s="31"/>
      <c r="AC1985" s="31"/>
      <c r="AD1985" s="31"/>
      <c r="AE1985" s="31"/>
      <c r="AF1985" s="31"/>
      <c r="AG1985" s="31"/>
      <c r="AH1985" s="31"/>
      <c r="AI1985" s="31"/>
      <c r="AJ1985" s="31"/>
      <c r="AK1985" s="31"/>
      <c r="AL1985" s="28" t="str">
        <f>VLOOKUP($G1985,'[42]Sheet1 (2)'!$A$1:$B$1048440,2,FALSE)</f>
        <v>Sqm</v>
      </c>
      <c r="AM1985" s="32"/>
      <c r="AN1985" s="31"/>
      <c r="AO1985" s="33"/>
    </row>
    <row r="1986" spans="1:41" ht="56" x14ac:dyDescent="0.25">
      <c r="A1986" s="23"/>
      <c r="B1986" s="39" t="s">
        <v>3069</v>
      </c>
      <c r="C1986" s="131">
        <v>50.82</v>
      </c>
      <c r="D1986" s="25" t="s">
        <v>3070</v>
      </c>
      <c r="E1986" s="24" t="s">
        <v>3189</v>
      </c>
      <c r="F1986" s="24" t="s">
        <v>3072</v>
      </c>
      <c r="G1986" s="23"/>
      <c r="H1986" s="23"/>
      <c r="I1986" s="23"/>
      <c r="J1986" s="31"/>
      <c r="K1986" s="31"/>
      <c r="L1986" s="31"/>
      <c r="M1986" s="31"/>
      <c r="N1986" s="31"/>
      <c r="O1986" s="31"/>
      <c r="P1986" s="31"/>
      <c r="Q1986" s="31"/>
      <c r="R1986" s="31"/>
      <c r="S1986" s="31"/>
      <c r="T1986" s="31"/>
      <c r="U1986" s="31"/>
      <c r="V1986" s="31"/>
      <c r="W1986" s="31"/>
      <c r="X1986" s="31"/>
      <c r="Y1986" s="31"/>
      <c r="Z1986" s="31"/>
      <c r="AA1986" s="31"/>
      <c r="AB1986" s="31"/>
      <c r="AC1986" s="31"/>
      <c r="AD1986" s="31"/>
      <c r="AE1986" s="31"/>
      <c r="AF1986" s="31"/>
      <c r="AG1986" s="31"/>
      <c r="AH1986" s="31"/>
      <c r="AI1986" s="31"/>
      <c r="AJ1986" s="31"/>
      <c r="AK1986" s="31"/>
      <c r="AL1986" s="28" t="e">
        <f>VLOOKUP($G1986,'[42]Sheet1 (2)'!$A$1:$B$1048440,2,FALSE)</f>
        <v>#N/A</v>
      </c>
      <c r="AM1986" s="32"/>
      <c r="AN1986" s="31"/>
      <c r="AO1986" s="33"/>
    </row>
    <row r="1987" spans="1:41" ht="140" x14ac:dyDescent="0.25">
      <c r="A1987" s="272">
        <v>1811</v>
      </c>
      <c r="B1987" s="249"/>
      <c r="C1987" s="249"/>
      <c r="D1987" s="249"/>
      <c r="E1987" s="249" t="s">
        <v>3190</v>
      </c>
      <c r="F1987" s="249"/>
      <c r="G1987" s="264" t="s">
        <v>80</v>
      </c>
      <c r="H1987" s="275">
        <v>1936</v>
      </c>
      <c r="I1987" s="275">
        <v>540</v>
      </c>
      <c r="J1987" s="31"/>
      <c r="K1987" s="31"/>
      <c r="L1987" s="31"/>
      <c r="M1987" s="31"/>
      <c r="N1987" s="31"/>
      <c r="O1987" s="31"/>
      <c r="P1987" s="31"/>
      <c r="Q1987" s="31"/>
      <c r="R1987" s="31"/>
      <c r="S1987" s="31"/>
      <c r="T1987" s="31"/>
      <c r="U1987" s="31"/>
      <c r="V1987" s="31"/>
      <c r="W1987" s="31"/>
      <c r="X1987" s="31"/>
      <c r="Y1987" s="31"/>
      <c r="Z1987" s="31"/>
      <c r="AA1987" s="31"/>
      <c r="AB1987" s="31"/>
      <c r="AC1987" s="31"/>
      <c r="AD1987" s="31"/>
      <c r="AE1987" s="31"/>
      <c r="AF1987" s="31"/>
      <c r="AG1987" s="31"/>
      <c r="AH1987" s="31"/>
      <c r="AI1987" s="31"/>
      <c r="AJ1987" s="31"/>
      <c r="AK1987" s="31"/>
      <c r="AL1987" s="28" t="str">
        <f>VLOOKUP($G1987,'[42]Sheet1 (2)'!$A$1:$B$1048440,2,FALSE)</f>
        <v>Rmt.</v>
      </c>
      <c r="AM1987" s="32"/>
      <c r="AN1987" s="31"/>
      <c r="AO1987" s="33"/>
    </row>
    <row r="1988" spans="1:41" ht="210" x14ac:dyDescent="0.25">
      <c r="A1988" s="270">
        <v>1812</v>
      </c>
      <c r="B1988" s="255"/>
      <c r="C1988" s="255"/>
      <c r="D1988" s="255"/>
      <c r="E1988" s="256" t="s">
        <v>3191</v>
      </c>
      <c r="F1988" s="255"/>
      <c r="G1988" s="265" t="s">
        <v>217</v>
      </c>
      <c r="H1988" s="276">
        <v>13650</v>
      </c>
      <c r="I1988" s="276">
        <v>2738</v>
      </c>
      <c r="J1988" s="31"/>
      <c r="K1988" s="31"/>
      <c r="L1988" s="31"/>
      <c r="M1988" s="31"/>
      <c r="N1988" s="31"/>
      <c r="O1988" s="31"/>
      <c r="P1988" s="31"/>
      <c r="Q1988" s="31"/>
      <c r="R1988" s="31"/>
      <c r="S1988" s="31"/>
      <c r="T1988" s="31"/>
      <c r="U1988" s="31"/>
      <c r="V1988" s="31"/>
      <c r="W1988" s="31"/>
      <c r="X1988" s="31"/>
      <c r="Y1988" s="31"/>
      <c r="Z1988" s="31"/>
      <c r="AA1988" s="31"/>
      <c r="AB1988" s="31"/>
      <c r="AC1988" s="31"/>
      <c r="AD1988" s="31"/>
      <c r="AE1988" s="31"/>
      <c r="AF1988" s="31"/>
      <c r="AG1988" s="31"/>
      <c r="AH1988" s="31"/>
      <c r="AI1988" s="31"/>
      <c r="AJ1988" s="31"/>
      <c r="AK1988" s="31"/>
      <c r="AL1988" s="28" t="str">
        <f>VLOOKUP($G1988,'[42]Sheet1 (2)'!$A$1:$B$1048440,2,FALSE)</f>
        <v>Sqm</v>
      </c>
      <c r="AM1988" s="32"/>
      <c r="AN1988" s="31"/>
      <c r="AO1988" s="33"/>
    </row>
    <row r="1989" spans="1:41" ht="84" x14ac:dyDescent="0.25">
      <c r="A1989" s="23"/>
      <c r="B1989" s="39" t="s">
        <v>3069</v>
      </c>
      <c r="C1989" s="131">
        <v>50.83</v>
      </c>
      <c r="D1989" s="25" t="s">
        <v>3070</v>
      </c>
      <c r="E1989" s="23" t="s">
        <v>3192</v>
      </c>
      <c r="F1989" s="24" t="s">
        <v>3072</v>
      </c>
      <c r="G1989" s="23"/>
      <c r="H1989" s="23"/>
      <c r="I1989" s="23"/>
      <c r="J1989" s="31"/>
      <c r="K1989" s="31"/>
      <c r="L1989" s="31"/>
      <c r="M1989" s="31"/>
      <c r="N1989" s="31"/>
      <c r="O1989" s="31"/>
      <c r="P1989" s="31"/>
      <c r="Q1989" s="31"/>
      <c r="R1989" s="31"/>
      <c r="S1989" s="31"/>
      <c r="T1989" s="31"/>
      <c r="U1989" s="31"/>
      <c r="V1989" s="31"/>
      <c r="W1989" s="31"/>
      <c r="X1989" s="31"/>
      <c r="Y1989" s="31"/>
      <c r="Z1989" s="31"/>
      <c r="AA1989" s="31"/>
      <c r="AB1989" s="31"/>
      <c r="AC1989" s="31"/>
      <c r="AD1989" s="31"/>
      <c r="AE1989" s="31"/>
      <c r="AF1989" s="31"/>
      <c r="AG1989" s="31"/>
      <c r="AH1989" s="31"/>
      <c r="AI1989" s="31"/>
      <c r="AJ1989" s="31"/>
      <c r="AK1989" s="31"/>
      <c r="AL1989" s="28" t="e">
        <f>VLOOKUP($G1989,'[42]Sheet1 (2)'!$A$1:$B$1048440,2,FALSE)</f>
        <v>#N/A</v>
      </c>
      <c r="AM1989" s="32"/>
      <c r="AN1989" s="31"/>
      <c r="AO1989" s="33"/>
    </row>
    <row r="1990" spans="1:41" ht="196" x14ac:dyDescent="0.25">
      <c r="A1990" s="23"/>
      <c r="B1990" s="23"/>
      <c r="C1990" s="23"/>
      <c r="D1990" s="23"/>
      <c r="E1990" s="23" t="s">
        <v>3193</v>
      </c>
      <c r="F1990" s="23"/>
      <c r="G1990" s="23"/>
      <c r="H1990" s="23"/>
      <c r="I1990" s="23"/>
      <c r="J1990" s="31"/>
      <c r="K1990" s="31"/>
      <c r="L1990" s="31"/>
      <c r="M1990" s="31"/>
      <c r="N1990" s="31"/>
      <c r="O1990" s="31"/>
      <c r="P1990" s="31"/>
      <c r="Q1990" s="31"/>
      <c r="R1990" s="31"/>
      <c r="S1990" s="31"/>
      <c r="T1990" s="31"/>
      <c r="U1990" s="31"/>
      <c r="V1990" s="31"/>
      <c r="W1990" s="31"/>
      <c r="X1990" s="31"/>
      <c r="Y1990" s="31"/>
      <c r="Z1990" s="31"/>
      <c r="AA1990" s="31"/>
      <c r="AB1990" s="31"/>
      <c r="AC1990" s="31"/>
      <c r="AD1990" s="31"/>
      <c r="AE1990" s="31"/>
      <c r="AF1990" s="31"/>
      <c r="AG1990" s="31"/>
      <c r="AH1990" s="31"/>
      <c r="AI1990" s="31"/>
      <c r="AJ1990" s="31"/>
      <c r="AK1990" s="31"/>
      <c r="AL1990" s="28" t="e">
        <f>VLOOKUP($G1990,'[42]Sheet1 (2)'!$A$1:$B$1048440,2,FALSE)</f>
        <v>#N/A</v>
      </c>
      <c r="AM1990" s="32"/>
      <c r="AN1990" s="31"/>
      <c r="AO1990" s="33"/>
    </row>
    <row r="1991" spans="1:41" ht="168" x14ac:dyDescent="0.25">
      <c r="A1991" s="272">
        <v>1813</v>
      </c>
      <c r="B1991" s="249"/>
      <c r="C1991" s="249"/>
      <c r="D1991" s="249"/>
      <c r="E1991" s="249" t="s">
        <v>3194</v>
      </c>
      <c r="F1991" s="249"/>
      <c r="G1991" s="264" t="s">
        <v>80</v>
      </c>
      <c r="H1991" s="275">
        <v>3033</v>
      </c>
      <c r="I1991" s="275">
        <v>540</v>
      </c>
      <c r="J1991" s="31"/>
      <c r="K1991" s="31"/>
      <c r="L1991" s="31"/>
      <c r="M1991" s="31"/>
      <c r="N1991" s="31"/>
      <c r="O1991" s="31"/>
      <c r="P1991" s="31"/>
      <c r="Q1991" s="31"/>
      <c r="R1991" s="31"/>
      <c r="S1991" s="31"/>
      <c r="T1991" s="31"/>
      <c r="U1991" s="31"/>
      <c r="V1991" s="31"/>
      <c r="W1991" s="31"/>
      <c r="X1991" s="31"/>
      <c r="Y1991" s="31"/>
      <c r="Z1991" s="31"/>
      <c r="AA1991" s="31"/>
      <c r="AB1991" s="31"/>
      <c r="AC1991" s="31"/>
      <c r="AD1991" s="31"/>
      <c r="AE1991" s="31"/>
      <c r="AF1991" s="31"/>
      <c r="AG1991" s="31"/>
      <c r="AH1991" s="31"/>
      <c r="AI1991" s="31"/>
      <c r="AJ1991" s="31"/>
      <c r="AK1991" s="31"/>
      <c r="AL1991" s="28" t="str">
        <f>VLOOKUP($G1991,'[42]Sheet1 (2)'!$A$1:$B$1048440,2,FALSE)</f>
        <v>Rmt.</v>
      </c>
      <c r="AM1991" s="32"/>
      <c r="AN1991" s="31"/>
      <c r="AO1991" s="33"/>
    </row>
    <row r="1992" spans="1:41" ht="252" x14ac:dyDescent="0.25">
      <c r="A1992" s="270">
        <v>1814</v>
      </c>
      <c r="B1992" s="255"/>
      <c r="C1992" s="255"/>
      <c r="D1992" s="255"/>
      <c r="E1992" s="256" t="s">
        <v>3195</v>
      </c>
      <c r="F1992" s="255"/>
      <c r="G1992" s="265" t="s">
        <v>217</v>
      </c>
      <c r="H1992" s="276">
        <v>20690</v>
      </c>
      <c r="I1992" s="276">
        <v>2738</v>
      </c>
      <c r="J1992" s="31"/>
      <c r="K1992" s="31"/>
      <c r="L1992" s="31"/>
      <c r="M1992" s="31"/>
      <c r="N1992" s="31"/>
      <c r="O1992" s="31"/>
      <c r="P1992" s="31"/>
      <c r="Q1992" s="31"/>
      <c r="R1992" s="31"/>
      <c r="S1992" s="31"/>
      <c r="T1992" s="31"/>
      <c r="U1992" s="31"/>
      <c r="V1992" s="31"/>
      <c r="W1992" s="31"/>
      <c r="X1992" s="31"/>
      <c r="Y1992" s="31"/>
      <c r="Z1992" s="31"/>
      <c r="AA1992" s="31"/>
      <c r="AB1992" s="31"/>
      <c r="AC1992" s="31"/>
      <c r="AD1992" s="31"/>
      <c r="AE1992" s="31"/>
      <c r="AF1992" s="31"/>
      <c r="AG1992" s="31"/>
      <c r="AH1992" s="31"/>
      <c r="AI1992" s="31"/>
      <c r="AJ1992" s="31"/>
      <c r="AK1992" s="31"/>
      <c r="AL1992" s="28" t="str">
        <f>VLOOKUP($G1992,'[42]Sheet1 (2)'!$A$1:$B$1048440,2,FALSE)</f>
        <v>Sqm</v>
      </c>
      <c r="AM1992" s="32"/>
      <c r="AN1992" s="31"/>
      <c r="AO1992" s="33"/>
    </row>
    <row r="1993" spans="1:41" ht="84" x14ac:dyDescent="0.25">
      <c r="A1993" s="23"/>
      <c r="B1993" s="39" t="s">
        <v>3069</v>
      </c>
      <c r="C1993" s="131">
        <v>50.84</v>
      </c>
      <c r="D1993" s="25" t="s">
        <v>3070</v>
      </c>
      <c r="E1993" s="24" t="s">
        <v>3196</v>
      </c>
      <c r="F1993" s="24" t="s">
        <v>3072</v>
      </c>
      <c r="G1993" s="23"/>
      <c r="H1993" s="23"/>
      <c r="I1993" s="23"/>
      <c r="J1993" s="31"/>
      <c r="K1993" s="31"/>
      <c r="L1993" s="31"/>
      <c r="M1993" s="31"/>
      <c r="N1993" s="31"/>
      <c r="O1993" s="31"/>
      <c r="P1993" s="31"/>
      <c r="Q1993" s="31"/>
      <c r="R1993" s="31"/>
      <c r="S1993" s="31"/>
      <c r="T1993" s="31"/>
      <c r="U1993" s="31"/>
      <c r="V1993" s="31"/>
      <c r="W1993" s="31"/>
      <c r="X1993" s="31"/>
      <c r="Y1993" s="31"/>
      <c r="Z1993" s="31"/>
      <c r="AA1993" s="31"/>
      <c r="AB1993" s="31"/>
      <c r="AC1993" s="31"/>
      <c r="AD1993" s="31"/>
      <c r="AE1993" s="31"/>
      <c r="AF1993" s="31"/>
      <c r="AG1993" s="31"/>
      <c r="AH1993" s="31"/>
      <c r="AI1993" s="31"/>
      <c r="AJ1993" s="31"/>
      <c r="AK1993" s="31"/>
      <c r="AL1993" s="28" t="e">
        <f>VLOOKUP($G1993,'[42]Sheet1 (2)'!$A$1:$B$1048440,2,FALSE)</f>
        <v>#N/A</v>
      </c>
      <c r="AM1993" s="32"/>
      <c r="AN1993" s="31"/>
      <c r="AO1993" s="33"/>
    </row>
    <row r="1994" spans="1:41" ht="154" x14ac:dyDescent="0.25">
      <c r="A1994" s="268">
        <v>1815</v>
      </c>
      <c r="B1994" s="23"/>
      <c r="C1994" s="23"/>
      <c r="D1994" s="23"/>
      <c r="E1994" s="23" t="s">
        <v>3197</v>
      </c>
      <c r="F1994" s="23"/>
      <c r="G1994" s="21" t="s">
        <v>80</v>
      </c>
      <c r="H1994" s="40">
        <v>2575</v>
      </c>
      <c r="I1994" s="40">
        <v>540</v>
      </c>
      <c r="J1994" s="31"/>
      <c r="K1994" s="31"/>
      <c r="L1994" s="31"/>
      <c r="M1994" s="31"/>
      <c r="N1994" s="31"/>
      <c r="O1994" s="31"/>
      <c r="P1994" s="31"/>
      <c r="Q1994" s="31"/>
      <c r="R1994" s="31"/>
      <c r="S1994" s="31"/>
      <c r="T1994" s="31"/>
      <c r="U1994" s="31"/>
      <c r="V1994" s="31"/>
      <c r="W1994" s="31"/>
      <c r="X1994" s="31"/>
      <c r="Y1994" s="31"/>
      <c r="Z1994" s="31"/>
      <c r="AA1994" s="31"/>
      <c r="AB1994" s="31"/>
      <c r="AC1994" s="31"/>
      <c r="AD1994" s="31"/>
      <c r="AE1994" s="31"/>
      <c r="AF1994" s="31"/>
      <c r="AG1994" s="31"/>
      <c r="AH1994" s="31"/>
      <c r="AI1994" s="31"/>
      <c r="AJ1994" s="31"/>
      <c r="AK1994" s="31"/>
      <c r="AL1994" s="28" t="str">
        <f>VLOOKUP($G1994,'[42]Sheet1 (2)'!$A$1:$B$1048440,2,FALSE)</f>
        <v>Rmt.</v>
      </c>
      <c r="AM1994" s="32"/>
      <c r="AN1994" s="31"/>
      <c r="AO1994" s="33"/>
    </row>
    <row r="1995" spans="1:41" ht="210" x14ac:dyDescent="0.25">
      <c r="A1995" s="272">
        <v>1816</v>
      </c>
      <c r="B1995" s="249"/>
      <c r="C1995" s="249"/>
      <c r="D1995" s="249"/>
      <c r="E1995" s="249" t="s">
        <v>3198</v>
      </c>
      <c r="F1995" s="249"/>
      <c r="G1995" s="264" t="s">
        <v>217</v>
      </c>
      <c r="H1995" s="275">
        <v>17126</v>
      </c>
      <c r="I1995" s="275">
        <v>2738</v>
      </c>
      <c r="J1995" s="31"/>
      <c r="K1995" s="31"/>
      <c r="L1995" s="31"/>
      <c r="M1995" s="31"/>
      <c r="N1995" s="31"/>
      <c r="O1995" s="31"/>
      <c r="P1995" s="31"/>
      <c r="Q1995" s="31"/>
      <c r="R1995" s="31"/>
      <c r="S1995" s="31"/>
      <c r="T1995" s="31"/>
      <c r="U1995" s="31"/>
      <c r="V1995" s="31"/>
      <c r="W1995" s="31"/>
      <c r="X1995" s="31"/>
      <c r="Y1995" s="31"/>
      <c r="Z1995" s="31"/>
      <c r="AA1995" s="31"/>
      <c r="AB1995" s="31"/>
      <c r="AC1995" s="31"/>
      <c r="AD1995" s="31"/>
      <c r="AE1995" s="31"/>
      <c r="AF1995" s="31"/>
      <c r="AG1995" s="31"/>
      <c r="AH1995" s="31"/>
      <c r="AI1995" s="31"/>
      <c r="AJ1995" s="31"/>
      <c r="AK1995" s="31"/>
      <c r="AL1995" s="28" t="str">
        <f>VLOOKUP($G1995,'[42]Sheet1 (2)'!$A$1:$B$1048440,2,FALSE)</f>
        <v>Sqm</v>
      </c>
      <c r="AM1995" s="32"/>
      <c r="AN1995" s="31"/>
      <c r="AO1995" s="33"/>
    </row>
    <row r="1996" spans="1:41" ht="56" x14ac:dyDescent="0.25">
      <c r="A1996" s="270">
        <v>1817</v>
      </c>
      <c r="B1996" s="256" t="s">
        <v>3199</v>
      </c>
      <c r="C1996" s="274">
        <v>50.85</v>
      </c>
      <c r="D1996" s="253" t="s">
        <v>3103</v>
      </c>
      <c r="E1996" s="256" t="s">
        <v>3200</v>
      </c>
      <c r="F1996" s="256" t="s">
        <v>3072</v>
      </c>
      <c r="G1996" s="253" t="s">
        <v>1070</v>
      </c>
      <c r="H1996" s="276">
        <v>288</v>
      </c>
      <c r="I1996" s="276">
        <v>58</v>
      </c>
      <c r="J1996" s="31"/>
      <c r="K1996" s="31"/>
      <c r="L1996" s="31"/>
      <c r="M1996" s="31"/>
      <c r="N1996" s="31"/>
      <c r="O1996" s="31"/>
      <c r="P1996" s="31"/>
      <c r="Q1996" s="31"/>
      <c r="R1996" s="31"/>
      <c r="S1996" s="31"/>
      <c r="T1996" s="31"/>
      <c r="U1996" s="31"/>
      <c r="V1996" s="31"/>
      <c r="W1996" s="31"/>
      <c r="X1996" s="31"/>
      <c r="Y1996" s="31"/>
      <c r="Z1996" s="31"/>
      <c r="AA1996" s="31"/>
      <c r="AB1996" s="31"/>
      <c r="AC1996" s="31"/>
      <c r="AD1996" s="31"/>
      <c r="AE1996" s="31"/>
      <c r="AF1996" s="31"/>
      <c r="AG1996" s="31"/>
      <c r="AH1996" s="31"/>
      <c r="AI1996" s="31"/>
      <c r="AJ1996" s="31"/>
      <c r="AK1996" s="31"/>
      <c r="AL1996" s="28" t="e">
        <f>VLOOKUP($G1996,'[42]Sheet1 (2)'!$A$1:$B$1048440,2,FALSE)</f>
        <v>#N/A</v>
      </c>
      <c r="AM1996" s="32"/>
      <c r="AN1996" s="31"/>
      <c r="AO1996" s="33"/>
    </row>
    <row r="1997" spans="1:41" ht="140" x14ac:dyDescent="0.25">
      <c r="A1997" s="23"/>
      <c r="B1997" s="24" t="s">
        <v>3199</v>
      </c>
      <c r="C1997" s="129">
        <v>50.86</v>
      </c>
      <c r="D1997" s="25" t="s">
        <v>3103</v>
      </c>
      <c r="E1997" s="23" t="s">
        <v>3201</v>
      </c>
      <c r="F1997" s="24" t="s">
        <v>3072</v>
      </c>
      <c r="G1997" s="23"/>
      <c r="H1997" s="23"/>
      <c r="I1997" s="23"/>
      <c r="J1997" s="31"/>
      <c r="K1997" s="31"/>
      <c r="L1997" s="31"/>
      <c r="M1997" s="31"/>
      <c r="N1997" s="31"/>
      <c r="O1997" s="31"/>
      <c r="P1997" s="31"/>
      <c r="Q1997" s="31"/>
      <c r="R1997" s="31"/>
      <c r="S1997" s="31"/>
      <c r="T1997" s="31"/>
      <c r="U1997" s="31"/>
      <c r="V1997" s="31"/>
      <c r="W1997" s="31"/>
      <c r="X1997" s="31"/>
      <c r="Y1997" s="31"/>
      <c r="Z1997" s="31"/>
      <c r="AA1997" s="31"/>
      <c r="AB1997" s="31"/>
      <c r="AC1997" s="31"/>
      <c r="AD1997" s="31"/>
      <c r="AE1997" s="31"/>
      <c r="AF1997" s="31"/>
      <c r="AG1997" s="31"/>
      <c r="AH1997" s="31"/>
      <c r="AI1997" s="31"/>
      <c r="AJ1997" s="31"/>
      <c r="AK1997" s="31"/>
      <c r="AL1997" s="28" t="e">
        <f>VLOOKUP($G1997,'[42]Sheet1 (2)'!$A$1:$B$1048440,2,FALSE)</f>
        <v>#N/A</v>
      </c>
      <c r="AM1997" s="32"/>
      <c r="AN1997" s="31"/>
      <c r="AO1997" s="33"/>
    </row>
    <row r="1998" spans="1:41" ht="42" x14ac:dyDescent="0.25">
      <c r="A1998" s="268">
        <v>1818</v>
      </c>
      <c r="B1998" s="34"/>
      <c r="C1998" s="25" t="s">
        <v>373</v>
      </c>
      <c r="D1998" s="34"/>
      <c r="E1998" s="24" t="s">
        <v>3202</v>
      </c>
      <c r="F1998" s="34"/>
      <c r="G1998" s="35" t="s">
        <v>941</v>
      </c>
      <c r="H1998" s="40">
        <v>1657</v>
      </c>
      <c r="I1998" s="40">
        <v>127</v>
      </c>
      <c r="J1998" s="31"/>
      <c r="K1998" s="31"/>
      <c r="L1998" s="31"/>
      <c r="M1998" s="31"/>
      <c r="N1998" s="31"/>
      <c r="O1998" s="31"/>
      <c r="P1998" s="31"/>
      <c r="Q1998" s="31"/>
      <c r="R1998" s="31"/>
      <c r="S1998" s="31"/>
      <c r="T1998" s="31"/>
      <c r="U1998" s="31"/>
      <c r="V1998" s="31"/>
      <c r="W1998" s="31"/>
      <c r="X1998" s="31"/>
      <c r="Y1998" s="31"/>
      <c r="Z1998" s="31"/>
      <c r="AA1998" s="31"/>
      <c r="AB1998" s="31"/>
      <c r="AC1998" s="31"/>
      <c r="AD1998" s="31"/>
      <c r="AE1998" s="31"/>
      <c r="AF1998" s="31"/>
      <c r="AG1998" s="31"/>
      <c r="AH1998" s="31"/>
      <c r="AI1998" s="31"/>
      <c r="AJ1998" s="31"/>
      <c r="AK1998" s="31"/>
      <c r="AL1998" s="28" t="e">
        <f>VLOOKUP($G1998,'[42]Sheet1 (2)'!$A$1:$B$1048440,2,FALSE)</f>
        <v>#N/A</v>
      </c>
      <c r="AM1998" s="32"/>
      <c r="AN1998" s="31"/>
      <c r="AO1998" s="33"/>
    </row>
    <row r="1999" spans="1:41" ht="42" x14ac:dyDescent="0.25">
      <c r="A1999" s="268">
        <v>1819</v>
      </c>
      <c r="B1999" s="34"/>
      <c r="C1999" s="25" t="s">
        <v>375</v>
      </c>
      <c r="D1999" s="34"/>
      <c r="E1999" s="24" t="s">
        <v>3203</v>
      </c>
      <c r="F1999" s="34"/>
      <c r="G1999" s="35" t="s">
        <v>941</v>
      </c>
      <c r="H1999" s="40">
        <v>1841</v>
      </c>
      <c r="I1999" s="40">
        <v>127</v>
      </c>
      <c r="J1999" s="31"/>
      <c r="K1999" s="31"/>
      <c r="L1999" s="31"/>
      <c r="M1999" s="31"/>
      <c r="N1999" s="31"/>
      <c r="O1999" s="31"/>
      <c r="P1999" s="31"/>
      <c r="Q1999" s="31"/>
      <c r="R1999" s="31"/>
      <c r="S1999" s="31"/>
      <c r="T1999" s="31"/>
      <c r="U1999" s="31"/>
      <c r="V1999" s="31"/>
      <c r="W1999" s="31"/>
      <c r="X1999" s="31"/>
      <c r="Y1999" s="31"/>
      <c r="Z1999" s="31"/>
      <c r="AA1999" s="31"/>
      <c r="AB1999" s="31"/>
      <c r="AC1999" s="31"/>
      <c r="AD1999" s="31"/>
      <c r="AE1999" s="31"/>
      <c r="AF1999" s="31"/>
      <c r="AG1999" s="31"/>
      <c r="AH1999" s="31"/>
      <c r="AI1999" s="31"/>
      <c r="AJ1999" s="31"/>
      <c r="AK1999" s="31"/>
      <c r="AL1999" s="28" t="e">
        <f>VLOOKUP($G1999,'[42]Sheet1 (2)'!$A$1:$B$1048440,2,FALSE)</f>
        <v>#N/A</v>
      </c>
      <c r="AM1999" s="32"/>
      <c r="AN1999" s="31"/>
      <c r="AO1999" s="33"/>
    </row>
    <row r="2000" spans="1:41" ht="42" x14ac:dyDescent="0.25">
      <c r="A2000" s="268">
        <v>1820</v>
      </c>
      <c r="B2000" s="34"/>
      <c r="C2000" s="25" t="s">
        <v>377</v>
      </c>
      <c r="D2000" s="34"/>
      <c r="E2000" s="24" t="s">
        <v>3204</v>
      </c>
      <c r="F2000" s="34"/>
      <c r="G2000" s="35" t="s">
        <v>941</v>
      </c>
      <c r="H2000" s="40">
        <v>1964</v>
      </c>
      <c r="I2000" s="40">
        <v>127</v>
      </c>
      <c r="J2000" s="31"/>
      <c r="K2000" s="31"/>
      <c r="L2000" s="31"/>
      <c r="M2000" s="31"/>
      <c r="N2000" s="31"/>
      <c r="O2000" s="31"/>
      <c r="P2000" s="31"/>
      <c r="Q2000" s="31"/>
      <c r="R2000" s="31"/>
      <c r="S2000" s="31"/>
      <c r="T2000" s="31"/>
      <c r="U2000" s="31"/>
      <c r="V2000" s="31"/>
      <c r="W2000" s="31"/>
      <c r="X2000" s="31"/>
      <c r="Y2000" s="31"/>
      <c r="Z2000" s="31"/>
      <c r="AA2000" s="31"/>
      <c r="AB2000" s="31"/>
      <c r="AC2000" s="31"/>
      <c r="AD2000" s="31"/>
      <c r="AE2000" s="31"/>
      <c r="AF2000" s="31"/>
      <c r="AG2000" s="31"/>
      <c r="AH2000" s="31"/>
      <c r="AI2000" s="31"/>
      <c r="AJ2000" s="31"/>
      <c r="AK2000" s="31"/>
      <c r="AL2000" s="28" t="e">
        <f>VLOOKUP($G2000,'[42]Sheet1 (2)'!$A$1:$B$1048440,2,FALSE)</f>
        <v>#N/A</v>
      </c>
      <c r="AM2000" s="32"/>
      <c r="AN2000" s="31"/>
      <c r="AO2000" s="33"/>
    </row>
    <row r="2001" spans="1:41" ht="42" x14ac:dyDescent="0.25">
      <c r="A2001" s="268">
        <v>1821</v>
      </c>
      <c r="B2001" s="34"/>
      <c r="C2001" s="25" t="s">
        <v>384</v>
      </c>
      <c r="D2001" s="34"/>
      <c r="E2001" s="24" t="s">
        <v>3205</v>
      </c>
      <c r="F2001" s="34"/>
      <c r="G2001" s="35" t="s">
        <v>941</v>
      </c>
      <c r="H2001" s="40">
        <v>2256</v>
      </c>
      <c r="I2001" s="40">
        <v>127</v>
      </c>
      <c r="J2001" s="31"/>
      <c r="K2001" s="31"/>
      <c r="L2001" s="31"/>
      <c r="M2001" s="31"/>
      <c r="N2001" s="31"/>
      <c r="O2001" s="31"/>
      <c r="P2001" s="31"/>
      <c r="Q2001" s="31"/>
      <c r="R2001" s="31"/>
      <c r="S2001" s="31"/>
      <c r="T2001" s="31"/>
      <c r="U2001" s="31"/>
      <c r="V2001" s="31"/>
      <c r="W2001" s="31"/>
      <c r="X2001" s="31"/>
      <c r="Y2001" s="31"/>
      <c r="Z2001" s="31"/>
      <c r="AA2001" s="31"/>
      <c r="AB2001" s="31"/>
      <c r="AC2001" s="31"/>
      <c r="AD2001" s="31"/>
      <c r="AE2001" s="31"/>
      <c r="AF2001" s="31"/>
      <c r="AG2001" s="31"/>
      <c r="AH2001" s="31"/>
      <c r="AI2001" s="31"/>
      <c r="AJ2001" s="31"/>
      <c r="AK2001" s="31"/>
      <c r="AL2001" s="28" t="e">
        <f>VLOOKUP($G2001,'[42]Sheet1 (2)'!$A$1:$B$1048440,2,FALSE)</f>
        <v>#N/A</v>
      </c>
      <c r="AM2001" s="32"/>
      <c r="AN2001" s="31"/>
      <c r="AO2001" s="33"/>
    </row>
    <row r="2002" spans="1:41" ht="42" x14ac:dyDescent="0.25">
      <c r="A2002" s="268">
        <v>1822</v>
      </c>
      <c r="B2002" s="34"/>
      <c r="C2002" s="25" t="s">
        <v>387</v>
      </c>
      <c r="D2002" s="34"/>
      <c r="E2002" s="24" t="s">
        <v>3206</v>
      </c>
      <c r="F2002" s="34"/>
      <c r="G2002" s="35" t="s">
        <v>941</v>
      </c>
      <c r="H2002" s="40">
        <v>4259</v>
      </c>
      <c r="I2002" s="40">
        <v>465</v>
      </c>
      <c r="J2002" s="31"/>
      <c r="K2002" s="31"/>
      <c r="L2002" s="31"/>
      <c r="M2002" s="31"/>
      <c r="N2002" s="31"/>
      <c r="O2002" s="31"/>
      <c r="P2002" s="31"/>
      <c r="Q2002" s="31"/>
      <c r="R2002" s="31"/>
      <c r="S2002" s="31"/>
      <c r="T2002" s="31"/>
      <c r="U2002" s="31"/>
      <c r="V2002" s="31"/>
      <c r="W2002" s="31"/>
      <c r="X2002" s="31"/>
      <c r="Y2002" s="31"/>
      <c r="Z2002" s="31"/>
      <c r="AA2002" s="31"/>
      <c r="AB2002" s="31"/>
      <c r="AC2002" s="31"/>
      <c r="AD2002" s="31"/>
      <c r="AE2002" s="31"/>
      <c r="AF2002" s="31"/>
      <c r="AG2002" s="31"/>
      <c r="AH2002" s="31"/>
      <c r="AI2002" s="31"/>
      <c r="AJ2002" s="31"/>
      <c r="AK2002" s="31"/>
      <c r="AL2002" s="28" t="e">
        <f>VLOOKUP($G2002,'[42]Sheet1 (2)'!$A$1:$B$1048440,2,FALSE)</f>
        <v>#N/A</v>
      </c>
      <c r="AM2002" s="32"/>
      <c r="AN2002" s="31"/>
      <c r="AO2002" s="33"/>
    </row>
    <row r="2003" spans="1:41" ht="42" x14ac:dyDescent="0.25">
      <c r="A2003" s="268">
        <v>1823</v>
      </c>
      <c r="B2003" s="34"/>
      <c r="C2003" s="25" t="s">
        <v>390</v>
      </c>
      <c r="D2003" s="34"/>
      <c r="E2003" s="24" t="s">
        <v>3207</v>
      </c>
      <c r="F2003" s="34"/>
      <c r="G2003" s="35" t="s">
        <v>941</v>
      </c>
      <c r="H2003" s="40">
        <v>6787</v>
      </c>
      <c r="I2003" s="40">
        <v>465</v>
      </c>
      <c r="J2003" s="31"/>
      <c r="K2003" s="31"/>
      <c r="L2003" s="31"/>
      <c r="M2003" s="31"/>
      <c r="N2003" s="31"/>
      <c r="O2003" s="31"/>
      <c r="P2003" s="31"/>
      <c r="Q2003" s="31"/>
      <c r="R2003" s="31"/>
      <c r="S2003" s="31"/>
      <c r="T2003" s="31"/>
      <c r="U2003" s="31"/>
      <c r="V2003" s="31"/>
      <c r="W2003" s="31"/>
      <c r="X2003" s="31"/>
      <c r="Y2003" s="31"/>
      <c r="Z2003" s="31"/>
      <c r="AA2003" s="31"/>
      <c r="AB2003" s="31"/>
      <c r="AC2003" s="31"/>
      <c r="AD2003" s="31"/>
      <c r="AE2003" s="31"/>
      <c r="AF2003" s="31"/>
      <c r="AG2003" s="31"/>
      <c r="AH2003" s="31"/>
      <c r="AI2003" s="31"/>
      <c r="AJ2003" s="31"/>
      <c r="AK2003" s="31"/>
      <c r="AL2003" s="28" t="e">
        <f>VLOOKUP($G2003,'[42]Sheet1 (2)'!$A$1:$B$1048440,2,FALSE)</f>
        <v>#N/A</v>
      </c>
      <c r="AM2003" s="32"/>
      <c r="AN2003" s="31"/>
      <c r="AO2003" s="33"/>
    </row>
    <row r="2004" spans="1:41" ht="42" x14ac:dyDescent="0.25">
      <c r="A2004" s="268">
        <v>1824</v>
      </c>
      <c r="B2004" s="34"/>
      <c r="C2004" s="25" t="s">
        <v>387</v>
      </c>
      <c r="D2004" s="34"/>
      <c r="E2004" s="24" t="s">
        <v>3208</v>
      </c>
      <c r="F2004" s="34"/>
      <c r="G2004" s="35" t="s">
        <v>941</v>
      </c>
      <c r="H2004" s="40">
        <v>7538</v>
      </c>
      <c r="I2004" s="40">
        <v>465</v>
      </c>
      <c r="J2004" s="31"/>
      <c r="K2004" s="31"/>
      <c r="L2004" s="31"/>
      <c r="M2004" s="31"/>
      <c r="N2004" s="31"/>
      <c r="O2004" s="31"/>
      <c r="P2004" s="31"/>
      <c r="Q2004" s="31"/>
      <c r="R2004" s="31"/>
      <c r="S2004" s="31"/>
      <c r="T2004" s="31"/>
      <c r="U2004" s="31"/>
      <c r="V2004" s="31"/>
      <c r="W2004" s="31"/>
      <c r="X2004" s="31"/>
      <c r="Y2004" s="31"/>
      <c r="Z2004" s="31"/>
      <c r="AA2004" s="31"/>
      <c r="AB2004" s="31"/>
      <c r="AC2004" s="31"/>
      <c r="AD2004" s="31"/>
      <c r="AE2004" s="31"/>
      <c r="AF2004" s="31"/>
      <c r="AG2004" s="31"/>
      <c r="AH2004" s="31"/>
      <c r="AI2004" s="31"/>
      <c r="AJ2004" s="31"/>
      <c r="AK2004" s="31"/>
      <c r="AL2004" s="28" t="e">
        <f>VLOOKUP($G2004,'[42]Sheet1 (2)'!$A$1:$B$1048440,2,FALSE)</f>
        <v>#N/A</v>
      </c>
      <c r="AM2004" s="32"/>
      <c r="AN2004" s="31"/>
      <c r="AO2004" s="33"/>
    </row>
    <row r="2005" spans="1:41" ht="42" x14ac:dyDescent="0.25">
      <c r="A2005" s="268">
        <v>1825</v>
      </c>
      <c r="B2005" s="34"/>
      <c r="C2005" s="25" t="s">
        <v>390</v>
      </c>
      <c r="D2005" s="34"/>
      <c r="E2005" s="24" t="s">
        <v>3209</v>
      </c>
      <c r="F2005" s="34"/>
      <c r="G2005" s="35" t="s">
        <v>941</v>
      </c>
      <c r="H2005" s="40">
        <v>9659</v>
      </c>
      <c r="I2005" s="40">
        <v>465</v>
      </c>
      <c r="J2005" s="31"/>
      <c r="K2005" s="31"/>
      <c r="L2005" s="31"/>
      <c r="M2005" s="31"/>
      <c r="N2005" s="31"/>
      <c r="O2005" s="31"/>
      <c r="P2005" s="31"/>
      <c r="Q2005" s="31"/>
      <c r="R2005" s="31"/>
      <c r="S2005" s="31"/>
      <c r="T2005" s="31"/>
      <c r="U2005" s="31"/>
      <c r="V2005" s="31"/>
      <c r="W2005" s="31"/>
      <c r="X2005" s="31"/>
      <c r="Y2005" s="31"/>
      <c r="Z2005" s="31"/>
      <c r="AA2005" s="31"/>
      <c r="AB2005" s="31"/>
      <c r="AC2005" s="31"/>
      <c r="AD2005" s="31"/>
      <c r="AE2005" s="31"/>
      <c r="AF2005" s="31"/>
      <c r="AG2005" s="31"/>
      <c r="AH2005" s="31"/>
      <c r="AI2005" s="31"/>
      <c r="AJ2005" s="31"/>
      <c r="AK2005" s="31"/>
      <c r="AL2005" s="28" t="e">
        <f>VLOOKUP($G2005,'[42]Sheet1 (2)'!$A$1:$B$1048440,2,FALSE)</f>
        <v>#N/A</v>
      </c>
      <c r="AM2005" s="32"/>
      <c r="AN2005" s="31"/>
      <c r="AO2005" s="33"/>
    </row>
    <row r="2006" spans="1:41" ht="140" x14ac:dyDescent="0.25">
      <c r="A2006" s="243">
        <v>1826</v>
      </c>
      <c r="B2006" s="25" t="s">
        <v>3210</v>
      </c>
      <c r="C2006" s="22">
        <v>51.01</v>
      </c>
      <c r="D2006" s="23"/>
      <c r="E2006" s="23" t="s">
        <v>3211</v>
      </c>
      <c r="F2006" s="24" t="s">
        <v>3072</v>
      </c>
      <c r="G2006" s="21" t="s">
        <v>217</v>
      </c>
      <c r="H2006" s="26">
        <v>4590</v>
      </c>
      <c r="I2006" s="26">
        <v>1375</v>
      </c>
      <c r="J2006" s="31"/>
      <c r="K2006" s="31"/>
      <c r="L2006" s="31"/>
      <c r="M2006" s="31"/>
      <c r="N2006" s="31"/>
      <c r="O2006" s="31"/>
      <c r="P2006" s="31"/>
      <c r="Q2006" s="31"/>
      <c r="R2006" s="31"/>
      <c r="S2006" s="31"/>
      <c r="T2006" s="31"/>
      <c r="U2006" s="31"/>
      <c r="V2006" s="31"/>
      <c r="W2006" s="31"/>
      <c r="X2006" s="31"/>
      <c r="Y2006" s="31"/>
      <c r="Z2006" s="31"/>
      <c r="AA2006" s="31"/>
      <c r="AB2006" s="31"/>
      <c r="AC2006" s="31"/>
      <c r="AD2006" s="31"/>
      <c r="AE2006" s="31"/>
      <c r="AF2006" s="31"/>
      <c r="AG2006" s="31"/>
      <c r="AH2006" s="31"/>
      <c r="AI2006" s="31"/>
      <c r="AJ2006" s="31"/>
      <c r="AK2006" s="31"/>
      <c r="AL2006" s="28" t="str">
        <f>VLOOKUP($G2006,'[42]Sheet1 (2)'!$A$1:$B$1048440,2,FALSE)</f>
        <v>Sqm</v>
      </c>
      <c r="AM2006" s="32"/>
      <c r="AN2006" s="31"/>
      <c r="AO2006" s="33"/>
    </row>
    <row r="2007" spans="1:41" ht="126" x14ac:dyDescent="0.25">
      <c r="A2007" s="243">
        <v>1827</v>
      </c>
      <c r="B2007" s="25" t="s">
        <v>3210</v>
      </c>
      <c r="C2007" s="22">
        <v>51.02</v>
      </c>
      <c r="D2007" s="23"/>
      <c r="E2007" s="24" t="s">
        <v>3212</v>
      </c>
      <c r="F2007" s="24" t="s">
        <v>3072</v>
      </c>
      <c r="G2007" s="21" t="s">
        <v>217</v>
      </c>
      <c r="H2007" s="26">
        <v>3430</v>
      </c>
      <c r="I2007" s="26">
        <v>1025</v>
      </c>
      <c r="J2007" s="31"/>
      <c r="K2007" s="31"/>
      <c r="L2007" s="31"/>
      <c r="M2007" s="31"/>
      <c r="N2007" s="31"/>
      <c r="O2007" s="31"/>
      <c r="P2007" s="31"/>
      <c r="Q2007" s="31"/>
      <c r="R2007" s="31"/>
      <c r="S2007" s="31"/>
      <c r="T2007" s="31"/>
      <c r="U2007" s="31"/>
      <c r="V2007" s="31"/>
      <c r="W2007" s="31"/>
      <c r="X2007" s="31"/>
      <c r="Y2007" s="31"/>
      <c r="Z2007" s="31"/>
      <c r="AA2007" s="31"/>
      <c r="AB2007" s="31"/>
      <c r="AC2007" s="31"/>
      <c r="AD2007" s="31"/>
      <c r="AE2007" s="31"/>
      <c r="AF2007" s="31"/>
      <c r="AG2007" s="31"/>
      <c r="AH2007" s="31"/>
      <c r="AI2007" s="31"/>
      <c r="AJ2007" s="31"/>
      <c r="AK2007" s="31"/>
      <c r="AL2007" s="28" t="str">
        <f>VLOOKUP($G2007,'[42]Sheet1 (2)'!$A$1:$B$1048440,2,FALSE)</f>
        <v>Sqm</v>
      </c>
      <c r="AM2007" s="32"/>
      <c r="AN2007" s="31"/>
      <c r="AO2007" s="33"/>
    </row>
    <row r="2008" spans="1:41" ht="126" x14ac:dyDescent="0.25">
      <c r="A2008" s="243">
        <v>1828</v>
      </c>
      <c r="B2008" s="25" t="s">
        <v>3210</v>
      </c>
      <c r="C2008" s="22">
        <v>51.03</v>
      </c>
      <c r="D2008" s="23"/>
      <c r="E2008" s="24" t="s">
        <v>3213</v>
      </c>
      <c r="F2008" s="24" t="s">
        <v>3072</v>
      </c>
      <c r="G2008" s="21" t="s">
        <v>217</v>
      </c>
      <c r="H2008" s="26">
        <v>2300</v>
      </c>
      <c r="I2008" s="26">
        <v>690</v>
      </c>
      <c r="J2008" s="31"/>
      <c r="K2008" s="31"/>
      <c r="L2008" s="31"/>
      <c r="M2008" s="31"/>
      <c r="N2008" s="31"/>
      <c r="O2008" s="31"/>
      <c r="P2008" s="31"/>
      <c r="Q2008" s="31"/>
      <c r="R2008" s="31"/>
      <c r="S2008" s="31"/>
      <c r="T2008" s="31"/>
      <c r="U2008" s="31"/>
      <c r="V2008" s="31"/>
      <c r="W2008" s="31"/>
      <c r="X2008" s="31"/>
      <c r="Y2008" s="31"/>
      <c r="Z2008" s="31"/>
      <c r="AA2008" s="31"/>
      <c r="AB2008" s="31"/>
      <c r="AC2008" s="31"/>
      <c r="AD2008" s="31"/>
      <c r="AE2008" s="31"/>
      <c r="AF2008" s="31"/>
      <c r="AG2008" s="31"/>
      <c r="AH2008" s="31"/>
      <c r="AI2008" s="31"/>
      <c r="AJ2008" s="31"/>
      <c r="AK2008" s="31"/>
      <c r="AL2008" s="28" t="str">
        <f>VLOOKUP($G2008,'[42]Sheet1 (2)'!$A$1:$B$1048440,2,FALSE)</f>
        <v>Sqm</v>
      </c>
      <c r="AM2008" s="32"/>
      <c r="AN2008" s="31"/>
      <c r="AO2008" s="33"/>
    </row>
    <row r="2009" spans="1:41" ht="140" x14ac:dyDescent="0.25">
      <c r="A2009" s="243">
        <v>1829</v>
      </c>
      <c r="B2009" s="25" t="s">
        <v>3210</v>
      </c>
      <c r="C2009" s="22">
        <v>51.04</v>
      </c>
      <c r="D2009" s="23"/>
      <c r="E2009" s="23" t="s">
        <v>3214</v>
      </c>
      <c r="F2009" s="24" t="s">
        <v>3072</v>
      </c>
      <c r="G2009" s="21" t="s">
        <v>217</v>
      </c>
      <c r="H2009" s="26">
        <v>5090</v>
      </c>
      <c r="I2009" s="26">
        <v>1500</v>
      </c>
      <c r="J2009" s="31"/>
      <c r="K2009" s="31"/>
      <c r="L2009" s="31"/>
      <c r="M2009" s="31"/>
      <c r="N2009" s="31"/>
      <c r="O2009" s="31"/>
      <c r="P2009" s="31"/>
      <c r="Q2009" s="31"/>
      <c r="R2009" s="31"/>
      <c r="S2009" s="31"/>
      <c r="T2009" s="31"/>
      <c r="U2009" s="31"/>
      <c r="V2009" s="31"/>
      <c r="W2009" s="31"/>
      <c r="X2009" s="31"/>
      <c r="Y2009" s="31"/>
      <c r="Z2009" s="31"/>
      <c r="AA2009" s="31"/>
      <c r="AB2009" s="31"/>
      <c r="AC2009" s="31"/>
      <c r="AD2009" s="31"/>
      <c r="AE2009" s="31"/>
      <c r="AF2009" s="31"/>
      <c r="AG2009" s="31"/>
      <c r="AH2009" s="31"/>
      <c r="AI2009" s="31"/>
      <c r="AJ2009" s="31"/>
      <c r="AK2009" s="31"/>
      <c r="AL2009" s="28" t="str">
        <f>VLOOKUP($G2009,'[42]Sheet1 (2)'!$A$1:$B$1048440,2,FALSE)</f>
        <v>Sqm</v>
      </c>
      <c r="AM2009" s="32"/>
      <c r="AN2009" s="31"/>
      <c r="AO2009" s="33"/>
    </row>
    <row r="2010" spans="1:41" ht="154" x14ac:dyDescent="0.25">
      <c r="A2010" s="243">
        <v>1830</v>
      </c>
      <c r="B2010" s="25" t="s">
        <v>3210</v>
      </c>
      <c r="C2010" s="22">
        <v>51.05</v>
      </c>
      <c r="D2010" s="23"/>
      <c r="E2010" s="24" t="s">
        <v>3215</v>
      </c>
      <c r="F2010" s="24" t="s">
        <v>3072</v>
      </c>
      <c r="G2010" s="21" t="s">
        <v>217</v>
      </c>
      <c r="H2010" s="26">
        <v>23700</v>
      </c>
      <c r="I2010" s="26">
        <v>7100</v>
      </c>
      <c r="J2010" s="31"/>
      <c r="K2010" s="31"/>
      <c r="L2010" s="31"/>
      <c r="M2010" s="31"/>
      <c r="N2010" s="31"/>
      <c r="O2010" s="31"/>
      <c r="P2010" s="31"/>
      <c r="Q2010" s="31"/>
      <c r="R2010" s="31"/>
      <c r="S2010" s="31"/>
      <c r="T2010" s="31"/>
      <c r="U2010" s="31"/>
      <c r="V2010" s="31"/>
      <c r="W2010" s="31"/>
      <c r="X2010" s="31"/>
      <c r="Y2010" s="31"/>
      <c r="Z2010" s="31"/>
      <c r="AA2010" s="31"/>
      <c r="AB2010" s="31"/>
      <c r="AC2010" s="31"/>
      <c r="AD2010" s="31"/>
      <c r="AE2010" s="31"/>
      <c r="AF2010" s="31"/>
      <c r="AG2010" s="31"/>
      <c r="AH2010" s="31"/>
      <c r="AI2010" s="31"/>
      <c r="AJ2010" s="31"/>
      <c r="AK2010" s="31"/>
      <c r="AL2010" s="28" t="str">
        <f>VLOOKUP($G2010,'[42]Sheet1 (2)'!$A$1:$B$1048440,2,FALSE)</f>
        <v>Sqm</v>
      </c>
      <c r="AM2010" s="32"/>
      <c r="AN2010" s="31"/>
      <c r="AO2010" s="33"/>
    </row>
    <row r="2011" spans="1:41" ht="126" x14ac:dyDescent="0.25">
      <c r="A2011" s="243">
        <v>1831</v>
      </c>
      <c r="B2011" s="25" t="s">
        <v>3210</v>
      </c>
      <c r="C2011" s="22">
        <v>51.06</v>
      </c>
      <c r="D2011" s="23"/>
      <c r="E2011" s="23" t="s">
        <v>3216</v>
      </c>
      <c r="F2011" s="24" t="s">
        <v>3072</v>
      </c>
      <c r="G2011" s="21" t="s">
        <v>217</v>
      </c>
      <c r="H2011" s="26">
        <v>8215</v>
      </c>
      <c r="I2011" s="26">
        <v>2460</v>
      </c>
      <c r="J2011" s="31"/>
      <c r="K2011" s="31"/>
      <c r="L2011" s="31"/>
      <c r="M2011" s="31"/>
      <c r="N2011" s="31"/>
      <c r="O2011" s="31"/>
      <c r="P2011" s="31"/>
      <c r="Q2011" s="31"/>
      <c r="R2011" s="31"/>
      <c r="S2011" s="31"/>
      <c r="T2011" s="31"/>
      <c r="U2011" s="31"/>
      <c r="V2011" s="31"/>
      <c r="W2011" s="31"/>
      <c r="X2011" s="31"/>
      <c r="Y2011" s="31"/>
      <c r="Z2011" s="31"/>
      <c r="AA2011" s="31"/>
      <c r="AB2011" s="31"/>
      <c r="AC2011" s="31"/>
      <c r="AD2011" s="31"/>
      <c r="AE2011" s="31"/>
      <c r="AF2011" s="31"/>
      <c r="AG2011" s="31"/>
      <c r="AH2011" s="31"/>
      <c r="AI2011" s="31"/>
      <c r="AJ2011" s="31"/>
      <c r="AK2011" s="31"/>
      <c r="AL2011" s="28" t="str">
        <f>VLOOKUP($G2011,'[42]Sheet1 (2)'!$A$1:$B$1048440,2,FALSE)</f>
        <v>Sqm</v>
      </c>
      <c r="AM2011" s="32"/>
      <c r="AN2011" s="31"/>
      <c r="AO2011" s="33"/>
    </row>
    <row r="2012" spans="1:41" ht="140" x14ac:dyDescent="0.25">
      <c r="A2012" s="243">
        <v>1832</v>
      </c>
      <c r="B2012" s="25" t="s">
        <v>3210</v>
      </c>
      <c r="C2012" s="22">
        <v>51.07</v>
      </c>
      <c r="D2012" s="23"/>
      <c r="E2012" s="24" t="s">
        <v>3217</v>
      </c>
      <c r="F2012" s="24" t="s">
        <v>3072</v>
      </c>
      <c r="G2012" s="21" t="s">
        <v>217</v>
      </c>
      <c r="H2012" s="26">
        <v>1465</v>
      </c>
      <c r="I2012" s="26">
        <v>430</v>
      </c>
      <c r="J2012" s="31"/>
      <c r="K2012" s="31"/>
      <c r="L2012" s="31"/>
      <c r="M2012" s="31"/>
      <c r="N2012" s="31"/>
      <c r="O2012" s="31"/>
      <c r="P2012" s="31"/>
      <c r="Q2012" s="31"/>
      <c r="R2012" s="31"/>
      <c r="S2012" s="31"/>
      <c r="T2012" s="31"/>
      <c r="U2012" s="31"/>
      <c r="V2012" s="31"/>
      <c r="W2012" s="31"/>
      <c r="X2012" s="31"/>
      <c r="Y2012" s="31"/>
      <c r="Z2012" s="31"/>
      <c r="AA2012" s="31"/>
      <c r="AB2012" s="31"/>
      <c r="AC2012" s="31"/>
      <c r="AD2012" s="31"/>
      <c r="AE2012" s="31"/>
      <c r="AF2012" s="31"/>
      <c r="AG2012" s="31"/>
      <c r="AH2012" s="31"/>
      <c r="AI2012" s="31"/>
      <c r="AJ2012" s="31"/>
      <c r="AK2012" s="31"/>
      <c r="AL2012" s="28" t="str">
        <f>VLOOKUP($G2012,'[42]Sheet1 (2)'!$A$1:$B$1048440,2,FALSE)</f>
        <v>Sqm</v>
      </c>
      <c r="AM2012" s="32"/>
      <c r="AN2012" s="31"/>
      <c r="AO2012" s="33"/>
    </row>
    <row r="2013" spans="1:41" ht="112" x14ac:dyDescent="0.25">
      <c r="A2013" s="243">
        <v>1833</v>
      </c>
      <c r="B2013" s="25" t="s">
        <v>3210</v>
      </c>
      <c r="C2013" s="22">
        <v>51.08</v>
      </c>
      <c r="D2013" s="23"/>
      <c r="E2013" s="24" t="s">
        <v>3218</v>
      </c>
      <c r="F2013" s="24" t="s">
        <v>3072</v>
      </c>
      <c r="G2013" s="21" t="s">
        <v>217</v>
      </c>
      <c r="H2013" s="26">
        <v>2865</v>
      </c>
      <c r="I2013" s="26">
        <v>850</v>
      </c>
      <c r="J2013" s="31"/>
      <c r="K2013" s="31"/>
      <c r="L2013" s="31"/>
      <c r="M2013" s="31"/>
      <c r="N2013" s="31"/>
      <c r="O2013" s="31"/>
      <c r="P2013" s="31"/>
      <c r="Q2013" s="31"/>
      <c r="R2013" s="31"/>
      <c r="S2013" s="31"/>
      <c r="T2013" s="31"/>
      <c r="U2013" s="31"/>
      <c r="V2013" s="31"/>
      <c r="W2013" s="31"/>
      <c r="X2013" s="31"/>
      <c r="Y2013" s="31"/>
      <c r="Z2013" s="31"/>
      <c r="AA2013" s="31"/>
      <c r="AB2013" s="31"/>
      <c r="AC2013" s="31"/>
      <c r="AD2013" s="31"/>
      <c r="AE2013" s="31"/>
      <c r="AF2013" s="31"/>
      <c r="AG2013" s="31"/>
      <c r="AH2013" s="31"/>
      <c r="AI2013" s="31"/>
      <c r="AJ2013" s="31"/>
      <c r="AK2013" s="31"/>
      <c r="AL2013" s="28" t="str">
        <f>VLOOKUP($G2013,'[42]Sheet1 (2)'!$A$1:$B$1048440,2,FALSE)</f>
        <v>Sqm</v>
      </c>
      <c r="AM2013" s="32"/>
      <c r="AN2013" s="31"/>
      <c r="AO2013" s="33"/>
    </row>
    <row r="2014" spans="1:41" ht="140" x14ac:dyDescent="0.25">
      <c r="A2014" s="243">
        <v>1834</v>
      </c>
      <c r="B2014" s="25" t="s">
        <v>3210</v>
      </c>
      <c r="C2014" s="22">
        <v>51.09</v>
      </c>
      <c r="D2014" s="23"/>
      <c r="E2014" s="23" t="s">
        <v>3219</v>
      </c>
      <c r="F2014" s="24" t="s">
        <v>3072</v>
      </c>
      <c r="G2014" s="21" t="s">
        <v>217</v>
      </c>
      <c r="H2014" s="26">
        <v>4135</v>
      </c>
      <c r="I2014" s="26">
        <v>1200</v>
      </c>
      <c r="J2014" s="31"/>
      <c r="K2014" s="31"/>
      <c r="L2014" s="31"/>
      <c r="M2014" s="31"/>
      <c r="N2014" s="31"/>
      <c r="O2014" s="31"/>
      <c r="P2014" s="31"/>
      <c r="Q2014" s="31"/>
      <c r="R2014" s="31"/>
      <c r="S2014" s="31"/>
      <c r="T2014" s="31"/>
      <c r="U2014" s="31"/>
      <c r="V2014" s="31"/>
      <c r="W2014" s="31"/>
      <c r="X2014" s="31"/>
      <c r="Y2014" s="31"/>
      <c r="Z2014" s="31"/>
      <c r="AA2014" s="31"/>
      <c r="AB2014" s="31"/>
      <c r="AC2014" s="31"/>
      <c r="AD2014" s="31"/>
      <c r="AE2014" s="31"/>
      <c r="AF2014" s="31"/>
      <c r="AG2014" s="31"/>
      <c r="AH2014" s="31"/>
      <c r="AI2014" s="31"/>
      <c r="AJ2014" s="31"/>
      <c r="AK2014" s="31"/>
      <c r="AL2014" s="28" t="str">
        <f>VLOOKUP($G2014,'[42]Sheet1 (2)'!$A$1:$B$1048440,2,FALSE)</f>
        <v>Sqm</v>
      </c>
      <c r="AM2014" s="32"/>
      <c r="AN2014" s="31"/>
      <c r="AO2014" s="33"/>
    </row>
    <row r="2015" spans="1:41" ht="140" x14ac:dyDescent="0.25">
      <c r="A2015" s="243">
        <v>1835</v>
      </c>
      <c r="B2015" s="25" t="s">
        <v>3210</v>
      </c>
      <c r="C2015" s="22">
        <v>51.1</v>
      </c>
      <c r="D2015" s="23"/>
      <c r="E2015" s="24" t="s">
        <v>3220</v>
      </c>
      <c r="F2015" s="24" t="s">
        <v>3072</v>
      </c>
      <c r="G2015" s="21" t="s">
        <v>217</v>
      </c>
      <c r="H2015" s="26">
        <v>5075</v>
      </c>
      <c r="I2015" s="26">
        <v>1500</v>
      </c>
      <c r="J2015" s="31"/>
      <c r="K2015" s="31"/>
      <c r="L2015" s="31"/>
      <c r="M2015" s="31"/>
      <c r="N2015" s="31"/>
      <c r="O2015" s="31"/>
      <c r="P2015" s="31"/>
      <c r="Q2015" s="31"/>
      <c r="R2015" s="31"/>
      <c r="S2015" s="31"/>
      <c r="T2015" s="31"/>
      <c r="U2015" s="31"/>
      <c r="V2015" s="31"/>
      <c r="W2015" s="31"/>
      <c r="X2015" s="31"/>
      <c r="Y2015" s="31"/>
      <c r="Z2015" s="31"/>
      <c r="AA2015" s="31"/>
      <c r="AB2015" s="31"/>
      <c r="AC2015" s="31"/>
      <c r="AD2015" s="31"/>
      <c r="AE2015" s="31"/>
      <c r="AF2015" s="31"/>
      <c r="AG2015" s="31"/>
      <c r="AH2015" s="31"/>
      <c r="AI2015" s="31"/>
      <c r="AJ2015" s="31"/>
      <c r="AK2015" s="31"/>
      <c r="AL2015" s="28" t="str">
        <f>VLOOKUP($G2015,'[42]Sheet1 (2)'!$A$1:$B$1048440,2,FALSE)</f>
        <v>Sqm</v>
      </c>
      <c r="AM2015" s="32"/>
      <c r="AN2015" s="31"/>
      <c r="AO2015" s="33"/>
    </row>
    <row r="2016" spans="1:41" ht="84" x14ac:dyDescent="0.25">
      <c r="A2016" s="243">
        <v>1836</v>
      </c>
      <c r="B2016" s="25" t="s">
        <v>3210</v>
      </c>
      <c r="C2016" s="22">
        <v>51.11</v>
      </c>
      <c r="D2016" s="23"/>
      <c r="E2016" s="24" t="s">
        <v>3221</v>
      </c>
      <c r="F2016" s="24" t="s">
        <v>3072</v>
      </c>
      <c r="G2016" s="21" t="s">
        <v>217</v>
      </c>
      <c r="H2016" s="26">
        <v>2950</v>
      </c>
      <c r="I2016" s="26">
        <v>875</v>
      </c>
      <c r="J2016" s="31"/>
      <c r="K2016" s="31"/>
      <c r="L2016" s="31"/>
      <c r="M2016" s="31"/>
      <c r="N2016" s="31"/>
      <c r="O2016" s="31"/>
      <c r="P2016" s="31"/>
      <c r="Q2016" s="31"/>
      <c r="R2016" s="31"/>
      <c r="S2016" s="31"/>
      <c r="T2016" s="31"/>
      <c r="U2016" s="31"/>
      <c r="V2016" s="31"/>
      <c r="W2016" s="31"/>
      <c r="X2016" s="31"/>
      <c r="Y2016" s="31"/>
      <c r="Z2016" s="31"/>
      <c r="AA2016" s="31"/>
      <c r="AB2016" s="31"/>
      <c r="AC2016" s="31"/>
      <c r="AD2016" s="31"/>
      <c r="AE2016" s="31"/>
      <c r="AF2016" s="31"/>
      <c r="AG2016" s="31"/>
      <c r="AH2016" s="31"/>
      <c r="AI2016" s="31"/>
      <c r="AJ2016" s="31"/>
      <c r="AK2016" s="31"/>
      <c r="AL2016" s="28" t="str">
        <f>VLOOKUP($G2016,'[42]Sheet1 (2)'!$A$1:$B$1048440,2,FALSE)</f>
        <v>Sqm</v>
      </c>
      <c r="AM2016" s="32"/>
      <c r="AN2016" s="31"/>
      <c r="AO2016" s="33"/>
    </row>
    <row r="2017" spans="1:41" ht="98" x14ac:dyDescent="0.25">
      <c r="A2017" s="243">
        <v>1837</v>
      </c>
      <c r="B2017" s="25" t="s">
        <v>3210</v>
      </c>
      <c r="C2017" s="22">
        <v>51.12</v>
      </c>
      <c r="D2017" s="23"/>
      <c r="E2017" s="23" t="s">
        <v>3222</v>
      </c>
      <c r="F2017" s="24" t="s">
        <v>3072</v>
      </c>
      <c r="G2017" s="21" t="s">
        <v>217</v>
      </c>
      <c r="H2017" s="26">
        <v>2524</v>
      </c>
      <c r="I2017" s="26">
        <v>750</v>
      </c>
      <c r="J2017" s="31"/>
      <c r="K2017" s="31"/>
      <c r="L2017" s="31"/>
      <c r="M2017" s="31"/>
      <c r="N2017" s="31"/>
      <c r="O2017" s="31"/>
      <c r="P2017" s="31"/>
      <c r="Q2017" s="31"/>
      <c r="R2017" s="31"/>
      <c r="S2017" s="31"/>
      <c r="T2017" s="31"/>
      <c r="U2017" s="31"/>
      <c r="V2017" s="31"/>
      <c r="W2017" s="31"/>
      <c r="X2017" s="31"/>
      <c r="Y2017" s="31"/>
      <c r="Z2017" s="31"/>
      <c r="AA2017" s="31"/>
      <c r="AB2017" s="31"/>
      <c r="AC2017" s="31"/>
      <c r="AD2017" s="31"/>
      <c r="AE2017" s="31"/>
      <c r="AF2017" s="31"/>
      <c r="AG2017" s="31"/>
      <c r="AH2017" s="31"/>
      <c r="AI2017" s="31"/>
      <c r="AJ2017" s="31"/>
      <c r="AK2017" s="31"/>
      <c r="AL2017" s="28" t="str">
        <f>VLOOKUP($G2017,'[42]Sheet1 (2)'!$A$1:$B$1048440,2,FALSE)</f>
        <v>Sqm</v>
      </c>
      <c r="AM2017" s="32"/>
      <c r="AN2017" s="31"/>
      <c r="AO2017" s="33"/>
    </row>
    <row r="2018" spans="1:41" ht="84" x14ac:dyDescent="0.25">
      <c r="A2018" s="243">
        <v>1838</v>
      </c>
      <c r="B2018" s="25" t="s">
        <v>3210</v>
      </c>
      <c r="C2018" s="22">
        <v>51.13</v>
      </c>
      <c r="D2018" s="23"/>
      <c r="E2018" s="23" t="s">
        <v>3223</v>
      </c>
      <c r="F2018" s="24" t="s">
        <v>3072</v>
      </c>
      <c r="G2018" s="21" t="s">
        <v>217</v>
      </c>
      <c r="H2018" s="26">
        <v>1450</v>
      </c>
      <c r="I2018" s="26">
        <v>435</v>
      </c>
      <c r="J2018" s="31"/>
      <c r="K2018" s="31"/>
      <c r="L2018" s="31"/>
      <c r="M2018" s="31"/>
      <c r="N2018" s="31"/>
      <c r="O2018" s="31"/>
      <c r="P2018" s="31"/>
      <c r="Q2018" s="31"/>
      <c r="R2018" s="31"/>
      <c r="S2018" s="31"/>
      <c r="T2018" s="31"/>
      <c r="U2018" s="31"/>
      <c r="V2018" s="31"/>
      <c r="W2018" s="31"/>
      <c r="X2018" s="31"/>
      <c r="Y2018" s="31"/>
      <c r="Z2018" s="31"/>
      <c r="AA2018" s="31"/>
      <c r="AB2018" s="31"/>
      <c r="AC2018" s="31"/>
      <c r="AD2018" s="31"/>
      <c r="AE2018" s="31"/>
      <c r="AF2018" s="31"/>
      <c r="AG2018" s="31"/>
      <c r="AH2018" s="31"/>
      <c r="AI2018" s="31"/>
      <c r="AJ2018" s="31"/>
      <c r="AK2018" s="31"/>
      <c r="AL2018" s="28" t="str">
        <f>VLOOKUP($G2018,'[42]Sheet1 (2)'!$A$1:$B$1048440,2,FALSE)</f>
        <v>Sqm</v>
      </c>
      <c r="AM2018" s="32"/>
      <c r="AN2018" s="31"/>
      <c r="AO2018" s="33"/>
    </row>
    <row r="2019" spans="1:41" ht="56" x14ac:dyDescent="0.25">
      <c r="A2019" s="243">
        <v>1839</v>
      </c>
      <c r="B2019" s="25" t="s">
        <v>3210</v>
      </c>
      <c r="C2019" s="22">
        <v>51.14</v>
      </c>
      <c r="D2019" s="23"/>
      <c r="E2019" s="23" t="s">
        <v>3224</v>
      </c>
      <c r="F2019" s="24" t="s">
        <v>3072</v>
      </c>
      <c r="G2019" s="21" t="s">
        <v>45</v>
      </c>
      <c r="H2019" s="26">
        <v>1410</v>
      </c>
      <c r="I2019" s="26">
        <v>420</v>
      </c>
      <c r="J2019" s="31"/>
      <c r="K2019" s="31"/>
      <c r="L2019" s="31"/>
      <c r="M2019" s="31"/>
      <c r="N2019" s="31"/>
      <c r="O2019" s="31"/>
      <c r="P2019" s="31"/>
      <c r="Q2019" s="31"/>
      <c r="R2019" s="31"/>
      <c r="S2019" s="31"/>
      <c r="T2019" s="31"/>
      <c r="U2019" s="31"/>
      <c r="V2019" s="31"/>
      <c r="W2019" s="31"/>
      <c r="X2019" s="31"/>
      <c r="Y2019" s="31"/>
      <c r="Z2019" s="31"/>
      <c r="AA2019" s="31"/>
      <c r="AB2019" s="31"/>
      <c r="AC2019" s="31"/>
      <c r="AD2019" s="31"/>
      <c r="AE2019" s="31"/>
      <c r="AF2019" s="31"/>
      <c r="AG2019" s="31"/>
      <c r="AH2019" s="31"/>
      <c r="AI2019" s="31"/>
      <c r="AJ2019" s="31"/>
      <c r="AK2019" s="31"/>
      <c r="AL2019" s="28" t="str">
        <f>VLOOKUP($G2019,'[42]Sheet1 (2)'!$A$1:$B$1048440,2,FALSE)</f>
        <v>No.</v>
      </c>
      <c r="AM2019" s="32"/>
      <c r="AN2019" s="31"/>
      <c r="AO2019" s="33"/>
    </row>
    <row r="2020" spans="1:41" ht="70" x14ac:dyDescent="0.25">
      <c r="A2020" s="243">
        <v>1840</v>
      </c>
      <c r="B2020" s="25" t="s">
        <v>3210</v>
      </c>
      <c r="C2020" s="22">
        <v>51.15</v>
      </c>
      <c r="D2020" s="23"/>
      <c r="E2020" s="24" t="s">
        <v>3225</v>
      </c>
      <c r="F2020" s="24" t="s">
        <v>3072</v>
      </c>
      <c r="G2020" s="21" t="s">
        <v>217</v>
      </c>
      <c r="H2020" s="26">
        <v>3170</v>
      </c>
      <c r="I2020" s="26">
        <v>950</v>
      </c>
      <c r="J2020" s="31"/>
      <c r="K2020" s="31"/>
      <c r="L2020" s="31"/>
      <c r="M2020" s="31"/>
      <c r="N2020" s="31"/>
      <c r="O2020" s="31"/>
      <c r="P2020" s="31"/>
      <c r="Q2020" s="31"/>
      <c r="R2020" s="31"/>
      <c r="S2020" s="31"/>
      <c r="T2020" s="31"/>
      <c r="U2020" s="31"/>
      <c r="V2020" s="31"/>
      <c r="W2020" s="31"/>
      <c r="X2020" s="31"/>
      <c r="Y2020" s="31"/>
      <c r="Z2020" s="31"/>
      <c r="AA2020" s="31"/>
      <c r="AB2020" s="31"/>
      <c r="AC2020" s="31"/>
      <c r="AD2020" s="31"/>
      <c r="AE2020" s="31"/>
      <c r="AF2020" s="31"/>
      <c r="AG2020" s="31"/>
      <c r="AH2020" s="31"/>
      <c r="AI2020" s="31"/>
      <c r="AJ2020" s="31"/>
      <c r="AK2020" s="31"/>
      <c r="AL2020" s="28" t="str">
        <f>VLOOKUP($G2020,'[42]Sheet1 (2)'!$A$1:$B$1048440,2,FALSE)</f>
        <v>Sqm</v>
      </c>
      <c r="AM2020" s="32"/>
      <c r="AN2020" s="31"/>
      <c r="AO2020" s="33"/>
    </row>
    <row r="2021" spans="1:41" ht="56" x14ac:dyDescent="0.25">
      <c r="A2021" s="243">
        <v>1841</v>
      </c>
      <c r="B2021" s="25" t="s">
        <v>3210</v>
      </c>
      <c r="C2021" s="22">
        <v>51.16</v>
      </c>
      <c r="D2021" s="23"/>
      <c r="E2021" s="23" t="s">
        <v>3226</v>
      </c>
      <c r="F2021" s="24" t="s">
        <v>3072</v>
      </c>
      <c r="G2021" s="21" t="s">
        <v>1070</v>
      </c>
      <c r="H2021" s="26">
        <v>85</v>
      </c>
      <c r="I2021" s="26">
        <v>25</v>
      </c>
      <c r="J2021" s="31"/>
      <c r="K2021" s="31"/>
      <c r="L2021" s="31"/>
      <c r="M2021" s="31"/>
      <c r="N2021" s="31"/>
      <c r="O2021" s="31"/>
      <c r="P2021" s="31"/>
      <c r="Q2021" s="31"/>
      <c r="R2021" s="31"/>
      <c r="S2021" s="31"/>
      <c r="T2021" s="31"/>
      <c r="U2021" s="31"/>
      <c r="V2021" s="31"/>
      <c r="W2021" s="31"/>
      <c r="X2021" s="31"/>
      <c r="Y2021" s="31"/>
      <c r="Z2021" s="31"/>
      <c r="AA2021" s="31"/>
      <c r="AB2021" s="31"/>
      <c r="AC2021" s="31"/>
      <c r="AD2021" s="31"/>
      <c r="AE2021" s="31"/>
      <c r="AF2021" s="31"/>
      <c r="AG2021" s="31"/>
      <c r="AH2021" s="31"/>
      <c r="AI2021" s="31"/>
      <c r="AJ2021" s="31"/>
      <c r="AK2021" s="31"/>
      <c r="AL2021" s="28" t="e">
        <f>VLOOKUP($G2021,'[42]Sheet1 (2)'!$A$1:$B$1048440,2,FALSE)</f>
        <v>#N/A</v>
      </c>
      <c r="AM2021" s="32"/>
      <c r="AN2021" s="31"/>
      <c r="AO2021" s="33"/>
    </row>
    <row r="2022" spans="1:41" ht="56" x14ac:dyDescent="0.25">
      <c r="A2022" s="243">
        <v>1842</v>
      </c>
      <c r="B2022" s="25" t="s">
        <v>3210</v>
      </c>
      <c r="C2022" s="22">
        <v>51.17</v>
      </c>
      <c r="D2022" s="34"/>
      <c r="E2022" s="23" t="s">
        <v>3227</v>
      </c>
      <c r="F2022" s="35" t="s">
        <v>3174</v>
      </c>
      <c r="G2022" s="35" t="s">
        <v>151</v>
      </c>
      <c r="H2022" s="26">
        <v>740</v>
      </c>
      <c r="I2022" s="26">
        <v>220</v>
      </c>
      <c r="J2022" s="31"/>
      <c r="K2022" s="31"/>
      <c r="L2022" s="31"/>
      <c r="M2022" s="31"/>
      <c r="N2022" s="31"/>
      <c r="O2022" s="31"/>
      <c r="P2022" s="31"/>
      <c r="Q2022" s="31"/>
      <c r="R2022" s="31"/>
      <c r="S2022" s="31"/>
      <c r="T2022" s="31"/>
      <c r="U2022" s="31"/>
      <c r="V2022" s="31"/>
      <c r="W2022" s="31"/>
      <c r="X2022" s="31"/>
      <c r="Y2022" s="31"/>
      <c r="Z2022" s="31"/>
      <c r="AA2022" s="31"/>
      <c r="AB2022" s="31"/>
      <c r="AC2022" s="31"/>
      <c r="AD2022" s="31"/>
      <c r="AE2022" s="31"/>
      <c r="AF2022" s="31"/>
      <c r="AG2022" s="31"/>
      <c r="AH2022" s="31"/>
      <c r="AI2022" s="31"/>
      <c r="AJ2022" s="31"/>
      <c r="AK2022" s="31"/>
      <c r="AL2022" s="28" t="str">
        <f>VLOOKUP($G2022,'[42]Sheet1 (2)'!$A$1:$B$1048440,2,FALSE)</f>
        <v>Sqm</v>
      </c>
      <c r="AM2022" s="32"/>
      <c r="AN2022" s="31"/>
      <c r="AO2022" s="33"/>
    </row>
    <row r="2023" spans="1:41" ht="238" x14ac:dyDescent="0.25">
      <c r="A2023" s="243">
        <v>1843</v>
      </c>
      <c r="B2023" s="25" t="s">
        <v>3210</v>
      </c>
      <c r="C2023" s="22">
        <v>51.18</v>
      </c>
      <c r="D2023" s="23"/>
      <c r="E2023" s="24" t="s">
        <v>3228</v>
      </c>
      <c r="F2023" s="24" t="s">
        <v>3072</v>
      </c>
      <c r="G2023" s="21" t="s">
        <v>45</v>
      </c>
      <c r="H2023" s="26">
        <v>6000</v>
      </c>
      <c r="I2023" s="26">
        <v>1800</v>
      </c>
      <c r="J2023" s="31"/>
      <c r="K2023" s="31"/>
      <c r="L2023" s="31"/>
      <c r="M2023" s="31"/>
      <c r="N2023" s="31"/>
      <c r="O2023" s="31"/>
      <c r="P2023" s="31"/>
      <c r="Q2023" s="31"/>
      <c r="R2023" s="31"/>
      <c r="S2023" s="31"/>
      <c r="T2023" s="31"/>
      <c r="U2023" s="31"/>
      <c r="V2023" s="31"/>
      <c r="W2023" s="31"/>
      <c r="X2023" s="31"/>
      <c r="Y2023" s="31"/>
      <c r="Z2023" s="31"/>
      <c r="AA2023" s="31"/>
      <c r="AB2023" s="31"/>
      <c r="AC2023" s="31"/>
      <c r="AD2023" s="31"/>
      <c r="AE2023" s="31"/>
      <c r="AF2023" s="31"/>
      <c r="AG2023" s="31"/>
      <c r="AH2023" s="31"/>
      <c r="AI2023" s="31"/>
      <c r="AJ2023" s="31"/>
      <c r="AK2023" s="31"/>
      <c r="AL2023" s="28" t="str">
        <f>VLOOKUP($G2023,'[42]Sheet1 (2)'!$A$1:$B$1048440,2,FALSE)</f>
        <v>No.</v>
      </c>
      <c r="AM2023" s="32"/>
      <c r="AN2023" s="31"/>
      <c r="AO2023" s="33"/>
    </row>
    <row r="2024" spans="1:41" ht="84" x14ac:dyDescent="0.25">
      <c r="A2024" s="243">
        <v>1844</v>
      </c>
      <c r="B2024" s="25" t="s">
        <v>3210</v>
      </c>
      <c r="C2024" s="22">
        <v>51.19</v>
      </c>
      <c r="D2024" s="23"/>
      <c r="E2024" s="23" t="s">
        <v>3229</v>
      </c>
      <c r="F2024" s="24" t="s">
        <v>3072</v>
      </c>
      <c r="G2024" s="202" t="s">
        <v>621</v>
      </c>
      <c r="H2024" s="26">
        <v>2152</v>
      </c>
      <c r="I2024" s="26">
        <v>645</v>
      </c>
      <c r="J2024" s="31"/>
      <c r="K2024" s="31"/>
      <c r="L2024" s="31"/>
      <c r="M2024" s="31"/>
      <c r="N2024" s="31"/>
      <c r="O2024" s="31"/>
      <c r="P2024" s="31"/>
      <c r="Q2024" s="31"/>
      <c r="R2024" s="31"/>
      <c r="S2024" s="31"/>
      <c r="T2024" s="31"/>
      <c r="U2024" s="31"/>
      <c r="V2024" s="31"/>
      <c r="W2024" s="31"/>
      <c r="X2024" s="31"/>
      <c r="Y2024" s="31"/>
      <c r="Z2024" s="31"/>
      <c r="AA2024" s="31"/>
      <c r="AB2024" s="31"/>
      <c r="AC2024" s="31"/>
      <c r="AD2024" s="31"/>
      <c r="AE2024" s="31"/>
      <c r="AF2024" s="31"/>
      <c r="AG2024" s="31"/>
      <c r="AH2024" s="31"/>
      <c r="AI2024" s="31"/>
      <c r="AJ2024" s="31"/>
      <c r="AK2024" s="31"/>
      <c r="AL2024" s="28" t="str">
        <f>VLOOKUP($G2024,'[42]Sheet1 (2)'!$A$1:$B$1048440,2,FALSE)</f>
        <v>Sqm</v>
      </c>
      <c r="AM2024" s="32"/>
      <c r="AN2024" s="31"/>
      <c r="AO2024" s="33"/>
    </row>
    <row r="2025" spans="1:41" ht="84" x14ac:dyDescent="0.25">
      <c r="A2025" s="243">
        <v>1845</v>
      </c>
      <c r="B2025" s="25" t="s">
        <v>3210</v>
      </c>
      <c r="C2025" s="22">
        <v>51.2</v>
      </c>
      <c r="D2025" s="23"/>
      <c r="E2025" s="23" t="s">
        <v>3230</v>
      </c>
      <c r="F2025" s="24" t="s">
        <v>3072</v>
      </c>
      <c r="G2025" s="202" t="s">
        <v>621</v>
      </c>
      <c r="H2025" s="26">
        <v>1025</v>
      </c>
      <c r="I2025" s="26">
        <v>300</v>
      </c>
      <c r="J2025" s="31"/>
      <c r="K2025" s="31"/>
      <c r="L2025" s="31"/>
      <c r="M2025" s="31"/>
      <c r="N2025" s="31"/>
      <c r="O2025" s="31"/>
      <c r="P2025" s="31"/>
      <c r="Q2025" s="31"/>
      <c r="R2025" s="31"/>
      <c r="S2025" s="31"/>
      <c r="T2025" s="31"/>
      <c r="U2025" s="31"/>
      <c r="V2025" s="31"/>
      <c r="W2025" s="31"/>
      <c r="X2025" s="31"/>
      <c r="Y2025" s="31"/>
      <c r="Z2025" s="31"/>
      <c r="AA2025" s="31"/>
      <c r="AB2025" s="31"/>
      <c r="AC2025" s="31"/>
      <c r="AD2025" s="31"/>
      <c r="AE2025" s="31"/>
      <c r="AF2025" s="31"/>
      <c r="AG2025" s="31"/>
      <c r="AH2025" s="31"/>
      <c r="AI2025" s="31"/>
      <c r="AJ2025" s="31"/>
      <c r="AK2025" s="31"/>
      <c r="AL2025" s="28" t="str">
        <f>VLOOKUP($G2025,'[42]Sheet1 (2)'!$A$1:$B$1048440,2,FALSE)</f>
        <v>Sqm</v>
      </c>
      <c r="AM2025" s="32"/>
      <c r="AN2025" s="31"/>
      <c r="AO2025" s="33"/>
    </row>
    <row r="2026" spans="1:41" ht="84" x14ac:dyDescent="0.25">
      <c r="A2026" s="243">
        <v>1846</v>
      </c>
      <c r="B2026" s="25" t="s">
        <v>3231</v>
      </c>
      <c r="C2026" s="22">
        <v>51.21</v>
      </c>
      <c r="D2026" s="23"/>
      <c r="E2026" s="23" t="s">
        <v>3232</v>
      </c>
      <c r="F2026" s="24" t="s">
        <v>3072</v>
      </c>
      <c r="G2026" s="25" t="s">
        <v>45</v>
      </c>
      <c r="H2026" s="26">
        <v>17231</v>
      </c>
      <c r="I2026" s="26">
        <v>0</v>
      </c>
      <c r="J2026" s="31"/>
      <c r="K2026" s="31"/>
      <c r="L2026" s="31"/>
      <c r="M2026" s="31"/>
      <c r="N2026" s="31"/>
      <c r="O2026" s="31"/>
      <c r="P2026" s="31"/>
      <c r="Q2026" s="31"/>
      <c r="R2026" s="31"/>
      <c r="S2026" s="31"/>
      <c r="T2026" s="31"/>
      <c r="U2026" s="31"/>
      <c r="V2026" s="31"/>
      <c r="W2026" s="31"/>
      <c r="X2026" s="31"/>
      <c r="Y2026" s="31"/>
      <c r="Z2026" s="31"/>
      <c r="AA2026" s="31"/>
      <c r="AB2026" s="31"/>
      <c r="AC2026" s="31"/>
      <c r="AD2026" s="31"/>
      <c r="AE2026" s="31"/>
      <c r="AF2026" s="31"/>
      <c r="AG2026" s="31"/>
      <c r="AH2026" s="31"/>
      <c r="AI2026" s="31"/>
      <c r="AJ2026" s="31"/>
      <c r="AK2026" s="31"/>
      <c r="AL2026" s="28" t="str">
        <f>VLOOKUP($G2026,'[42]Sheet1 (2)'!$A$1:$B$1048440,2,FALSE)</f>
        <v>No.</v>
      </c>
      <c r="AM2026" s="32"/>
      <c r="AN2026" s="31"/>
      <c r="AO2026" s="33"/>
    </row>
    <row r="2027" spans="1:41" ht="56" x14ac:dyDescent="0.25">
      <c r="A2027" s="243">
        <v>1847</v>
      </c>
      <c r="B2027" s="25" t="s">
        <v>3231</v>
      </c>
      <c r="C2027" s="22">
        <v>51.22</v>
      </c>
      <c r="D2027" s="23"/>
      <c r="E2027" s="23" t="s">
        <v>3233</v>
      </c>
      <c r="F2027" s="24" t="s">
        <v>3072</v>
      </c>
      <c r="G2027" s="25" t="s">
        <v>45</v>
      </c>
      <c r="H2027" s="26">
        <v>9004</v>
      </c>
      <c r="I2027" s="26">
        <v>0</v>
      </c>
      <c r="J2027" s="31"/>
      <c r="K2027" s="31"/>
      <c r="L2027" s="31"/>
      <c r="M2027" s="31"/>
      <c r="N2027" s="31"/>
      <c r="O2027" s="31"/>
      <c r="P2027" s="31"/>
      <c r="Q2027" s="31"/>
      <c r="R2027" s="31"/>
      <c r="S2027" s="31"/>
      <c r="T2027" s="31"/>
      <c r="U2027" s="31"/>
      <c r="V2027" s="31"/>
      <c r="W2027" s="31"/>
      <c r="X2027" s="31"/>
      <c r="Y2027" s="31"/>
      <c r="Z2027" s="31"/>
      <c r="AA2027" s="31"/>
      <c r="AB2027" s="31"/>
      <c r="AC2027" s="31"/>
      <c r="AD2027" s="31"/>
      <c r="AE2027" s="31"/>
      <c r="AF2027" s="31"/>
      <c r="AG2027" s="31"/>
      <c r="AH2027" s="31"/>
      <c r="AI2027" s="31"/>
      <c r="AJ2027" s="31"/>
      <c r="AK2027" s="31"/>
      <c r="AL2027" s="28" t="str">
        <f>VLOOKUP($G2027,'[42]Sheet1 (2)'!$A$1:$B$1048440,2,FALSE)</f>
        <v>No.</v>
      </c>
      <c r="AM2027" s="32"/>
      <c r="AN2027" s="31"/>
      <c r="AO2027" s="33"/>
    </row>
    <row r="2028" spans="1:41" ht="70" x14ac:dyDescent="0.25">
      <c r="A2028" s="243">
        <v>1848</v>
      </c>
      <c r="B2028" s="25" t="s">
        <v>3231</v>
      </c>
      <c r="C2028" s="22">
        <v>51.23</v>
      </c>
      <c r="D2028" s="23"/>
      <c r="E2028" s="23" t="s">
        <v>3234</v>
      </c>
      <c r="F2028" s="24" t="s">
        <v>3072</v>
      </c>
      <c r="G2028" s="25" t="s">
        <v>45</v>
      </c>
      <c r="H2028" s="26">
        <v>17498</v>
      </c>
      <c r="I2028" s="26">
        <v>0</v>
      </c>
      <c r="J2028" s="31"/>
      <c r="K2028" s="31"/>
      <c r="L2028" s="31"/>
      <c r="M2028" s="31"/>
      <c r="N2028" s="31"/>
      <c r="O2028" s="31"/>
      <c r="P2028" s="31"/>
      <c r="Q2028" s="31"/>
      <c r="R2028" s="31"/>
      <c r="S2028" s="31"/>
      <c r="T2028" s="31"/>
      <c r="U2028" s="31"/>
      <c r="V2028" s="31"/>
      <c r="W2028" s="31"/>
      <c r="X2028" s="31"/>
      <c r="Y2028" s="31"/>
      <c r="Z2028" s="31"/>
      <c r="AA2028" s="31"/>
      <c r="AB2028" s="31"/>
      <c r="AC2028" s="31"/>
      <c r="AD2028" s="31"/>
      <c r="AE2028" s="31"/>
      <c r="AF2028" s="31"/>
      <c r="AG2028" s="31"/>
      <c r="AH2028" s="31"/>
      <c r="AI2028" s="31"/>
      <c r="AJ2028" s="31"/>
      <c r="AK2028" s="31"/>
      <c r="AL2028" s="28" t="str">
        <f>VLOOKUP($G2028,'[42]Sheet1 (2)'!$A$1:$B$1048440,2,FALSE)</f>
        <v>No.</v>
      </c>
      <c r="AM2028" s="32"/>
      <c r="AN2028" s="31"/>
      <c r="AO2028" s="33"/>
    </row>
    <row r="2029" spans="1:41" ht="140" x14ac:dyDescent="0.25">
      <c r="A2029" s="243">
        <v>1849</v>
      </c>
      <c r="B2029" s="25" t="s">
        <v>3231</v>
      </c>
      <c r="C2029" s="22">
        <v>51.24</v>
      </c>
      <c r="D2029" s="23"/>
      <c r="E2029" s="23" t="s">
        <v>3235</v>
      </c>
      <c r="F2029" s="24" t="s">
        <v>3072</v>
      </c>
      <c r="G2029" s="25" t="s">
        <v>45</v>
      </c>
      <c r="H2029" s="26">
        <v>42635</v>
      </c>
      <c r="I2029" s="26">
        <v>0</v>
      </c>
      <c r="J2029" s="31"/>
      <c r="K2029" s="31"/>
      <c r="L2029" s="31"/>
      <c r="M2029" s="31"/>
      <c r="N2029" s="31"/>
      <c r="O2029" s="31"/>
      <c r="P2029" s="31"/>
      <c r="Q2029" s="31"/>
      <c r="R2029" s="31"/>
      <c r="S2029" s="31"/>
      <c r="T2029" s="31"/>
      <c r="U2029" s="31"/>
      <c r="V2029" s="31"/>
      <c r="W2029" s="31"/>
      <c r="X2029" s="31"/>
      <c r="Y2029" s="31"/>
      <c r="Z2029" s="31"/>
      <c r="AA2029" s="31"/>
      <c r="AB2029" s="31"/>
      <c r="AC2029" s="31"/>
      <c r="AD2029" s="31"/>
      <c r="AE2029" s="31"/>
      <c r="AF2029" s="31"/>
      <c r="AG2029" s="31"/>
      <c r="AH2029" s="31"/>
      <c r="AI2029" s="31"/>
      <c r="AJ2029" s="31"/>
      <c r="AK2029" s="31"/>
      <c r="AL2029" s="28" t="str">
        <f>VLOOKUP($G2029,'[42]Sheet1 (2)'!$A$1:$B$1048440,2,FALSE)</f>
        <v>No.</v>
      </c>
      <c r="AM2029" s="32"/>
      <c r="AN2029" s="31"/>
      <c r="AO2029" s="33"/>
    </row>
    <row r="2030" spans="1:41" ht="252" x14ac:dyDescent="0.25">
      <c r="A2030" s="243">
        <v>1850</v>
      </c>
      <c r="B2030" s="25" t="s">
        <v>3231</v>
      </c>
      <c r="C2030" s="22">
        <v>51.25</v>
      </c>
      <c r="D2030" s="23"/>
      <c r="E2030" s="23" t="s">
        <v>3236</v>
      </c>
      <c r="F2030" s="24" t="s">
        <v>3072</v>
      </c>
      <c r="G2030" s="25" t="s">
        <v>3237</v>
      </c>
      <c r="H2030" s="26">
        <v>7552</v>
      </c>
      <c r="I2030" s="26">
        <v>0</v>
      </c>
      <c r="J2030" s="31"/>
      <c r="K2030" s="31"/>
      <c r="L2030" s="31"/>
      <c r="M2030" s="31"/>
      <c r="N2030" s="31"/>
      <c r="O2030" s="31"/>
      <c r="P2030" s="31"/>
      <c r="Q2030" s="31"/>
      <c r="R2030" s="31"/>
      <c r="S2030" s="31"/>
      <c r="T2030" s="31"/>
      <c r="U2030" s="31"/>
      <c r="V2030" s="31"/>
      <c r="W2030" s="31"/>
      <c r="X2030" s="31"/>
      <c r="Y2030" s="31"/>
      <c r="Z2030" s="31"/>
      <c r="AA2030" s="31"/>
      <c r="AB2030" s="31"/>
      <c r="AC2030" s="31"/>
      <c r="AD2030" s="31"/>
      <c r="AE2030" s="31"/>
      <c r="AF2030" s="31"/>
      <c r="AG2030" s="31"/>
      <c r="AH2030" s="31"/>
      <c r="AI2030" s="31"/>
      <c r="AJ2030" s="31"/>
      <c r="AK2030" s="31"/>
      <c r="AL2030" s="28" t="str">
        <f>VLOOKUP($G2030,'[42]Sheet1 (2)'!$A$1:$B$1048440,2,FALSE)</f>
        <v>Rmt.</v>
      </c>
      <c r="AM2030" s="32"/>
      <c r="AN2030" s="31"/>
      <c r="AO2030" s="33"/>
    </row>
    <row r="2031" spans="1:41" ht="238" x14ac:dyDescent="0.25">
      <c r="A2031" s="243">
        <v>1851</v>
      </c>
      <c r="B2031" s="25" t="s">
        <v>3231</v>
      </c>
      <c r="C2031" s="22">
        <v>51.26</v>
      </c>
      <c r="D2031" s="23"/>
      <c r="E2031" s="23" t="s">
        <v>3238</v>
      </c>
      <c r="F2031" s="24" t="s">
        <v>3072</v>
      </c>
      <c r="G2031" s="25" t="s">
        <v>45</v>
      </c>
      <c r="H2031" s="26">
        <v>16893</v>
      </c>
      <c r="I2031" s="26">
        <v>0</v>
      </c>
      <c r="J2031" s="31"/>
      <c r="K2031" s="31"/>
      <c r="L2031" s="31"/>
      <c r="M2031" s="31"/>
      <c r="N2031" s="31"/>
      <c r="O2031" s="31"/>
      <c r="P2031" s="31"/>
      <c r="Q2031" s="31"/>
      <c r="R2031" s="31"/>
      <c r="S2031" s="31"/>
      <c r="T2031" s="31"/>
      <c r="U2031" s="31"/>
      <c r="V2031" s="31"/>
      <c r="W2031" s="31"/>
      <c r="X2031" s="31"/>
      <c r="Y2031" s="31"/>
      <c r="Z2031" s="31"/>
      <c r="AA2031" s="31"/>
      <c r="AB2031" s="31"/>
      <c r="AC2031" s="31"/>
      <c r="AD2031" s="31"/>
      <c r="AE2031" s="31"/>
      <c r="AF2031" s="31"/>
      <c r="AG2031" s="31"/>
      <c r="AH2031" s="31"/>
      <c r="AI2031" s="31"/>
      <c r="AJ2031" s="31"/>
      <c r="AK2031" s="31"/>
      <c r="AL2031" s="28" t="str">
        <f>VLOOKUP($G2031,'[42]Sheet1 (2)'!$A$1:$B$1048440,2,FALSE)</f>
        <v>No.</v>
      </c>
      <c r="AM2031" s="32"/>
      <c r="AN2031" s="31"/>
      <c r="AO2031" s="33"/>
    </row>
    <row r="2032" spans="1:41" ht="238" x14ac:dyDescent="0.25">
      <c r="A2032" s="243">
        <v>1852</v>
      </c>
      <c r="B2032" s="25" t="s">
        <v>3231</v>
      </c>
      <c r="C2032" s="22">
        <v>51.27</v>
      </c>
      <c r="D2032" s="23"/>
      <c r="E2032" s="23" t="s">
        <v>3239</v>
      </c>
      <c r="F2032" s="24" t="s">
        <v>3072</v>
      </c>
      <c r="G2032" s="25" t="s">
        <v>45</v>
      </c>
      <c r="H2032" s="26">
        <v>16411</v>
      </c>
      <c r="I2032" s="26">
        <v>0</v>
      </c>
      <c r="J2032" s="31"/>
      <c r="K2032" s="31"/>
      <c r="L2032" s="31"/>
      <c r="M2032" s="31"/>
      <c r="N2032" s="31"/>
      <c r="O2032" s="31"/>
      <c r="P2032" s="31"/>
      <c r="Q2032" s="31"/>
      <c r="R2032" s="31"/>
      <c r="S2032" s="31"/>
      <c r="T2032" s="31"/>
      <c r="U2032" s="31"/>
      <c r="V2032" s="31"/>
      <c r="W2032" s="31"/>
      <c r="X2032" s="31"/>
      <c r="Y2032" s="31"/>
      <c r="Z2032" s="31"/>
      <c r="AA2032" s="31"/>
      <c r="AB2032" s="31"/>
      <c r="AC2032" s="31"/>
      <c r="AD2032" s="31"/>
      <c r="AE2032" s="31"/>
      <c r="AF2032" s="31"/>
      <c r="AG2032" s="31"/>
      <c r="AH2032" s="31"/>
      <c r="AI2032" s="31"/>
      <c r="AJ2032" s="31"/>
      <c r="AK2032" s="31"/>
      <c r="AL2032" s="28" t="str">
        <f>VLOOKUP($G2032,'[42]Sheet1 (2)'!$A$1:$B$1048440,2,FALSE)</f>
        <v>No.</v>
      </c>
      <c r="AM2032" s="32"/>
      <c r="AN2032" s="31"/>
      <c r="AO2032" s="33"/>
    </row>
    <row r="2033" spans="1:41" ht="238" x14ac:dyDescent="0.25">
      <c r="A2033" s="243">
        <v>1853</v>
      </c>
      <c r="B2033" s="25" t="s">
        <v>3231</v>
      </c>
      <c r="C2033" s="22">
        <v>51.28</v>
      </c>
      <c r="D2033" s="23"/>
      <c r="E2033" s="23" t="s">
        <v>3240</v>
      </c>
      <c r="F2033" s="24" t="s">
        <v>3072</v>
      </c>
      <c r="G2033" s="25" t="s">
        <v>45</v>
      </c>
      <c r="H2033" s="121">
        <v>14436</v>
      </c>
      <c r="I2033" s="26">
        <v>0</v>
      </c>
      <c r="J2033" s="31"/>
      <c r="K2033" s="31"/>
      <c r="L2033" s="31"/>
      <c r="M2033" s="31"/>
      <c r="N2033" s="31"/>
      <c r="O2033" s="31"/>
      <c r="P2033" s="31"/>
      <c r="Q2033" s="31"/>
      <c r="R2033" s="31"/>
      <c r="S2033" s="31"/>
      <c r="T2033" s="31"/>
      <c r="U2033" s="31"/>
      <c r="V2033" s="31"/>
      <c r="W2033" s="31"/>
      <c r="X2033" s="31"/>
      <c r="Y2033" s="31"/>
      <c r="Z2033" s="31"/>
      <c r="AA2033" s="31"/>
      <c r="AB2033" s="31"/>
      <c r="AC2033" s="31"/>
      <c r="AD2033" s="31"/>
      <c r="AE2033" s="31"/>
      <c r="AF2033" s="31"/>
      <c r="AG2033" s="31"/>
      <c r="AH2033" s="31"/>
      <c r="AI2033" s="31"/>
      <c r="AJ2033" s="31"/>
      <c r="AK2033" s="31"/>
      <c r="AL2033" s="28" t="str">
        <f>VLOOKUP($G2033,'[42]Sheet1 (2)'!$A$1:$B$1048440,2,FALSE)</f>
        <v>No.</v>
      </c>
      <c r="AM2033" s="32"/>
      <c r="AN2033" s="31"/>
      <c r="AO2033" s="33"/>
    </row>
    <row r="2034" spans="1:41" ht="70" x14ac:dyDescent="0.25">
      <c r="A2034" s="243">
        <v>1854</v>
      </c>
      <c r="B2034" s="25" t="s">
        <v>3231</v>
      </c>
      <c r="C2034" s="22">
        <v>51.29</v>
      </c>
      <c r="D2034" s="23"/>
      <c r="E2034" s="23" t="s">
        <v>3241</v>
      </c>
      <c r="F2034" s="24" t="s">
        <v>3072</v>
      </c>
      <c r="G2034" s="25" t="s">
        <v>45</v>
      </c>
      <c r="H2034" s="121">
        <v>10897</v>
      </c>
      <c r="I2034" s="26">
        <v>0</v>
      </c>
      <c r="J2034" s="31"/>
      <c r="K2034" s="31"/>
      <c r="L2034" s="31"/>
      <c r="M2034" s="31"/>
      <c r="N2034" s="31"/>
      <c r="O2034" s="31"/>
      <c r="P2034" s="31"/>
      <c r="Q2034" s="31"/>
      <c r="R2034" s="31"/>
      <c r="S2034" s="31"/>
      <c r="T2034" s="31"/>
      <c r="U2034" s="31"/>
      <c r="V2034" s="31"/>
      <c r="W2034" s="31"/>
      <c r="X2034" s="31"/>
      <c r="Y2034" s="31"/>
      <c r="Z2034" s="31"/>
      <c r="AA2034" s="31"/>
      <c r="AB2034" s="31"/>
      <c r="AC2034" s="31"/>
      <c r="AD2034" s="31"/>
      <c r="AE2034" s="31"/>
      <c r="AF2034" s="31"/>
      <c r="AG2034" s="31"/>
      <c r="AH2034" s="31"/>
      <c r="AI2034" s="31"/>
      <c r="AJ2034" s="31"/>
      <c r="AK2034" s="31"/>
      <c r="AL2034" s="28" t="str">
        <f>VLOOKUP($G2034,'[42]Sheet1 (2)'!$A$1:$B$1048440,2,FALSE)</f>
        <v>No.</v>
      </c>
      <c r="AM2034" s="32"/>
      <c r="AN2034" s="31"/>
      <c r="AO2034" s="33"/>
    </row>
    <row r="2035" spans="1:41" ht="196" x14ac:dyDescent="0.25">
      <c r="A2035" s="243">
        <v>1855</v>
      </c>
      <c r="B2035" s="25" t="s">
        <v>3231</v>
      </c>
      <c r="C2035" s="22">
        <v>51.3</v>
      </c>
      <c r="D2035" s="23"/>
      <c r="E2035" s="23" t="s">
        <v>3242</v>
      </c>
      <c r="F2035" s="24" t="s">
        <v>3072</v>
      </c>
      <c r="G2035" s="25" t="s">
        <v>45</v>
      </c>
      <c r="H2035" s="121">
        <v>15767</v>
      </c>
      <c r="I2035" s="26">
        <v>0</v>
      </c>
      <c r="J2035" s="31"/>
      <c r="K2035" s="31"/>
      <c r="L2035" s="31"/>
      <c r="M2035" s="31"/>
      <c r="N2035" s="31"/>
      <c r="O2035" s="31"/>
      <c r="P2035" s="31"/>
      <c r="Q2035" s="31"/>
      <c r="R2035" s="31"/>
      <c r="S2035" s="31"/>
      <c r="T2035" s="31"/>
      <c r="U2035" s="31"/>
      <c r="V2035" s="31"/>
      <c r="W2035" s="31"/>
      <c r="X2035" s="31"/>
      <c r="Y2035" s="31"/>
      <c r="Z2035" s="31"/>
      <c r="AA2035" s="31"/>
      <c r="AB2035" s="31"/>
      <c r="AC2035" s="31"/>
      <c r="AD2035" s="31"/>
      <c r="AE2035" s="31"/>
      <c r="AF2035" s="31"/>
      <c r="AG2035" s="31"/>
      <c r="AH2035" s="31"/>
      <c r="AI2035" s="31"/>
      <c r="AJ2035" s="31"/>
      <c r="AK2035" s="31"/>
      <c r="AL2035" s="28" t="str">
        <f>VLOOKUP($G2035,'[42]Sheet1 (2)'!$A$1:$B$1048440,2,FALSE)</f>
        <v>No.</v>
      </c>
      <c r="AM2035" s="32"/>
      <c r="AN2035" s="31"/>
      <c r="AO2035" s="33"/>
    </row>
    <row r="2036" spans="1:41" ht="168" x14ac:dyDescent="0.25">
      <c r="A2036" s="243">
        <v>1856</v>
      </c>
      <c r="B2036" s="25" t="s">
        <v>3231</v>
      </c>
      <c r="C2036" s="22">
        <v>51.31</v>
      </c>
      <c r="D2036" s="23"/>
      <c r="E2036" s="23" t="s">
        <v>3243</v>
      </c>
      <c r="F2036" s="24" t="s">
        <v>3072</v>
      </c>
      <c r="G2036" s="25" t="s">
        <v>45</v>
      </c>
      <c r="H2036" s="121">
        <v>99105</v>
      </c>
      <c r="I2036" s="26">
        <v>0</v>
      </c>
      <c r="J2036" s="31"/>
      <c r="K2036" s="31"/>
      <c r="L2036" s="31"/>
      <c r="M2036" s="31"/>
      <c r="N2036" s="31"/>
      <c r="O2036" s="31"/>
      <c r="P2036" s="31"/>
      <c r="Q2036" s="31"/>
      <c r="R2036" s="31"/>
      <c r="S2036" s="31"/>
      <c r="T2036" s="31"/>
      <c r="U2036" s="31"/>
      <c r="V2036" s="31"/>
      <c r="W2036" s="31"/>
      <c r="X2036" s="31"/>
      <c r="Y2036" s="31"/>
      <c r="Z2036" s="31"/>
      <c r="AA2036" s="31"/>
      <c r="AB2036" s="31"/>
      <c r="AC2036" s="31"/>
      <c r="AD2036" s="31"/>
      <c r="AE2036" s="31"/>
      <c r="AF2036" s="31"/>
      <c r="AG2036" s="31"/>
      <c r="AH2036" s="31"/>
      <c r="AI2036" s="31"/>
      <c r="AJ2036" s="31"/>
      <c r="AK2036" s="31"/>
      <c r="AL2036" s="28" t="str">
        <f>VLOOKUP($G2036,'[42]Sheet1 (2)'!$A$1:$B$1048440,2,FALSE)</f>
        <v>No.</v>
      </c>
      <c r="AM2036" s="32"/>
      <c r="AN2036" s="31"/>
      <c r="AO2036" s="33"/>
    </row>
    <row r="2037" spans="1:41" ht="168" x14ac:dyDescent="0.25">
      <c r="A2037" s="243">
        <v>1857</v>
      </c>
      <c r="B2037" s="25" t="s">
        <v>3231</v>
      </c>
      <c r="C2037" s="22">
        <v>51.32</v>
      </c>
      <c r="D2037" s="23"/>
      <c r="E2037" s="23" t="s">
        <v>3244</v>
      </c>
      <c r="F2037" s="24" t="s">
        <v>3072</v>
      </c>
      <c r="G2037" s="25" t="s">
        <v>45</v>
      </c>
      <c r="H2037" s="26">
        <v>21108</v>
      </c>
      <c r="I2037" s="26">
        <v>0</v>
      </c>
      <c r="J2037" s="31"/>
      <c r="K2037" s="31"/>
      <c r="L2037" s="31"/>
      <c r="M2037" s="31"/>
      <c r="N2037" s="31"/>
      <c r="O2037" s="31"/>
      <c r="P2037" s="31"/>
      <c r="Q2037" s="31"/>
      <c r="R2037" s="31"/>
      <c r="S2037" s="31"/>
      <c r="T2037" s="31"/>
      <c r="U2037" s="31"/>
      <c r="V2037" s="31"/>
      <c r="W2037" s="31"/>
      <c r="X2037" s="31"/>
      <c r="Y2037" s="31"/>
      <c r="Z2037" s="31"/>
      <c r="AA2037" s="31"/>
      <c r="AB2037" s="31"/>
      <c r="AC2037" s="31"/>
      <c r="AD2037" s="31"/>
      <c r="AE2037" s="31"/>
      <c r="AF2037" s="31"/>
      <c r="AG2037" s="31"/>
      <c r="AH2037" s="31"/>
      <c r="AI2037" s="31"/>
      <c r="AJ2037" s="31"/>
      <c r="AK2037" s="31"/>
      <c r="AL2037" s="28" t="str">
        <f>VLOOKUP($G2037,'[42]Sheet1 (2)'!$A$1:$B$1048440,2,FALSE)</f>
        <v>No.</v>
      </c>
      <c r="AM2037" s="32"/>
      <c r="AN2037" s="31"/>
      <c r="AO2037" s="33"/>
    </row>
    <row r="2038" spans="1:41" ht="168" x14ac:dyDescent="0.25">
      <c r="A2038" s="243">
        <v>1858</v>
      </c>
      <c r="B2038" s="25" t="s">
        <v>3231</v>
      </c>
      <c r="C2038" s="22">
        <v>51.33</v>
      </c>
      <c r="D2038" s="23"/>
      <c r="E2038" s="23" t="s">
        <v>3245</v>
      </c>
      <c r="F2038" s="24" t="s">
        <v>3072</v>
      </c>
      <c r="G2038" s="25" t="s">
        <v>45</v>
      </c>
      <c r="H2038" s="26">
        <v>29536</v>
      </c>
      <c r="I2038" s="26">
        <v>0</v>
      </c>
      <c r="J2038" s="31"/>
      <c r="K2038" s="31"/>
      <c r="L2038" s="31"/>
      <c r="M2038" s="31"/>
      <c r="N2038" s="31"/>
      <c r="O2038" s="31"/>
      <c r="P2038" s="31"/>
      <c r="Q2038" s="31"/>
      <c r="R2038" s="31"/>
      <c r="S2038" s="31"/>
      <c r="T2038" s="31"/>
      <c r="U2038" s="31"/>
      <c r="V2038" s="31"/>
      <c r="W2038" s="31"/>
      <c r="X2038" s="31"/>
      <c r="Y2038" s="31"/>
      <c r="Z2038" s="31"/>
      <c r="AA2038" s="31"/>
      <c r="AB2038" s="31"/>
      <c r="AC2038" s="31"/>
      <c r="AD2038" s="31"/>
      <c r="AE2038" s="31"/>
      <c r="AF2038" s="31"/>
      <c r="AG2038" s="31"/>
      <c r="AH2038" s="31"/>
      <c r="AI2038" s="31"/>
      <c r="AJ2038" s="31"/>
      <c r="AK2038" s="31"/>
      <c r="AL2038" s="28" t="str">
        <f>VLOOKUP($G2038,'[42]Sheet1 (2)'!$A$1:$B$1048440,2,FALSE)</f>
        <v>No.</v>
      </c>
      <c r="AM2038" s="32"/>
      <c r="AN2038" s="31"/>
      <c r="AO2038" s="33"/>
    </row>
    <row r="2039" spans="1:41" ht="70" x14ac:dyDescent="0.25">
      <c r="A2039" s="243">
        <v>1859</v>
      </c>
      <c r="B2039" s="25" t="s">
        <v>3231</v>
      </c>
      <c r="C2039" s="22">
        <v>51.34</v>
      </c>
      <c r="D2039" s="23"/>
      <c r="E2039" s="23" t="s">
        <v>3246</v>
      </c>
      <c r="F2039" s="24" t="s">
        <v>3072</v>
      </c>
      <c r="G2039" s="25" t="s">
        <v>45</v>
      </c>
      <c r="H2039" s="26">
        <v>8108</v>
      </c>
      <c r="I2039" s="26">
        <v>0</v>
      </c>
      <c r="J2039" s="31"/>
      <c r="K2039" s="31"/>
      <c r="L2039" s="31"/>
      <c r="M2039" s="31"/>
      <c r="N2039" s="31"/>
      <c r="O2039" s="31"/>
      <c r="P2039" s="31"/>
      <c r="Q2039" s="31"/>
      <c r="R2039" s="31"/>
      <c r="S2039" s="31"/>
      <c r="T2039" s="31"/>
      <c r="U2039" s="31"/>
      <c r="V2039" s="31"/>
      <c r="W2039" s="31"/>
      <c r="X2039" s="31"/>
      <c r="Y2039" s="31"/>
      <c r="Z2039" s="31"/>
      <c r="AA2039" s="31"/>
      <c r="AB2039" s="31"/>
      <c r="AC2039" s="31"/>
      <c r="AD2039" s="31"/>
      <c r="AE2039" s="31"/>
      <c r="AF2039" s="31"/>
      <c r="AG2039" s="31"/>
      <c r="AH2039" s="31"/>
      <c r="AI2039" s="31"/>
      <c r="AJ2039" s="31"/>
      <c r="AK2039" s="31"/>
      <c r="AL2039" s="28" t="str">
        <f>VLOOKUP($G2039,'[42]Sheet1 (2)'!$A$1:$B$1048440,2,FALSE)</f>
        <v>No.</v>
      </c>
      <c r="AM2039" s="32"/>
      <c r="AN2039" s="31"/>
      <c r="AO2039" s="33"/>
    </row>
    <row r="2040" spans="1:41" ht="112" x14ac:dyDescent="0.25">
      <c r="A2040" s="243">
        <v>1860</v>
      </c>
      <c r="B2040" s="25" t="s">
        <v>3231</v>
      </c>
      <c r="C2040" s="22">
        <v>51.35</v>
      </c>
      <c r="D2040" s="23"/>
      <c r="E2040" s="23" t="s">
        <v>3247</v>
      </c>
      <c r="F2040" s="24" t="s">
        <v>3072</v>
      </c>
      <c r="G2040" s="25" t="s">
        <v>45</v>
      </c>
      <c r="H2040" s="26">
        <v>12646</v>
      </c>
      <c r="I2040" s="26">
        <v>0</v>
      </c>
      <c r="J2040" s="31"/>
      <c r="K2040" s="31"/>
      <c r="L2040" s="31"/>
      <c r="M2040" s="31"/>
      <c r="N2040" s="31"/>
      <c r="O2040" s="31"/>
      <c r="P2040" s="31"/>
      <c r="Q2040" s="31"/>
      <c r="R2040" s="31"/>
      <c r="S2040" s="31"/>
      <c r="T2040" s="31"/>
      <c r="U2040" s="31"/>
      <c r="V2040" s="31"/>
      <c r="W2040" s="31"/>
      <c r="X2040" s="31"/>
      <c r="Y2040" s="31"/>
      <c r="Z2040" s="31"/>
      <c r="AA2040" s="31"/>
      <c r="AB2040" s="31"/>
      <c r="AC2040" s="31"/>
      <c r="AD2040" s="31"/>
      <c r="AE2040" s="31"/>
      <c r="AF2040" s="31"/>
      <c r="AG2040" s="31"/>
      <c r="AH2040" s="31"/>
      <c r="AI2040" s="31"/>
      <c r="AJ2040" s="31"/>
      <c r="AK2040" s="31"/>
      <c r="AL2040" s="28" t="str">
        <f>VLOOKUP($G2040,'[42]Sheet1 (2)'!$A$1:$B$1048440,2,FALSE)</f>
        <v>No.</v>
      </c>
      <c r="AM2040" s="32"/>
      <c r="AN2040" s="31"/>
      <c r="AO2040" s="33"/>
    </row>
    <row r="2041" spans="1:41" ht="98" x14ac:dyDescent="0.25">
      <c r="A2041" s="243">
        <v>1861</v>
      </c>
      <c r="B2041" s="25" t="s">
        <v>3231</v>
      </c>
      <c r="C2041" s="22">
        <v>51.36</v>
      </c>
      <c r="D2041" s="23"/>
      <c r="E2041" s="23" t="s">
        <v>3248</v>
      </c>
      <c r="F2041" s="24" t="s">
        <v>3072</v>
      </c>
      <c r="G2041" s="25" t="s">
        <v>45</v>
      </c>
      <c r="H2041" s="26">
        <v>15452</v>
      </c>
      <c r="I2041" s="26">
        <v>0</v>
      </c>
      <c r="J2041" s="31"/>
      <c r="K2041" s="31"/>
      <c r="L2041" s="31"/>
      <c r="M2041" s="31"/>
      <c r="N2041" s="31"/>
      <c r="O2041" s="31"/>
      <c r="P2041" s="31"/>
      <c r="Q2041" s="31"/>
      <c r="R2041" s="31"/>
      <c r="S2041" s="31"/>
      <c r="T2041" s="31"/>
      <c r="U2041" s="31"/>
      <c r="V2041" s="31"/>
      <c r="W2041" s="31"/>
      <c r="X2041" s="31"/>
      <c r="Y2041" s="31"/>
      <c r="Z2041" s="31"/>
      <c r="AA2041" s="31"/>
      <c r="AB2041" s="31"/>
      <c r="AC2041" s="31"/>
      <c r="AD2041" s="31"/>
      <c r="AE2041" s="31"/>
      <c r="AF2041" s="31"/>
      <c r="AG2041" s="31"/>
      <c r="AH2041" s="31"/>
      <c r="AI2041" s="31"/>
      <c r="AJ2041" s="31"/>
      <c r="AK2041" s="31"/>
      <c r="AL2041" s="28" t="str">
        <f>VLOOKUP($G2041,'[42]Sheet1 (2)'!$A$1:$B$1048440,2,FALSE)</f>
        <v>No.</v>
      </c>
      <c r="AM2041" s="32"/>
      <c r="AN2041" s="31"/>
      <c r="AO2041" s="33"/>
    </row>
    <row r="2042" spans="1:41" ht="98" x14ac:dyDescent="0.25">
      <c r="A2042" s="243">
        <v>1862</v>
      </c>
      <c r="B2042" s="25" t="s">
        <v>3231</v>
      </c>
      <c r="C2042" s="22">
        <v>51.37</v>
      </c>
      <c r="D2042" s="23"/>
      <c r="E2042" s="23" t="s">
        <v>3249</v>
      </c>
      <c r="F2042" s="24" t="s">
        <v>3072</v>
      </c>
      <c r="G2042" s="25" t="s">
        <v>45</v>
      </c>
      <c r="H2042" s="26">
        <v>18925</v>
      </c>
      <c r="I2042" s="26">
        <v>0</v>
      </c>
      <c r="J2042" s="31"/>
      <c r="K2042" s="31"/>
      <c r="L2042" s="31"/>
      <c r="M2042" s="31"/>
      <c r="N2042" s="31"/>
      <c r="O2042" s="31"/>
      <c r="P2042" s="31"/>
      <c r="Q2042" s="31"/>
      <c r="R2042" s="31"/>
      <c r="S2042" s="31"/>
      <c r="T2042" s="31"/>
      <c r="U2042" s="31"/>
      <c r="V2042" s="31"/>
      <c r="W2042" s="31"/>
      <c r="X2042" s="31"/>
      <c r="Y2042" s="31"/>
      <c r="Z2042" s="31"/>
      <c r="AA2042" s="31"/>
      <c r="AB2042" s="31"/>
      <c r="AC2042" s="31"/>
      <c r="AD2042" s="31"/>
      <c r="AE2042" s="31"/>
      <c r="AF2042" s="31"/>
      <c r="AG2042" s="31"/>
      <c r="AH2042" s="31"/>
      <c r="AI2042" s="31"/>
      <c r="AJ2042" s="31"/>
      <c r="AK2042" s="31"/>
      <c r="AL2042" s="28" t="str">
        <f>VLOOKUP($G2042,'[42]Sheet1 (2)'!$A$1:$B$1048440,2,FALSE)</f>
        <v>No.</v>
      </c>
      <c r="AM2042" s="32"/>
      <c r="AN2042" s="31"/>
      <c r="AO2042" s="33"/>
    </row>
    <row r="2043" spans="1:41" ht="70" x14ac:dyDescent="0.25">
      <c r="A2043" s="243">
        <v>1863</v>
      </c>
      <c r="B2043" s="25" t="s">
        <v>3231</v>
      </c>
      <c r="C2043" s="22">
        <v>51.38</v>
      </c>
      <c r="D2043" s="23"/>
      <c r="E2043" s="23" t="s">
        <v>3250</v>
      </c>
      <c r="F2043" s="24" t="s">
        <v>3072</v>
      </c>
      <c r="G2043" s="25" t="s">
        <v>45</v>
      </c>
      <c r="H2043" s="26">
        <v>43427</v>
      </c>
      <c r="I2043" s="26">
        <v>0</v>
      </c>
      <c r="J2043" s="31"/>
      <c r="K2043" s="31"/>
      <c r="L2043" s="31"/>
      <c r="M2043" s="31"/>
      <c r="N2043" s="31"/>
      <c r="O2043" s="31"/>
      <c r="P2043" s="31"/>
      <c r="Q2043" s="31"/>
      <c r="R2043" s="31"/>
      <c r="S2043" s="31"/>
      <c r="T2043" s="31"/>
      <c r="U2043" s="31"/>
      <c r="V2043" s="31"/>
      <c r="W2043" s="31"/>
      <c r="X2043" s="31"/>
      <c r="Y2043" s="31"/>
      <c r="Z2043" s="31"/>
      <c r="AA2043" s="31"/>
      <c r="AB2043" s="31"/>
      <c r="AC2043" s="31"/>
      <c r="AD2043" s="31"/>
      <c r="AE2043" s="31"/>
      <c r="AF2043" s="31"/>
      <c r="AG2043" s="31"/>
      <c r="AH2043" s="31"/>
      <c r="AI2043" s="31"/>
      <c r="AJ2043" s="31"/>
      <c r="AK2043" s="31"/>
      <c r="AL2043" s="28" t="str">
        <f>VLOOKUP($G2043,'[42]Sheet1 (2)'!$A$1:$B$1048440,2,FALSE)</f>
        <v>No.</v>
      </c>
      <c r="AM2043" s="32"/>
      <c r="AN2043" s="31"/>
      <c r="AO2043" s="33"/>
    </row>
    <row r="2044" spans="1:41" ht="70" x14ac:dyDescent="0.25">
      <c r="A2044" s="243">
        <v>1864</v>
      </c>
      <c r="B2044" s="25" t="s">
        <v>3231</v>
      </c>
      <c r="C2044" s="22">
        <v>51.39</v>
      </c>
      <c r="D2044" s="23"/>
      <c r="E2044" s="23" t="s">
        <v>3251</v>
      </c>
      <c r="F2044" s="24" t="s">
        <v>3072</v>
      </c>
      <c r="G2044" s="25" t="s">
        <v>45</v>
      </c>
      <c r="H2044" s="26">
        <v>26727</v>
      </c>
      <c r="I2044" s="26">
        <v>0</v>
      </c>
      <c r="J2044" s="31"/>
      <c r="K2044" s="31"/>
      <c r="L2044" s="31"/>
      <c r="M2044" s="31"/>
      <c r="N2044" s="31"/>
      <c r="O2044" s="31"/>
      <c r="P2044" s="31"/>
      <c r="Q2044" s="31"/>
      <c r="R2044" s="31"/>
      <c r="S2044" s="31"/>
      <c r="T2044" s="31"/>
      <c r="U2044" s="31"/>
      <c r="V2044" s="31"/>
      <c r="W2044" s="31"/>
      <c r="X2044" s="31"/>
      <c r="Y2044" s="31"/>
      <c r="Z2044" s="31"/>
      <c r="AA2044" s="31"/>
      <c r="AB2044" s="31"/>
      <c r="AC2044" s="31"/>
      <c r="AD2044" s="31"/>
      <c r="AE2044" s="31"/>
      <c r="AF2044" s="31"/>
      <c r="AG2044" s="31"/>
      <c r="AH2044" s="31"/>
      <c r="AI2044" s="31"/>
      <c r="AJ2044" s="31"/>
      <c r="AK2044" s="31"/>
      <c r="AL2044" s="28" t="str">
        <f>VLOOKUP($G2044,'[42]Sheet1 (2)'!$A$1:$B$1048440,2,FALSE)</f>
        <v>No.</v>
      </c>
      <c r="AM2044" s="32"/>
      <c r="AN2044" s="31"/>
      <c r="AO2044" s="33"/>
    </row>
    <row r="2045" spans="1:41" ht="56" x14ac:dyDescent="0.25">
      <c r="A2045" s="243">
        <v>1865</v>
      </c>
      <c r="B2045" s="25" t="s">
        <v>3231</v>
      </c>
      <c r="C2045" s="22">
        <v>51.4</v>
      </c>
      <c r="D2045" s="23"/>
      <c r="E2045" s="23" t="s">
        <v>3252</v>
      </c>
      <c r="F2045" s="24" t="s">
        <v>3072</v>
      </c>
      <c r="G2045" s="25" t="s">
        <v>45</v>
      </c>
      <c r="H2045" s="26">
        <v>17371</v>
      </c>
      <c r="I2045" s="26">
        <v>0</v>
      </c>
      <c r="J2045" s="31"/>
      <c r="K2045" s="31"/>
      <c r="L2045" s="31"/>
      <c r="M2045" s="31"/>
      <c r="N2045" s="31"/>
      <c r="O2045" s="31"/>
      <c r="P2045" s="31"/>
      <c r="Q2045" s="31"/>
      <c r="R2045" s="31"/>
      <c r="S2045" s="31"/>
      <c r="T2045" s="31"/>
      <c r="U2045" s="31"/>
      <c r="V2045" s="31"/>
      <c r="W2045" s="31"/>
      <c r="X2045" s="31"/>
      <c r="Y2045" s="31"/>
      <c r="Z2045" s="31"/>
      <c r="AA2045" s="31"/>
      <c r="AB2045" s="31"/>
      <c r="AC2045" s="31"/>
      <c r="AD2045" s="31"/>
      <c r="AE2045" s="31"/>
      <c r="AF2045" s="31"/>
      <c r="AG2045" s="31"/>
      <c r="AH2045" s="31"/>
      <c r="AI2045" s="31"/>
      <c r="AJ2045" s="31"/>
      <c r="AK2045" s="31"/>
      <c r="AL2045" s="28" t="str">
        <f>VLOOKUP($G2045,'[42]Sheet1 (2)'!$A$1:$B$1048440,2,FALSE)</f>
        <v>No.</v>
      </c>
      <c r="AM2045" s="32"/>
      <c r="AN2045" s="31"/>
      <c r="AO2045" s="33"/>
    </row>
    <row r="2046" spans="1:41" ht="84" x14ac:dyDescent="0.25">
      <c r="A2046" s="243">
        <v>1866</v>
      </c>
      <c r="B2046" s="25" t="s">
        <v>3231</v>
      </c>
      <c r="C2046" s="22">
        <v>51.41</v>
      </c>
      <c r="D2046" s="23"/>
      <c r="E2046" s="23" t="s">
        <v>3253</v>
      </c>
      <c r="F2046" s="24" t="s">
        <v>3072</v>
      </c>
      <c r="G2046" s="25" t="s">
        <v>45</v>
      </c>
      <c r="H2046" s="26">
        <v>15474</v>
      </c>
      <c r="I2046" s="26">
        <v>0</v>
      </c>
      <c r="J2046" s="31"/>
      <c r="K2046" s="31"/>
      <c r="L2046" s="31"/>
      <c r="M2046" s="31"/>
      <c r="N2046" s="31"/>
      <c r="O2046" s="31"/>
      <c r="P2046" s="31"/>
      <c r="Q2046" s="31"/>
      <c r="R2046" s="31"/>
      <c r="S2046" s="31"/>
      <c r="T2046" s="31"/>
      <c r="U2046" s="31"/>
      <c r="V2046" s="31"/>
      <c r="W2046" s="31"/>
      <c r="X2046" s="31"/>
      <c r="Y2046" s="31"/>
      <c r="Z2046" s="31"/>
      <c r="AA2046" s="31"/>
      <c r="AB2046" s="31"/>
      <c r="AC2046" s="31"/>
      <c r="AD2046" s="31"/>
      <c r="AE2046" s="31"/>
      <c r="AF2046" s="31"/>
      <c r="AG2046" s="31"/>
      <c r="AH2046" s="31"/>
      <c r="AI2046" s="31"/>
      <c r="AJ2046" s="31"/>
      <c r="AK2046" s="31"/>
      <c r="AL2046" s="28" t="str">
        <f>VLOOKUP($G2046,'[42]Sheet1 (2)'!$A$1:$B$1048440,2,FALSE)</f>
        <v>No.</v>
      </c>
      <c r="AM2046" s="32"/>
      <c r="AN2046" s="31"/>
      <c r="AO2046" s="33"/>
    </row>
    <row r="2047" spans="1:41" ht="56" x14ac:dyDescent="0.25">
      <c r="A2047" s="243">
        <v>1867</v>
      </c>
      <c r="B2047" s="25" t="s">
        <v>3231</v>
      </c>
      <c r="C2047" s="22">
        <v>51.42</v>
      </c>
      <c r="D2047" s="23"/>
      <c r="E2047" s="24" t="s">
        <v>3254</v>
      </c>
      <c r="F2047" s="24" t="s">
        <v>3072</v>
      </c>
      <c r="G2047" s="25" t="s">
        <v>45</v>
      </c>
      <c r="H2047" s="26">
        <v>9563</v>
      </c>
      <c r="I2047" s="26">
        <v>0</v>
      </c>
      <c r="J2047" s="31"/>
      <c r="K2047" s="31"/>
      <c r="L2047" s="31"/>
      <c r="M2047" s="31"/>
      <c r="N2047" s="31"/>
      <c r="O2047" s="31"/>
      <c r="P2047" s="31"/>
      <c r="Q2047" s="31"/>
      <c r="R2047" s="31"/>
      <c r="S2047" s="31"/>
      <c r="T2047" s="31"/>
      <c r="U2047" s="31"/>
      <c r="V2047" s="31"/>
      <c r="W2047" s="31"/>
      <c r="X2047" s="31"/>
      <c r="Y2047" s="31"/>
      <c r="Z2047" s="31"/>
      <c r="AA2047" s="31"/>
      <c r="AB2047" s="31"/>
      <c r="AC2047" s="31"/>
      <c r="AD2047" s="31"/>
      <c r="AE2047" s="31"/>
      <c r="AF2047" s="31"/>
      <c r="AG2047" s="31"/>
      <c r="AH2047" s="31"/>
      <c r="AI2047" s="31"/>
      <c r="AJ2047" s="31"/>
      <c r="AK2047" s="31"/>
      <c r="AL2047" s="28" t="str">
        <f>VLOOKUP($G2047,'[42]Sheet1 (2)'!$A$1:$B$1048440,2,FALSE)</f>
        <v>No.</v>
      </c>
      <c r="AM2047" s="32"/>
      <c r="AN2047" s="31"/>
      <c r="AO2047" s="33"/>
    </row>
    <row r="2048" spans="1:41" ht="56" x14ac:dyDescent="0.25">
      <c r="A2048" s="243">
        <v>1868</v>
      </c>
      <c r="B2048" s="25" t="s">
        <v>3231</v>
      </c>
      <c r="C2048" s="22">
        <v>51.43</v>
      </c>
      <c r="D2048" s="23"/>
      <c r="E2048" s="24" t="s">
        <v>3255</v>
      </c>
      <c r="F2048" s="24" t="s">
        <v>3072</v>
      </c>
      <c r="G2048" s="25" t="s">
        <v>45</v>
      </c>
      <c r="H2048" s="26">
        <v>6520</v>
      </c>
      <c r="I2048" s="26">
        <v>0</v>
      </c>
      <c r="J2048" s="31"/>
      <c r="K2048" s="31"/>
      <c r="L2048" s="31"/>
      <c r="M2048" s="31"/>
      <c r="N2048" s="31"/>
      <c r="O2048" s="31"/>
      <c r="P2048" s="31"/>
      <c r="Q2048" s="31"/>
      <c r="R2048" s="31"/>
      <c r="S2048" s="31"/>
      <c r="T2048" s="31"/>
      <c r="U2048" s="31"/>
      <c r="V2048" s="31"/>
      <c r="W2048" s="31"/>
      <c r="X2048" s="31"/>
      <c r="Y2048" s="31"/>
      <c r="Z2048" s="31"/>
      <c r="AA2048" s="31"/>
      <c r="AB2048" s="31"/>
      <c r="AC2048" s="31"/>
      <c r="AD2048" s="31"/>
      <c r="AE2048" s="31"/>
      <c r="AF2048" s="31"/>
      <c r="AG2048" s="31"/>
      <c r="AH2048" s="31"/>
      <c r="AI2048" s="31"/>
      <c r="AJ2048" s="31"/>
      <c r="AK2048" s="31"/>
      <c r="AL2048" s="28" t="str">
        <f>VLOOKUP($G2048,'[42]Sheet1 (2)'!$A$1:$B$1048440,2,FALSE)</f>
        <v>No.</v>
      </c>
      <c r="AM2048" s="32"/>
      <c r="AN2048" s="31"/>
      <c r="AO2048" s="33"/>
    </row>
    <row r="2049" spans="1:41" ht="56" x14ac:dyDescent="0.25">
      <c r="A2049" s="243">
        <v>1869</v>
      </c>
      <c r="B2049" s="25" t="s">
        <v>3231</v>
      </c>
      <c r="C2049" s="22">
        <v>51.44</v>
      </c>
      <c r="D2049" s="23"/>
      <c r="E2049" s="23" t="s">
        <v>3256</v>
      </c>
      <c r="F2049" s="24" t="s">
        <v>3072</v>
      </c>
      <c r="G2049" s="25" t="s">
        <v>45</v>
      </c>
      <c r="H2049" s="26">
        <v>18056</v>
      </c>
      <c r="I2049" s="26">
        <v>0</v>
      </c>
      <c r="J2049" s="31"/>
      <c r="K2049" s="31"/>
      <c r="L2049" s="31"/>
      <c r="M2049" s="31"/>
      <c r="N2049" s="31"/>
      <c r="O2049" s="31"/>
      <c r="P2049" s="31"/>
      <c r="Q2049" s="31"/>
      <c r="R2049" s="31"/>
      <c r="S2049" s="31"/>
      <c r="T2049" s="31"/>
      <c r="U2049" s="31"/>
      <c r="V2049" s="31"/>
      <c r="W2049" s="31"/>
      <c r="X2049" s="31"/>
      <c r="Y2049" s="31"/>
      <c r="Z2049" s="31"/>
      <c r="AA2049" s="31"/>
      <c r="AB2049" s="31"/>
      <c r="AC2049" s="31"/>
      <c r="AD2049" s="31"/>
      <c r="AE2049" s="31"/>
      <c r="AF2049" s="31"/>
      <c r="AG2049" s="31"/>
      <c r="AH2049" s="31"/>
      <c r="AI2049" s="31"/>
      <c r="AJ2049" s="31"/>
      <c r="AK2049" s="31"/>
      <c r="AL2049" s="28" t="str">
        <f>VLOOKUP($G2049,'[42]Sheet1 (2)'!$A$1:$B$1048440,2,FALSE)</f>
        <v>No.</v>
      </c>
      <c r="AM2049" s="32"/>
      <c r="AN2049" s="31"/>
      <c r="AO2049" s="33"/>
    </row>
    <row r="2050" spans="1:41" ht="409.5" x14ac:dyDescent="0.25">
      <c r="A2050" s="243">
        <v>1870</v>
      </c>
      <c r="B2050" s="25" t="s">
        <v>3231</v>
      </c>
      <c r="C2050" s="203">
        <v>51.45</v>
      </c>
      <c r="D2050" s="23"/>
      <c r="E2050" s="23" t="s">
        <v>3257</v>
      </c>
      <c r="F2050" s="24" t="s">
        <v>3072</v>
      </c>
      <c r="G2050" s="25" t="s">
        <v>45</v>
      </c>
      <c r="H2050" s="20">
        <v>135808</v>
      </c>
      <c r="I2050" s="26">
        <v>0</v>
      </c>
      <c r="J2050" s="31"/>
      <c r="K2050" s="31"/>
      <c r="L2050" s="31"/>
      <c r="M2050" s="31"/>
      <c r="N2050" s="31"/>
      <c r="O2050" s="31"/>
      <c r="P2050" s="31"/>
      <c r="Q2050" s="31"/>
      <c r="R2050" s="31"/>
      <c r="S2050" s="31"/>
      <c r="T2050" s="31"/>
      <c r="U2050" s="31"/>
      <c r="V2050" s="31"/>
      <c r="W2050" s="31"/>
      <c r="X2050" s="31"/>
      <c r="Y2050" s="31"/>
      <c r="Z2050" s="31"/>
      <c r="AA2050" s="31"/>
      <c r="AB2050" s="31"/>
      <c r="AC2050" s="31"/>
      <c r="AD2050" s="31"/>
      <c r="AE2050" s="31"/>
      <c r="AF2050" s="31"/>
      <c r="AG2050" s="31"/>
      <c r="AH2050" s="31"/>
      <c r="AI2050" s="31"/>
      <c r="AJ2050" s="31"/>
      <c r="AK2050" s="31"/>
      <c r="AL2050" s="28" t="str">
        <f>VLOOKUP($G2050,'[42]Sheet1 (2)'!$A$1:$B$1048440,2,FALSE)</f>
        <v>No.</v>
      </c>
      <c r="AM2050" s="32"/>
      <c r="AN2050" s="31"/>
      <c r="AO2050" s="33"/>
    </row>
    <row r="2051" spans="1:41" ht="409.5" x14ac:dyDescent="0.25">
      <c r="A2051" s="243">
        <v>1871</v>
      </c>
      <c r="B2051" s="25" t="s">
        <v>3231</v>
      </c>
      <c r="C2051" s="203">
        <v>51.46</v>
      </c>
      <c r="D2051" s="23"/>
      <c r="E2051" s="23" t="s">
        <v>3258</v>
      </c>
      <c r="F2051" s="24" t="s">
        <v>3072</v>
      </c>
      <c r="G2051" s="25" t="s">
        <v>45</v>
      </c>
      <c r="H2051" s="20">
        <v>99768</v>
      </c>
      <c r="I2051" s="26">
        <v>0</v>
      </c>
      <c r="J2051" s="31"/>
      <c r="K2051" s="31"/>
      <c r="L2051" s="31"/>
      <c r="M2051" s="31"/>
      <c r="N2051" s="31"/>
      <c r="O2051" s="31"/>
      <c r="P2051" s="31"/>
      <c r="Q2051" s="31"/>
      <c r="R2051" s="31"/>
      <c r="S2051" s="31"/>
      <c r="T2051" s="31"/>
      <c r="U2051" s="31"/>
      <c r="V2051" s="31"/>
      <c r="W2051" s="31"/>
      <c r="X2051" s="31"/>
      <c r="Y2051" s="31"/>
      <c r="Z2051" s="31"/>
      <c r="AA2051" s="31"/>
      <c r="AB2051" s="31"/>
      <c r="AC2051" s="31"/>
      <c r="AD2051" s="31"/>
      <c r="AE2051" s="31"/>
      <c r="AF2051" s="31"/>
      <c r="AG2051" s="31"/>
      <c r="AH2051" s="31"/>
      <c r="AI2051" s="31"/>
      <c r="AJ2051" s="31"/>
      <c r="AK2051" s="31"/>
      <c r="AL2051" s="28" t="str">
        <f>VLOOKUP($G2051,'[42]Sheet1 (2)'!$A$1:$B$1048440,2,FALSE)</f>
        <v>No.</v>
      </c>
      <c r="AM2051" s="32"/>
      <c r="AN2051" s="31"/>
      <c r="AO2051" s="33"/>
    </row>
    <row r="2052" spans="1:41" ht="409.5" x14ac:dyDescent="0.25">
      <c r="A2052" s="243">
        <v>1872</v>
      </c>
      <c r="B2052" s="25" t="s">
        <v>3231</v>
      </c>
      <c r="C2052" s="203">
        <v>51.47</v>
      </c>
      <c r="D2052" s="23"/>
      <c r="E2052" s="23" t="s">
        <v>3259</v>
      </c>
      <c r="F2052" s="24" t="s">
        <v>3072</v>
      </c>
      <c r="G2052" s="25" t="s">
        <v>45</v>
      </c>
      <c r="H2052" s="20">
        <v>64014</v>
      </c>
      <c r="I2052" s="26">
        <v>0</v>
      </c>
      <c r="J2052" s="31"/>
      <c r="K2052" s="31"/>
      <c r="L2052" s="31"/>
      <c r="M2052" s="31"/>
      <c r="N2052" s="31"/>
      <c r="O2052" s="31"/>
      <c r="P2052" s="31"/>
      <c r="Q2052" s="31"/>
      <c r="R2052" s="31"/>
      <c r="S2052" s="31"/>
      <c r="T2052" s="31"/>
      <c r="U2052" s="31"/>
      <c r="V2052" s="31"/>
      <c r="W2052" s="31"/>
      <c r="X2052" s="31"/>
      <c r="Y2052" s="31"/>
      <c r="Z2052" s="31"/>
      <c r="AA2052" s="31"/>
      <c r="AB2052" s="31"/>
      <c r="AC2052" s="31"/>
      <c r="AD2052" s="31"/>
      <c r="AE2052" s="31"/>
      <c r="AF2052" s="31"/>
      <c r="AG2052" s="31"/>
      <c r="AH2052" s="31"/>
      <c r="AI2052" s="31"/>
      <c r="AJ2052" s="31"/>
      <c r="AK2052" s="31"/>
      <c r="AL2052" s="28" t="str">
        <f>VLOOKUP($G2052,'[42]Sheet1 (2)'!$A$1:$B$1048440,2,FALSE)</f>
        <v>No.</v>
      </c>
      <c r="AM2052" s="32"/>
      <c r="AN2052" s="31"/>
      <c r="AO2052" s="33"/>
    </row>
    <row r="2053" spans="1:41" ht="409.5" x14ac:dyDescent="0.25">
      <c r="A2053" s="243">
        <v>1873</v>
      </c>
      <c r="B2053" s="25" t="s">
        <v>3231</v>
      </c>
      <c r="C2053" s="203">
        <v>51.48</v>
      </c>
      <c r="D2053" s="23"/>
      <c r="E2053" s="23" t="s">
        <v>3260</v>
      </c>
      <c r="F2053" s="24" t="s">
        <v>3072</v>
      </c>
      <c r="G2053" s="25" t="s">
        <v>45</v>
      </c>
      <c r="H2053" s="20">
        <v>95652</v>
      </c>
      <c r="I2053" s="26">
        <v>0</v>
      </c>
      <c r="J2053" s="31"/>
      <c r="K2053" s="31"/>
      <c r="L2053" s="31"/>
      <c r="M2053" s="31"/>
      <c r="N2053" s="31"/>
      <c r="O2053" s="31"/>
      <c r="P2053" s="31"/>
      <c r="Q2053" s="31"/>
      <c r="R2053" s="31"/>
      <c r="S2053" s="31"/>
      <c r="T2053" s="31"/>
      <c r="U2053" s="31"/>
      <c r="V2053" s="31"/>
      <c r="W2053" s="31"/>
      <c r="X2053" s="31"/>
      <c r="Y2053" s="31"/>
      <c r="Z2053" s="31"/>
      <c r="AA2053" s="31"/>
      <c r="AB2053" s="31"/>
      <c r="AC2053" s="31"/>
      <c r="AD2053" s="31"/>
      <c r="AE2053" s="31"/>
      <c r="AF2053" s="31"/>
      <c r="AG2053" s="31"/>
      <c r="AH2053" s="31"/>
      <c r="AI2053" s="31"/>
      <c r="AJ2053" s="31"/>
      <c r="AK2053" s="31"/>
      <c r="AL2053" s="28" t="str">
        <f>VLOOKUP($G2053,'[42]Sheet1 (2)'!$A$1:$B$1048440,2,FALSE)</f>
        <v>No.</v>
      </c>
      <c r="AM2053" s="32"/>
      <c r="AN2053" s="31"/>
      <c r="AO2053" s="33"/>
    </row>
    <row r="2054" spans="1:41" ht="409.5" x14ac:dyDescent="0.25">
      <c r="A2054" s="243">
        <v>1874</v>
      </c>
      <c r="B2054" s="25" t="s">
        <v>3231</v>
      </c>
      <c r="C2054" s="203">
        <v>51.49</v>
      </c>
      <c r="D2054" s="23"/>
      <c r="E2054" s="23" t="s">
        <v>3261</v>
      </c>
      <c r="F2054" s="24" t="s">
        <v>3072</v>
      </c>
      <c r="G2054" s="25" t="s">
        <v>45</v>
      </c>
      <c r="H2054" s="20">
        <v>69900</v>
      </c>
      <c r="I2054" s="26">
        <v>0</v>
      </c>
      <c r="J2054" s="31"/>
      <c r="K2054" s="31"/>
      <c r="L2054" s="31"/>
      <c r="M2054" s="31"/>
      <c r="N2054" s="31"/>
      <c r="O2054" s="31"/>
      <c r="P2054" s="31"/>
      <c r="Q2054" s="31"/>
      <c r="R2054" s="31"/>
      <c r="S2054" s="31"/>
      <c r="T2054" s="31"/>
      <c r="U2054" s="31"/>
      <c r="V2054" s="31"/>
      <c r="W2054" s="31"/>
      <c r="X2054" s="31"/>
      <c r="Y2054" s="31"/>
      <c r="Z2054" s="31"/>
      <c r="AA2054" s="31"/>
      <c r="AB2054" s="31"/>
      <c r="AC2054" s="31"/>
      <c r="AD2054" s="31"/>
      <c r="AE2054" s="31"/>
      <c r="AF2054" s="31"/>
      <c r="AG2054" s="31"/>
      <c r="AH2054" s="31"/>
      <c r="AI2054" s="31"/>
      <c r="AJ2054" s="31"/>
      <c r="AK2054" s="31"/>
      <c r="AL2054" s="28" t="str">
        <f>VLOOKUP($G2054,'[42]Sheet1 (2)'!$A$1:$B$1048440,2,FALSE)</f>
        <v>No.</v>
      </c>
      <c r="AM2054" s="32"/>
      <c r="AN2054" s="31"/>
      <c r="AO2054" s="33"/>
    </row>
    <row r="2055" spans="1:41" ht="409.5" x14ac:dyDescent="0.25">
      <c r="A2055" s="243">
        <v>1875</v>
      </c>
      <c r="B2055" s="25" t="s">
        <v>3231</v>
      </c>
      <c r="C2055" s="22">
        <v>51.5</v>
      </c>
      <c r="D2055" s="23"/>
      <c r="E2055" s="23" t="s">
        <v>3262</v>
      </c>
      <c r="F2055" s="24" t="s">
        <v>3072</v>
      </c>
      <c r="G2055" s="25" t="s">
        <v>45</v>
      </c>
      <c r="H2055" s="26">
        <v>44223</v>
      </c>
      <c r="I2055" s="26">
        <v>0</v>
      </c>
      <c r="J2055" s="31"/>
      <c r="K2055" s="31"/>
      <c r="L2055" s="31"/>
      <c r="M2055" s="31"/>
      <c r="N2055" s="31"/>
      <c r="O2055" s="31"/>
      <c r="P2055" s="31"/>
      <c r="Q2055" s="31"/>
      <c r="R2055" s="31"/>
      <c r="S2055" s="31"/>
      <c r="T2055" s="31"/>
      <c r="U2055" s="31"/>
      <c r="V2055" s="31"/>
      <c r="W2055" s="31"/>
      <c r="X2055" s="31"/>
      <c r="Y2055" s="31"/>
      <c r="Z2055" s="31"/>
      <c r="AA2055" s="31"/>
      <c r="AB2055" s="31"/>
      <c r="AC2055" s="31"/>
      <c r="AD2055" s="31"/>
      <c r="AE2055" s="31"/>
      <c r="AF2055" s="31"/>
      <c r="AG2055" s="31"/>
      <c r="AH2055" s="31"/>
      <c r="AI2055" s="31"/>
      <c r="AJ2055" s="31"/>
      <c r="AK2055" s="31"/>
      <c r="AL2055" s="28" t="str">
        <f>VLOOKUP($G2055,'[42]Sheet1 (2)'!$A$1:$B$1048440,2,FALSE)</f>
        <v>No.</v>
      </c>
      <c r="AM2055" s="32"/>
      <c r="AN2055" s="31"/>
      <c r="AO2055" s="33"/>
    </row>
    <row r="2056" spans="1:41" ht="98" x14ac:dyDescent="0.25">
      <c r="A2056" s="243">
        <v>1876</v>
      </c>
      <c r="B2056" s="25" t="s">
        <v>3231</v>
      </c>
      <c r="C2056" s="22">
        <v>51.51</v>
      </c>
      <c r="D2056" s="23"/>
      <c r="E2056" s="23" t="s">
        <v>3263</v>
      </c>
      <c r="F2056" s="24" t="s">
        <v>3072</v>
      </c>
      <c r="G2056" s="25" t="s">
        <v>45</v>
      </c>
      <c r="H2056" s="26">
        <v>2617</v>
      </c>
      <c r="I2056" s="26">
        <v>0</v>
      </c>
      <c r="J2056" s="31"/>
      <c r="K2056" s="31"/>
      <c r="L2056" s="31"/>
      <c r="M2056" s="31"/>
      <c r="N2056" s="31"/>
      <c r="O2056" s="31"/>
      <c r="P2056" s="31"/>
      <c r="Q2056" s="31"/>
      <c r="R2056" s="31"/>
      <c r="S2056" s="31"/>
      <c r="T2056" s="31"/>
      <c r="U2056" s="31"/>
      <c r="V2056" s="31"/>
      <c r="W2056" s="31"/>
      <c r="X2056" s="31"/>
      <c r="Y2056" s="31"/>
      <c r="Z2056" s="31"/>
      <c r="AA2056" s="31"/>
      <c r="AB2056" s="31"/>
      <c r="AC2056" s="31"/>
      <c r="AD2056" s="31"/>
      <c r="AE2056" s="31"/>
      <c r="AF2056" s="31"/>
      <c r="AG2056" s="31"/>
      <c r="AH2056" s="31"/>
      <c r="AI2056" s="31"/>
      <c r="AJ2056" s="31"/>
      <c r="AK2056" s="31"/>
      <c r="AL2056" s="28" t="str">
        <f>VLOOKUP($G2056,'[42]Sheet1 (2)'!$A$1:$B$1048440,2,FALSE)</f>
        <v>No.</v>
      </c>
      <c r="AM2056" s="32"/>
      <c r="AN2056" s="31"/>
      <c r="AO2056" s="33"/>
    </row>
    <row r="2057" spans="1:41" ht="56" x14ac:dyDescent="0.25">
      <c r="A2057" s="243">
        <v>1877</v>
      </c>
      <c r="B2057" s="25" t="s">
        <v>3231</v>
      </c>
      <c r="C2057" s="22">
        <v>51.52</v>
      </c>
      <c r="D2057" s="34"/>
      <c r="E2057" s="23" t="s">
        <v>3264</v>
      </c>
      <c r="F2057" s="35" t="s">
        <v>3174</v>
      </c>
      <c r="G2057" s="25" t="s">
        <v>45</v>
      </c>
      <c r="H2057" s="26">
        <v>3961</v>
      </c>
      <c r="I2057" s="26">
        <v>0</v>
      </c>
      <c r="J2057" s="31"/>
      <c r="K2057" s="31"/>
      <c r="L2057" s="31"/>
      <c r="M2057" s="31"/>
      <c r="N2057" s="31"/>
      <c r="O2057" s="31"/>
      <c r="P2057" s="31"/>
      <c r="Q2057" s="31"/>
      <c r="R2057" s="31"/>
      <c r="S2057" s="31"/>
      <c r="T2057" s="31"/>
      <c r="U2057" s="31"/>
      <c r="V2057" s="31"/>
      <c r="W2057" s="31"/>
      <c r="X2057" s="31"/>
      <c r="Y2057" s="31"/>
      <c r="Z2057" s="31"/>
      <c r="AA2057" s="31"/>
      <c r="AB2057" s="31"/>
      <c r="AC2057" s="31"/>
      <c r="AD2057" s="31"/>
      <c r="AE2057" s="31"/>
      <c r="AF2057" s="31"/>
      <c r="AG2057" s="31"/>
      <c r="AH2057" s="31"/>
      <c r="AI2057" s="31"/>
      <c r="AJ2057" s="31"/>
      <c r="AK2057" s="31"/>
      <c r="AL2057" s="28" t="str">
        <f>VLOOKUP($G2057,'[42]Sheet1 (2)'!$A$1:$B$1048440,2,FALSE)</f>
        <v>No.</v>
      </c>
      <c r="AM2057" s="32"/>
      <c r="AN2057" s="31"/>
      <c r="AO2057" s="33"/>
    </row>
    <row r="2058" spans="1:41" ht="70" x14ac:dyDescent="0.25">
      <c r="A2058" s="243">
        <v>1878</v>
      </c>
      <c r="B2058" s="25" t="s">
        <v>3231</v>
      </c>
      <c r="C2058" s="22">
        <v>51.53</v>
      </c>
      <c r="D2058" s="23"/>
      <c r="E2058" s="23" t="s">
        <v>3265</v>
      </c>
      <c r="F2058" s="24" t="s">
        <v>3072</v>
      </c>
      <c r="G2058" s="25" t="s">
        <v>45</v>
      </c>
      <c r="H2058" s="121">
        <v>39612</v>
      </c>
      <c r="I2058" s="26">
        <v>0</v>
      </c>
      <c r="J2058" s="31"/>
      <c r="K2058" s="31"/>
      <c r="L2058" s="31"/>
      <c r="M2058" s="31"/>
      <c r="N2058" s="31"/>
      <c r="O2058" s="31"/>
      <c r="P2058" s="31"/>
      <c r="Q2058" s="31"/>
      <c r="R2058" s="31"/>
      <c r="S2058" s="31"/>
      <c r="T2058" s="31"/>
      <c r="U2058" s="31"/>
      <c r="V2058" s="31"/>
      <c r="W2058" s="31"/>
      <c r="X2058" s="31"/>
      <c r="Y2058" s="31"/>
      <c r="Z2058" s="31"/>
      <c r="AA2058" s="31"/>
      <c r="AB2058" s="31"/>
      <c r="AC2058" s="31"/>
      <c r="AD2058" s="31"/>
      <c r="AE2058" s="31"/>
      <c r="AF2058" s="31"/>
      <c r="AG2058" s="31"/>
      <c r="AH2058" s="31"/>
      <c r="AI2058" s="31"/>
      <c r="AJ2058" s="31"/>
      <c r="AK2058" s="31"/>
      <c r="AL2058" s="28" t="str">
        <f>VLOOKUP($G2058,'[42]Sheet1 (2)'!$A$1:$B$1048440,2,FALSE)</f>
        <v>No.</v>
      </c>
      <c r="AM2058" s="32"/>
      <c r="AN2058" s="31"/>
      <c r="AO2058" s="33"/>
    </row>
    <row r="2059" spans="1:41" ht="84" x14ac:dyDescent="0.25">
      <c r="A2059" s="243">
        <v>1879</v>
      </c>
      <c r="B2059" s="25" t="s">
        <v>3231</v>
      </c>
      <c r="C2059" s="22">
        <v>51.54</v>
      </c>
      <c r="D2059" s="23"/>
      <c r="E2059" s="23" t="s">
        <v>3266</v>
      </c>
      <c r="F2059" s="24" t="s">
        <v>3072</v>
      </c>
      <c r="G2059" s="25" t="s">
        <v>45</v>
      </c>
      <c r="H2059" s="121">
        <v>11123</v>
      </c>
      <c r="I2059" s="26">
        <v>0</v>
      </c>
      <c r="J2059" s="31"/>
      <c r="K2059" s="31"/>
      <c r="L2059" s="31"/>
      <c r="M2059" s="31"/>
      <c r="N2059" s="31"/>
      <c r="O2059" s="31"/>
      <c r="P2059" s="31"/>
      <c r="Q2059" s="31"/>
      <c r="R2059" s="31"/>
      <c r="S2059" s="31"/>
      <c r="T2059" s="31"/>
      <c r="U2059" s="31"/>
      <c r="V2059" s="31"/>
      <c r="W2059" s="31"/>
      <c r="X2059" s="31"/>
      <c r="Y2059" s="31"/>
      <c r="Z2059" s="31"/>
      <c r="AA2059" s="31"/>
      <c r="AB2059" s="31"/>
      <c r="AC2059" s="31"/>
      <c r="AD2059" s="31"/>
      <c r="AE2059" s="31"/>
      <c r="AF2059" s="31"/>
      <c r="AG2059" s="31"/>
      <c r="AH2059" s="31"/>
      <c r="AI2059" s="31"/>
      <c r="AJ2059" s="31"/>
      <c r="AK2059" s="31"/>
      <c r="AL2059" s="28" t="str">
        <f>VLOOKUP($G2059,'[42]Sheet1 (2)'!$A$1:$B$1048440,2,FALSE)</f>
        <v>No.</v>
      </c>
      <c r="AM2059" s="32"/>
      <c r="AN2059" s="31"/>
      <c r="AO2059" s="33"/>
    </row>
    <row r="2060" spans="1:41" ht="409.5" x14ac:dyDescent="0.25">
      <c r="A2060" s="243">
        <v>1880</v>
      </c>
      <c r="B2060" s="25" t="s">
        <v>3231</v>
      </c>
      <c r="C2060" s="22">
        <v>51.55</v>
      </c>
      <c r="D2060" s="23"/>
      <c r="E2060" s="23" t="s">
        <v>3267</v>
      </c>
      <c r="F2060" s="24" t="s">
        <v>3072</v>
      </c>
      <c r="G2060" s="25" t="s">
        <v>45</v>
      </c>
      <c r="H2060" s="121">
        <v>19367</v>
      </c>
      <c r="I2060" s="26">
        <v>0</v>
      </c>
      <c r="J2060" s="31"/>
      <c r="K2060" s="31"/>
      <c r="L2060" s="31"/>
      <c r="M2060" s="31"/>
      <c r="N2060" s="31"/>
      <c r="O2060" s="31"/>
      <c r="P2060" s="31"/>
      <c r="Q2060" s="31"/>
      <c r="R2060" s="31"/>
      <c r="S2060" s="31"/>
      <c r="T2060" s="31"/>
      <c r="U2060" s="31"/>
      <c r="V2060" s="31"/>
      <c r="W2060" s="31"/>
      <c r="X2060" s="31"/>
      <c r="Y2060" s="31"/>
      <c r="Z2060" s="31"/>
      <c r="AA2060" s="31"/>
      <c r="AB2060" s="31"/>
      <c r="AC2060" s="31"/>
      <c r="AD2060" s="31"/>
      <c r="AE2060" s="31"/>
      <c r="AF2060" s="31"/>
      <c r="AG2060" s="31"/>
      <c r="AH2060" s="31"/>
      <c r="AI2060" s="31"/>
      <c r="AJ2060" s="31"/>
      <c r="AK2060" s="31"/>
      <c r="AL2060" s="28" t="str">
        <f>VLOOKUP($G2060,'[42]Sheet1 (2)'!$A$1:$B$1048440,2,FALSE)</f>
        <v>No.</v>
      </c>
      <c r="AM2060" s="32"/>
      <c r="AN2060" s="31"/>
      <c r="AO2060" s="33"/>
    </row>
    <row r="2061" spans="1:41" ht="140" x14ac:dyDescent="0.25">
      <c r="A2061" s="243">
        <v>1881</v>
      </c>
      <c r="B2061" s="25" t="s">
        <v>3231</v>
      </c>
      <c r="C2061" s="22">
        <v>51.56</v>
      </c>
      <c r="D2061" s="23"/>
      <c r="E2061" s="23" t="s">
        <v>3268</v>
      </c>
      <c r="F2061" s="24" t="s">
        <v>3072</v>
      </c>
      <c r="G2061" s="25" t="s">
        <v>45</v>
      </c>
      <c r="H2061" s="26">
        <v>17352</v>
      </c>
      <c r="I2061" s="26">
        <v>0</v>
      </c>
      <c r="J2061" s="31"/>
      <c r="K2061" s="31"/>
      <c r="L2061" s="31"/>
      <c r="M2061" s="31"/>
      <c r="N2061" s="31"/>
      <c r="O2061" s="31"/>
      <c r="P2061" s="31"/>
      <c r="Q2061" s="31"/>
      <c r="R2061" s="31"/>
      <c r="S2061" s="31"/>
      <c r="T2061" s="31"/>
      <c r="U2061" s="31"/>
      <c r="V2061" s="31"/>
      <c r="W2061" s="31"/>
      <c r="X2061" s="31"/>
      <c r="Y2061" s="31"/>
      <c r="Z2061" s="31"/>
      <c r="AA2061" s="31"/>
      <c r="AB2061" s="31"/>
      <c r="AC2061" s="31"/>
      <c r="AD2061" s="31"/>
      <c r="AE2061" s="31"/>
      <c r="AF2061" s="31"/>
      <c r="AG2061" s="31"/>
      <c r="AH2061" s="31"/>
      <c r="AI2061" s="31"/>
      <c r="AJ2061" s="31"/>
      <c r="AK2061" s="31"/>
      <c r="AL2061" s="28" t="str">
        <f>VLOOKUP($G2061,'[42]Sheet1 (2)'!$A$1:$B$1048440,2,FALSE)</f>
        <v>No.</v>
      </c>
      <c r="AM2061" s="32"/>
      <c r="AN2061" s="31"/>
      <c r="AO2061" s="33"/>
    </row>
    <row r="2062" spans="1:41" ht="280" x14ac:dyDescent="0.25">
      <c r="A2062" s="243">
        <v>1882</v>
      </c>
      <c r="B2062" s="25" t="s">
        <v>3231</v>
      </c>
      <c r="C2062" s="22">
        <v>51.57</v>
      </c>
      <c r="D2062" s="23"/>
      <c r="E2062" s="23" t="s">
        <v>3269</v>
      </c>
      <c r="F2062" s="24" t="s">
        <v>3072</v>
      </c>
      <c r="G2062" s="25" t="s">
        <v>45</v>
      </c>
      <c r="H2062" s="26">
        <v>40389</v>
      </c>
      <c r="I2062" s="26">
        <v>0</v>
      </c>
      <c r="J2062" s="31"/>
      <c r="K2062" s="31"/>
      <c r="L2062" s="31"/>
      <c r="M2062" s="31"/>
      <c r="N2062" s="31"/>
      <c r="O2062" s="31"/>
      <c r="P2062" s="31"/>
      <c r="Q2062" s="31"/>
      <c r="R2062" s="31"/>
      <c r="S2062" s="31"/>
      <c r="T2062" s="31"/>
      <c r="U2062" s="31"/>
      <c r="V2062" s="31"/>
      <c r="W2062" s="31"/>
      <c r="X2062" s="31"/>
      <c r="Y2062" s="31"/>
      <c r="Z2062" s="31"/>
      <c r="AA2062" s="31"/>
      <c r="AB2062" s="31"/>
      <c r="AC2062" s="31"/>
      <c r="AD2062" s="31"/>
      <c r="AE2062" s="31"/>
      <c r="AF2062" s="31"/>
      <c r="AG2062" s="31"/>
      <c r="AH2062" s="31"/>
      <c r="AI2062" s="31"/>
      <c r="AJ2062" s="31"/>
      <c r="AK2062" s="31"/>
      <c r="AL2062" s="28" t="str">
        <f>VLOOKUP($G2062,'[42]Sheet1 (2)'!$A$1:$B$1048440,2,FALSE)</f>
        <v>No.</v>
      </c>
      <c r="AM2062" s="32"/>
      <c r="AN2062" s="31"/>
      <c r="AO2062" s="33"/>
    </row>
    <row r="2063" spans="1:41" ht="126" x14ac:dyDescent="0.25">
      <c r="A2063" s="243">
        <v>1883</v>
      </c>
      <c r="B2063" s="25" t="s">
        <v>3231</v>
      </c>
      <c r="C2063" s="22">
        <v>51.58</v>
      </c>
      <c r="D2063" s="23"/>
      <c r="E2063" s="23" t="s">
        <v>3270</v>
      </c>
      <c r="F2063" s="24" t="s">
        <v>3072</v>
      </c>
      <c r="G2063" s="25" t="s">
        <v>45</v>
      </c>
      <c r="H2063" s="26">
        <v>6401</v>
      </c>
      <c r="I2063" s="26">
        <v>0</v>
      </c>
      <c r="J2063" s="31"/>
      <c r="K2063" s="31"/>
      <c r="L2063" s="31"/>
      <c r="M2063" s="31"/>
      <c r="N2063" s="31"/>
      <c r="O2063" s="31"/>
      <c r="P2063" s="31"/>
      <c r="Q2063" s="31"/>
      <c r="R2063" s="31"/>
      <c r="S2063" s="31"/>
      <c r="T2063" s="31"/>
      <c r="U2063" s="31"/>
      <c r="V2063" s="31"/>
      <c r="W2063" s="31"/>
      <c r="X2063" s="31"/>
      <c r="Y2063" s="31"/>
      <c r="Z2063" s="31"/>
      <c r="AA2063" s="31"/>
      <c r="AB2063" s="31"/>
      <c r="AC2063" s="31"/>
      <c r="AD2063" s="31"/>
      <c r="AE2063" s="31"/>
      <c r="AF2063" s="31"/>
      <c r="AG2063" s="31"/>
      <c r="AH2063" s="31"/>
      <c r="AI2063" s="31"/>
      <c r="AJ2063" s="31"/>
      <c r="AK2063" s="31"/>
      <c r="AL2063" s="28" t="str">
        <f>VLOOKUP($G2063,'[42]Sheet1 (2)'!$A$1:$B$1048440,2,FALSE)</f>
        <v>No.</v>
      </c>
      <c r="AM2063" s="32"/>
      <c r="AN2063" s="31"/>
      <c r="AO2063" s="33"/>
    </row>
    <row r="2064" spans="1:41" ht="154" x14ac:dyDescent="0.25">
      <c r="A2064" s="243">
        <v>1884</v>
      </c>
      <c r="B2064" s="25" t="s">
        <v>3231</v>
      </c>
      <c r="C2064" s="22">
        <v>51.59</v>
      </c>
      <c r="D2064" s="23"/>
      <c r="E2064" s="23" t="s">
        <v>3271</v>
      </c>
      <c r="F2064" s="24" t="s">
        <v>3072</v>
      </c>
      <c r="G2064" s="21" t="s">
        <v>80</v>
      </c>
      <c r="H2064" s="26">
        <v>16125</v>
      </c>
      <c r="I2064" s="26">
        <v>0</v>
      </c>
      <c r="J2064" s="31"/>
      <c r="K2064" s="31"/>
      <c r="L2064" s="31"/>
      <c r="M2064" s="31"/>
      <c r="N2064" s="31"/>
      <c r="O2064" s="31"/>
      <c r="P2064" s="31"/>
      <c r="Q2064" s="31"/>
      <c r="R2064" s="31"/>
      <c r="S2064" s="31"/>
      <c r="T2064" s="31"/>
      <c r="U2064" s="31"/>
      <c r="V2064" s="31"/>
      <c r="W2064" s="31"/>
      <c r="X2064" s="31"/>
      <c r="Y2064" s="31"/>
      <c r="Z2064" s="31"/>
      <c r="AA2064" s="31"/>
      <c r="AB2064" s="31"/>
      <c r="AC2064" s="31"/>
      <c r="AD2064" s="31"/>
      <c r="AE2064" s="31"/>
      <c r="AF2064" s="31"/>
      <c r="AG2064" s="31"/>
      <c r="AH2064" s="31"/>
      <c r="AI2064" s="31"/>
      <c r="AJ2064" s="31"/>
      <c r="AK2064" s="31"/>
      <c r="AL2064" s="28" t="str">
        <f>VLOOKUP($G2064,'[42]Sheet1 (2)'!$A$1:$B$1048440,2,FALSE)</f>
        <v>Rmt.</v>
      </c>
      <c r="AM2064" s="32"/>
      <c r="AN2064" s="31"/>
      <c r="AO2064" s="33"/>
    </row>
    <row r="2065" spans="1:41" ht="154" x14ac:dyDescent="0.25">
      <c r="A2065" s="243">
        <v>1885</v>
      </c>
      <c r="B2065" s="21" t="s">
        <v>3272</v>
      </c>
      <c r="C2065" s="22">
        <v>51.6</v>
      </c>
      <c r="D2065" s="23"/>
      <c r="E2065" s="23" t="s">
        <v>3273</v>
      </c>
      <c r="F2065" s="24" t="s">
        <v>3072</v>
      </c>
      <c r="G2065" s="21" t="s">
        <v>217</v>
      </c>
      <c r="H2065" s="26">
        <v>2750</v>
      </c>
      <c r="I2065" s="26">
        <v>0</v>
      </c>
      <c r="J2065" s="31"/>
      <c r="K2065" s="31"/>
      <c r="L2065" s="31"/>
      <c r="M2065" s="31"/>
      <c r="N2065" s="31"/>
      <c r="O2065" s="31"/>
      <c r="P2065" s="31"/>
      <c r="Q2065" s="31"/>
      <c r="R2065" s="31"/>
      <c r="S2065" s="31"/>
      <c r="T2065" s="31"/>
      <c r="U2065" s="31"/>
      <c r="V2065" s="31"/>
      <c r="W2065" s="31"/>
      <c r="X2065" s="31"/>
      <c r="Y2065" s="31"/>
      <c r="Z2065" s="31"/>
      <c r="AA2065" s="31"/>
      <c r="AB2065" s="31"/>
      <c r="AC2065" s="31"/>
      <c r="AD2065" s="31"/>
      <c r="AE2065" s="31"/>
      <c r="AF2065" s="31"/>
      <c r="AG2065" s="31"/>
      <c r="AH2065" s="31"/>
      <c r="AI2065" s="31"/>
      <c r="AJ2065" s="31"/>
      <c r="AK2065" s="31"/>
      <c r="AL2065" s="28" t="str">
        <f>VLOOKUP($G2065,'[42]Sheet1 (2)'!$A$1:$B$1048440,2,FALSE)</f>
        <v>Sqm</v>
      </c>
      <c r="AM2065" s="32"/>
      <c r="AN2065" s="31"/>
      <c r="AO2065" s="33"/>
    </row>
    <row r="2066" spans="1:41" ht="140" x14ac:dyDescent="0.25">
      <c r="A2066" s="243">
        <v>1886</v>
      </c>
      <c r="B2066" s="21" t="s">
        <v>3272</v>
      </c>
      <c r="C2066" s="22">
        <v>51.61</v>
      </c>
      <c r="D2066" s="25" t="s">
        <v>2260</v>
      </c>
      <c r="E2066" s="23" t="s">
        <v>3274</v>
      </c>
      <c r="F2066" s="24" t="s">
        <v>3072</v>
      </c>
      <c r="G2066" s="21" t="s">
        <v>217</v>
      </c>
      <c r="H2066" s="26">
        <v>3100</v>
      </c>
      <c r="I2066" s="26">
        <v>0</v>
      </c>
      <c r="J2066" s="31"/>
      <c r="K2066" s="31"/>
      <c r="L2066" s="31"/>
      <c r="M2066" s="31"/>
      <c r="N2066" s="31"/>
      <c r="O2066" s="31"/>
      <c r="P2066" s="31"/>
      <c r="Q2066" s="31"/>
      <c r="R2066" s="31"/>
      <c r="S2066" s="31"/>
      <c r="T2066" s="31"/>
      <c r="U2066" s="31"/>
      <c r="V2066" s="31"/>
      <c r="W2066" s="31"/>
      <c r="X2066" s="31"/>
      <c r="Y2066" s="31"/>
      <c r="Z2066" s="31"/>
      <c r="AA2066" s="31"/>
      <c r="AB2066" s="31"/>
      <c r="AC2066" s="31"/>
      <c r="AD2066" s="31"/>
      <c r="AE2066" s="31"/>
      <c r="AF2066" s="31"/>
      <c r="AG2066" s="31"/>
      <c r="AH2066" s="31"/>
      <c r="AI2066" s="31"/>
      <c r="AJ2066" s="31"/>
      <c r="AK2066" s="31"/>
      <c r="AL2066" s="28" t="str">
        <f>VLOOKUP($G2066,'[42]Sheet1 (2)'!$A$1:$B$1048440,2,FALSE)</f>
        <v>Sqm</v>
      </c>
      <c r="AM2066" s="32"/>
      <c r="AN2066" s="31"/>
      <c r="AO2066" s="33"/>
    </row>
    <row r="2067" spans="1:41" ht="112" x14ac:dyDescent="0.25">
      <c r="A2067" s="243">
        <v>1887</v>
      </c>
      <c r="B2067" s="25" t="s">
        <v>3275</v>
      </c>
      <c r="C2067" s="22">
        <v>51.62</v>
      </c>
      <c r="D2067" s="25" t="s">
        <v>1835</v>
      </c>
      <c r="E2067" s="24" t="s">
        <v>3276</v>
      </c>
      <c r="F2067" s="24" t="s">
        <v>3072</v>
      </c>
      <c r="G2067" s="21" t="s">
        <v>217</v>
      </c>
      <c r="H2067" s="26">
        <v>560</v>
      </c>
      <c r="I2067" s="26">
        <v>331</v>
      </c>
      <c r="J2067" s="31"/>
      <c r="K2067" s="31"/>
      <c r="L2067" s="31"/>
      <c r="M2067" s="31"/>
      <c r="N2067" s="31"/>
      <c r="O2067" s="31"/>
      <c r="P2067" s="31"/>
      <c r="Q2067" s="31"/>
      <c r="R2067" s="31"/>
      <c r="S2067" s="31"/>
      <c r="T2067" s="31"/>
      <c r="U2067" s="31"/>
      <c r="V2067" s="31"/>
      <c r="W2067" s="31"/>
      <c r="X2067" s="31"/>
      <c r="Y2067" s="31"/>
      <c r="Z2067" s="31"/>
      <c r="AA2067" s="31"/>
      <c r="AB2067" s="31"/>
      <c r="AC2067" s="31"/>
      <c r="AD2067" s="31"/>
      <c r="AE2067" s="31"/>
      <c r="AF2067" s="31"/>
      <c r="AG2067" s="31"/>
      <c r="AH2067" s="31"/>
      <c r="AI2067" s="31"/>
      <c r="AJ2067" s="31"/>
      <c r="AK2067" s="31"/>
      <c r="AL2067" s="28" t="str">
        <f>VLOOKUP($G2067,'[42]Sheet1 (2)'!$A$1:$B$1048440,2,FALSE)</f>
        <v>Sqm</v>
      </c>
      <c r="AM2067" s="32"/>
      <c r="AN2067" s="31"/>
      <c r="AO2067" s="33"/>
    </row>
    <row r="2068" spans="1:41" ht="140" x14ac:dyDescent="0.25">
      <c r="A2068" s="243">
        <v>1888</v>
      </c>
      <c r="B2068" s="25" t="s">
        <v>3277</v>
      </c>
      <c r="C2068" s="22">
        <v>51.63</v>
      </c>
      <c r="D2068" s="25" t="s">
        <v>2532</v>
      </c>
      <c r="E2068" s="23" t="s">
        <v>3278</v>
      </c>
      <c r="F2068" s="24" t="s">
        <v>3072</v>
      </c>
      <c r="G2068" s="25" t="s">
        <v>45</v>
      </c>
      <c r="H2068" s="26">
        <v>70780</v>
      </c>
      <c r="I2068" s="121">
        <v>21000</v>
      </c>
      <c r="J2068" s="31"/>
      <c r="K2068" s="31"/>
      <c r="L2068" s="31"/>
      <c r="M2068" s="31"/>
      <c r="N2068" s="31"/>
      <c r="O2068" s="31"/>
      <c r="P2068" s="31"/>
      <c r="Q2068" s="31"/>
      <c r="R2068" s="31"/>
      <c r="S2068" s="31"/>
      <c r="T2068" s="31"/>
      <c r="U2068" s="31"/>
      <c r="V2068" s="31"/>
      <c r="W2068" s="31"/>
      <c r="X2068" s="31"/>
      <c r="Y2068" s="31"/>
      <c r="Z2068" s="31"/>
      <c r="AA2068" s="31"/>
      <c r="AB2068" s="31"/>
      <c r="AC2068" s="31"/>
      <c r="AD2068" s="31"/>
      <c r="AE2068" s="31"/>
      <c r="AF2068" s="31"/>
      <c r="AG2068" s="31"/>
      <c r="AH2068" s="31"/>
      <c r="AI2068" s="31"/>
      <c r="AJ2068" s="31"/>
      <c r="AK2068" s="31"/>
      <c r="AL2068" s="28" t="str">
        <f>VLOOKUP($G2068,'[42]Sheet1 (2)'!$A$1:$B$1048440,2,FALSE)</f>
        <v>No.</v>
      </c>
      <c r="AM2068" s="32"/>
      <c r="AN2068" s="31"/>
      <c r="AO2068" s="33"/>
    </row>
    <row r="2069" spans="1:41" ht="182" x14ac:dyDescent="0.25">
      <c r="A2069" s="243">
        <v>1889</v>
      </c>
      <c r="B2069" s="25" t="s">
        <v>3277</v>
      </c>
      <c r="C2069" s="22">
        <v>51.64</v>
      </c>
      <c r="D2069" s="25" t="s">
        <v>2309</v>
      </c>
      <c r="E2069" s="23" t="s">
        <v>3279</v>
      </c>
      <c r="F2069" s="24" t="s">
        <v>3072</v>
      </c>
      <c r="G2069" s="21" t="s">
        <v>217</v>
      </c>
      <c r="H2069" s="26">
        <v>12500</v>
      </c>
      <c r="I2069" s="121">
        <v>3750</v>
      </c>
      <c r="J2069" s="31"/>
      <c r="K2069" s="31"/>
      <c r="L2069" s="31"/>
      <c r="M2069" s="31"/>
      <c r="N2069" s="31"/>
      <c r="O2069" s="31"/>
      <c r="P2069" s="31"/>
      <c r="Q2069" s="31"/>
      <c r="R2069" s="31"/>
      <c r="S2069" s="31"/>
      <c r="T2069" s="31"/>
      <c r="U2069" s="31"/>
      <c r="V2069" s="31"/>
      <c r="W2069" s="31"/>
      <c r="X2069" s="31"/>
      <c r="Y2069" s="31"/>
      <c r="Z2069" s="31"/>
      <c r="AA2069" s="31"/>
      <c r="AB2069" s="31"/>
      <c r="AC2069" s="31"/>
      <c r="AD2069" s="31"/>
      <c r="AE2069" s="31"/>
      <c r="AF2069" s="31"/>
      <c r="AG2069" s="31"/>
      <c r="AH2069" s="31"/>
      <c r="AI2069" s="31"/>
      <c r="AJ2069" s="31"/>
      <c r="AK2069" s="31"/>
      <c r="AL2069" s="28" t="str">
        <f>VLOOKUP($G2069,'[42]Sheet1 (2)'!$A$1:$B$1048440,2,FALSE)</f>
        <v>Sqm</v>
      </c>
      <c r="AM2069" s="32"/>
      <c r="AN2069" s="31"/>
      <c r="AO2069" s="33"/>
    </row>
    <row r="2070" spans="1:41" ht="70" x14ac:dyDescent="0.25">
      <c r="A2070" s="243">
        <v>1890</v>
      </c>
      <c r="B2070" s="25" t="s">
        <v>3277</v>
      </c>
      <c r="C2070" s="22">
        <v>51.65</v>
      </c>
      <c r="D2070" s="23"/>
      <c r="E2070" s="23" t="s">
        <v>3280</v>
      </c>
      <c r="F2070" s="24" t="s">
        <v>3072</v>
      </c>
      <c r="G2070" s="25" t="s">
        <v>45</v>
      </c>
      <c r="H2070" s="26">
        <v>1575</v>
      </c>
      <c r="I2070" s="103">
        <v>470</v>
      </c>
      <c r="J2070" s="31"/>
      <c r="K2070" s="31"/>
      <c r="L2070" s="31"/>
      <c r="M2070" s="31"/>
      <c r="N2070" s="31"/>
      <c r="O2070" s="31"/>
      <c r="P2070" s="31"/>
      <c r="Q2070" s="31"/>
      <c r="R2070" s="31"/>
      <c r="S2070" s="31"/>
      <c r="T2070" s="31"/>
      <c r="U2070" s="31"/>
      <c r="V2070" s="31"/>
      <c r="W2070" s="31"/>
      <c r="X2070" s="31"/>
      <c r="Y2070" s="31"/>
      <c r="Z2070" s="31"/>
      <c r="AA2070" s="31"/>
      <c r="AB2070" s="31"/>
      <c r="AC2070" s="31"/>
      <c r="AD2070" s="31"/>
      <c r="AE2070" s="31"/>
      <c r="AF2070" s="31"/>
      <c r="AG2070" s="31"/>
      <c r="AH2070" s="31"/>
      <c r="AI2070" s="31"/>
      <c r="AJ2070" s="31"/>
      <c r="AK2070" s="31"/>
      <c r="AL2070" s="28" t="str">
        <f>VLOOKUP($G2070,'[42]Sheet1 (2)'!$A$1:$B$1048440,2,FALSE)</f>
        <v>No.</v>
      </c>
      <c r="AM2070" s="32"/>
      <c r="AN2070" s="31"/>
      <c r="AO2070" s="33"/>
    </row>
    <row r="2071" spans="1:41" ht="196" x14ac:dyDescent="0.25">
      <c r="A2071" s="243">
        <v>1891</v>
      </c>
      <c r="B2071" s="25" t="s">
        <v>3277</v>
      </c>
      <c r="C2071" s="22">
        <v>51.66</v>
      </c>
      <c r="D2071" s="23"/>
      <c r="E2071" s="23" t="s">
        <v>3281</v>
      </c>
      <c r="F2071" s="24" t="s">
        <v>3072</v>
      </c>
      <c r="G2071" s="25" t="s">
        <v>45</v>
      </c>
      <c r="H2071" s="26">
        <v>20790</v>
      </c>
      <c r="I2071" s="121">
        <v>6237</v>
      </c>
      <c r="J2071" s="31"/>
      <c r="K2071" s="31"/>
      <c r="L2071" s="31"/>
      <c r="M2071" s="31"/>
      <c r="N2071" s="31"/>
      <c r="O2071" s="31"/>
      <c r="P2071" s="31"/>
      <c r="Q2071" s="31"/>
      <c r="R2071" s="31"/>
      <c r="S2071" s="31"/>
      <c r="T2071" s="31"/>
      <c r="U2071" s="31"/>
      <c r="V2071" s="31"/>
      <c r="W2071" s="31"/>
      <c r="X2071" s="31"/>
      <c r="Y2071" s="31"/>
      <c r="Z2071" s="31"/>
      <c r="AA2071" s="31"/>
      <c r="AB2071" s="31"/>
      <c r="AC2071" s="31"/>
      <c r="AD2071" s="31"/>
      <c r="AE2071" s="31"/>
      <c r="AF2071" s="31"/>
      <c r="AG2071" s="31"/>
      <c r="AH2071" s="31"/>
      <c r="AI2071" s="31"/>
      <c r="AJ2071" s="31"/>
      <c r="AK2071" s="31"/>
      <c r="AL2071" s="28" t="str">
        <f>VLOOKUP($G2071,'[42]Sheet1 (2)'!$A$1:$B$1048440,2,FALSE)</f>
        <v>No.</v>
      </c>
      <c r="AM2071" s="32"/>
      <c r="AN2071" s="31"/>
      <c r="AO2071" s="33"/>
    </row>
    <row r="2072" spans="1:41" ht="182" x14ac:dyDescent="0.25">
      <c r="A2072" s="243">
        <v>1892</v>
      </c>
      <c r="B2072" s="25" t="s">
        <v>3277</v>
      </c>
      <c r="C2072" s="22">
        <v>51.67</v>
      </c>
      <c r="D2072" s="25" t="s">
        <v>524</v>
      </c>
      <c r="E2072" s="23" t="s">
        <v>3282</v>
      </c>
      <c r="F2072" s="24" t="s">
        <v>3072</v>
      </c>
      <c r="G2072" s="25" t="s">
        <v>45</v>
      </c>
      <c r="H2072" s="26">
        <v>1633</v>
      </c>
      <c r="I2072" s="26">
        <v>490</v>
      </c>
      <c r="J2072" s="31"/>
      <c r="K2072" s="31"/>
      <c r="L2072" s="31"/>
      <c r="M2072" s="31"/>
      <c r="N2072" s="31"/>
      <c r="O2072" s="31"/>
      <c r="P2072" s="31"/>
      <c r="Q2072" s="31"/>
      <c r="R2072" s="31"/>
      <c r="S2072" s="31"/>
      <c r="T2072" s="31"/>
      <c r="U2072" s="31"/>
      <c r="V2072" s="31"/>
      <c r="W2072" s="31"/>
      <c r="X2072" s="31"/>
      <c r="Y2072" s="31"/>
      <c r="Z2072" s="31"/>
      <c r="AA2072" s="31"/>
      <c r="AB2072" s="31"/>
      <c r="AC2072" s="31"/>
      <c r="AD2072" s="31"/>
      <c r="AE2072" s="31"/>
      <c r="AF2072" s="31"/>
      <c r="AG2072" s="31"/>
      <c r="AH2072" s="31"/>
      <c r="AI2072" s="31"/>
      <c r="AJ2072" s="31"/>
      <c r="AK2072" s="31"/>
      <c r="AL2072" s="28" t="str">
        <f>VLOOKUP($G2072,'[42]Sheet1 (2)'!$A$1:$B$1048440,2,FALSE)</f>
        <v>No.</v>
      </c>
      <c r="AM2072" s="32"/>
      <c r="AN2072" s="31"/>
      <c r="AO2072" s="33"/>
    </row>
    <row r="2073" spans="1:41" ht="224" x14ac:dyDescent="0.25">
      <c r="A2073" s="243">
        <v>1893</v>
      </c>
      <c r="B2073" s="25" t="s">
        <v>3277</v>
      </c>
      <c r="C2073" s="22">
        <v>51.68</v>
      </c>
      <c r="D2073" s="23"/>
      <c r="E2073" s="24" t="s">
        <v>3283</v>
      </c>
      <c r="F2073" s="24" t="s">
        <v>3072</v>
      </c>
      <c r="G2073" s="25" t="s">
        <v>45</v>
      </c>
      <c r="H2073" s="26">
        <v>17418</v>
      </c>
      <c r="I2073" s="26">
        <v>5225</v>
      </c>
      <c r="J2073" s="31"/>
      <c r="K2073" s="31"/>
      <c r="L2073" s="31"/>
      <c r="M2073" s="31"/>
      <c r="N2073" s="31"/>
      <c r="O2073" s="31"/>
      <c r="P2073" s="31"/>
      <c r="Q2073" s="31"/>
      <c r="R2073" s="31"/>
      <c r="S2073" s="31"/>
      <c r="T2073" s="31"/>
      <c r="U2073" s="31"/>
      <c r="V2073" s="31"/>
      <c r="W2073" s="31"/>
      <c r="X2073" s="31"/>
      <c r="Y2073" s="31"/>
      <c r="Z2073" s="31"/>
      <c r="AA2073" s="31"/>
      <c r="AB2073" s="31"/>
      <c r="AC2073" s="31"/>
      <c r="AD2073" s="31"/>
      <c r="AE2073" s="31"/>
      <c r="AF2073" s="31"/>
      <c r="AG2073" s="31"/>
      <c r="AH2073" s="31"/>
      <c r="AI2073" s="31"/>
      <c r="AJ2073" s="31"/>
      <c r="AK2073" s="31"/>
      <c r="AL2073" s="28" t="str">
        <f>VLOOKUP($G2073,'[42]Sheet1 (2)'!$A$1:$B$1048440,2,FALSE)</f>
        <v>No.</v>
      </c>
      <c r="AM2073" s="32"/>
      <c r="AN2073" s="31"/>
      <c r="AO2073" s="33"/>
    </row>
    <row r="2074" spans="1:41" ht="56" x14ac:dyDescent="0.25">
      <c r="A2074" s="243">
        <v>1894</v>
      </c>
      <c r="B2074" s="25" t="s">
        <v>3277</v>
      </c>
      <c r="C2074" s="22">
        <v>51.69</v>
      </c>
      <c r="D2074" s="23"/>
      <c r="E2074" s="24" t="s">
        <v>3284</v>
      </c>
      <c r="F2074" s="24" t="s">
        <v>3072</v>
      </c>
      <c r="G2074" s="25" t="s">
        <v>45</v>
      </c>
      <c r="H2074" s="26">
        <v>22000</v>
      </c>
      <c r="I2074" s="26">
        <v>6600</v>
      </c>
      <c r="J2074" s="31"/>
      <c r="K2074" s="31"/>
      <c r="L2074" s="31"/>
      <c r="M2074" s="31"/>
      <c r="N2074" s="31"/>
      <c r="O2074" s="31"/>
      <c r="P2074" s="31"/>
      <c r="Q2074" s="31"/>
      <c r="R2074" s="31"/>
      <c r="S2074" s="31"/>
      <c r="T2074" s="31"/>
      <c r="U2074" s="31"/>
      <c r="V2074" s="31"/>
      <c r="W2074" s="31"/>
      <c r="X2074" s="31"/>
      <c r="Y2074" s="31"/>
      <c r="Z2074" s="31"/>
      <c r="AA2074" s="31"/>
      <c r="AB2074" s="31"/>
      <c r="AC2074" s="31"/>
      <c r="AD2074" s="31"/>
      <c r="AE2074" s="31"/>
      <c r="AF2074" s="31"/>
      <c r="AG2074" s="31"/>
      <c r="AH2074" s="31"/>
      <c r="AI2074" s="31"/>
      <c r="AJ2074" s="31"/>
      <c r="AK2074" s="31"/>
      <c r="AL2074" s="28" t="str">
        <f>VLOOKUP($G2074,'[42]Sheet1 (2)'!$A$1:$B$1048440,2,FALSE)</f>
        <v>No.</v>
      </c>
      <c r="AM2074" s="32"/>
      <c r="AN2074" s="31"/>
      <c r="AO2074" s="33"/>
    </row>
    <row r="2075" spans="1:41" ht="98" x14ac:dyDescent="0.25">
      <c r="A2075" s="243">
        <v>1895</v>
      </c>
      <c r="B2075" s="25" t="s">
        <v>3277</v>
      </c>
      <c r="C2075" s="22">
        <v>51.7</v>
      </c>
      <c r="D2075" s="23"/>
      <c r="E2075" s="23" t="s">
        <v>3285</v>
      </c>
      <c r="F2075" s="24" t="s">
        <v>3072</v>
      </c>
      <c r="G2075" s="25" t="s">
        <v>45</v>
      </c>
      <c r="H2075" s="26">
        <v>59</v>
      </c>
      <c r="I2075" s="26">
        <v>17</v>
      </c>
      <c r="J2075" s="31"/>
      <c r="K2075" s="31"/>
      <c r="L2075" s="31"/>
      <c r="M2075" s="31"/>
      <c r="N2075" s="31"/>
      <c r="O2075" s="31"/>
      <c r="P2075" s="31"/>
      <c r="Q2075" s="31"/>
      <c r="R2075" s="31"/>
      <c r="S2075" s="31"/>
      <c r="T2075" s="31"/>
      <c r="U2075" s="31"/>
      <c r="V2075" s="31"/>
      <c r="W2075" s="31"/>
      <c r="X2075" s="31"/>
      <c r="Y2075" s="31"/>
      <c r="Z2075" s="31"/>
      <c r="AA2075" s="31"/>
      <c r="AB2075" s="31"/>
      <c r="AC2075" s="31"/>
      <c r="AD2075" s="31"/>
      <c r="AE2075" s="31"/>
      <c r="AF2075" s="31"/>
      <c r="AG2075" s="31"/>
      <c r="AH2075" s="31"/>
      <c r="AI2075" s="31"/>
      <c r="AJ2075" s="31"/>
      <c r="AK2075" s="31"/>
      <c r="AL2075" s="28" t="str">
        <f>VLOOKUP($G2075,'[42]Sheet1 (2)'!$A$1:$B$1048440,2,FALSE)</f>
        <v>No.</v>
      </c>
      <c r="AM2075" s="32"/>
      <c r="AN2075" s="31"/>
      <c r="AO2075" s="33"/>
    </row>
    <row r="2076" spans="1:41" ht="98" x14ac:dyDescent="0.25">
      <c r="A2076" s="243">
        <v>1896</v>
      </c>
      <c r="B2076" s="25" t="s">
        <v>3277</v>
      </c>
      <c r="C2076" s="22">
        <v>51.71</v>
      </c>
      <c r="D2076" s="23"/>
      <c r="E2076" s="24" t="s">
        <v>3286</v>
      </c>
      <c r="F2076" s="24" t="s">
        <v>3072</v>
      </c>
      <c r="G2076" s="25" t="s">
        <v>45</v>
      </c>
      <c r="H2076" s="26">
        <v>293</v>
      </c>
      <c r="I2076" s="26">
        <v>87</v>
      </c>
      <c r="J2076" s="31"/>
      <c r="K2076" s="31"/>
      <c r="L2076" s="31"/>
      <c r="M2076" s="31"/>
      <c r="N2076" s="31"/>
      <c r="O2076" s="31"/>
      <c r="P2076" s="31"/>
      <c r="Q2076" s="31"/>
      <c r="R2076" s="31"/>
      <c r="S2076" s="31"/>
      <c r="T2076" s="31"/>
      <c r="U2076" s="31"/>
      <c r="V2076" s="31"/>
      <c r="W2076" s="31"/>
      <c r="X2076" s="31"/>
      <c r="Y2076" s="31"/>
      <c r="Z2076" s="31"/>
      <c r="AA2076" s="31"/>
      <c r="AB2076" s="31"/>
      <c r="AC2076" s="31"/>
      <c r="AD2076" s="31"/>
      <c r="AE2076" s="31"/>
      <c r="AF2076" s="31"/>
      <c r="AG2076" s="31"/>
      <c r="AH2076" s="31"/>
      <c r="AI2076" s="31"/>
      <c r="AJ2076" s="31"/>
      <c r="AK2076" s="31"/>
      <c r="AL2076" s="28" t="str">
        <f>VLOOKUP($G2076,'[42]Sheet1 (2)'!$A$1:$B$1048440,2,FALSE)</f>
        <v>No.</v>
      </c>
      <c r="AM2076" s="32"/>
      <c r="AN2076" s="31"/>
      <c r="AO2076" s="33"/>
    </row>
    <row r="2077" spans="1:41" ht="56" x14ac:dyDescent="0.25">
      <c r="A2077" s="243">
        <v>1897</v>
      </c>
      <c r="B2077" s="25" t="s">
        <v>3277</v>
      </c>
      <c r="C2077" s="22">
        <v>51.72</v>
      </c>
      <c r="D2077" s="23"/>
      <c r="E2077" s="23" t="s">
        <v>3287</v>
      </c>
      <c r="F2077" s="24" t="s">
        <v>3072</v>
      </c>
      <c r="G2077" s="21" t="s">
        <v>45</v>
      </c>
      <c r="H2077" s="26">
        <v>1500</v>
      </c>
      <c r="I2077" s="103">
        <v>450</v>
      </c>
      <c r="J2077" s="31"/>
      <c r="K2077" s="31"/>
      <c r="L2077" s="31"/>
      <c r="M2077" s="31"/>
      <c r="N2077" s="31"/>
      <c r="O2077" s="31"/>
      <c r="P2077" s="31"/>
      <c r="Q2077" s="31"/>
      <c r="R2077" s="31"/>
      <c r="S2077" s="31"/>
      <c r="T2077" s="31"/>
      <c r="U2077" s="31"/>
      <c r="V2077" s="31"/>
      <c r="W2077" s="31"/>
      <c r="X2077" s="31"/>
      <c r="Y2077" s="31"/>
      <c r="Z2077" s="31"/>
      <c r="AA2077" s="31"/>
      <c r="AB2077" s="31"/>
      <c r="AC2077" s="31"/>
      <c r="AD2077" s="31"/>
      <c r="AE2077" s="31"/>
      <c r="AF2077" s="31"/>
      <c r="AG2077" s="31"/>
      <c r="AH2077" s="31"/>
      <c r="AI2077" s="31"/>
      <c r="AJ2077" s="31"/>
      <c r="AK2077" s="31"/>
      <c r="AL2077" s="28" t="str">
        <f>VLOOKUP($G2077,'[42]Sheet1 (2)'!$A$1:$B$1048440,2,FALSE)</f>
        <v>No.</v>
      </c>
      <c r="AM2077" s="32"/>
      <c r="AN2077" s="31"/>
      <c r="AO2077" s="33"/>
    </row>
    <row r="2078" spans="1:41" ht="168" x14ac:dyDescent="0.25">
      <c r="A2078" s="243">
        <v>1898</v>
      </c>
      <c r="B2078" s="25" t="s">
        <v>3277</v>
      </c>
      <c r="C2078" s="22">
        <v>51.73</v>
      </c>
      <c r="D2078" s="23"/>
      <c r="E2078" s="24" t="s">
        <v>3288</v>
      </c>
      <c r="F2078" s="24" t="s">
        <v>3072</v>
      </c>
      <c r="G2078" s="279" t="s">
        <v>2916</v>
      </c>
      <c r="H2078" s="26">
        <v>694</v>
      </c>
      <c r="I2078" s="103">
        <v>205</v>
      </c>
      <c r="J2078" s="31"/>
      <c r="K2078" s="31"/>
      <c r="L2078" s="31"/>
      <c r="M2078" s="31"/>
      <c r="N2078" s="31"/>
      <c r="O2078" s="31"/>
      <c r="P2078" s="31"/>
      <c r="Q2078" s="31"/>
      <c r="R2078" s="31"/>
      <c r="S2078" s="31"/>
      <c r="T2078" s="31"/>
      <c r="U2078" s="31"/>
      <c r="V2078" s="31"/>
      <c r="W2078" s="31"/>
      <c r="X2078" s="31"/>
      <c r="Y2078" s="31"/>
      <c r="Z2078" s="31"/>
      <c r="AA2078" s="31"/>
      <c r="AB2078" s="31"/>
      <c r="AC2078" s="31"/>
      <c r="AD2078" s="31"/>
      <c r="AE2078" s="31"/>
      <c r="AF2078" s="31"/>
      <c r="AG2078" s="31"/>
      <c r="AH2078" s="31"/>
      <c r="AI2078" s="31"/>
      <c r="AJ2078" s="31"/>
      <c r="AK2078" s="31"/>
      <c r="AL2078" s="28" t="str">
        <f>VLOOKUP($G2078,'[42]Sheet1 (2)'!$A$1:$B$1048440,2,FALSE)</f>
        <v>kg</v>
      </c>
      <c r="AM2078" s="32"/>
      <c r="AN2078" s="31"/>
      <c r="AO2078" s="33"/>
    </row>
    <row r="2079" spans="1:41" ht="140" x14ac:dyDescent="0.25">
      <c r="A2079" s="243">
        <v>1899</v>
      </c>
      <c r="B2079" s="25" t="s">
        <v>3277</v>
      </c>
      <c r="C2079" s="22">
        <v>51.74</v>
      </c>
      <c r="D2079" s="23"/>
      <c r="E2079" s="24" t="s">
        <v>3289</v>
      </c>
      <c r="F2079" s="24" t="s">
        <v>3072</v>
      </c>
      <c r="G2079" s="21" t="s">
        <v>45</v>
      </c>
      <c r="H2079" s="26">
        <v>19750</v>
      </c>
      <c r="I2079" s="121">
        <v>5925</v>
      </c>
      <c r="J2079" s="31"/>
      <c r="K2079" s="31"/>
      <c r="L2079" s="31"/>
      <c r="M2079" s="31"/>
      <c r="N2079" s="31"/>
      <c r="O2079" s="31"/>
      <c r="P2079" s="31"/>
      <c r="Q2079" s="31"/>
      <c r="R2079" s="31"/>
      <c r="S2079" s="31"/>
      <c r="T2079" s="31"/>
      <c r="U2079" s="31"/>
      <c r="V2079" s="31"/>
      <c r="W2079" s="31"/>
      <c r="X2079" s="31"/>
      <c r="Y2079" s="31"/>
      <c r="Z2079" s="31"/>
      <c r="AA2079" s="31"/>
      <c r="AB2079" s="31"/>
      <c r="AC2079" s="31"/>
      <c r="AD2079" s="31"/>
      <c r="AE2079" s="31"/>
      <c r="AF2079" s="31"/>
      <c r="AG2079" s="31"/>
      <c r="AH2079" s="31"/>
      <c r="AI2079" s="31"/>
      <c r="AJ2079" s="31"/>
      <c r="AK2079" s="31"/>
      <c r="AL2079" s="28" t="str">
        <f>VLOOKUP($G2079,'[42]Sheet1 (2)'!$A$1:$B$1048440,2,FALSE)</f>
        <v>No.</v>
      </c>
      <c r="AM2079" s="32"/>
      <c r="AN2079" s="31"/>
      <c r="AO2079" s="33"/>
    </row>
    <row r="2080" spans="1:41" ht="56" x14ac:dyDescent="0.25">
      <c r="A2080" s="243">
        <v>1900</v>
      </c>
      <c r="B2080" s="25" t="s">
        <v>3277</v>
      </c>
      <c r="C2080" s="22">
        <v>51.75</v>
      </c>
      <c r="D2080" s="34"/>
      <c r="E2080" s="23" t="s">
        <v>3290</v>
      </c>
      <c r="F2080" s="35" t="s">
        <v>3174</v>
      </c>
      <c r="G2080" s="21" t="s">
        <v>45</v>
      </c>
      <c r="H2080" s="26">
        <v>7500</v>
      </c>
      <c r="I2080" s="121">
        <v>2250</v>
      </c>
      <c r="J2080" s="31"/>
      <c r="K2080" s="31"/>
      <c r="L2080" s="31"/>
      <c r="M2080" s="31"/>
      <c r="N2080" s="31"/>
      <c r="O2080" s="31"/>
      <c r="P2080" s="31"/>
      <c r="Q2080" s="31"/>
      <c r="R2080" s="31"/>
      <c r="S2080" s="31"/>
      <c r="T2080" s="31"/>
      <c r="U2080" s="31"/>
      <c r="V2080" s="31"/>
      <c r="W2080" s="31"/>
      <c r="X2080" s="31"/>
      <c r="Y2080" s="31"/>
      <c r="Z2080" s="31"/>
      <c r="AA2080" s="31"/>
      <c r="AB2080" s="31"/>
      <c r="AC2080" s="31"/>
      <c r="AD2080" s="31"/>
      <c r="AE2080" s="31"/>
      <c r="AF2080" s="31"/>
      <c r="AG2080" s="31"/>
      <c r="AH2080" s="31"/>
      <c r="AI2080" s="31"/>
      <c r="AJ2080" s="31"/>
      <c r="AK2080" s="31"/>
      <c r="AL2080" s="28" t="str">
        <f>VLOOKUP($G2080,'[42]Sheet1 (2)'!$A$1:$B$1048440,2,FALSE)</f>
        <v>No.</v>
      </c>
      <c r="AM2080" s="32"/>
      <c r="AN2080" s="31"/>
      <c r="AO2080" s="33"/>
    </row>
    <row r="2081" spans="1:41" ht="84" x14ac:dyDescent="0.25">
      <c r="A2081" s="243">
        <v>1901</v>
      </c>
      <c r="B2081" s="25" t="s">
        <v>3277</v>
      </c>
      <c r="C2081" s="22">
        <v>51.76</v>
      </c>
      <c r="D2081" s="23"/>
      <c r="E2081" s="23" t="s">
        <v>3291</v>
      </c>
      <c r="F2081" s="24" t="s">
        <v>3072</v>
      </c>
      <c r="G2081" s="21" t="s">
        <v>45</v>
      </c>
      <c r="H2081" s="26">
        <v>19780</v>
      </c>
      <c r="I2081" s="121">
        <v>5934</v>
      </c>
      <c r="J2081" s="31"/>
      <c r="K2081" s="31"/>
      <c r="L2081" s="31"/>
      <c r="M2081" s="31"/>
      <c r="N2081" s="31"/>
      <c r="O2081" s="31"/>
      <c r="P2081" s="31"/>
      <c r="Q2081" s="31"/>
      <c r="R2081" s="31"/>
      <c r="S2081" s="31"/>
      <c r="T2081" s="31"/>
      <c r="U2081" s="31"/>
      <c r="V2081" s="31"/>
      <c r="W2081" s="31"/>
      <c r="X2081" s="31"/>
      <c r="Y2081" s="31"/>
      <c r="Z2081" s="31"/>
      <c r="AA2081" s="31"/>
      <c r="AB2081" s="31"/>
      <c r="AC2081" s="31"/>
      <c r="AD2081" s="31"/>
      <c r="AE2081" s="31"/>
      <c r="AF2081" s="31"/>
      <c r="AG2081" s="31"/>
      <c r="AH2081" s="31"/>
      <c r="AI2081" s="31"/>
      <c r="AJ2081" s="31"/>
      <c r="AK2081" s="31"/>
      <c r="AL2081" s="28" t="str">
        <f>VLOOKUP($G2081,'[42]Sheet1 (2)'!$A$1:$B$1048440,2,FALSE)</f>
        <v>No.</v>
      </c>
      <c r="AM2081" s="32"/>
      <c r="AN2081" s="31"/>
      <c r="AO2081" s="33"/>
    </row>
    <row r="2082" spans="1:41" ht="56" x14ac:dyDescent="0.25">
      <c r="A2082" s="243">
        <v>1902</v>
      </c>
      <c r="B2082" s="25" t="s">
        <v>3277</v>
      </c>
      <c r="C2082" s="22">
        <v>51.77</v>
      </c>
      <c r="D2082" s="34"/>
      <c r="E2082" s="23" t="s">
        <v>3292</v>
      </c>
      <c r="F2082" s="35" t="s">
        <v>3174</v>
      </c>
      <c r="G2082" s="21" t="s">
        <v>45</v>
      </c>
      <c r="H2082" s="26">
        <v>73500</v>
      </c>
      <c r="I2082" s="121">
        <v>22050</v>
      </c>
      <c r="J2082" s="31"/>
      <c r="K2082" s="31"/>
      <c r="L2082" s="31"/>
      <c r="M2082" s="31"/>
      <c r="N2082" s="31"/>
      <c r="O2082" s="31"/>
      <c r="P2082" s="31"/>
      <c r="Q2082" s="31"/>
      <c r="R2082" s="31"/>
      <c r="S2082" s="31"/>
      <c r="T2082" s="31"/>
      <c r="U2082" s="31"/>
      <c r="V2082" s="31"/>
      <c r="W2082" s="31"/>
      <c r="X2082" s="31"/>
      <c r="Y2082" s="31"/>
      <c r="Z2082" s="31"/>
      <c r="AA2082" s="31"/>
      <c r="AB2082" s="31"/>
      <c r="AC2082" s="31"/>
      <c r="AD2082" s="31"/>
      <c r="AE2082" s="31"/>
      <c r="AF2082" s="31"/>
      <c r="AG2082" s="31"/>
      <c r="AH2082" s="31"/>
      <c r="AI2082" s="31"/>
      <c r="AJ2082" s="31"/>
      <c r="AK2082" s="31"/>
      <c r="AL2082" s="28" t="str">
        <f>VLOOKUP($G2082,'[42]Sheet1 (2)'!$A$1:$B$1048440,2,FALSE)</f>
        <v>No.</v>
      </c>
      <c r="AM2082" s="32"/>
      <c r="AN2082" s="31"/>
      <c r="AO2082" s="33"/>
    </row>
    <row r="2083" spans="1:41" ht="56" x14ac:dyDescent="0.25">
      <c r="A2083" s="243">
        <v>1903</v>
      </c>
      <c r="B2083" s="25" t="s">
        <v>3277</v>
      </c>
      <c r="C2083" s="22">
        <v>51.78</v>
      </c>
      <c r="D2083" s="34"/>
      <c r="E2083" s="23" t="s">
        <v>3293</v>
      </c>
      <c r="F2083" s="35" t="s">
        <v>3174</v>
      </c>
      <c r="G2083" s="21" t="s">
        <v>45</v>
      </c>
      <c r="H2083" s="26">
        <v>23100</v>
      </c>
      <c r="I2083" s="121">
        <v>6930</v>
      </c>
      <c r="J2083" s="31"/>
      <c r="K2083" s="31"/>
      <c r="L2083" s="31"/>
      <c r="M2083" s="31"/>
      <c r="N2083" s="31"/>
      <c r="O2083" s="31"/>
      <c r="P2083" s="31"/>
      <c r="Q2083" s="31"/>
      <c r="R2083" s="31"/>
      <c r="S2083" s="31"/>
      <c r="T2083" s="31"/>
      <c r="U2083" s="31"/>
      <c r="V2083" s="31"/>
      <c r="W2083" s="31"/>
      <c r="X2083" s="31"/>
      <c r="Y2083" s="31"/>
      <c r="Z2083" s="31"/>
      <c r="AA2083" s="31"/>
      <c r="AB2083" s="31"/>
      <c r="AC2083" s="31"/>
      <c r="AD2083" s="31"/>
      <c r="AE2083" s="31"/>
      <c r="AF2083" s="31"/>
      <c r="AG2083" s="31"/>
      <c r="AH2083" s="31"/>
      <c r="AI2083" s="31"/>
      <c r="AJ2083" s="31"/>
      <c r="AK2083" s="31"/>
      <c r="AL2083" s="28" t="str">
        <f>VLOOKUP($G2083,'[42]Sheet1 (2)'!$A$1:$B$1048440,2,FALSE)</f>
        <v>No.</v>
      </c>
      <c r="AM2083" s="32"/>
      <c r="AN2083" s="31"/>
      <c r="AO2083" s="33"/>
    </row>
    <row r="2084" spans="1:41" ht="56" x14ac:dyDescent="0.25">
      <c r="A2084" s="243">
        <v>1904</v>
      </c>
      <c r="B2084" s="25" t="s">
        <v>3277</v>
      </c>
      <c r="C2084" s="22">
        <v>51.79</v>
      </c>
      <c r="D2084" s="23"/>
      <c r="E2084" s="24" t="s">
        <v>3294</v>
      </c>
      <c r="F2084" s="24" t="s">
        <v>3072</v>
      </c>
      <c r="G2084" s="21" t="s">
        <v>45</v>
      </c>
      <c r="H2084" s="26">
        <v>3675</v>
      </c>
      <c r="I2084" s="121">
        <v>1100</v>
      </c>
      <c r="J2084" s="31"/>
      <c r="K2084" s="31"/>
      <c r="L2084" s="31"/>
      <c r="M2084" s="31"/>
      <c r="N2084" s="31"/>
      <c r="O2084" s="31"/>
      <c r="P2084" s="31"/>
      <c r="Q2084" s="31"/>
      <c r="R2084" s="31"/>
      <c r="S2084" s="31"/>
      <c r="T2084" s="31"/>
      <c r="U2084" s="31"/>
      <c r="V2084" s="31"/>
      <c r="W2084" s="31"/>
      <c r="X2084" s="31"/>
      <c r="Y2084" s="31"/>
      <c r="Z2084" s="31"/>
      <c r="AA2084" s="31"/>
      <c r="AB2084" s="31"/>
      <c r="AC2084" s="31"/>
      <c r="AD2084" s="31"/>
      <c r="AE2084" s="31"/>
      <c r="AF2084" s="31"/>
      <c r="AG2084" s="31"/>
      <c r="AH2084" s="31"/>
      <c r="AI2084" s="31"/>
      <c r="AJ2084" s="31"/>
      <c r="AK2084" s="31"/>
      <c r="AL2084" s="28" t="str">
        <f>VLOOKUP($G2084,'[42]Sheet1 (2)'!$A$1:$B$1048440,2,FALSE)</f>
        <v>No.</v>
      </c>
      <c r="AM2084" s="32"/>
      <c r="AN2084" s="31"/>
      <c r="AO2084" s="33"/>
    </row>
    <row r="2085" spans="1:41" ht="56" x14ac:dyDescent="0.25">
      <c r="A2085" s="243">
        <v>1905</v>
      </c>
      <c r="B2085" s="25" t="s">
        <v>3277</v>
      </c>
      <c r="C2085" s="22">
        <v>51.8</v>
      </c>
      <c r="D2085" s="23"/>
      <c r="E2085" s="23" t="s">
        <v>3295</v>
      </c>
      <c r="F2085" s="24" t="s">
        <v>3072</v>
      </c>
      <c r="G2085" s="21" t="s">
        <v>45</v>
      </c>
      <c r="H2085" s="26">
        <v>189</v>
      </c>
      <c r="I2085" s="103">
        <v>56</v>
      </c>
      <c r="J2085" s="31"/>
      <c r="K2085" s="31"/>
      <c r="L2085" s="31"/>
      <c r="M2085" s="31"/>
      <c r="N2085" s="31"/>
      <c r="O2085" s="31"/>
      <c r="P2085" s="31"/>
      <c r="Q2085" s="31"/>
      <c r="R2085" s="31"/>
      <c r="S2085" s="31"/>
      <c r="T2085" s="31"/>
      <c r="U2085" s="31"/>
      <c r="V2085" s="31"/>
      <c r="W2085" s="31"/>
      <c r="X2085" s="31"/>
      <c r="Y2085" s="31"/>
      <c r="Z2085" s="31"/>
      <c r="AA2085" s="31"/>
      <c r="AB2085" s="31"/>
      <c r="AC2085" s="31"/>
      <c r="AD2085" s="31"/>
      <c r="AE2085" s="31"/>
      <c r="AF2085" s="31"/>
      <c r="AG2085" s="31"/>
      <c r="AH2085" s="31"/>
      <c r="AI2085" s="31"/>
      <c r="AJ2085" s="31"/>
      <c r="AK2085" s="31"/>
      <c r="AL2085" s="28" t="str">
        <f>VLOOKUP($G2085,'[42]Sheet1 (2)'!$A$1:$B$1048440,2,FALSE)</f>
        <v>No.</v>
      </c>
      <c r="AM2085" s="32"/>
      <c r="AN2085" s="31"/>
      <c r="AO2085" s="33"/>
    </row>
    <row r="2086" spans="1:41" ht="56" x14ac:dyDescent="0.25">
      <c r="A2086" s="243">
        <v>1906</v>
      </c>
      <c r="B2086" s="25" t="s">
        <v>3277</v>
      </c>
      <c r="C2086" s="22">
        <v>51.81</v>
      </c>
      <c r="D2086" s="23"/>
      <c r="E2086" s="23" t="s">
        <v>3296</v>
      </c>
      <c r="F2086" s="24" t="s">
        <v>3072</v>
      </c>
      <c r="G2086" s="21" t="s">
        <v>80</v>
      </c>
      <c r="H2086" s="26">
        <v>160</v>
      </c>
      <c r="I2086" s="26">
        <v>48</v>
      </c>
      <c r="J2086" s="31"/>
      <c r="K2086" s="31"/>
      <c r="L2086" s="31"/>
      <c r="M2086" s="31"/>
      <c r="N2086" s="31"/>
      <c r="O2086" s="31"/>
      <c r="P2086" s="31"/>
      <c r="Q2086" s="31"/>
      <c r="R2086" s="31"/>
      <c r="S2086" s="31"/>
      <c r="T2086" s="31"/>
      <c r="U2086" s="31"/>
      <c r="V2086" s="31"/>
      <c r="W2086" s="31"/>
      <c r="X2086" s="31"/>
      <c r="Y2086" s="31"/>
      <c r="Z2086" s="31"/>
      <c r="AA2086" s="31"/>
      <c r="AB2086" s="31"/>
      <c r="AC2086" s="31"/>
      <c r="AD2086" s="31"/>
      <c r="AE2086" s="31"/>
      <c r="AF2086" s="31"/>
      <c r="AG2086" s="31"/>
      <c r="AH2086" s="31"/>
      <c r="AI2086" s="31"/>
      <c r="AJ2086" s="31"/>
      <c r="AK2086" s="31"/>
      <c r="AL2086" s="28" t="str">
        <f>VLOOKUP($G2086,'[42]Sheet1 (2)'!$A$1:$B$1048440,2,FALSE)</f>
        <v>Rmt.</v>
      </c>
      <c r="AM2086" s="32"/>
      <c r="AN2086" s="31"/>
      <c r="AO2086" s="33"/>
    </row>
    <row r="2087" spans="1:41" ht="56" x14ac:dyDescent="0.25">
      <c r="A2087" s="243">
        <v>1907</v>
      </c>
      <c r="B2087" s="25" t="s">
        <v>3277</v>
      </c>
      <c r="C2087" s="22">
        <v>51.82</v>
      </c>
      <c r="D2087" s="34"/>
      <c r="E2087" s="23" t="s">
        <v>3297</v>
      </c>
      <c r="F2087" s="35" t="s">
        <v>3174</v>
      </c>
      <c r="G2087" s="25" t="s">
        <v>45</v>
      </c>
      <c r="H2087" s="26">
        <v>8950</v>
      </c>
      <c r="I2087" s="26">
        <v>2685</v>
      </c>
      <c r="J2087" s="31"/>
      <c r="K2087" s="31"/>
      <c r="L2087" s="31"/>
      <c r="M2087" s="31"/>
      <c r="N2087" s="31"/>
      <c r="O2087" s="31"/>
      <c r="P2087" s="31"/>
      <c r="Q2087" s="31"/>
      <c r="R2087" s="31"/>
      <c r="S2087" s="31"/>
      <c r="T2087" s="31"/>
      <c r="U2087" s="31"/>
      <c r="V2087" s="31"/>
      <c r="W2087" s="31"/>
      <c r="X2087" s="31"/>
      <c r="Y2087" s="31"/>
      <c r="Z2087" s="31"/>
      <c r="AA2087" s="31"/>
      <c r="AB2087" s="31"/>
      <c r="AC2087" s="31"/>
      <c r="AD2087" s="31"/>
      <c r="AE2087" s="31"/>
      <c r="AF2087" s="31"/>
      <c r="AG2087" s="31"/>
      <c r="AH2087" s="31"/>
      <c r="AI2087" s="31"/>
      <c r="AJ2087" s="31"/>
      <c r="AK2087" s="31"/>
      <c r="AL2087" s="28" t="str">
        <f>VLOOKUP($G2087,'[42]Sheet1 (2)'!$A$1:$B$1048440,2,FALSE)</f>
        <v>No.</v>
      </c>
      <c r="AM2087" s="32"/>
      <c r="AN2087" s="31"/>
      <c r="AO2087" s="33"/>
    </row>
    <row r="2088" spans="1:41" ht="168" x14ac:dyDescent="0.25">
      <c r="A2088" s="243">
        <v>1908</v>
      </c>
      <c r="B2088" s="25" t="s">
        <v>3277</v>
      </c>
      <c r="C2088" s="22">
        <v>51.83</v>
      </c>
      <c r="D2088" s="23"/>
      <c r="E2088" s="24" t="s">
        <v>3298</v>
      </c>
      <c r="F2088" s="24" t="s">
        <v>3072</v>
      </c>
      <c r="G2088" s="25" t="s">
        <v>45</v>
      </c>
      <c r="H2088" s="26">
        <v>23100</v>
      </c>
      <c r="I2088" s="26">
        <v>6930</v>
      </c>
      <c r="J2088" s="31"/>
      <c r="K2088" s="31"/>
      <c r="L2088" s="31"/>
      <c r="M2088" s="31"/>
      <c r="N2088" s="31"/>
      <c r="O2088" s="31"/>
      <c r="P2088" s="31"/>
      <c r="Q2088" s="31"/>
      <c r="R2088" s="31"/>
      <c r="S2088" s="31"/>
      <c r="T2088" s="31"/>
      <c r="U2088" s="31"/>
      <c r="V2088" s="31"/>
      <c r="W2088" s="31"/>
      <c r="X2088" s="31"/>
      <c r="Y2088" s="31"/>
      <c r="Z2088" s="31"/>
      <c r="AA2088" s="31"/>
      <c r="AB2088" s="31"/>
      <c r="AC2088" s="31"/>
      <c r="AD2088" s="31"/>
      <c r="AE2088" s="31"/>
      <c r="AF2088" s="31"/>
      <c r="AG2088" s="31"/>
      <c r="AH2088" s="31"/>
      <c r="AI2088" s="31"/>
      <c r="AJ2088" s="31"/>
      <c r="AK2088" s="31"/>
      <c r="AL2088" s="28" t="str">
        <f>VLOOKUP($G2088,'[42]Sheet1 (2)'!$A$1:$B$1048440,2,FALSE)</f>
        <v>No.</v>
      </c>
      <c r="AM2088" s="32"/>
      <c r="AN2088" s="31"/>
      <c r="AO2088" s="33"/>
    </row>
    <row r="2089" spans="1:41" ht="210" x14ac:dyDescent="0.25">
      <c r="A2089" s="243">
        <v>1909</v>
      </c>
      <c r="B2089" s="25" t="s">
        <v>3277</v>
      </c>
      <c r="C2089" s="22">
        <v>51.84</v>
      </c>
      <c r="D2089" s="23"/>
      <c r="E2089" s="24" t="s">
        <v>3299</v>
      </c>
      <c r="F2089" s="24" t="s">
        <v>3072</v>
      </c>
      <c r="G2089" s="25" t="s">
        <v>45</v>
      </c>
      <c r="H2089" s="26">
        <v>5969</v>
      </c>
      <c r="I2089" s="26">
        <v>1791</v>
      </c>
      <c r="J2089" s="31"/>
      <c r="K2089" s="31"/>
      <c r="L2089" s="31"/>
      <c r="M2089" s="31"/>
      <c r="N2089" s="31"/>
      <c r="O2089" s="31"/>
      <c r="P2089" s="31"/>
      <c r="Q2089" s="31"/>
      <c r="R2089" s="31"/>
      <c r="S2089" s="31"/>
      <c r="T2089" s="31"/>
      <c r="U2089" s="31"/>
      <c r="V2089" s="31"/>
      <c r="W2089" s="31"/>
      <c r="X2089" s="31"/>
      <c r="Y2089" s="31"/>
      <c r="Z2089" s="31"/>
      <c r="AA2089" s="31"/>
      <c r="AB2089" s="31"/>
      <c r="AC2089" s="31"/>
      <c r="AD2089" s="31"/>
      <c r="AE2089" s="31"/>
      <c r="AF2089" s="31"/>
      <c r="AG2089" s="31"/>
      <c r="AH2089" s="31"/>
      <c r="AI2089" s="31"/>
      <c r="AJ2089" s="31"/>
      <c r="AK2089" s="31"/>
      <c r="AL2089" s="28" t="str">
        <f>VLOOKUP($G2089,'[42]Sheet1 (2)'!$A$1:$B$1048440,2,FALSE)</f>
        <v>No.</v>
      </c>
      <c r="AM2089" s="32"/>
      <c r="AN2089" s="31"/>
      <c r="AO2089" s="33"/>
    </row>
    <row r="2090" spans="1:41" ht="126" x14ac:dyDescent="0.25">
      <c r="A2090" s="243">
        <v>1910</v>
      </c>
      <c r="B2090" s="25" t="s">
        <v>3277</v>
      </c>
      <c r="C2090" s="22">
        <v>51.85</v>
      </c>
      <c r="D2090" s="23"/>
      <c r="E2090" s="24" t="s">
        <v>3300</v>
      </c>
      <c r="F2090" s="24" t="s">
        <v>3072</v>
      </c>
      <c r="G2090" s="21" t="s">
        <v>217</v>
      </c>
      <c r="H2090" s="26">
        <v>1550</v>
      </c>
      <c r="I2090" s="26">
        <v>465</v>
      </c>
      <c r="J2090" s="31"/>
      <c r="K2090" s="31"/>
      <c r="L2090" s="31"/>
      <c r="M2090" s="31"/>
      <c r="N2090" s="31"/>
      <c r="O2090" s="31"/>
      <c r="P2090" s="31"/>
      <c r="Q2090" s="31"/>
      <c r="R2090" s="31"/>
      <c r="S2090" s="31"/>
      <c r="T2090" s="31"/>
      <c r="U2090" s="31"/>
      <c r="V2090" s="31"/>
      <c r="W2090" s="31"/>
      <c r="X2090" s="31"/>
      <c r="Y2090" s="31"/>
      <c r="Z2090" s="31"/>
      <c r="AA2090" s="31"/>
      <c r="AB2090" s="31"/>
      <c r="AC2090" s="31"/>
      <c r="AD2090" s="31"/>
      <c r="AE2090" s="31"/>
      <c r="AF2090" s="31"/>
      <c r="AG2090" s="31"/>
      <c r="AH2090" s="31"/>
      <c r="AI2090" s="31"/>
      <c r="AJ2090" s="31"/>
      <c r="AK2090" s="31"/>
      <c r="AL2090" s="28" t="str">
        <f>VLOOKUP($G2090,'[42]Sheet1 (2)'!$A$1:$B$1048440,2,FALSE)</f>
        <v>Sqm</v>
      </c>
      <c r="AM2090" s="32"/>
      <c r="AN2090" s="31"/>
      <c r="AO2090" s="33"/>
    </row>
    <row r="2091" spans="1:41" ht="126" x14ac:dyDescent="0.25">
      <c r="A2091" s="243">
        <v>1911</v>
      </c>
      <c r="B2091" s="25" t="s">
        <v>3277</v>
      </c>
      <c r="C2091" s="22">
        <v>51.86</v>
      </c>
      <c r="D2091" s="23"/>
      <c r="E2091" s="24" t="s">
        <v>3301</v>
      </c>
      <c r="F2091" s="24" t="s">
        <v>3072</v>
      </c>
      <c r="G2091" s="21" t="s">
        <v>217</v>
      </c>
      <c r="H2091" s="26">
        <v>2200</v>
      </c>
      <c r="I2091" s="26">
        <v>660</v>
      </c>
      <c r="J2091" s="31"/>
      <c r="K2091" s="31"/>
      <c r="L2091" s="31"/>
      <c r="M2091" s="31"/>
      <c r="N2091" s="31"/>
      <c r="O2091" s="31"/>
      <c r="P2091" s="31"/>
      <c r="Q2091" s="31"/>
      <c r="R2091" s="31"/>
      <c r="S2091" s="31"/>
      <c r="T2091" s="31"/>
      <c r="U2091" s="31"/>
      <c r="V2091" s="31"/>
      <c r="W2091" s="31"/>
      <c r="X2091" s="31"/>
      <c r="Y2091" s="31"/>
      <c r="Z2091" s="31"/>
      <c r="AA2091" s="31"/>
      <c r="AB2091" s="31"/>
      <c r="AC2091" s="31"/>
      <c r="AD2091" s="31"/>
      <c r="AE2091" s="31"/>
      <c r="AF2091" s="31"/>
      <c r="AG2091" s="31"/>
      <c r="AH2091" s="31"/>
      <c r="AI2091" s="31"/>
      <c r="AJ2091" s="31"/>
      <c r="AK2091" s="31"/>
      <c r="AL2091" s="28" t="str">
        <f>VLOOKUP($G2091,'[42]Sheet1 (2)'!$A$1:$B$1048440,2,FALSE)</f>
        <v>Sqm</v>
      </c>
      <c r="AM2091" s="32"/>
      <c r="AN2091" s="31"/>
      <c r="AO2091" s="33"/>
    </row>
    <row r="2092" spans="1:41" ht="182" x14ac:dyDescent="0.25">
      <c r="A2092" s="243">
        <v>1912</v>
      </c>
      <c r="B2092" s="25" t="s">
        <v>3277</v>
      </c>
      <c r="C2092" s="22">
        <v>51.87</v>
      </c>
      <c r="D2092" s="23"/>
      <c r="E2092" s="24" t="s">
        <v>3302</v>
      </c>
      <c r="F2092" s="24" t="s">
        <v>3072</v>
      </c>
      <c r="G2092" s="25" t="s">
        <v>45</v>
      </c>
      <c r="H2092" s="26">
        <v>1633</v>
      </c>
      <c r="I2092" s="103">
        <v>490</v>
      </c>
      <c r="J2092" s="31"/>
      <c r="K2092" s="31"/>
      <c r="L2092" s="31"/>
      <c r="M2092" s="31"/>
      <c r="N2092" s="31"/>
      <c r="O2092" s="31"/>
      <c r="P2092" s="31"/>
      <c r="Q2092" s="31"/>
      <c r="R2092" s="31"/>
      <c r="S2092" s="31"/>
      <c r="T2092" s="31"/>
      <c r="U2092" s="31"/>
      <c r="V2092" s="31"/>
      <c r="W2092" s="31"/>
      <c r="X2092" s="31"/>
      <c r="Y2092" s="31"/>
      <c r="Z2092" s="31"/>
      <c r="AA2092" s="31"/>
      <c r="AB2092" s="31"/>
      <c r="AC2092" s="31"/>
      <c r="AD2092" s="31"/>
      <c r="AE2092" s="31"/>
      <c r="AF2092" s="31"/>
      <c r="AG2092" s="31"/>
      <c r="AH2092" s="31"/>
      <c r="AI2092" s="31"/>
      <c r="AJ2092" s="31"/>
      <c r="AK2092" s="31"/>
      <c r="AL2092" s="28" t="str">
        <f>VLOOKUP($G2092,'[42]Sheet1 (2)'!$A$1:$B$1048440,2,FALSE)</f>
        <v>No.</v>
      </c>
      <c r="AM2092" s="32"/>
      <c r="AN2092" s="31"/>
      <c r="AO2092" s="33"/>
    </row>
    <row r="2093" spans="1:41" ht="140" x14ac:dyDescent="0.25">
      <c r="A2093" s="243">
        <v>1913</v>
      </c>
      <c r="B2093" s="25" t="s">
        <v>3277</v>
      </c>
      <c r="C2093" s="22">
        <v>51.88</v>
      </c>
      <c r="D2093" s="25" t="s">
        <v>1879</v>
      </c>
      <c r="E2093" s="24" t="s">
        <v>3303</v>
      </c>
      <c r="F2093" s="24" t="s">
        <v>3072</v>
      </c>
      <c r="G2093" s="25" t="s">
        <v>45</v>
      </c>
      <c r="H2093" s="26">
        <v>3545</v>
      </c>
      <c r="I2093" s="121">
        <v>1064</v>
      </c>
      <c r="J2093" s="31"/>
      <c r="K2093" s="31"/>
      <c r="L2093" s="31"/>
      <c r="M2093" s="31"/>
      <c r="N2093" s="31"/>
      <c r="O2093" s="31"/>
      <c r="P2093" s="31"/>
      <c r="Q2093" s="31"/>
      <c r="R2093" s="31"/>
      <c r="S2093" s="31"/>
      <c r="T2093" s="31"/>
      <c r="U2093" s="31"/>
      <c r="V2093" s="31"/>
      <c r="W2093" s="31"/>
      <c r="X2093" s="31"/>
      <c r="Y2093" s="31"/>
      <c r="Z2093" s="31"/>
      <c r="AA2093" s="31"/>
      <c r="AB2093" s="31"/>
      <c r="AC2093" s="31"/>
      <c r="AD2093" s="31"/>
      <c r="AE2093" s="31"/>
      <c r="AF2093" s="31"/>
      <c r="AG2093" s="31"/>
      <c r="AH2093" s="31"/>
      <c r="AI2093" s="31"/>
      <c r="AJ2093" s="31"/>
      <c r="AK2093" s="31"/>
      <c r="AL2093" s="28" t="str">
        <f>VLOOKUP($G2093,'[42]Sheet1 (2)'!$A$1:$B$1048440,2,FALSE)</f>
        <v>No.</v>
      </c>
      <c r="AM2093" s="32"/>
      <c r="AN2093" s="31"/>
      <c r="AO2093" s="33"/>
    </row>
    <row r="2094" spans="1:41" ht="182" x14ac:dyDescent="0.25">
      <c r="A2094" s="243">
        <v>1914</v>
      </c>
      <c r="B2094" s="25" t="s">
        <v>3277</v>
      </c>
      <c r="C2094" s="22">
        <v>51.89</v>
      </c>
      <c r="D2094" s="23"/>
      <c r="E2094" s="23" t="s">
        <v>3304</v>
      </c>
      <c r="F2094" s="24" t="s">
        <v>3072</v>
      </c>
      <c r="G2094" s="25" t="s">
        <v>45</v>
      </c>
      <c r="H2094" s="26">
        <v>19500</v>
      </c>
      <c r="I2094" s="121">
        <v>5850</v>
      </c>
      <c r="J2094" s="31"/>
      <c r="K2094" s="31"/>
      <c r="L2094" s="31"/>
      <c r="M2094" s="31"/>
      <c r="N2094" s="31"/>
      <c r="O2094" s="31"/>
      <c r="P2094" s="31"/>
      <c r="Q2094" s="31"/>
      <c r="R2094" s="31"/>
      <c r="S2094" s="31"/>
      <c r="T2094" s="31"/>
      <c r="U2094" s="31"/>
      <c r="V2094" s="31"/>
      <c r="W2094" s="31"/>
      <c r="X2094" s="31"/>
      <c r="Y2094" s="31"/>
      <c r="Z2094" s="31"/>
      <c r="AA2094" s="31"/>
      <c r="AB2094" s="31"/>
      <c r="AC2094" s="31"/>
      <c r="AD2094" s="31"/>
      <c r="AE2094" s="31"/>
      <c r="AF2094" s="31"/>
      <c r="AG2094" s="31"/>
      <c r="AH2094" s="31"/>
      <c r="AI2094" s="31"/>
      <c r="AJ2094" s="31"/>
      <c r="AK2094" s="31"/>
      <c r="AL2094" s="28" t="str">
        <f>VLOOKUP($G2094,'[42]Sheet1 (2)'!$A$1:$B$1048440,2,FALSE)</f>
        <v>No.</v>
      </c>
      <c r="AM2094" s="32"/>
      <c r="AN2094" s="31"/>
      <c r="AO2094" s="33"/>
    </row>
    <row r="2095" spans="1:41" ht="112" x14ac:dyDescent="0.25">
      <c r="A2095" s="243">
        <v>1915</v>
      </c>
      <c r="B2095" s="25" t="s">
        <v>3277</v>
      </c>
      <c r="C2095" s="22">
        <v>51.9</v>
      </c>
      <c r="D2095" s="23"/>
      <c r="E2095" s="24" t="s">
        <v>3305</v>
      </c>
      <c r="F2095" s="24" t="s">
        <v>3072</v>
      </c>
      <c r="G2095" s="25" t="s">
        <v>45</v>
      </c>
      <c r="H2095" s="26">
        <v>85640</v>
      </c>
      <c r="I2095" s="121">
        <v>25692</v>
      </c>
      <c r="J2095" s="31"/>
      <c r="K2095" s="31"/>
      <c r="L2095" s="31"/>
      <c r="M2095" s="31"/>
      <c r="N2095" s="31"/>
      <c r="O2095" s="31"/>
      <c r="P2095" s="31"/>
      <c r="Q2095" s="31"/>
      <c r="R2095" s="31"/>
      <c r="S2095" s="31"/>
      <c r="T2095" s="31"/>
      <c r="U2095" s="31"/>
      <c r="V2095" s="31"/>
      <c r="W2095" s="31"/>
      <c r="X2095" s="31"/>
      <c r="Y2095" s="31"/>
      <c r="Z2095" s="31"/>
      <c r="AA2095" s="31"/>
      <c r="AB2095" s="31"/>
      <c r="AC2095" s="31"/>
      <c r="AD2095" s="31"/>
      <c r="AE2095" s="31"/>
      <c r="AF2095" s="31"/>
      <c r="AG2095" s="31"/>
      <c r="AH2095" s="31"/>
      <c r="AI2095" s="31"/>
      <c r="AJ2095" s="31"/>
      <c r="AK2095" s="31"/>
      <c r="AL2095" s="28" t="str">
        <f>VLOOKUP($G2095,'[42]Sheet1 (2)'!$A$1:$B$1048440,2,FALSE)</f>
        <v>No.</v>
      </c>
      <c r="AM2095" s="32"/>
      <c r="AN2095" s="31"/>
      <c r="AO2095" s="33"/>
    </row>
    <row r="2096" spans="1:41" ht="266" x14ac:dyDescent="0.25">
      <c r="A2096" s="243">
        <v>1916</v>
      </c>
      <c r="B2096" s="21" t="s">
        <v>2308</v>
      </c>
      <c r="C2096" s="22">
        <v>51.91</v>
      </c>
      <c r="D2096" s="25" t="s">
        <v>2309</v>
      </c>
      <c r="E2096" s="23" t="s">
        <v>3306</v>
      </c>
      <c r="F2096" s="24" t="s">
        <v>3072</v>
      </c>
      <c r="G2096" s="21" t="s">
        <v>217</v>
      </c>
      <c r="H2096" s="26">
        <v>6368</v>
      </c>
      <c r="I2096" s="26">
        <v>263</v>
      </c>
      <c r="J2096" s="31"/>
      <c r="K2096" s="31"/>
      <c r="L2096" s="31"/>
      <c r="M2096" s="31"/>
      <c r="N2096" s="31"/>
      <c r="O2096" s="31"/>
      <c r="P2096" s="31"/>
      <c r="Q2096" s="31"/>
      <c r="R2096" s="31"/>
      <c r="S2096" s="31"/>
      <c r="T2096" s="31"/>
      <c r="U2096" s="31"/>
      <c r="V2096" s="31"/>
      <c r="W2096" s="31"/>
      <c r="X2096" s="31"/>
      <c r="Y2096" s="31"/>
      <c r="Z2096" s="31"/>
      <c r="AA2096" s="31"/>
      <c r="AB2096" s="31"/>
      <c r="AC2096" s="31"/>
      <c r="AD2096" s="31"/>
      <c r="AE2096" s="31"/>
      <c r="AF2096" s="31"/>
      <c r="AG2096" s="31"/>
      <c r="AH2096" s="31"/>
      <c r="AI2096" s="31"/>
      <c r="AJ2096" s="31"/>
      <c r="AK2096" s="31"/>
      <c r="AL2096" s="28" t="str">
        <f>VLOOKUP($G2096,'[42]Sheet1 (2)'!$A$1:$B$1048440,2,FALSE)</f>
        <v>Sqm</v>
      </c>
      <c r="AM2096" s="32"/>
      <c r="AN2096" s="31"/>
      <c r="AO2096" s="33"/>
    </row>
    <row r="2097" spans="1:41" ht="294" x14ac:dyDescent="0.25">
      <c r="A2097" s="243">
        <v>1917</v>
      </c>
      <c r="B2097" s="21" t="s">
        <v>2308</v>
      </c>
      <c r="C2097" s="22">
        <v>51.92</v>
      </c>
      <c r="D2097" s="25" t="s">
        <v>2309</v>
      </c>
      <c r="E2097" s="23" t="s">
        <v>3307</v>
      </c>
      <c r="F2097" s="24" t="s">
        <v>3072</v>
      </c>
      <c r="G2097" s="21" t="s">
        <v>217</v>
      </c>
      <c r="H2097" s="26">
        <v>6080</v>
      </c>
      <c r="I2097" s="26">
        <v>263</v>
      </c>
      <c r="J2097" s="31"/>
      <c r="K2097" s="31"/>
      <c r="L2097" s="31"/>
      <c r="M2097" s="31"/>
      <c r="N2097" s="31"/>
      <c r="O2097" s="31"/>
      <c r="P2097" s="31"/>
      <c r="Q2097" s="31"/>
      <c r="R2097" s="31"/>
      <c r="S2097" s="31"/>
      <c r="T2097" s="31"/>
      <c r="U2097" s="31"/>
      <c r="V2097" s="31"/>
      <c r="W2097" s="31"/>
      <c r="X2097" s="31"/>
      <c r="Y2097" s="31"/>
      <c r="Z2097" s="31"/>
      <c r="AA2097" s="31"/>
      <c r="AB2097" s="31"/>
      <c r="AC2097" s="31"/>
      <c r="AD2097" s="31"/>
      <c r="AE2097" s="31"/>
      <c r="AF2097" s="31"/>
      <c r="AG2097" s="31"/>
      <c r="AH2097" s="31"/>
      <c r="AI2097" s="31"/>
      <c r="AJ2097" s="31"/>
      <c r="AK2097" s="31"/>
      <c r="AL2097" s="28" t="str">
        <f>VLOOKUP($G2097,'[42]Sheet1 (2)'!$A$1:$B$1048440,2,FALSE)</f>
        <v>Sqm</v>
      </c>
      <c r="AM2097" s="32"/>
      <c r="AN2097" s="31"/>
      <c r="AO2097" s="33"/>
    </row>
    <row r="2098" spans="1:41" ht="294" x14ac:dyDescent="0.25">
      <c r="A2098" s="243">
        <v>1918</v>
      </c>
      <c r="B2098" s="21" t="s">
        <v>2308</v>
      </c>
      <c r="C2098" s="22">
        <v>51.93</v>
      </c>
      <c r="D2098" s="25" t="s">
        <v>2309</v>
      </c>
      <c r="E2098" s="23" t="s">
        <v>3307</v>
      </c>
      <c r="F2098" s="24" t="s">
        <v>3072</v>
      </c>
      <c r="G2098" s="21" t="s">
        <v>217</v>
      </c>
      <c r="H2098" s="26">
        <v>5790</v>
      </c>
      <c r="I2098" s="26">
        <v>263</v>
      </c>
      <c r="J2098" s="31"/>
      <c r="K2098" s="31"/>
      <c r="L2098" s="31"/>
      <c r="M2098" s="31"/>
      <c r="N2098" s="31"/>
      <c r="O2098" s="31"/>
      <c r="P2098" s="31"/>
      <c r="Q2098" s="31"/>
      <c r="R2098" s="31"/>
      <c r="S2098" s="31"/>
      <c r="T2098" s="31"/>
      <c r="U2098" s="31"/>
      <c r="V2098" s="31"/>
      <c r="W2098" s="31"/>
      <c r="X2098" s="31"/>
      <c r="Y2098" s="31"/>
      <c r="Z2098" s="31"/>
      <c r="AA2098" s="31"/>
      <c r="AB2098" s="31"/>
      <c r="AC2098" s="31"/>
      <c r="AD2098" s="31"/>
      <c r="AE2098" s="31"/>
      <c r="AF2098" s="31"/>
      <c r="AG2098" s="31"/>
      <c r="AH2098" s="31"/>
      <c r="AI2098" s="31"/>
      <c r="AJ2098" s="31"/>
      <c r="AK2098" s="31"/>
      <c r="AL2098" s="28" t="str">
        <f>VLOOKUP($G2098,'[42]Sheet1 (2)'!$A$1:$B$1048440,2,FALSE)</f>
        <v>Sqm</v>
      </c>
      <c r="AM2098" s="32"/>
      <c r="AN2098" s="31"/>
      <c r="AO2098" s="33"/>
    </row>
    <row r="2099" spans="1:41" ht="280" x14ac:dyDescent="0.25">
      <c r="A2099" s="243">
        <v>1919</v>
      </c>
      <c r="B2099" s="21" t="s">
        <v>2308</v>
      </c>
      <c r="C2099" s="22">
        <v>51.94</v>
      </c>
      <c r="D2099" s="25" t="s">
        <v>2309</v>
      </c>
      <c r="E2099" s="23" t="s">
        <v>3308</v>
      </c>
      <c r="F2099" s="24" t="s">
        <v>3072</v>
      </c>
      <c r="G2099" s="21" t="s">
        <v>217</v>
      </c>
      <c r="H2099" s="26">
        <v>5509</v>
      </c>
      <c r="I2099" s="26">
        <v>263</v>
      </c>
      <c r="J2099" s="31"/>
      <c r="K2099" s="31"/>
      <c r="L2099" s="31"/>
      <c r="M2099" s="31"/>
      <c r="N2099" s="31"/>
      <c r="O2099" s="31"/>
      <c r="P2099" s="31"/>
      <c r="Q2099" s="31"/>
      <c r="R2099" s="31"/>
      <c r="S2099" s="31"/>
      <c r="T2099" s="31"/>
      <c r="U2099" s="31"/>
      <c r="V2099" s="31"/>
      <c r="W2099" s="31"/>
      <c r="X2099" s="31"/>
      <c r="Y2099" s="31"/>
      <c r="Z2099" s="31"/>
      <c r="AA2099" s="31"/>
      <c r="AB2099" s="31"/>
      <c r="AC2099" s="31"/>
      <c r="AD2099" s="31"/>
      <c r="AE2099" s="31"/>
      <c r="AF2099" s="31"/>
      <c r="AG2099" s="31"/>
      <c r="AH2099" s="31"/>
      <c r="AI2099" s="31"/>
      <c r="AJ2099" s="31"/>
      <c r="AK2099" s="31"/>
      <c r="AL2099" s="28" t="str">
        <f>VLOOKUP($G2099,'[42]Sheet1 (2)'!$A$1:$B$1048440,2,FALSE)</f>
        <v>Sqm</v>
      </c>
      <c r="AM2099" s="32"/>
      <c r="AN2099" s="31"/>
      <c r="AO2099" s="33"/>
    </row>
    <row r="2100" spans="1:41" ht="266" x14ac:dyDescent="0.25">
      <c r="A2100" s="243">
        <v>1920</v>
      </c>
      <c r="B2100" s="21" t="s">
        <v>2308</v>
      </c>
      <c r="C2100" s="22">
        <v>51.95</v>
      </c>
      <c r="D2100" s="25" t="s">
        <v>2309</v>
      </c>
      <c r="E2100" s="23" t="s">
        <v>3309</v>
      </c>
      <c r="F2100" s="24" t="s">
        <v>3072</v>
      </c>
      <c r="G2100" s="21" t="s">
        <v>217</v>
      </c>
      <c r="H2100" s="26">
        <v>5211</v>
      </c>
      <c r="I2100" s="26">
        <v>263</v>
      </c>
      <c r="J2100" s="31"/>
      <c r="K2100" s="31"/>
      <c r="L2100" s="31"/>
      <c r="M2100" s="31"/>
      <c r="N2100" s="31"/>
      <c r="O2100" s="31"/>
      <c r="P2100" s="31"/>
      <c r="Q2100" s="31"/>
      <c r="R2100" s="31"/>
      <c r="S2100" s="31"/>
      <c r="T2100" s="31"/>
      <c r="U2100" s="31"/>
      <c r="V2100" s="31"/>
      <c r="W2100" s="31"/>
      <c r="X2100" s="31"/>
      <c r="Y2100" s="31"/>
      <c r="Z2100" s="31"/>
      <c r="AA2100" s="31"/>
      <c r="AB2100" s="31"/>
      <c r="AC2100" s="31"/>
      <c r="AD2100" s="31"/>
      <c r="AE2100" s="31"/>
      <c r="AF2100" s="31"/>
      <c r="AG2100" s="31"/>
      <c r="AH2100" s="31"/>
      <c r="AI2100" s="31"/>
      <c r="AJ2100" s="31"/>
      <c r="AK2100" s="31"/>
      <c r="AL2100" s="28" t="str">
        <f>VLOOKUP($G2100,'[42]Sheet1 (2)'!$A$1:$B$1048440,2,FALSE)</f>
        <v>Sqm</v>
      </c>
      <c r="AM2100" s="32"/>
      <c r="AN2100" s="31"/>
      <c r="AO2100" s="33"/>
    </row>
    <row r="2101" spans="1:41" ht="252" x14ac:dyDescent="0.25">
      <c r="A2101" s="243">
        <v>1921</v>
      </c>
      <c r="B2101" s="21" t="s">
        <v>2308</v>
      </c>
      <c r="C2101" s="22">
        <v>51.96</v>
      </c>
      <c r="D2101" s="25" t="s">
        <v>2309</v>
      </c>
      <c r="E2101" s="23" t="s">
        <v>3310</v>
      </c>
      <c r="F2101" s="24" t="s">
        <v>3072</v>
      </c>
      <c r="G2101" s="21" t="s">
        <v>217</v>
      </c>
      <c r="H2101" s="26">
        <v>7236</v>
      </c>
      <c r="I2101" s="26">
        <v>263</v>
      </c>
      <c r="J2101" s="31"/>
      <c r="K2101" s="31"/>
      <c r="L2101" s="31"/>
      <c r="M2101" s="31"/>
      <c r="N2101" s="31"/>
      <c r="O2101" s="31"/>
      <c r="P2101" s="31"/>
      <c r="Q2101" s="31"/>
      <c r="R2101" s="31"/>
      <c r="S2101" s="31"/>
      <c r="T2101" s="31"/>
      <c r="U2101" s="31"/>
      <c r="V2101" s="31"/>
      <c r="W2101" s="31"/>
      <c r="X2101" s="31"/>
      <c r="Y2101" s="31"/>
      <c r="Z2101" s="31"/>
      <c r="AA2101" s="31"/>
      <c r="AB2101" s="31"/>
      <c r="AC2101" s="31"/>
      <c r="AD2101" s="31"/>
      <c r="AE2101" s="31"/>
      <c r="AF2101" s="31"/>
      <c r="AG2101" s="31"/>
      <c r="AH2101" s="31"/>
      <c r="AI2101" s="31"/>
      <c r="AJ2101" s="31"/>
      <c r="AK2101" s="31"/>
      <c r="AL2101" s="28" t="str">
        <f>VLOOKUP($G2101,'[42]Sheet1 (2)'!$A$1:$B$1048440,2,FALSE)</f>
        <v>Sqm</v>
      </c>
      <c r="AM2101" s="32"/>
      <c r="AN2101" s="31"/>
      <c r="AO2101" s="33"/>
    </row>
    <row r="2102" spans="1:41" ht="266" x14ac:dyDescent="0.25">
      <c r="A2102" s="243">
        <v>1922</v>
      </c>
      <c r="B2102" s="21" t="s">
        <v>2308</v>
      </c>
      <c r="C2102" s="22">
        <v>51.97</v>
      </c>
      <c r="D2102" s="25" t="s">
        <v>2309</v>
      </c>
      <c r="E2102" s="23" t="s">
        <v>3311</v>
      </c>
      <c r="F2102" s="24" t="s">
        <v>3072</v>
      </c>
      <c r="G2102" s="21" t="s">
        <v>217</v>
      </c>
      <c r="H2102" s="26">
        <v>8686</v>
      </c>
      <c r="I2102" s="26">
        <v>263</v>
      </c>
      <c r="J2102" s="31"/>
      <c r="K2102" s="31"/>
      <c r="L2102" s="31"/>
      <c r="M2102" s="31"/>
      <c r="N2102" s="31"/>
      <c r="O2102" s="31"/>
      <c r="P2102" s="31"/>
      <c r="Q2102" s="31"/>
      <c r="R2102" s="31"/>
      <c r="S2102" s="31"/>
      <c r="T2102" s="31"/>
      <c r="U2102" s="31"/>
      <c r="V2102" s="31"/>
      <c r="W2102" s="31"/>
      <c r="X2102" s="31"/>
      <c r="Y2102" s="31"/>
      <c r="Z2102" s="31"/>
      <c r="AA2102" s="31"/>
      <c r="AB2102" s="31"/>
      <c r="AC2102" s="31"/>
      <c r="AD2102" s="31"/>
      <c r="AE2102" s="31"/>
      <c r="AF2102" s="31"/>
      <c r="AG2102" s="31"/>
      <c r="AH2102" s="31"/>
      <c r="AI2102" s="31"/>
      <c r="AJ2102" s="31"/>
      <c r="AK2102" s="31"/>
      <c r="AL2102" s="28" t="str">
        <f>VLOOKUP($G2102,'[42]Sheet1 (2)'!$A$1:$B$1048440,2,FALSE)</f>
        <v>Sqm</v>
      </c>
      <c r="AM2102" s="32"/>
      <c r="AN2102" s="31"/>
      <c r="AO2102" s="33"/>
    </row>
    <row r="2103" spans="1:41" ht="126" x14ac:dyDescent="0.25">
      <c r="A2103" s="243">
        <v>1923</v>
      </c>
      <c r="B2103" s="21" t="s">
        <v>2308</v>
      </c>
      <c r="C2103" s="22">
        <v>51.98</v>
      </c>
      <c r="D2103" s="25" t="s">
        <v>2309</v>
      </c>
      <c r="E2103" s="23" t="s">
        <v>3312</v>
      </c>
      <c r="F2103" s="24" t="s">
        <v>3072</v>
      </c>
      <c r="G2103" s="21" t="s">
        <v>217</v>
      </c>
      <c r="H2103" s="26">
        <v>5471</v>
      </c>
      <c r="I2103" s="26">
        <v>385</v>
      </c>
      <c r="J2103" s="31"/>
      <c r="K2103" s="31"/>
      <c r="L2103" s="31"/>
      <c r="M2103" s="31"/>
      <c r="N2103" s="31"/>
      <c r="O2103" s="31"/>
      <c r="P2103" s="31"/>
      <c r="Q2103" s="31"/>
      <c r="R2103" s="31"/>
      <c r="S2103" s="31"/>
      <c r="T2103" s="31"/>
      <c r="U2103" s="31"/>
      <c r="V2103" s="31"/>
      <c r="W2103" s="31"/>
      <c r="X2103" s="31"/>
      <c r="Y2103" s="31"/>
      <c r="Z2103" s="31"/>
      <c r="AA2103" s="31"/>
      <c r="AB2103" s="31"/>
      <c r="AC2103" s="31"/>
      <c r="AD2103" s="31"/>
      <c r="AE2103" s="31"/>
      <c r="AF2103" s="31"/>
      <c r="AG2103" s="31"/>
      <c r="AH2103" s="31"/>
      <c r="AI2103" s="31"/>
      <c r="AJ2103" s="31"/>
      <c r="AK2103" s="31"/>
      <c r="AL2103" s="28" t="str">
        <f>VLOOKUP($G2103,'[42]Sheet1 (2)'!$A$1:$B$1048440,2,FALSE)</f>
        <v>Sqm</v>
      </c>
      <c r="AM2103" s="32"/>
      <c r="AN2103" s="31"/>
      <c r="AO2103" s="33"/>
    </row>
    <row r="2104" spans="1:41" ht="252" x14ac:dyDescent="0.25">
      <c r="A2104" s="243">
        <v>1924</v>
      </c>
      <c r="B2104" s="21" t="s">
        <v>2308</v>
      </c>
      <c r="C2104" s="22">
        <v>51.99</v>
      </c>
      <c r="D2104" s="25" t="s">
        <v>2309</v>
      </c>
      <c r="E2104" s="24" t="s">
        <v>3313</v>
      </c>
      <c r="F2104" s="24" t="s">
        <v>3072</v>
      </c>
      <c r="G2104" s="21" t="s">
        <v>217</v>
      </c>
      <c r="H2104" s="26">
        <v>6383</v>
      </c>
      <c r="I2104" s="26">
        <v>385</v>
      </c>
      <c r="J2104" s="31"/>
      <c r="K2104" s="31"/>
      <c r="L2104" s="31"/>
      <c r="M2104" s="31"/>
      <c r="N2104" s="31"/>
      <c r="O2104" s="31"/>
      <c r="P2104" s="31"/>
      <c r="Q2104" s="31"/>
      <c r="R2104" s="31"/>
      <c r="S2104" s="31"/>
      <c r="T2104" s="31"/>
      <c r="U2104" s="31"/>
      <c r="V2104" s="31"/>
      <c r="W2104" s="31"/>
      <c r="X2104" s="31"/>
      <c r="Y2104" s="31"/>
      <c r="Z2104" s="31"/>
      <c r="AA2104" s="31"/>
      <c r="AB2104" s="31"/>
      <c r="AC2104" s="31"/>
      <c r="AD2104" s="31"/>
      <c r="AE2104" s="31"/>
      <c r="AF2104" s="31"/>
      <c r="AG2104" s="31"/>
      <c r="AH2104" s="31"/>
      <c r="AI2104" s="31"/>
      <c r="AJ2104" s="31"/>
      <c r="AK2104" s="31"/>
      <c r="AL2104" s="28" t="str">
        <f>VLOOKUP($G2104,'[42]Sheet1 (2)'!$A$1:$B$1048440,2,FALSE)</f>
        <v>Sqm</v>
      </c>
      <c r="AM2104" s="32"/>
      <c r="AN2104" s="31"/>
      <c r="AO2104" s="33"/>
    </row>
    <row r="2105" spans="1:41" ht="224" x14ac:dyDescent="0.25">
      <c r="A2105" s="243">
        <v>1925</v>
      </c>
      <c r="B2105" s="25" t="s">
        <v>3314</v>
      </c>
      <c r="C2105" s="280">
        <v>51.1</v>
      </c>
      <c r="D2105" s="23"/>
      <c r="E2105" s="24" t="s">
        <v>3315</v>
      </c>
      <c r="F2105" s="24" t="s">
        <v>3072</v>
      </c>
      <c r="G2105" s="21" t="s">
        <v>217</v>
      </c>
      <c r="H2105" s="26">
        <v>3870</v>
      </c>
      <c r="I2105" s="26">
        <v>1150</v>
      </c>
      <c r="J2105" s="31"/>
      <c r="K2105" s="31"/>
      <c r="L2105" s="31"/>
      <c r="M2105" s="31"/>
      <c r="N2105" s="31"/>
      <c r="O2105" s="31"/>
      <c r="P2105" s="31"/>
      <c r="Q2105" s="31"/>
      <c r="R2105" s="31"/>
      <c r="S2105" s="31"/>
      <c r="T2105" s="31"/>
      <c r="U2105" s="31"/>
      <c r="V2105" s="31"/>
      <c r="W2105" s="31"/>
      <c r="X2105" s="31"/>
      <c r="Y2105" s="31"/>
      <c r="Z2105" s="31"/>
      <c r="AA2105" s="31"/>
      <c r="AB2105" s="31"/>
      <c r="AC2105" s="31"/>
      <c r="AD2105" s="31"/>
      <c r="AE2105" s="31"/>
      <c r="AF2105" s="31"/>
      <c r="AG2105" s="31"/>
      <c r="AH2105" s="31"/>
      <c r="AI2105" s="31"/>
      <c r="AJ2105" s="31"/>
      <c r="AK2105" s="31"/>
      <c r="AL2105" s="28" t="str">
        <f>VLOOKUP($G2105,'[42]Sheet1 (2)'!$A$1:$B$1048440,2,FALSE)</f>
        <v>Sqm</v>
      </c>
      <c r="AM2105" s="32"/>
      <c r="AN2105" s="31"/>
      <c r="AO2105" s="33"/>
    </row>
    <row r="2106" spans="1:41" ht="84" x14ac:dyDescent="0.25">
      <c r="A2106" s="243">
        <v>1926</v>
      </c>
      <c r="B2106" s="21" t="s">
        <v>1774</v>
      </c>
      <c r="C2106" s="280">
        <v>51.100999999999999</v>
      </c>
      <c r="D2106" s="25" t="s">
        <v>1835</v>
      </c>
      <c r="E2106" s="23" t="s">
        <v>3316</v>
      </c>
      <c r="F2106" s="24" t="s">
        <v>1662</v>
      </c>
      <c r="G2106" s="21" t="s">
        <v>514</v>
      </c>
      <c r="H2106" s="26">
        <v>538</v>
      </c>
      <c r="I2106" s="26">
        <v>169</v>
      </c>
      <c r="J2106" s="31"/>
      <c r="K2106" s="31"/>
      <c r="L2106" s="31"/>
      <c r="M2106" s="31"/>
      <c r="N2106" s="31"/>
      <c r="O2106" s="31"/>
      <c r="P2106" s="31"/>
      <c r="Q2106" s="31"/>
      <c r="R2106" s="31"/>
      <c r="S2106" s="31"/>
      <c r="T2106" s="31"/>
      <c r="U2106" s="31"/>
      <c r="V2106" s="31"/>
      <c r="W2106" s="31"/>
      <c r="X2106" s="31"/>
      <c r="Y2106" s="31"/>
      <c r="Z2106" s="31"/>
      <c r="AA2106" s="31"/>
      <c r="AB2106" s="31"/>
      <c r="AC2106" s="31"/>
      <c r="AD2106" s="31"/>
      <c r="AE2106" s="31"/>
      <c r="AF2106" s="31"/>
      <c r="AG2106" s="31"/>
      <c r="AH2106" s="31"/>
      <c r="AI2106" s="31"/>
      <c r="AJ2106" s="31"/>
      <c r="AK2106" s="31"/>
      <c r="AL2106" s="28" t="str">
        <f>VLOOKUP($G2106,'[42]Sheet1 (2)'!$A$1:$B$1048440,2,FALSE)</f>
        <v>Sqm</v>
      </c>
      <c r="AM2106" s="32"/>
      <c r="AN2106" s="31"/>
      <c r="AO2106" s="33"/>
    </row>
    <row r="2107" spans="1:41" ht="84" x14ac:dyDescent="0.25">
      <c r="A2107" s="243">
        <v>1927</v>
      </c>
      <c r="B2107" s="21" t="s">
        <v>1774</v>
      </c>
      <c r="C2107" s="280">
        <v>51.101999999999997</v>
      </c>
      <c r="D2107" s="25" t="s">
        <v>1835</v>
      </c>
      <c r="E2107" s="23" t="s">
        <v>3317</v>
      </c>
      <c r="F2107" s="24" t="s">
        <v>1662</v>
      </c>
      <c r="G2107" s="21" t="s">
        <v>514</v>
      </c>
      <c r="H2107" s="26">
        <v>456</v>
      </c>
      <c r="I2107" s="26">
        <v>169</v>
      </c>
      <c r="J2107" s="31"/>
      <c r="K2107" s="31"/>
      <c r="L2107" s="31"/>
      <c r="M2107" s="31"/>
      <c r="N2107" s="31"/>
      <c r="O2107" s="31"/>
      <c r="P2107" s="31"/>
      <c r="Q2107" s="31"/>
      <c r="R2107" s="31"/>
      <c r="S2107" s="31"/>
      <c r="T2107" s="31"/>
      <c r="U2107" s="31"/>
      <c r="V2107" s="31"/>
      <c r="W2107" s="31"/>
      <c r="X2107" s="31"/>
      <c r="Y2107" s="31"/>
      <c r="Z2107" s="31"/>
      <c r="AA2107" s="31"/>
      <c r="AB2107" s="31"/>
      <c r="AC2107" s="31"/>
      <c r="AD2107" s="31"/>
      <c r="AE2107" s="31"/>
      <c r="AF2107" s="31"/>
      <c r="AG2107" s="31"/>
      <c r="AH2107" s="31"/>
      <c r="AI2107" s="31"/>
      <c r="AJ2107" s="31"/>
      <c r="AK2107" s="31"/>
      <c r="AL2107" s="28" t="str">
        <f>VLOOKUP($G2107,'[42]Sheet1 (2)'!$A$1:$B$1048440,2,FALSE)</f>
        <v>Sqm</v>
      </c>
      <c r="AM2107" s="32"/>
      <c r="AN2107" s="31"/>
      <c r="AO2107" s="33"/>
    </row>
    <row r="2108" spans="1:41" ht="70" x14ac:dyDescent="0.25">
      <c r="A2108" s="243">
        <v>1928</v>
      </c>
      <c r="B2108" s="21" t="s">
        <v>1774</v>
      </c>
      <c r="C2108" s="280">
        <v>51.103000000000002</v>
      </c>
      <c r="D2108" s="25" t="s">
        <v>1835</v>
      </c>
      <c r="E2108" s="23" t="s">
        <v>3318</v>
      </c>
      <c r="F2108" s="24" t="s">
        <v>1662</v>
      </c>
      <c r="G2108" s="21" t="s">
        <v>514</v>
      </c>
      <c r="H2108" s="26">
        <v>470</v>
      </c>
      <c r="I2108" s="26">
        <v>169</v>
      </c>
      <c r="J2108" s="31"/>
      <c r="K2108" s="31"/>
      <c r="L2108" s="31"/>
      <c r="M2108" s="31"/>
      <c r="N2108" s="31"/>
      <c r="O2108" s="31"/>
      <c r="P2108" s="31"/>
      <c r="Q2108" s="31"/>
      <c r="R2108" s="31"/>
      <c r="S2108" s="31"/>
      <c r="T2108" s="31"/>
      <c r="U2108" s="31"/>
      <c r="V2108" s="31"/>
      <c r="W2108" s="31"/>
      <c r="X2108" s="31"/>
      <c r="Y2108" s="31"/>
      <c r="Z2108" s="31"/>
      <c r="AA2108" s="31"/>
      <c r="AB2108" s="31"/>
      <c r="AC2108" s="31"/>
      <c r="AD2108" s="31"/>
      <c r="AE2108" s="31"/>
      <c r="AF2108" s="31"/>
      <c r="AG2108" s="31"/>
      <c r="AH2108" s="31"/>
      <c r="AI2108" s="31"/>
      <c r="AJ2108" s="31"/>
      <c r="AK2108" s="31"/>
      <c r="AL2108" s="28" t="str">
        <f>VLOOKUP($G2108,'[42]Sheet1 (2)'!$A$1:$B$1048440,2,FALSE)</f>
        <v>Sqm</v>
      </c>
      <c r="AM2108" s="32"/>
      <c r="AN2108" s="31"/>
      <c r="AO2108" s="33"/>
    </row>
    <row r="2109" spans="1:41" ht="70" x14ac:dyDescent="0.25">
      <c r="A2109" s="243">
        <v>1929</v>
      </c>
      <c r="B2109" s="21" t="s">
        <v>1774</v>
      </c>
      <c r="C2109" s="280">
        <v>51.103999999999999</v>
      </c>
      <c r="D2109" s="25" t="s">
        <v>1835</v>
      </c>
      <c r="E2109" s="23" t="s">
        <v>3319</v>
      </c>
      <c r="F2109" s="24" t="s">
        <v>1662</v>
      </c>
      <c r="G2109" s="21" t="s">
        <v>514</v>
      </c>
      <c r="H2109" s="26">
        <v>484</v>
      </c>
      <c r="I2109" s="26">
        <v>169</v>
      </c>
      <c r="J2109" s="31"/>
      <c r="K2109" s="31"/>
      <c r="L2109" s="31"/>
      <c r="M2109" s="31"/>
      <c r="N2109" s="31"/>
      <c r="O2109" s="31"/>
      <c r="P2109" s="31"/>
      <c r="Q2109" s="31"/>
      <c r="R2109" s="31"/>
      <c r="S2109" s="31"/>
      <c r="T2109" s="31"/>
      <c r="U2109" s="31"/>
      <c r="V2109" s="31"/>
      <c r="W2109" s="31"/>
      <c r="X2109" s="31"/>
      <c r="Y2109" s="31"/>
      <c r="Z2109" s="31"/>
      <c r="AA2109" s="31"/>
      <c r="AB2109" s="31"/>
      <c r="AC2109" s="31"/>
      <c r="AD2109" s="31"/>
      <c r="AE2109" s="31"/>
      <c r="AF2109" s="31"/>
      <c r="AG2109" s="31"/>
      <c r="AH2109" s="31"/>
      <c r="AI2109" s="31"/>
      <c r="AJ2109" s="31"/>
      <c r="AK2109" s="31"/>
      <c r="AL2109" s="28" t="str">
        <f>VLOOKUP($G2109,'[42]Sheet1 (2)'!$A$1:$B$1048440,2,FALSE)</f>
        <v>Sqm</v>
      </c>
      <c r="AM2109" s="32"/>
      <c r="AN2109" s="31"/>
      <c r="AO2109" s="33"/>
    </row>
    <row r="2110" spans="1:41" ht="84" x14ac:dyDescent="0.25">
      <c r="A2110" s="243">
        <v>1930</v>
      </c>
      <c r="B2110" s="21" t="s">
        <v>1774</v>
      </c>
      <c r="C2110" s="280">
        <v>51.104999999999997</v>
      </c>
      <c r="D2110" s="25" t="s">
        <v>1835</v>
      </c>
      <c r="E2110" s="23" t="s">
        <v>3320</v>
      </c>
      <c r="F2110" s="24" t="s">
        <v>1662</v>
      </c>
      <c r="G2110" s="21" t="s">
        <v>514</v>
      </c>
      <c r="H2110" s="26">
        <v>484</v>
      </c>
      <c r="I2110" s="26">
        <v>169</v>
      </c>
      <c r="J2110" s="31"/>
      <c r="K2110" s="31"/>
      <c r="L2110" s="31"/>
      <c r="M2110" s="31"/>
      <c r="N2110" s="31"/>
      <c r="O2110" s="31"/>
      <c r="P2110" s="31"/>
      <c r="Q2110" s="31"/>
      <c r="R2110" s="31"/>
      <c r="S2110" s="31"/>
      <c r="T2110" s="31"/>
      <c r="U2110" s="31"/>
      <c r="V2110" s="31"/>
      <c r="W2110" s="31"/>
      <c r="X2110" s="31"/>
      <c r="Y2110" s="31"/>
      <c r="Z2110" s="31"/>
      <c r="AA2110" s="31"/>
      <c r="AB2110" s="31"/>
      <c r="AC2110" s="31"/>
      <c r="AD2110" s="31"/>
      <c r="AE2110" s="31"/>
      <c r="AF2110" s="31"/>
      <c r="AG2110" s="31"/>
      <c r="AH2110" s="31"/>
      <c r="AI2110" s="31"/>
      <c r="AJ2110" s="31"/>
      <c r="AK2110" s="31"/>
      <c r="AL2110" s="28" t="str">
        <f>VLOOKUP($G2110,'[42]Sheet1 (2)'!$A$1:$B$1048440,2,FALSE)</f>
        <v>Sqm</v>
      </c>
      <c r="AM2110" s="32"/>
      <c r="AN2110" s="31"/>
      <c r="AO2110" s="33"/>
    </row>
    <row r="2111" spans="1:41" ht="84" x14ac:dyDescent="0.25">
      <c r="A2111" s="243">
        <v>1931</v>
      </c>
      <c r="B2111" s="21" t="s">
        <v>1774</v>
      </c>
      <c r="C2111" s="280">
        <v>51.106000000000002</v>
      </c>
      <c r="D2111" s="25" t="s">
        <v>1835</v>
      </c>
      <c r="E2111" s="23" t="s">
        <v>3321</v>
      </c>
      <c r="F2111" s="24" t="s">
        <v>1662</v>
      </c>
      <c r="G2111" s="21" t="s">
        <v>514</v>
      </c>
      <c r="H2111" s="26">
        <v>235</v>
      </c>
      <c r="I2111" s="26">
        <v>80</v>
      </c>
      <c r="J2111" s="31"/>
      <c r="K2111" s="31"/>
      <c r="L2111" s="31"/>
      <c r="M2111" s="31"/>
      <c r="N2111" s="31"/>
      <c r="O2111" s="31"/>
      <c r="P2111" s="31"/>
      <c r="Q2111" s="31"/>
      <c r="R2111" s="31"/>
      <c r="S2111" s="31"/>
      <c r="T2111" s="31"/>
      <c r="U2111" s="31"/>
      <c r="V2111" s="31"/>
      <c r="W2111" s="31"/>
      <c r="X2111" s="31"/>
      <c r="Y2111" s="31"/>
      <c r="Z2111" s="31"/>
      <c r="AA2111" s="31"/>
      <c r="AB2111" s="31"/>
      <c r="AC2111" s="31"/>
      <c r="AD2111" s="31"/>
      <c r="AE2111" s="31"/>
      <c r="AF2111" s="31"/>
      <c r="AG2111" s="31"/>
      <c r="AH2111" s="31"/>
      <c r="AI2111" s="31"/>
      <c r="AJ2111" s="31"/>
      <c r="AK2111" s="31"/>
      <c r="AL2111" s="28" t="str">
        <f>VLOOKUP($G2111,'[42]Sheet1 (2)'!$A$1:$B$1048440,2,FALSE)</f>
        <v>Sqm</v>
      </c>
      <c r="AM2111" s="32"/>
      <c r="AN2111" s="31"/>
      <c r="AO2111" s="33"/>
    </row>
    <row r="2112" spans="1:41" ht="84" x14ac:dyDescent="0.25">
      <c r="A2112" s="243">
        <v>1932</v>
      </c>
      <c r="B2112" s="21" t="s">
        <v>1774</v>
      </c>
      <c r="C2112" s="280">
        <v>51.106999999999999</v>
      </c>
      <c r="D2112" s="25" t="s">
        <v>1835</v>
      </c>
      <c r="E2112" s="23" t="s">
        <v>3322</v>
      </c>
      <c r="F2112" s="24" t="s">
        <v>1662</v>
      </c>
      <c r="G2112" s="21" t="s">
        <v>514</v>
      </c>
      <c r="H2112" s="26">
        <v>249</v>
      </c>
      <c r="I2112" s="26">
        <v>80</v>
      </c>
      <c r="J2112" s="31"/>
      <c r="K2112" s="31"/>
      <c r="L2112" s="31"/>
      <c r="M2112" s="31"/>
      <c r="N2112" s="31"/>
      <c r="O2112" s="31"/>
      <c r="P2112" s="31"/>
      <c r="Q2112" s="31"/>
      <c r="R2112" s="31"/>
      <c r="S2112" s="31"/>
      <c r="T2112" s="31"/>
      <c r="U2112" s="31"/>
      <c r="V2112" s="31"/>
      <c r="W2112" s="31"/>
      <c r="X2112" s="31"/>
      <c r="Y2112" s="31"/>
      <c r="Z2112" s="31"/>
      <c r="AA2112" s="31"/>
      <c r="AB2112" s="31"/>
      <c r="AC2112" s="31"/>
      <c r="AD2112" s="31"/>
      <c r="AE2112" s="31"/>
      <c r="AF2112" s="31"/>
      <c r="AG2112" s="31"/>
      <c r="AH2112" s="31"/>
      <c r="AI2112" s="31"/>
      <c r="AJ2112" s="31"/>
      <c r="AK2112" s="31"/>
      <c r="AL2112" s="28" t="str">
        <f>VLOOKUP($G2112,'[42]Sheet1 (2)'!$A$1:$B$1048440,2,FALSE)</f>
        <v>Sqm</v>
      </c>
      <c r="AM2112" s="32"/>
      <c r="AN2112" s="31"/>
      <c r="AO2112" s="33"/>
    </row>
    <row r="2113" spans="1:41" ht="84" x14ac:dyDescent="0.25">
      <c r="A2113" s="243">
        <v>1933</v>
      </c>
      <c r="B2113" s="21" t="s">
        <v>1774</v>
      </c>
      <c r="C2113" s="280">
        <v>51.107999999999997</v>
      </c>
      <c r="D2113" s="25" t="s">
        <v>1835</v>
      </c>
      <c r="E2113" s="23" t="s">
        <v>3323</v>
      </c>
      <c r="F2113" s="24" t="s">
        <v>1662</v>
      </c>
      <c r="G2113" s="21" t="s">
        <v>514</v>
      </c>
      <c r="H2113" s="26">
        <v>260</v>
      </c>
      <c r="I2113" s="26">
        <v>86</v>
      </c>
      <c r="J2113" s="31"/>
      <c r="K2113" s="31"/>
      <c r="L2113" s="31"/>
      <c r="M2113" s="31"/>
      <c r="N2113" s="31"/>
      <c r="O2113" s="31"/>
      <c r="P2113" s="31"/>
      <c r="Q2113" s="31"/>
      <c r="R2113" s="31"/>
      <c r="S2113" s="31"/>
      <c r="T2113" s="31"/>
      <c r="U2113" s="31"/>
      <c r="V2113" s="31"/>
      <c r="W2113" s="31"/>
      <c r="X2113" s="31"/>
      <c r="Y2113" s="31"/>
      <c r="Z2113" s="31"/>
      <c r="AA2113" s="31"/>
      <c r="AB2113" s="31"/>
      <c r="AC2113" s="31"/>
      <c r="AD2113" s="31"/>
      <c r="AE2113" s="31"/>
      <c r="AF2113" s="31"/>
      <c r="AG2113" s="31"/>
      <c r="AH2113" s="31"/>
      <c r="AI2113" s="31"/>
      <c r="AJ2113" s="31"/>
      <c r="AK2113" s="31"/>
      <c r="AL2113" s="28" t="str">
        <f>VLOOKUP($G2113,'[42]Sheet1 (2)'!$A$1:$B$1048440,2,FALSE)</f>
        <v>Sqm</v>
      </c>
      <c r="AM2113" s="32"/>
      <c r="AN2113" s="31"/>
      <c r="AO2113" s="33"/>
    </row>
    <row r="2114" spans="1:41" ht="84" x14ac:dyDescent="0.25">
      <c r="A2114" s="243">
        <v>1934</v>
      </c>
      <c r="B2114" s="21" t="s">
        <v>1774</v>
      </c>
      <c r="C2114" s="280">
        <v>51.109000000000002</v>
      </c>
      <c r="D2114" s="25" t="s">
        <v>1835</v>
      </c>
      <c r="E2114" s="23" t="s">
        <v>3324</v>
      </c>
      <c r="F2114" s="24" t="s">
        <v>1662</v>
      </c>
      <c r="G2114" s="21" t="s">
        <v>514</v>
      </c>
      <c r="H2114" s="26">
        <v>198</v>
      </c>
      <c r="I2114" s="26">
        <v>60</v>
      </c>
      <c r="J2114" s="31"/>
      <c r="K2114" s="31"/>
      <c r="L2114" s="31"/>
      <c r="M2114" s="31"/>
      <c r="N2114" s="31"/>
      <c r="O2114" s="31"/>
      <c r="P2114" s="31"/>
      <c r="Q2114" s="31"/>
      <c r="R2114" s="31"/>
      <c r="S2114" s="31"/>
      <c r="T2114" s="31"/>
      <c r="U2114" s="31"/>
      <c r="V2114" s="31"/>
      <c r="W2114" s="31"/>
      <c r="X2114" s="31"/>
      <c r="Y2114" s="31"/>
      <c r="Z2114" s="31"/>
      <c r="AA2114" s="31"/>
      <c r="AB2114" s="31"/>
      <c r="AC2114" s="31"/>
      <c r="AD2114" s="31"/>
      <c r="AE2114" s="31"/>
      <c r="AF2114" s="31"/>
      <c r="AG2114" s="31"/>
      <c r="AH2114" s="31"/>
      <c r="AI2114" s="31"/>
      <c r="AJ2114" s="31"/>
      <c r="AK2114" s="31"/>
      <c r="AL2114" s="28" t="str">
        <f>VLOOKUP($G2114,'[42]Sheet1 (2)'!$A$1:$B$1048440,2,FALSE)</f>
        <v>Sqm</v>
      </c>
      <c r="AM2114" s="32"/>
      <c r="AN2114" s="31"/>
      <c r="AO2114" s="33"/>
    </row>
    <row r="2115" spans="1:41" ht="126" x14ac:dyDescent="0.25">
      <c r="A2115" s="243">
        <v>1935</v>
      </c>
      <c r="B2115" s="25" t="s">
        <v>3325</v>
      </c>
      <c r="C2115" s="280">
        <v>51.11</v>
      </c>
      <c r="D2115" s="25" t="s">
        <v>1651</v>
      </c>
      <c r="E2115" s="23" t="s">
        <v>3326</v>
      </c>
      <c r="F2115" s="24" t="s">
        <v>1662</v>
      </c>
      <c r="G2115" s="25" t="s">
        <v>1192</v>
      </c>
      <c r="H2115" s="26">
        <v>7561</v>
      </c>
      <c r="I2115" s="26">
        <v>1283</v>
      </c>
      <c r="J2115" s="31"/>
      <c r="K2115" s="31"/>
      <c r="L2115" s="31"/>
      <c r="M2115" s="31"/>
      <c r="N2115" s="31"/>
      <c r="O2115" s="31"/>
      <c r="P2115" s="31"/>
      <c r="Q2115" s="31"/>
      <c r="R2115" s="31"/>
      <c r="S2115" s="31"/>
      <c r="T2115" s="31"/>
      <c r="U2115" s="31"/>
      <c r="V2115" s="31"/>
      <c r="W2115" s="31"/>
      <c r="X2115" s="31"/>
      <c r="Y2115" s="31"/>
      <c r="Z2115" s="31"/>
      <c r="AA2115" s="31"/>
      <c r="AB2115" s="31"/>
      <c r="AC2115" s="31"/>
      <c r="AD2115" s="31"/>
      <c r="AE2115" s="31"/>
      <c r="AF2115" s="31"/>
      <c r="AG2115" s="31"/>
      <c r="AH2115" s="31"/>
      <c r="AI2115" s="31"/>
      <c r="AJ2115" s="31"/>
      <c r="AK2115" s="31"/>
      <c r="AL2115" s="28" t="str">
        <f>VLOOKUP($G2115,'[42]Sheet1 (2)'!$A$1:$B$1048440,2,FALSE)</f>
        <v>Cum</v>
      </c>
      <c r="AM2115" s="32"/>
      <c r="AN2115" s="31"/>
      <c r="AO2115" s="33"/>
    </row>
    <row r="2116" spans="1:41" ht="84" x14ac:dyDescent="0.25">
      <c r="A2116" s="243">
        <v>1936</v>
      </c>
      <c r="B2116" s="25" t="s">
        <v>2437</v>
      </c>
      <c r="C2116" s="280">
        <v>51.110999999999997</v>
      </c>
      <c r="D2116" s="25" t="s">
        <v>1325</v>
      </c>
      <c r="E2116" s="24" t="s">
        <v>3327</v>
      </c>
      <c r="F2116" s="21" t="s">
        <v>352</v>
      </c>
      <c r="G2116" s="21" t="s">
        <v>80</v>
      </c>
      <c r="H2116" s="26">
        <v>3462</v>
      </c>
      <c r="I2116" s="26">
        <v>1012</v>
      </c>
      <c r="J2116" s="31"/>
      <c r="K2116" s="31"/>
      <c r="L2116" s="31"/>
      <c r="M2116" s="31"/>
      <c r="N2116" s="31"/>
      <c r="O2116" s="31"/>
      <c r="P2116" s="31"/>
      <c r="Q2116" s="31"/>
      <c r="R2116" s="31"/>
      <c r="S2116" s="31"/>
      <c r="T2116" s="31"/>
      <c r="U2116" s="31"/>
      <c r="V2116" s="31"/>
      <c r="W2116" s="31"/>
      <c r="X2116" s="31"/>
      <c r="Y2116" s="31"/>
      <c r="Z2116" s="31"/>
      <c r="AA2116" s="31"/>
      <c r="AB2116" s="31"/>
      <c r="AC2116" s="31"/>
      <c r="AD2116" s="31"/>
      <c r="AE2116" s="31"/>
      <c r="AF2116" s="31"/>
      <c r="AG2116" s="31"/>
      <c r="AH2116" s="31"/>
      <c r="AI2116" s="31"/>
      <c r="AJ2116" s="31"/>
      <c r="AK2116" s="31"/>
      <c r="AL2116" s="28" t="str">
        <f>VLOOKUP($G2116,'[42]Sheet1 (2)'!$A$1:$B$1048440,2,FALSE)</f>
        <v>Rmt.</v>
      </c>
      <c r="AM2116" s="32"/>
      <c r="AN2116" s="31"/>
      <c r="AO2116" s="33"/>
    </row>
    <row r="2117" spans="1:41" ht="294" x14ac:dyDescent="0.25">
      <c r="A2117" s="23"/>
      <c r="B2117" s="24" t="s">
        <v>3199</v>
      </c>
      <c r="C2117" s="240">
        <v>51.112000000000002</v>
      </c>
      <c r="D2117" s="25" t="s">
        <v>1325</v>
      </c>
      <c r="E2117" s="23" t="s">
        <v>3328</v>
      </c>
      <c r="F2117" s="23"/>
      <c r="G2117" s="23"/>
      <c r="H2117" s="23"/>
      <c r="I2117" s="23"/>
      <c r="J2117" s="31"/>
      <c r="K2117" s="31"/>
      <c r="L2117" s="31"/>
      <c r="M2117" s="31"/>
      <c r="N2117" s="31"/>
      <c r="O2117" s="31"/>
      <c r="P2117" s="31"/>
      <c r="Q2117" s="31"/>
      <c r="R2117" s="31"/>
      <c r="S2117" s="31"/>
      <c r="T2117" s="31"/>
      <c r="U2117" s="31"/>
      <c r="V2117" s="31"/>
      <c r="W2117" s="31"/>
      <c r="X2117" s="31"/>
      <c r="Y2117" s="31"/>
      <c r="Z2117" s="31"/>
      <c r="AA2117" s="31"/>
      <c r="AB2117" s="31"/>
      <c r="AC2117" s="31"/>
      <c r="AD2117" s="31"/>
      <c r="AE2117" s="31"/>
      <c r="AF2117" s="31"/>
      <c r="AG2117" s="31"/>
      <c r="AH2117" s="31"/>
      <c r="AI2117" s="31"/>
      <c r="AJ2117" s="31"/>
      <c r="AK2117" s="31"/>
      <c r="AL2117" s="28" t="e">
        <f>VLOOKUP($G2117,'[42]Sheet1 (2)'!$A$1:$B$1048440,2,FALSE)</f>
        <v>#N/A</v>
      </c>
      <c r="AM2117" s="32"/>
      <c r="AN2117" s="31"/>
      <c r="AO2117" s="33"/>
    </row>
    <row r="2118" spans="1:41" ht="98" x14ac:dyDescent="0.25">
      <c r="A2118" s="243">
        <v>1937</v>
      </c>
      <c r="B2118" s="23"/>
      <c r="C2118" s="25" t="s">
        <v>373</v>
      </c>
      <c r="D2118" s="23"/>
      <c r="E2118" s="23" t="s">
        <v>3329</v>
      </c>
      <c r="F2118" s="21" t="s">
        <v>352</v>
      </c>
      <c r="G2118" s="25" t="s">
        <v>45</v>
      </c>
      <c r="H2118" s="121">
        <v>40565</v>
      </c>
      <c r="I2118" s="121">
        <v>4000</v>
      </c>
      <c r="J2118" s="31"/>
      <c r="K2118" s="31"/>
      <c r="L2118" s="31"/>
      <c r="M2118" s="31"/>
      <c r="N2118" s="31"/>
      <c r="O2118" s="31"/>
      <c r="P2118" s="31"/>
      <c r="Q2118" s="31"/>
      <c r="R2118" s="31"/>
      <c r="S2118" s="31"/>
      <c r="T2118" s="31"/>
      <c r="U2118" s="31"/>
      <c r="V2118" s="31"/>
      <c r="W2118" s="31"/>
      <c r="X2118" s="31"/>
      <c r="Y2118" s="31"/>
      <c r="Z2118" s="31"/>
      <c r="AA2118" s="31"/>
      <c r="AB2118" s="31"/>
      <c r="AC2118" s="31"/>
      <c r="AD2118" s="31"/>
      <c r="AE2118" s="31"/>
      <c r="AF2118" s="31"/>
      <c r="AG2118" s="31"/>
      <c r="AH2118" s="31"/>
      <c r="AI2118" s="31"/>
      <c r="AJ2118" s="31"/>
      <c r="AK2118" s="31"/>
      <c r="AL2118" s="28" t="str">
        <f>VLOOKUP($G2118,'[42]Sheet1 (2)'!$A$1:$B$1048440,2,FALSE)</f>
        <v>No.</v>
      </c>
      <c r="AM2118" s="32"/>
      <c r="AN2118" s="31"/>
      <c r="AO2118" s="33"/>
    </row>
    <row r="2119" spans="1:41" ht="98" x14ac:dyDescent="0.25">
      <c r="A2119" s="243">
        <v>1938</v>
      </c>
      <c r="B2119" s="23"/>
      <c r="C2119" s="25" t="s">
        <v>375</v>
      </c>
      <c r="D2119" s="23"/>
      <c r="E2119" s="23" t="s">
        <v>3330</v>
      </c>
      <c r="F2119" s="21" t="s">
        <v>352</v>
      </c>
      <c r="G2119" s="25" t="s">
        <v>45</v>
      </c>
      <c r="H2119" s="121">
        <v>68345</v>
      </c>
      <c r="I2119" s="121">
        <v>6800</v>
      </c>
      <c r="J2119" s="31"/>
      <c r="K2119" s="31"/>
      <c r="L2119" s="31"/>
      <c r="M2119" s="31"/>
      <c r="N2119" s="31"/>
      <c r="O2119" s="31"/>
      <c r="P2119" s="31"/>
      <c r="Q2119" s="31"/>
      <c r="R2119" s="31"/>
      <c r="S2119" s="31"/>
      <c r="T2119" s="31"/>
      <c r="U2119" s="31"/>
      <c r="V2119" s="31"/>
      <c r="W2119" s="31"/>
      <c r="X2119" s="31"/>
      <c r="Y2119" s="31"/>
      <c r="Z2119" s="31"/>
      <c r="AA2119" s="31"/>
      <c r="AB2119" s="31"/>
      <c r="AC2119" s="31"/>
      <c r="AD2119" s="31"/>
      <c r="AE2119" s="31"/>
      <c r="AF2119" s="31"/>
      <c r="AG2119" s="31"/>
      <c r="AH2119" s="31"/>
      <c r="AI2119" s="31"/>
      <c r="AJ2119" s="31"/>
      <c r="AK2119" s="31"/>
      <c r="AL2119" s="28" t="str">
        <f>VLOOKUP($G2119,'[42]Sheet1 (2)'!$A$1:$B$1048440,2,FALSE)</f>
        <v>No.</v>
      </c>
      <c r="AM2119" s="32"/>
      <c r="AN2119" s="31"/>
      <c r="AO2119" s="33"/>
    </row>
    <row r="2120" spans="1:41" ht="112" x14ac:dyDescent="0.25">
      <c r="A2120" s="243">
        <v>1939</v>
      </c>
      <c r="B2120" s="23"/>
      <c r="C2120" s="25" t="s">
        <v>377</v>
      </c>
      <c r="D2120" s="23"/>
      <c r="E2120" s="23" t="s">
        <v>3331</v>
      </c>
      <c r="F2120" s="21" t="s">
        <v>352</v>
      </c>
      <c r="G2120" s="25" t="s">
        <v>45</v>
      </c>
      <c r="H2120" s="121">
        <v>93175</v>
      </c>
      <c r="I2120" s="121">
        <v>9300</v>
      </c>
      <c r="J2120" s="31"/>
      <c r="K2120" s="31"/>
      <c r="L2120" s="31"/>
      <c r="M2120" s="31"/>
      <c r="N2120" s="31"/>
      <c r="O2120" s="31"/>
      <c r="P2120" s="31"/>
      <c r="Q2120" s="31"/>
      <c r="R2120" s="31"/>
      <c r="S2120" s="31"/>
      <c r="T2120" s="31"/>
      <c r="U2120" s="31"/>
      <c r="V2120" s="31"/>
      <c r="W2120" s="31"/>
      <c r="X2120" s="31"/>
      <c r="Y2120" s="31"/>
      <c r="Z2120" s="31"/>
      <c r="AA2120" s="31"/>
      <c r="AB2120" s="31"/>
      <c r="AC2120" s="31"/>
      <c r="AD2120" s="31"/>
      <c r="AE2120" s="31"/>
      <c r="AF2120" s="31"/>
      <c r="AG2120" s="31"/>
      <c r="AH2120" s="31"/>
      <c r="AI2120" s="31"/>
      <c r="AJ2120" s="31"/>
      <c r="AK2120" s="31"/>
      <c r="AL2120" s="28" t="str">
        <f>VLOOKUP($G2120,'[42]Sheet1 (2)'!$A$1:$B$1048440,2,FALSE)</f>
        <v>No.</v>
      </c>
      <c r="AM2120" s="32"/>
      <c r="AN2120" s="31"/>
      <c r="AO2120" s="33"/>
    </row>
    <row r="2121" spans="1:41" ht="98" x14ac:dyDescent="0.25">
      <c r="A2121" s="243">
        <v>1940</v>
      </c>
      <c r="B2121" s="23"/>
      <c r="C2121" s="25" t="s">
        <v>384</v>
      </c>
      <c r="D2121" s="23"/>
      <c r="E2121" s="23" t="s">
        <v>3332</v>
      </c>
      <c r="F2121" s="21" t="s">
        <v>352</v>
      </c>
      <c r="G2121" s="25" t="s">
        <v>45</v>
      </c>
      <c r="H2121" s="26">
        <v>123978</v>
      </c>
      <c r="I2121" s="26">
        <v>12000</v>
      </c>
      <c r="J2121" s="31"/>
      <c r="K2121" s="31"/>
      <c r="L2121" s="31"/>
      <c r="M2121" s="31"/>
      <c r="N2121" s="31"/>
      <c r="O2121" s="31"/>
      <c r="P2121" s="31"/>
      <c r="Q2121" s="31"/>
      <c r="R2121" s="31"/>
      <c r="S2121" s="31"/>
      <c r="T2121" s="31"/>
      <c r="U2121" s="31"/>
      <c r="V2121" s="31"/>
      <c r="W2121" s="31"/>
      <c r="X2121" s="31"/>
      <c r="Y2121" s="31"/>
      <c r="Z2121" s="31"/>
      <c r="AA2121" s="31"/>
      <c r="AB2121" s="31"/>
      <c r="AC2121" s="31"/>
      <c r="AD2121" s="31"/>
      <c r="AE2121" s="31"/>
      <c r="AF2121" s="31"/>
      <c r="AG2121" s="31"/>
      <c r="AH2121" s="31"/>
      <c r="AI2121" s="31"/>
      <c r="AJ2121" s="31"/>
      <c r="AK2121" s="31"/>
      <c r="AL2121" s="28" t="str">
        <f>VLOOKUP($G2121,'[42]Sheet1 (2)'!$A$1:$B$1048440,2,FALSE)</f>
        <v>No.</v>
      </c>
      <c r="AM2121" s="32"/>
      <c r="AN2121" s="31"/>
      <c r="AO2121" s="33"/>
    </row>
    <row r="2122" spans="1:41" ht="98" x14ac:dyDescent="0.25">
      <c r="A2122" s="243">
        <v>1941</v>
      </c>
      <c r="B2122" s="23"/>
      <c r="C2122" s="25" t="s">
        <v>387</v>
      </c>
      <c r="D2122" s="23"/>
      <c r="E2122" s="23" t="s">
        <v>3333</v>
      </c>
      <c r="F2122" s="21" t="s">
        <v>352</v>
      </c>
      <c r="G2122" s="25" t="s">
        <v>45</v>
      </c>
      <c r="H2122" s="26">
        <v>163261</v>
      </c>
      <c r="I2122" s="26">
        <v>16000</v>
      </c>
      <c r="J2122" s="31"/>
      <c r="K2122" s="31"/>
      <c r="L2122" s="31"/>
      <c r="M2122" s="31"/>
      <c r="N2122" s="31"/>
      <c r="O2122" s="31"/>
      <c r="P2122" s="31"/>
      <c r="Q2122" s="31"/>
      <c r="R2122" s="31"/>
      <c r="S2122" s="31"/>
      <c r="T2122" s="31"/>
      <c r="U2122" s="31"/>
      <c r="V2122" s="31"/>
      <c r="W2122" s="31"/>
      <c r="X2122" s="31"/>
      <c r="Y2122" s="31"/>
      <c r="Z2122" s="31"/>
      <c r="AA2122" s="31"/>
      <c r="AB2122" s="31"/>
      <c r="AC2122" s="31"/>
      <c r="AD2122" s="31"/>
      <c r="AE2122" s="31"/>
      <c r="AF2122" s="31"/>
      <c r="AG2122" s="31"/>
      <c r="AH2122" s="31"/>
      <c r="AI2122" s="31"/>
      <c r="AJ2122" s="31"/>
      <c r="AK2122" s="31"/>
      <c r="AL2122" s="28" t="str">
        <f>VLOOKUP($G2122,'[42]Sheet1 (2)'!$A$1:$B$1048440,2,FALSE)</f>
        <v>No.</v>
      </c>
      <c r="AM2122" s="32"/>
      <c r="AN2122" s="31"/>
      <c r="AO2122" s="33"/>
    </row>
    <row r="2123" spans="1:41" ht="98" x14ac:dyDescent="0.25">
      <c r="A2123" s="243">
        <v>1942</v>
      </c>
      <c r="B2123" s="23"/>
      <c r="C2123" s="25" t="s">
        <v>390</v>
      </c>
      <c r="D2123" s="23"/>
      <c r="E2123" s="23" t="s">
        <v>3334</v>
      </c>
      <c r="F2123" s="21" t="s">
        <v>352</v>
      </c>
      <c r="G2123" s="25" t="s">
        <v>45</v>
      </c>
      <c r="H2123" s="26">
        <v>236232</v>
      </c>
      <c r="I2123" s="26">
        <v>23000</v>
      </c>
      <c r="J2123" s="31"/>
      <c r="K2123" s="31"/>
      <c r="L2123" s="31"/>
      <c r="M2123" s="31"/>
      <c r="N2123" s="31"/>
      <c r="O2123" s="31"/>
      <c r="P2123" s="31"/>
      <c r="Q2123" s="31"/>
      <c r="R2123" s="31"/>
      <c r="S2123" s="31"/>
      <c r="T2123" s="31"/>
      <c r="U2123" s="31"/>
      <c r="V2123" s="31"/>
      <c r="W2123" s="31"/>
      <c r="X2123" s="31"/>
      <c r="Y2123" s="31"/>
      <c r="Z2123" s="31"/>
      <c r="AA2123" s="31"/>
      <c r="AB2123" s="31"/>
      <c r="AC2123" s="31"/>
      <c r="AD2123" s="31"/>
      <c r="AE2123" s="31"/>
      <c r="AF2123" s="31"/>
      <c r="AG2123" s="31"/>
      <c r="AH2123" s="31"/>
      <c r="AI2123" s="31"/>
      <c r="AJ2123" s="31"/>
      <c r="AK2123" s="31"/>
      <c r="AL2123" s="28" t="str">
        <f>VLOOKUP($G2123,'[42]Sheet1 (2)'!$A$1:$B$1048440,2,FALSE)</f>
        <v>No.</v>
      </c>
      <c r="AM2123" s="32"/>
      <c r="AN2123" s="31"/>
      <c r="AO2123" s="33"/>
    </row>
    <row r="2124" spans="1:41" ht="98" x14ac:dyDescent="0.25">
      <c r="A2124" s="243">
        <v>1943</v>
      </c>
      <c r="B2124" s="23"/>
      <c r="C2124" s="25" t="s">
        <v>392</v>
      </c>
      <c r="D2124" s="23"/>
      <c r="E2124" s="23" t="s">
        <v>3335</v>
      </c>
      <c r="F2124" s="21" t="s">
        <v>352</v>
      </c>
      <c r="G2124" s="25" t="s">
        <v>45</v>
      </c>
      <c r="H2124" s="26">
        <v>290862</v>
      </c>
      <c r="I2124" s="26">
        <v>29000</v>
      </c>
      <c r="J2124" s="31"/>
      <c r="K2124" s="31"/>
      <c r="L2124" s="31"/>
      <c r="M2124" s="31"/>
      <c r="N2124" s="31"/>
      <c r="O2124" s="31"/>
      <c r="P2124" s="31"/>
      <c r="Q2124" s="31"/>
      <c r="R2124" s="31"/>
      <c r="S2124" s="31"/>
      <c r="T2124" s="31"/>
      <c r="U2124" s="31"/>
      <c r="V2124" s="31"/>
      <c r="W2124" s="31"/>
      <c r="X2124" s="31"/>
      <c r="Y2124" s="31"/>
      <c r="Z2124" s="31"/>
      <c r="AA2124" s="31"/>
      <c r="AB2124" s="31"/>
      <c r="AC2124" s="31"/>
      <c r="AD2124" s="31"/>
      <c r="AE2124" s="31"/>
      <c r="AF2124" s="31"/>
      <c r="AG2124" s="31"/>
      <c r="AH2124" s="31"/>
      <c r="AI2124" s="31"/>
      <c r="AJ2124" s="31"/>
      <c r="AK2124" s="31"/>
      <c r="AL2124" s="28" t="str">
        <f>VLOOKUP($G2124,'[42]Sheet1 (2)'!$A$1:$B$1048440,2,FALSE)</f>
        <v>No.</v>
      </c>
      <c r="AM2124" s="32"/>
      <c r="AN2124" s="31"/>
      <c r="AO2124" s="33"/>
    </row>
    <row r="2125" spans="1:41" ht="98" x14ac:dyDescent="0.25">
      <c r="A2125" s="243">
        <v>1944</v>
      </c>
      <c r="B2125" s="23"/>
      <c r="C2125" s="25" t="s">
        <v>437</v>
      </c>
      <c r="D2125" s="23"/>
      <c r="E2125" s="23" t="s">
        <v>3336</v>
      </c>
      <c r="F2125" s="21" t="s">
        <v>352</v>
      </c>
      <c r="G2125" s="25" t="s">
        <v>45</v>
      </c>
      <c r="H2125" s="26">
        <v>466876</v>
      </c>
      <c r="I2125" s="26">
        <v>46000</v>
      </c>
      <c r="J2125" s="31"/>
      <c r="K2125" s="31"/>
      <c r="L2125" s="31"/>
      <c r="M2125" s="31"/>
      <c r="N2125" s="31"/>
      <c r="O2125" s="31"/>
      <c r="P2125" s="31"/>
      <c r="Q2125" s="31"/>
      <c r="R2125" s="31"/>
      <c r="S2125" s="31"/>
      <c r="T2125" s="31"/>
      <c r="U2125" s="31"/>
      <c r="V2125" s="31"/>
      <c r="W2125" s="31"/>
      <c r="X2125" s="31"/>
      <c r="Y2125" s="31"/>
      <c r="Z2125" s="31"/>
      <c r="AA2125" s="31"/>
      <c r="AB2125" s="31"/>
      <c r="AC2125" s="31"/>
      <c r="AD2125" s="31"/>
      <c r="AE2125" s="31"/>
      <c r="AF2125" s="31"/>
      <c r="AG2125" s="31"/>
      <c r="AH2125" s="31"/>
      <c r="AI2125" s="31"/>
      <c r="AJ2125" s="31"/>
      <c r="AK2125" s="31"/>
      <c r="AL2125" s="28" t="str">
        <f>VLOOKUP($G2125,'[42]Sheet1 (2)'!$A$1:$B$1048440,2,FALSE)</f>
        <v>No.</v>
      </c>
      <c r="AM2125" s="32"/>
      <c r="AN2125" s="31"/>
      <c r="AO2125" s="33"/>
    </row>
    <row r="2126" spans="1:41" ht="98" x14ac:dyDescent="0.25">
      <c r="A2126" s="243">
        <v>1945</v>
      </c>
      <c r="B2126" s="23"/>
      <c r="C2126" s="25" t="s">
        <v>3337</v>
      </c>
      <c r="D2126" s="23"/>
      <c r="E2126" s="23" t="s">
        <v>3338</v>
      </c>
      <c r="F2126" s="21" t="s">
        <v>352</v>
      </c>
      <c r="G2126" s="25" t="s">
        <v>45</v>
      </c>
      <c r="H2126" s="26">
        <v>549936</v>
      </c>
      <c r="I2126" s="26">
        <v>54000</v>
      </c>
      <c r="J2126" s="31"/>
      <c r="K2126" s="31"/>
      <c r="L2126" s="31"/>
      <c r="M2126" s="31"/>
      <c r="N2126" s="31"/>
      <c r="O2126" s="31"/>
      <c r="P2126" s="31"/>
      <c r="Q2126" s="31"/>
      <c r="R2126" s="31"/>
      <c r="S2126" s="31"/>
      <c r="T2126" s="31"/>
      <c r="U2126" s="31"/>
      <c r="V2126" s="31"/>
      <c r="W2126" s="31"/>
      <c r="X2126" s="31"/>
      <c r="Y2126" s="31"/>
      <c r="Z2126" s="31"/>
      <c r="AA2126" s="31"/>
      <c r="AB2126" s="31"/>
      <c r="AC2126" s="31"/>
      <c r="AD2126" s="31"/>
      <c r="AE2126" s="31"/>
      <c r="AF2126" s="31"/>
      <c r="AG2126" s="31"/>
      <c r="AH2126" s="31"/>
      <c r="AI2126" s="31"/>
      <c r="AJ2126" s="31"/>
      <c r="AK2126" s="31"/>
      <c r="AL2126" s="28" t="str">
        <f>VLOOKUP($G2126,'[42]Sheet1 (2)'!$A$1:$B$1048440,2,FALSE)</f>
        <v>No.</v>
      </c>
      <c r="AM2126" s="32"/>
      <c r="AN2126" s="31"/>
      <c r="AO2126" s="33"/>
    </row>
    <row r="2127" spans="1:41" ht="98" x14ac:dyDescent="0.25">
      <c r="A2127" s="243">
        <v>1946</v>
      </c>
      <c r="B2127" s="23"/>
      <c r="C2127" s="25" t="s">
        <v>3339</v>
      </c>
      <c r="D2127" s="23"/>
      <c r="E2127" s="23" t="s">
        <v>3340</v>
      </c>
      <c r="F2127" s="21" t="s">
        <v>352</v>
      </c>
      <c r="G2127" s="25" t="s">
        <v>45</v>
      </c>
      <c r="H2127" s="26">
        <v>689174</v>
      </c>
      <c r="I2127" s="26">
        <v>68000</v>
      </c>
      <c r="J2127" s="31"/>
      <c r="K2127" s="31"/>
      <c r="L2127" s="31"/>
      <c r="M2127" s="31"/>
      <c r="N2127" s="31"/>
      <c r="O2127" s="31"/>
      <c r="P2127" s="31"/>
      <c r="Q2127" s="31"/>
      <c r="R2127" s="31"/>
      <c r="S2127" s="31"/>
      <c r="T2127" s="31"/>
      <c r="U2127" s="31"/>
      <c r="V2127" s="31"/>
      <c r="W2127" s="31"/>
      <c r="X2127" s="31"/>
      <c r="Y2127" s="31"/>
      <c r="Z2127" s="31"/>
      <c r="AA2127" s="31"/>
      <c r="AB2127" s="31"/>
      <c r="AC2127" s="31"/>
      <c r="AD2127" s="31"/>
      <c r="AE2127" s="31"/>
      <c r="AF2127" s="31"/>
      <c r="AG2127" s="31"/>
      <c r="AH2127" s="31"/>
      <c r="AI2127" s="31"/>
      <c r="AJ2127" s="31"/>
      <c r="AK2127" s="31"/>
      <c r="AL2127" s="28" t="str">
        <f>VLOOKUP($G2127,'[42]Sheet1 (2)'!$A$1:$B$1048440,2,FALSE)</f>
        <v>No.</v>
      </c>
      <c r="AM2127" s="32"/>
      <c r="AN2127" s="31"/>
      <c r="AO2127" s="33"/>
    </row>
    <row r="2128" spans="1:41" ht="98" x14ac:dyDescent="0.25">
      <c r="A2128" s="243">
        <v>1947</v>
      </c>
      <c r="B2128" s="23"/>
      <c r="C2128" s="25" t="s">
        <v>3341</v>
      </c>
      <c r="D2128" s="23"/>
      <c r="E2128" s="23" t="s">
        <v>3342</v>
      </c>
      <c r="F2128" s="21" t="s">
        <v>352</v>
      </c>
      <c r="G2128" s="25" t="s">
        <v>45</v>
      </c>
      <c r="H2128" s="26">
        <v>800153</v>
      </c>
      <c r="I2128" s="26">
        <v>80000</v>
      </c>
      <c r="J2128" s="31"/>
      <c r="K2128" s="31"/>
      <c r="L2128" s="31"/>
      <c r="M2128" s="31"/>
      <c r="N2128" s="31"/>
      <c r="O2128" s="31"/>
      <c r="P2128" s="31"/>
      <c r="Q2128" s="31"/>
      <c r="R2128" s="31"/>
      <c r="S2128" s="31"/>
      <c r="T2128" s="31"/>
      <c r="U2128" s="31"/>
      <c r="V2128" s="31"/>
      <c r="W2128" s="31"/>
      <c r="X2128" s="31"/>
      <c r="Y2128" s="31"/>
      <c r="Z2128" s="31"/>
      <c r="AA2128" s="31"/>
      <c r="AB2128" s="31"/>
      <c r="AC2128" s="31"/>
      <c r="AD2128" s="31"/>
      <c r="AE2128" s="31"/>
      <c r="AF2128" s="31"/>
      <c r="AG2128" s="31"/>
      <c r="AH2128" s="31"/>
      <c r="AI2128" s="31"/>
      <c r="AJ2128" s="31"/>
      <c r="AK2128" s="31"/>
      <c r="AL2128" s="28" t="str">
        <f>VLOOKUP($G2128,'[42]Sheet1 (2)'!$A$1:$B$1048440,2,FALSE)</f>
        <v>No.</v>
      </c>
      <c r="AM2128" s="32"/>
      <c r="AN2128" s="31"/>
      <c r="AO2128" s="33"/>
    </row>
    <row r="2129" spans="1:41" ht="98" x14ac:dyDescent="0.25">
      <c r="A2129" s="243">
        <v>1948</v>
      </c>
      <c r="B2129" s="23"/>
      <c r="C2129" s="25" t="s">
        <v>3343</v>
      </c>
      <c r="D2129" s="23"/>
      <c r="E2129" s="23" t="s">
        <v>3344</v>
      </c>
      <c r="F2129" s="21" t="s">
        <v>352</v>
      </c>
      <c r="G2129" s="25" t="s">
        <v>45</v>
      </c>
      <c r="H2129" s="26">
        <v>1081250</v>
      </c>
      <c r="I2129" s="26">
        <v>100000</v>
      </c>
      <c r="J2129" s="31"/>
      <c r="K2129" s="31"/>
      <c r="L2129" s="31"/>
      <c r="M2129" s="31"/>
      <c r="N2129" s="31"/>
      <c r="O2129" s="31"/>
      <c r="P2129" s="31"/>
      <c r="Q2129" s="31"/>
      <c r="R2129" s="31"/>
      <c r="S2129" s="31"/>
      <c r="T2129" s="31"/>
      <c r="U2129" s="31"/>
      <c r="V2129" s="31"/>
      <c r="W2129" s="31"/>
      <c r="X2129" s="31"/>
      <c r="Y2129" s="31"/>
      <c r="Z2129" s="31"/>
      <c r="AA2129" s="31"/>
      <c r="AB2129" s="31"/>
      <c r="AC2129" s="31"/>
      <c r="AD2129" s="31"/>
      <c r="AE2129" s="31"/>
      <c r="AF2129" s="31"/>
      <c r="AG2129" s="31"/>
      <c r="AH2129" s="31"/>
      <c r="AI2129" s="31"/>
      <c r="AJ2129" s="31"/>
      <c r="AK2129" s="31"/>
      <c r="AL2129" s="28" t="str">
        <f>VLOOKUP($G2129,'[42]Sheet1 (2)'!$A$1:$B$1048440,2,FALSE)</f>
        <v>No.</v>
      </c>
      <c r="AM2129" s="32"/>
      <c r="AN2129" s="31"/>
      <c r="AO2129" s="33"/>
    </row>
    <row r="2130" spans="1:41" ht="266" x14ac:dyDescent="0.25">
      <c r="A2130" s="243">
        <v>1949</v>
      </c>
      <c r="B2130" s="25" t="s">
        <v>3345</v>
      </c>
      <c r="C2130" s="240">
        <v>51.113</v>
      </c>
      <c r="D2130" s="25" t="s">
        <v>1751</v>
      </c>
      <c r="E2130" s="23" t="s">
        <v>3346</v>
      </c>
      <c r="F2130" s="21" t="s">
        <v>352</v>
      </c>
      <c r="G2130" s="21" t="s">
        <v>514</v>
      </c>
      <c r="H2130" s="26">
        <v>853</v>
      </c>
      <c r="I2130" s="26">
        <v>257</v>
      </c>
      <c r="J2130" s="31"/>
      <c r="K2130" s="31"/>
      <c r="L2130" s="31"/>
      <c r="M2130" s="31"/>
      <c r="N2130" s="31"/>
      <c r="O2130" s="31"/>
      <c r="P2130" s="31"/>
      <c r="Q2130" s="31"/>
      <c r="R2130" s="31"/>
      <c r="S2130" s="31"/>
      <c r="T2130" s="31"/>
      <c r="U2130" s="31"/>
      <c r="V2130" s="31"/>
      <c r="W2130" s="31"/>
      <c r="X2130" s="31"/>
      <c r="Y2130" s="31"/>
      <c r="Z2130" s="31"/>
      <c r="AA2130" s="31"/>
      <c r="AB2130" s="31"/>
      <c r="AC2130" s="31"/>
      <c r="AD2130" s="31"/>
      <c r="AE2130" s="31"/>
      <c r="AF2130" s="31"/>
      <c r="AG2130" s="31"/>
      <c r="AH2130" s="31"/>
      <c r="AI2130" s="31"/>
      <c r="AJ2130" s="31"/>
      <c r="AK2130" s="31"/>
      <c r="AL2130" s="28" t="str">
        <f>VLOOKUP($G2130,'[42]Sheet1 (2)'!$A$1:$B$1048440,2,FALSE)</f>
        <v>Sqm</v>
      </c>
      <c r="AM2130" s="32"/>
      <c r="AN2130" s="31"/>
      <c r="AO2130" s="33"/>
    </row>
    <row r="2131" spans="1:41" ht="133.5" customHeight="1" x14ac:dyDescent="0.25">
      <c r="A2131" s="243">
        <v>1950</v>
      </c>
      <c r="B2131" s="25" t="s">
        <v>3345</v>
      </c>
      <c r="C2131" s="240">
        <v>51.113999999999997</v>
      </c>
      <c r="D2131" s="25" t="s">
        <v>1751</v>
      </c>
      <c r="E2131" s="24" t="s">
        <v>3347</v>
      </c>
      <c r="F2131" s="21" t="s">
        <v>352</v>
      </c>
      <c r="G2131" s="21" t="s">
        <v>514</v>
      </c>
      <c r="H2131" s="26">
        <v>678</v>
      </c>
      <c r="I2131" s="26">
        <v>115</v>
      </c>
      <c r="J2131" s="31"/>
      <c r="K2131" s="31"/>
      <c r="L2131" s="31"/>
      <c r="M2131" s="31"/>
      <c r="N2131" s="31"/>
      <c r="O2131" s="31"/>
      <c r="P2131" s="31"/>
      <c r="Q2131" s="31"/>
      <c r="R2131" s="31"/>
      <c r="S2131" s="31"/>
      <c r="T2131" s="31"/>
      <c r="U2131" s="31"/>
      <c r="V2131" s="31"/>
      <c r="W2131" s="31"/>
      <c r="X2131" s="31"/>
      <c r="Y2131" s="31"/>
      <c r="Z2131" s="31"/>
      <c r="AA2131" s="31"/>
      <c r="AB2131" s="31"/>
      <c r="AC2131" s="31"/>
      <c r="AD2131" s="31"/>
      <c r="AE2131" s="31"/>
      <c r="AF2131" s="31"/>
      <c r="AG2131" s="31"/>
      <c r="AH2131" s="31"/>
      <c r="AI2131" s="31"/>
      <c r="AJ2131" s="31"/>
      <c r="AK2131" s="31"/>
      <c r="AL2131" s="28" t="str">
        <f>VLOOKUP($G2131,'[42]Sheet1 (2)'!$A$1:$B$1048440,2,FALSE)</f>
        <v>Sqm</v>
      </c>
      <c r="AM2131" s="32"/>
      <c r="AN2131" s="31"/>
      <c r="AO2131" s="33"/>
    </row>
    <row r="2132" spans="1:41" ht="126" x14ac:dyDescent="0.25">
      <c r="A2132" s="243">
        <v>1951</v>
      </c>
      <c r="B2132" s="25" t="s">
        <v>3345</v>
      </c>
      <c r="C2132" s="280">
        <v>51.115000000000002</v>
      </c>
      <c r="D2132" s="25" t="s">
        <v>1751</v>
      </c>
      <c r="E2132" s="24" t="s">
        <v>3348</v>
      </c>
      <c r="F2132" s="21" t="s">
        <v>352</v>
      </c>
      <c r="G2132" s="21" t="s">
        <v>514</v>
      </c>
      <c r="H2132" s="26">
        <v>390</v>
      </c>
      <c r="I2132" s="26">
        <v>193</v>
      </c>
      <c r="J2132" s="31"/>
      <c r="K2132" s="31"/>
      <c r="L2132" s="31"/>
      <c r="M2132" s="31"/>
      <c r="N2132" s="31"/>
      <c r="O2132" s="31"/>
      <c r="P2132" s="31"/>
      <c r="Q2132" s="31"/>
      <c r="R2132" s="31"/>
      <c r="S2132" s="31"/>
      <c r="T2132" s="31"/>
      <c r="U2132" s="31"/>
      <c r="V2132" s="31"/>
      <c r="W2132" s="31"/>
      <c r="X2132" s="31"/>
      <c r="Y2132" s="31"/>
      <c r="Z2132" s="31"/>
      <c r="AA2132" s="31"/>
      <c r="AB2132" s="31"/>
      <c r="AC2132" s="31"/>
      <c r="AD2132" s="31"/>
      <c r="AE2132" s="31"/>
      <c r="AF2132" s="31"/>
      <c r="AG2132" s="31"/>
      <c r="AH2132" s="31"/>
      <c r="AI2132" s="31"/>
      <c r="AJ2132" s="31"/>
      <c r="AK2132" s="31"/>
      <c r="AL2132" s="28" t="str">
        <f>VLOOKUP($G2132,'[42]Sheet1 (2)'!$A$1:$B$1048440,2,FALSE)</f>
        <v>Sqm</v>
      </c>
      <c r="AM2132" s="32"/>
      <c r="AN2132" s="31"/>
      <c r="AO2132" s="33"/>
    </row>
    <row r="2133" spans="1:41" ht="84" x14ac:dyDescent="0.25">
      <c r="A2133" s="243">
        <v>1952</v>
      </c>
      <c r="B2133" s="25" t="s">
        <v>3275</v>
      </c>
      <c r="C2133" s="280">
        <v>51.116</v>
      </c>
      <c r="D2133" s="25" t="s">
        <v>1835</v>
      </c>
      <c r="E2133" s="23" t="s">
        <v>3349</v>
      </c>
      <c r="F2133" s="21" t="s">
        <v>352</v>
      </c>
      <c r="G2133" s="21" t="s">
        <v>514</v>
      </c>
      <c r="H2133" s="26">
        <v>557</v>
      </c>
      <c r="I2133" s="26">
        <v>0</v>
      </c>
      <c r="J2133" s="31"/>
      <c r="K2133" s="31"/>
      <c r="L2133" s="31"/>
      <c r="M2133" s="31"/>
      <c r="N2133" s="31"/>
      <c r="O2133" s="31"/>
      <c r="P2133" s="31"/>
      <c r="Q2133" s="31"/>
      <c r="R2133" s="31"/>
      <c r="S2133" s="31"/>
      <c r="T2133" s="31"/>
      <c r="U2133" s="31"/>
      <c r="V2133" s="31"/>
      <c r="W2133" s="31"/>
      <c r="X2133" s="31"/>
      <c r="Y2133" s="31"/>
      <c r="Z2133" s="31"/>
      <c r="AA2133" s="31"/>
      <c r="AB2133" s="31"/>
      <c r="AC2133" s="31"/>
      <c r="AD2133" s="31"/>
      <c r="AE2133" s="31"/>
      <c r="AF2133" s="31"/>
      <c r="AG2133" s="31"/>
      <c r="AH2133" s="31"/>
      <c r="AI2133" s="31"/>
      <c r="AJ2133" s="31"/>
      <c r="AK2133" s="31"/>
      <c r="AL2133" s="28" t="str">
        <f>VLOOKUP($G2133,'[42]Sheet1 (2)'!$A$1:$B$1048440,2,FALSE)</f>
        <v>Sqm</v>
      </c>
      <c r="AM2133" s="32"/>
      <c r="AN2133" s="31"/>
      <c r="AO2133" s="33"/>
    </row>
    <row r="2134" spans="1:41" ht="84" x14ac:dyDescent="0.25">
      <c r="A2134" s="243">
        <v>1953</v>
      </c>
      <c r="B2134" s="25" t="s">
        <v>3275</v>
      </c>
      <c r="C2134" s="280">
        <v>51.116999999999997</v>
      </c>
      <c r="D2134" s="25" t="s">
        <v>1835</v>
      </c>
      <c r="E2134" s="23" t="s">
        <v>3350</v>
      </c>
      <c r="F2134" s="21" t="s">
        <v>352</v>
      </c>
      <c r="G2134" s="21" t="s">
        <v>514</v>
      </c>
      <c r="H2134" s="26">
        <v>238</v>
      </c>
      <c r="I2134" s="26">
        <v>82</v>
      </c>
      <c r="J2134" s="31"/>
      <c r="K2134" s="31"/>
      <c r="L2134" s="31"/>
      <c r="M2134" s="31"/>
      <c r="N2134" s="31"/>
      <c r="O2134" s="31"/>
      <c r="P2134" s="31"/>
      <c r="Q2134" s="31"/>
      <c r="R2134" s="31"/>
      <c r="S2134" s="31"/>
      <c r="T2134" s="31"/>
      <c r="U2134" s="31"/>
      <c r="V2134" s="31"/>
      <c r="W2134" s="31"/>
      <c r="X2134" s="31"/>
      <c r="Y2134" s="31"/>
      <c r="Z2134" s="31"/>
      <c r="AA2134" s="31"/>
      <c r="AB2134" s="31"/>
      <c r="AC2134" s="31"/>
      <c r="AD2134" s="31"/>
      <c r="AE2134" s="31"/>
      <c r="AF2134" s="31"/>
      <c r="AG2134" s="31"/>
      <c r="AH2134" s="31"/>
      <c r="AI2134" s="31"/>
      <c r="AJ2134" s="31"/>
      <c r="AK2134" s="31"/>
      <c r="AL2134" s="28" t="str">
        <f>VLOOKUP($G2134,'[42]Sheet1 (2)'!$A$1:$B$1048440,2,FALSE)</f>
        <v>Sqm</v>
      </c>
      <c r="AM2134" s="32"/>
      <c r="AN2134" s="31"/>
      <c r="AO2134" s="33"/>
    </row>
    <row r="2135" spans="1:41" ht="84" x14ac:dyDescent="0.25">
      <c r="A2135" s="243">
        <v>1954</v>
      </c>
      <c r="B2135" s="25" t="s">
        <v>3275</v>
      </c>
      <c r="C2135" s="280">
        <v>51.118000000000002</v>
      </c>
      <c r="D2135" s="25" t="s">
        <v>1835</v>
      </c>
      <c r="E2135" s="23" t="s">
        <v>3351</v>
      </c>
      <c r="F2135" s="21" t="s">
        <v>352</v>
      </c>
      <c r="G2135" s="21" t="s">
        <v>514</v>
      </c>
      <c r="H2135" s="26">
        <v>417</v>
      </c>
      <c r="I2135" s="26">
        <v>156</v>
      </c>
      <c r="J2135" s="31"/>
      <c r="K2135" s="31"/>
      <c r="L2135" s="31"/>
      <c r="M2135" s="31"/>
      <c r="N2135" s="31"/>
      <c r="O2135" s="31"/>
      <c r="P2135" s="31"/>
      <c r="Q2135" s="31"/>
      <c r="R2135" s="31"/>
      <c r="S2135" s="31"/>
      <c r="T2135" s="31"/>
      <c r="U2135" s="31"/>
      <c r="V2135" s="31"/>
      <c r="W2135" s="31"/>
      <c r="X2135" s="31"/>
      <c r="Y2135" s="31"/>
      <c r="Z2135" s="31"/>
      <c r="AA2135" s="31"/>
      <c r="AB2135" s="31"/>
      <c r="AC2135" s="31"/>
      <c r="AD2135" s="31"/>
      <c r="AE2135" s="31"/>
      <c r="AF2135" s="31"/>
      <c r="AG2135" s="31"/>
      <c r="AH2135" s="31"/>
      <c r="AI2135" s="31"/>
      <c r="AJ2135" s="31"/>
      <c r="AK2135" s="31"/>
      <c r="AL2135" s="28" t="str">
        <f>VLOOKUP($G2135,'[42]Sheet1 (2)'!$A$1:$B$1048440,2,FALSE)</f>
        <v>Sqm</v>
      </c>
      <c r="AM2135" s="32"/>
      <c r="AN2135" s="31"/>
      <c r="AO2135" s="33"/>
    </row>
    <row r="2136" spans="1:41" ht="140" x14ac:dyDescent="0.25">
      <c r="A2136" s="243">
        <v>1955</v>
      </c>
      <c r="B2136" s="25" t="s">
        <v>3325</v>
      </c>
      <c r="C2136" s="280">
        <v>51.119</v>
      </c>
      <c r="D2136" s="25" t="s">
        <v>3352</v>
      </c>
      <c r="E2136" s="24" t="s">
        <v>3353</v>
      </c>
      <c r="F2136" s="21" t="s">
        <v>352</v>
      </c>
      <c r="G2136" s="21" t="s">
        <v>514</v>
      </c>
      <c r="H2136" s="26">
        <v>1547</v>
      </c>
      <c r="I2136" s="26">
        <v>341</v>
      </c>
      <c r="J2136" s="31"/>
      <c r="K2136" s="31"/>
      <c r="L2136" s="31"/>
      <c r="M2136" s="31"/>
      <c r="N2136" s="31"/>
      <c r="O2136" s="31"/>
      <c r="P2136" s="31"/>
      <c r="Q2136" s="31"/>
      <c r="R2136" s="31"/>
      <c r="S2136" s="31"/>
      <c r="T2136" s="31"/>
      <c r="U2136" s="31"/>
      <c r="V2136" s="31"/>
      <c r="W2136" s="31"/>
      <c r="X2136" s="31"/>
      <c r="Y2136" s="31"/>
      <c r="Z2136" s="31"/>
      <c r="AA2136" s="31"/>
      <c r="AB2136" s="31"/>
      <c r="AC2136" s="31"/>
      <c r="AD2136" s="31"/>
      <c r="AE2136" s="31"/>
      <c r="AF2136" s="31"/>
      <c r="AG2136" s="31"/>
      <c r="AH2136" s="31"/>
      <c r="AI2136" s="31"/>
      <c r="AJ2136" s="31"/>
      <c r="AK2136" s="31"/>
      <c r="AL2136" s="28" t="str">
        <f>VLOOKUP($G2136,'[42]Sheet1 (2)'!$A$1:$B$1048440,2,FALSE)</f>
        <v>Sqm</v>
      </c>
      <c r="AM2136" s="32"/>
      <c r="AN2136" s="31"/>
      <c r="AO2136" s="33"/>
    </row>
    <row r="2137" spans="1:41" ht="98" x14ac:dyDescent="0.25">
      <c r="A2137" s="243">
        <v>1956</v>
      </c>
      <c r="B2137" s="25" t="s">
        <v>3325</v>
      </c>
      <c r="C2137" s="280">
        <v>51.12</v>
      </c>
      <c r="D2137" s="25" t="s">
        <v>3352</v>
      </c>
      <c r="E2137" s="24" t="s">
        <v>3354</v>
      </c>
      <c r="F2137" s="21" t="s">
        <v>352</v>
      </c>
      <c r="G2137" s="21" t="s">
        <v>514</v>
      </c>
      <c r="H2137" s="26">
        <v>1291</v>
      </c>
      <c r="I2137" s="26">
        <v>297</v>
      </c>
      <c r="J2137" s="31"/>
      <c r="K2137" s="31"/>
      <c r="L2137" s="31"/>
      <c r="M2137" s="31"/>
      <c r="N2137" s="31"/>
      <c r="O2137" s="31"/>
      <c r="P2137" s="31"/>
      <c r="Q2137" s="31"/>
      <c r="R2137" s="31"/>
      <c r="S2137" s="31"/>
      <c r="T2137" s="31"/>
      <c r="U2137" s="31"/>
      <c r="V2137" s="31"/>
      <c r="W2137" s="31"/>
      <c r="X2137" s="31"/>
      <c r="Y2137" s="31"/>
      <c r="Z2137" s="31"/>
      <c r="AA2137" s="31"/>
      <c r="AB2137" s="31"/>
      <c r="AC2137" s="31"/>
      <c r="AD2137" s="31"/>
      <c r="AE2137" s="31"/>
      <c r="AF2137" s="31"/>
      <c r="AG2137" s="31"/>
      <c r="AH2137" s="31"/>
      <c r="AI2137" s="31"/>
      <c r="AJ2137" s="31"/>
      <c r="AK2137" s="31"/>
      <c r="AL2137" s="28" t="str">
        <f>VLOOKUP($G2137,'[42]Sheet1 (2)'!$A$1:$B$1048440,2,FALSE)</f>
        <v>Sqm</v>
      </c>
      <c r="AM2137" s="32"/>
      <c r="AN2137" s="31"/>
      <c r="AO2137" s="33"/>
    </row>
    <row r="2138" spans="1:41" ht="140" x14ac:dyDescent="0.25">
      <c r="A2138" s="243">
        <v>1957</v>
      </c>
      <c r="B2138" s="25" t="s">
        <v>3325</v>
      </c>
      <c r="C2138" s="280">
        <v>51.121000000000002</v>
      </c>
      <c r="D2138" s="25" t="s">
        <v>3352</v>
      </c>
      <c r="E2138" s="24" t="s">
        <v>3355</v>
      </c>
      <c r="F2138" s="21" t="s">
        <v>352</v>
      </c>
      <c r="G2138" s="21" t="s">
        <v>514</v>
      </c>
      <c r="H2138" s="26">
        <v>1315</v>
      </c>
      <c r="I2138" s="26">
        <v>341</v>
      </c>
      <c r="J2138" s="31"/>
      <c r="K2138" s="31"/>
      <c r="L2138" s="31"/>
      <c r="M2138" s="31"/>
      <c r="N2138" s="31"/>
      <c r="O2138" s="31"/>
      <c r="P2138" s="31"/>
      <c r="Q2138" s="31"/>
      <c r="R2138" s="31"/>
      <c r="S2138" s="31"/>
      <c r="T2138" s="31"/>
      <c r="U2138" s="31"/>
      <c r="V2138" s="31"/>
      <c r="W2138" s="31"/>
      <c r="X2138" s="31"/>
      <c r="Y2138" s="31"/>
      <c r="Z2138" s="31"/>
      <c r="AA2138" s="31"/>
      <c r="AB2138" s="31"/>
      <c r="AC2138" s="31"/>
      <c r="AD2138" s="31"/>
      <c r="AE2138" s="31"/>
      <c r="AF2138" s="31"/>
      <c r="AG2138" s="31"/>
      <c r="AH2138" s="31"/>
      <c r="AI2138" s="31"/>
      <c r="AJ2138" s="31"/>
      <c r="AK2138" s="31"/>
      <c r="AL2138" s="28" t="str">
        <f>VLOOKUP($G2138,'[42]Sheet1 (2)'!$A$1:$B$1048440,2,FALSE)</f>
        <v>Sqm</v>
      </c>
      <c r="AM2138" s="32"/>
      <c r="AN2138" s="31"/>
      <c r="AO2138" s="33"/>
    </row>
    <row r="2139" spans="1:41" ht="98" x14ac:dyDescent="0.25">
      <c r="A2139" s="243">
        <v>1958</v>
      </c>
      <c r="B2139" s="25" t="s">
        <v>3325</v>
      </c>
      <c r="C2139" s="280">
        <v>51.122</v>
      </c>
      <c r="D2139" s="25" t="s">
        <v>3352</v>
      </c>
      <c r="E2139" s="24" t="s">
        <v>3356</v>
      </c>
      <c r="F2139" s="21" t="s">
        <v>352</v>
      </c>
      <c r="G2139" s="21" t="s">
        <v>514</v>
      </c>
      <c r="H2139" s="26">
        <v>1059</v>
      </c>
      <c r="I2139" s="26">
        <v>275</v>
      </c>
      <c r="J2139" s="31"/>
      <c r="K2139" s="31"/>
      <c r="L2139" s="31"/>
      <c r="M2139" s="31"/>
      <c r="N2139" s="31"/>
      <c r="O2139" s="31"/>
      <c r="P2139" s="31"/>
      <c r="Q2139" s="31"/>
      <c r="R2139" s="31"/>
      <c r="S2139" s="31"/>
      <c r="T2139" s="31"/>
      <c r="U2139" s="31"/>
      <c r="V2139" s="31"/>
      <c r="W2139" s="31"/>
      <c r="X2139" s="31"/>
      <c r="Y2139" s="31"/>
      <c r="Z2139" s="31"/>
      <c r="AA2139" s="31"/>
      <c r="AB2139" s="31"/>
      <c r="AC2139" s="31"/>
      <c r="AD2139" s="31"/>
      <c r="AE2139" s="31"/>
      <c r="AF2139" s="31"/>
      <c r="AG2139" s="31"/>
      <c r="AH2139" s="31"/>
      <c r="AI2139" s="31"/>
      <c r="AJ2139" s="31"/>
      <c r="AK2139" s="31"/>
      <c r="AL2139" s="28" t="str">
        <f>VLOOKUP($G2139,'[42]Sheet1 (2)'!$A$1:$B$1048440,2,FALSE)</f>
        <v>Sqm</v>
      </c>
      <c r="AM2139" s="32"/>
      <c r="AN2139" s="31"/>
      <c r="AO2139" s="33"/>
    </row>
    <row r="2140" spans="1:41" ht="409.5" x14ac:dyDescent="0.25">
      <c r="A2140" s="243">
        <v>1959</v>
      </c>
      <c r="B2140" s="24" t="s">
        <v>3357</v>
      </c>
      <c r="C2140" s="280">
        <v>51.122999999999998</v>
      </c>
      <c r="D2140" s="25" t="s">
        <v>524</v>
      </c>
      <c r="E2140" s="24" t="s">
        <v>3358</v>
      </c>
      <c r="F2140" s="25" t="s">
        <v>44</v>
      </c>
      <c r="G2140" s="25" t="s">
        <v>47</v>
      </c>
      <c r="H2140" s="26">
        <v>16589</v>
      </c>
      <c r="I2140" s="26">
        <v>338</v>
      </c>
      <c r="J2140" s="31"/>
      <c r="K2140" s="31"/>
      <c r="L2140" s="31"/>
      <c r="M2140" s="31"/>
      <c r="N2140" s="31"/>
      <c r="O2140" s="31"/>
      <c r="P2140" s="31"/>
      <c r="Q2140" s="31"/>
      <c r="R2140" s="31"/>
      <c r="S2140" s="31"/>
      <c r="T2140" s="31"/>
      <c r="U2140" s="31"/>
      <c r="V2140" s="31"/>
      <c r="W2140" s="31"/>
      <c r="X2140" s="31"/>
      <c r="Y2140" s="31"/>
      <c r="Z2140" s="31"/>
      <c r="AA2140" s="31"/>
      <c r="AB2140" s="31"/>
      <c r="AC2140" s="31"/>
      <c r="AD2140" s="31"/>
      <c r="AE2140" s="31"/>
      <c r="AF2140" s="31"/>
      <c r="AG2140" s="31"/>
      <c r="AH2140" s="31"/>
      <c r="AI2140" s="31"/>
      <c r="AJ2140" s="31"/>
      <c r="AK2140" s="31"/>
      <c r="AL2140" s="28" t="str">
        <f>VLOOKUP($G2140,'[42]Sheet1 (2)'!$A$1:$B$1048440,2,FALSE)</f>
        <v>Cum</v>
      </c>
      <c r="AM2140" s="32"/>
      <c r="AN2140" s="31"/>
      <c r="AO2140" s="33"/>
    </row>
    <row r="2141" spans="1:41" ht="182" x14ac:dyDescent="0.25">
      <c r="A2141" s="243">
        <v>1960</v>
      </c>
      <c r="B2141" s="25" t="s">
        <v>362</v>
      </c>
      <c r="C2141" s="280">
        <v>51.124000000000002</v>
      </c>
      <c r="D2141" s="25" t="s">
        <v>524</v>
      </c>
      <c r="E2141" s="24" t="s">
        <v>3359</v>
      </c>
      <c r="F2141" s="25" t="s">
        <v>44</v>
      </c>
      <c r="G2141" s="21" t="s">
        <v>217</v>
      </c>
      <c r="H2141" s="26">
        <v>1009</v>
      </c>
      <c r="I2141" s="26">
        <v>27</v>
      </c>
      <c r="J2141" s="31"/>
      <c r="K2141" s="31"/>
      <c r="L2141" s="31"/>
      <c r="M2141" s="31"/>
      <c r="N2141" s="31"/>
      <c r="O2141" s="31"/>
      <c r="P2141" s="31"/>
      <c r="Q2141" s="31"/>
      <c r="R2141" s="31"/>
      <c r="S2141" s="31"/>
      <c r="T2141" s="31"/>
      <c r="U2141" s="31"/>
      <c r="V2141" s="31"/>
      <c r="W2141" s="31"/>
      <c r="X2141" s="31"/>
      <c r="Y2141" s="31"/>
      <c r="Z2141" s="31"/>
      <c r="AA2141" s="31"/>
      <c r="AB2141" s="31"/>
      <c r="AC2141" s="31"/>
      <c r="AD2141" s="31"/>
      <c r="AE2141" s="31"/>
      <c r="AF2141" s="31"/>
      <c r="AG2141" s="31"/>
      <c r="AH2141" s="31"/>
      <c r="AI2141" s="31"/>
      <c r="AJ2141" s="31"/>
      <c r="AK2141" s="31"/>
      <c r="AL2141" s="28" t="str">
        <f>VLOOKUP($G2141,'[42]Sheet1 (2)'!$A$1:$B$1048440,2,FALSE)</f>
        <v>Sqm</v>
      </c>
      <c r="AM2141" s="32"/>
      <c r="AN2141" s="31"/>
      <c r="AO2141" s="33"/>
    </row>
    <row r="2142" spans="1:41" ht="182" x14ac:dyDescent="0.25">
      <c r="A2142" s="243">
        <v>1961</v>
      </c>
      <c r="B2142" s="25" t="s">
        <v>362</v>
      </c>
      <c r="C2142" s="280">
        <v>51.125</v>
      </c>
      <c r="D2142" s="25" t="s">
        <v>524</v>
      </c>
      <c r="E2142" s="24" t="s">
        <v>3360</v>
      </c>
      <c r="F2142" s="25" t="s">
        <v>44</v>
      </c>
      <c r="G2142" s="21" t="s">
        <v>217</v>
      </c>
      <c r="H2142" s="26">
        <v>2629</v>
      </c>
      <c r="I2142" s="103">
        <v>27</v>
      </c>
      <c r="J2142" s="31"/>
      <c r="K2142" s="31"/>
      <c r="L2142" s="31"/>
      <c r="M2142" s="31"/>
      <c r="N2142" s="31"/>
      <c r="O2142" s="31"/>
      <c r="P2142" s="31"/>
      <c r="Q2142" s="31"/>
      <c r="R2142" s="31"/>
      <c r="S2142" s="31"/>
      <c r="T2142" s="31"/>
      <c r="U2142" s="31"/>
      <c r="V2142" s="31"/>
      <c r="W2142" s="31"/>
      <c r="X2142" s="31"/>
      <c r="Y2142" s="31"/>
      <c r="Z2142" s="31"/>
      <c r="AA2142" s="31"/>
      <c r="AB2142" s="31"/>
      <c r="AC2142" s="31"/>
      <c r="AD2142" s="31"/>
      <c r="AE2142" s="31"/>
      <c r="AF2142" s="31"/>
      <c r="AG2142" s="31"/>
      <c r="AH2142" s="31"/>
      <c r="AI2142" s="31"/>
      <c r="AJ2142" s="31"/>
      <c r="AK2142" s="31"/>
      <c r="AL2142" s="28" t="str">
        <f>VLOOKUP($G2142,'[42]Sheet1 (2)'!$A$1:$B$1048440,2,FALSE)</f>
        <v>Sqm</v>
      </c>
      <c r="AM2142" s="32"/>
      <c r="AN2142" s="31"/>
      <c r="AO2142" s="33"/>
    </row>
    <row r="2143" spans="1:41" ht="126" x14ac:dyDescent="0.25">
      <c r="A2143" s="243">
        <v>1962</v>
      </c>
      <c r="B2143" s="25" t="s">
        <v>362</v>
      </c>
      <c r="C2143" s="30" t="s">
        <v>3361</v>
      </c>
      <c r="D2143" s="25" t="s">
        <v>524</v>
      </c>
      <c r="E2143" s="24" t="s">
        <v>3362</v>
      </c>
      <c r="F2143" s="25" t="s">
        <v>44</v>
      </c>
      <c r="G2143" s="21" t="s">
        <v>217</v>
      </c>
      <c r="H2143" s="26">
        <v>3706</v>
      </c>
      <c r="I2143" s="103">
        <v>27</v>
      </c>
      <c r="J2143" s="31"/>
      <c r="K2143" s="31"/>
      <c r="L2143" s="31"/>
      <c r="M2143" s="31"/>
      <c r="N2143" s="31"/>
      <c r="O2143" s="31"/>
      <c r="P2143" s="31"/>
      <c r="Q2143" s="31"/>
      <c r="R2143" s="31"/>
      <c r="S2143" s="31"/>
      <c r="T2143" s="31"/>
      <c r="U2143" s="31"/>
      <c r="V2143" s="31"/>
      <c r="W2143" s="31"/>
      <c r="X2143" s="31"/>
      <c r="Y2143" s="31"/>
      <c r="Z2143" s="31"/>
      <c r="AA2143" s="31"/>
      <c r="AB2143" s="31"/>
      <c r="AC2143" s="31"/>
      <c r="AD2143" s="31"/>
      <c r="AE2143" s="31"/>
      <c r="AF2143" s="31"/>
      <c r="AG2143" s="31"/>
      <c r="AH2143" s="31"/>
      <c r="AI2143" s="31"/>
      <c r="AJ2143" s="31"/>
      <c r="AK2143" s="31"/>
      <c r="AL2143" s="28" t="str">
        <f>VLOOKUP($G2143,'[42]Sheet1 (2)'!$A$1:$B$1048440,2,FALSE)</f>
        <v>Sqm</v>
      </c>
      <c r="AM2143" s="32"/>
      <c r="AN2143" s="31"/>
      <c r="AO2143" s="33"/>
    </row>
    <row r="2144" spans="1:41" ht="196" x14ac:dyDescent="0.25">
      <c r="A2144" s="243">
        <v>1963</v>
      </c>
      <c r="B2144" s="25" t="s">
        <v>362</v>
      </c>
      <c r="C2144" s="30" t="s">
        <v>3363</v>
      </c>
      <c r="D2144" s="25" t="s">
        <v>524</v>
      </c>
      <c r="E2144" s="24" t="s">
        <v>3364</v>
      </c>
      <c r="F2144" s="25" t="s">
        <v>44</v>
      </c>
      <c r="G2144" s="21" t="s">
        <v>217</v>
      </c>
      <c r="H2144" s="26">
        <v>4333</v>
      </c>
      <c r="I2144" s="103">
        <v>44</v>
      </c>
      <c r="J2144" s="31"/>
      <c r="K2144" s="31"/>
      <c r="L2144" s="31"/>
      <c r="M2144" s="31"/>
      <c r="N2144" s="31"/>
      <c r="O2144" s="31"/>
      <c r="P2144" s="31"/>
      <c r="Q2144" s="31"/>
      <c r="R2144" s="31"/>
      <c r="S2144" s="31"/>
      <c r="T2144" s="31"/>
      <c r="U2144" s="31"/>
      <c r="V2144" s="31"/>
      <c r="W2144" s="31"/>
      <c r="X2144" s="31"/>
      <c r="Y2144" s="31"/>
      <c r="Z2144" s="31"/>
      <c r="AA2144" s="31"/>
      <c r="AB2144" s="31"/>
      <c r="AC2144" s="31"/>
      <c r="AD2144" s="31"/>
      <c r="AE2144" s="31"/>
      <c r="AF2144" s="31"/>
      <c r="AG2144" s="31"/>
      <c r="AH2144" s="31"/>
      <c r="AI2144" s="31"/>
      <c r="AJ2144" s="31"/>
      <c r="AK2144" s="31"/>
      <c r="AL2144" s="28" t="str">
        <f>VLOOKUP($G2144,'[42]Sheet1 (2)'!$A$1:$B$1048440,2,FALSE)</f>
        <v>Sqm</v>
      </c>
      <c r="AM2144" s="32"/>
      <c r="AN2144" s="31"/>
      <c r="AO2144" s="33"/>
    </row>
    <row r="2145" spans="1:41" ht="210" x14ac:dyDescent="0.25">
      <c r="A2145" s="243">
        <v>1964</v>
      </c>
      <c r="B2145" s="25" t="s">
        <v>362</v>
      </c>
      <c r="C2145" s="280">
        <v>51.127000000000002</v>
      </c>
      <c r="D2145" s="25" t="s">
        <v>524</v>
      </c>
      <c r="E2145" s="24" t="s">
        <v>3365</v>
      </c>
      <c r="F2145" s="25" t="s">
        <v>44</v>
      </c>
      <c r="G2145" s="25" t="s">
        <v>45</v>
      </c>
      <c r="H2145" s="26">
        <v>477</v>
      </c>
      <c r="I2145" s="103">
        <v>27</v>
      </c>
      <c r="J2145" s="31"/>
      <c r="K2145" s="31"/>
      <c r="L2145" s="31"/>
      <c r="M2145" s="31"/>
      <c r="N2145" s="31"/>
      <c r="O2145" s="31"/>
      <c r="P2145" s="31"/>
      <c r="Q2145" s="31"/>
      <c r="R2145" s="31"/>
      <c r="S2145" s="31"/>
      <c r="T2145" s="31"/>
      <c r="U2145" s="31"/>
      <c r="V2145" s="31"/>
      <c r="W2145" s="31"/>
      <c r="X2145" s="31"/>
      <c r="Y2145" s="31"/>
      <c r="Z2145" s="31"/>
      <c r="AA2145" s="31"/>
      <c r="AB2145" s="31"/>
      <c r="AC2145" s="31"/>
      <c r="AD2145" s="31"/>
      <c r="AE2145" s="31"/>
      <c r="AF2145" s="31"/>
      <c r="AG2145" s="31"/>
      <c r="AH2145" s="31"/>
      <c r="AI2145" s="31"/>
      <c r="AJ2145" s="31"/>
      <c r="AK2145" s="31"/>
      <c r="AL2145" s="28" t="str">
        <f>VLOOKUP($G2145,'[42]Sheet1 (2)'!$A$1:$B$1048440,2,FALSE)</f>
        <v>No.</v>
      </c>
      <c r="AM2145" s="32"/>
      <c r="AN2145" s="31"/>
      <c r="AO2145" s="33"/>
    </row>
    <row r="2146" spans="1:41" ht="252" x14ac:dyDescent="0.25">
      <c r="A2146" s="243">
        <v>1965</v>
      </c>
      <c r="B2146" s="25" t="s">
        <v>362</v>
      </c>
      <c r="C2146" s="280">
        <v>51.128</v>
      </c>
      <c r="D2146" s="25" t="s">
        <v>524</v>
      </c>
      <c r="E2146" s="24" t="s">
        <v>3366</v>
      </c>
      <c r="F2146" s="25" t="s">
        <v>44</v>
      </c>
      <c r="G2146" s="25" t="s">
        <v>45</v>
      </c>
      <c r="H2146" s="26">
        <v>562</v>
      </c>
      <c r="I2146" s="103">
        <v>27</v>
      </c>
      <c r="J2146" s="31"/>
      <c r="K2146" s="31"/>
      <c r="L2146" s="31"/>
      <c r="M2146" s="31"/>
      <c r="N2146" s="31"/>
      <c r="O2146" s="31"/>
      <c r="P2146" s="31"/>
      <c r="Q2146" s="31"/>
      <c r="R2146" s="31"/>
      <c r="S2146" s="31"/>
      <c r="T2146" s="31"/>
      <c r="U2146" s="31"/>
      <c r="V2146" s="31"/>
      <c r="W2146" s="31"/>
      <c r="X2146" s="31"/>
      <c r="Y2146" s="31"/>
      <c r="Z2146" s="31"/>
      <c r="AA2146" s="31"/>
      <c r="AB2146" s="31"/>
      <c r="AC2146" s="31"/>
      <c r="AD2146" s="31"/>
      <c r="AE2146" s="31"/>
      <c r="AF2146" s="31"/>
      <c r="AG2146" s="31"/>
      <c r="AH2146" s="31"/>
      <c r="AI2146" s="31"/>
      <c r="AJ2146" s="31"/>
      <c r="AK2146" s="31"/>
      <c r="AL2146" s="28" t="str">
        <f>VLOOKUP($G2146,'[42]Sheet1 (2)'!$A$1:$B$1048440,2,FALSE)</f>
        <v>No.</v>
      </c>
      <c r="AM2146" s="32"/>
      <c r="AN2146" s="31"/>
      <c r="AO2146" s="33"/>
    </row>
    <row r="2147" spans="1:41" ht="154" x14ac:dyDescent="0.25">
      <c r="A2147" s="243">
        <v>1966</v>
      </c>
      <c r="B2147" s="25" t="s">
        <v>362</v>
      </c>
      <c r="C2147" s="280">
        <v>51.128999999999998</v>
      </c>
      <c r="D2147" s="25" t="s">
        <v>524</v>
      </c>
      <c r="E2147" s="23" t="s">
        <v>3367</v>
      </c>
      <c r="F2147" s="25" t="s">
        <v>44</v>
      </c>
      <c r="G2147" s="25" t="s">
        <v>45</v>
      </c>
      <c r="H2147" s="26">
        <v>3446</v>
      </c>
      <c r="I2147" s="103">
        <v>27</v>
      </c>
      <c r="J2147" s="31"/>
      <c r="K2147" s="31"/>
      <c r="L2147" s="31"/>
      <c r="M2147" s="31"/>
      <c r="N2147" s="31"/>
      <c r="O2147" s="31"/>
      <c r="P2147" s="31"/>
      <c r="Q2147" s="31"/>
      <c r="R2147" s="31"/>
      <c r="S2147" s="31"/>
      <c r="T2147" s="31"/>
      <c r="U2147" s="31"/>
      <c r="V2147" s="31"/>
      <c r="W2147" s="31"/>
      <c r="X2147" s="31"/>
      <c r="Y2147" s="31"/>
      <c r="Z2147" s="31"/>
      <c r="AA2147" s="31"/>
      <c r="AB2147" s="31"/>
      <c r="AC2147" s="31"/>
      <c r="AD2147" s="31"/>
      <c r="AE2147" s="31"/>
      <c r="AF2147" s="31"/>
      <c r="AG2147" s="31"/>
      <c r="AH2147" s="31"/>
      <c r="AI2147" s="31"/>
      <c r="AJ2147" s="31"/>
      <c r="AK2147" s="31"/>
      <c r="AL2147" s="28" t="str">
        <f>VLOOKUP($G2147,'[42]Sheet1 (2)'!$A$1:$B$1048440,2,FALSE)</f>
        <v>No.</v>
      </c>
      <c r="AM2147" s="32"/>
      <c r="AN2147" s="31"/>
      <c r="AO2147" s="33"/>
    </row>
    <row r="2148" spans="1:41" ht="409.5" x14ac:dyDescent="0.25">
      <c r="A2148" s="243">
        <v>1967</v>
      </c>
      <c r="B2148" s="25" t="s">
        <v>3368</v>
      </c>
      <c r="C2148" s="281">
        <v>51.13</v>
      </c>
      <c r="D2148" s="25" t="s">
        <v>524</v>
      </c>
      <c r="E2148" s="23" t="s">
        <v>3369</v>
      </c>
      <c r="F2148" s="25" t="s">
        <v>44</v>
      </c>
      <c r="G2148" s="25" t="s">
        <v>47</v>
      </c>
      <c r="H2148" s="20">
        <v>3627</v>
      </c>
      <c r="I2148" s="26">
        <v>0</v>
      </c>
      <c r="J2148" s="31"/>
      <c r="K2148" s="31"/>
      <c r="L2148" s="31"/>
      <c r="M2148" s="31"/>
      <c r="N2148" s="31"/>
      <c r="O2148" s="31"/>
      <c r="P2148" s="31"/>
      <c r="Q2148" s="31"/>
      <c r="R2148" s="31"/>
      <c r="S2148" s="31"/>
      <c r="T2148" s="31"/>
      <c r="U2148" s="31"/>
      <c r="V2148" s="31"/>
      <c r="W2148" s="31"/>
      <c r="X2148" s="31"/>
      <c r="Y2148" s="31"/>
      <c r="Z2148" s="31"/>
      <c r="AA2148" s="31"/>
      <c r="AB2148" s="31"/>
      <c r="AC2148" s="31"/>
      <c r="AD2148" s="31"/>
      <c r="AE2148" s="31"/>
      <c r="AF2148" s="31"/>
      <c r="AG2148" s="31"/>
      <c r="AH2148" s="31"/>
      <c r="AI2148" s="31"/>
      <c r="AJ2148" s="31"/>
      <c r="AK2148" s="31"/>
      <c r="AL2148" s="28" t="str">
        <f>VLOOKUP($G2148,'[42]Sheet1 (2)'!$A$1:$B$1048440,2,FALSE)</f>
        <v>Cum</v>
      </c>
      <c r="AM2148" s="32"/>
      <c r="AN2148" s="31"/>
      <c r="AO2148" s="33"/>
    </row>
    <row r="2149" spans="1:41" ht="409.5" x14ac:dyDescent="0.25">
      <c r="A2149" s="243">
        <v>1968</v>
      </c>
      <c r="B2149" s="21" t="s">
        <v>3370</v>
      </c>
      <c r="C2149" s="280">
        <v>51.131</v>
      </c>
      <c r="D2149" s="25" t="s">
        <v>524</v>
      </c>
      <c r="E2149" s="23" t="s">
        <v>3371</v>
      </c>
      <c r="F2149" s="25" t="s">
        <v>44</v>
      </c>
      <c r="G2149" s="25" t="s">
        <v>47</v>
      </c>
      <c r="H2149" s="26">
        <v>7370</v>
      </c>
      <c r="I2149" s="26">
        <v>0</v>
      </c>
      <c r="J2149" s="31"/>
      <c r="K2149" s="31"/>
      <c r="L2149" s="31"/>
      <c r="M2149" s="31"/>
      <c r="N2149" s="31"/>
      <c r="O2149" s="31"/>
      <c r="P2149" s="31"/>
      <c r="Q2149" s="31"/>
      <c r="R2149" s="31"/>
      <c r="S2149" s="31"/>
      <c r="T2149" s="31"/>
      <c r="U2149" s="31"/>
      <c r="V2149" s="31"/>
      <c r="W2149" s="31"/>
      <c r="X2149" s="31"/>
      <c r="Y2149" s="31"/>
      <c r="Z2149" s="31"/>
      <c r="AA2149" s="31"/>
      <c r="AB2149" s="31"/>
      <c r="AC2149" s="31"/>
      <c r="AD2149" s="31"/>
      <c r="AE2149" s="31"/>
      <c r="AF2149" s="31"/>
      <c r="AG2149" s="31"/>
      <c r="AH2149" s="31"/>
      <c r="AI2149" s="31"/>
      <c r="AJ2149" s="31"/>
      <c r="AK2149" s="31"/>
      <c r="AL2149" s="28" t="str">
        <f>VLOOKUP($G2149,'[42]Sheet1 (2)'!$A$1:$B$1048440,2,FALSE)</f>
        <v>Cum</v>
      </c>
      <c r="AM2149" s="32"/>
      <c r="AN2149" s="31"/>
      <c r="AO2149" s="33"/>
    </row>
    <row r="2150" spans="1:41" ht="196" x14ac:dyDescent="0.25">
      <c r="A2150" s="243">
        <v>1969</v>
      </c>
      <c r="B2150" s="25" t="s">
        <v>3372</v>
      </c>
      <c r="C2150" s="280">
        <v>51.131999999999998</v>
      </c>
      <c r="D2150" s="25" t="s">
        <v>524</v>
      </c>
      <c r="E2150" s="24" t="s">
        <v>3373</v>
      </c>
      <c r="F2150" s="25" t="s">
        <v>44</v>
      </c>
      <c r="G2150" s="21" t="s">
        <v>80</v>
      </c>
      <c r="H2150" s="26">
        <v>74511</v>
      </c>
      <c r="I2150" s="26">
        <v>0</v>
      </c>
      <c r="J2150" s="31"/>
      <c r="K2150" s="31"/>
      <c r="L2150" s="31"/>
      <c r="M2150" s="31"/>
      <c r="N2150" s="31"/>
      <c r="O2150" s="31"/>
      <c r="P2150" s="31"/>
      <c r="Q2150" s="31"/>
      <c r="R2150" s="31"/>
      <c r="S2150" s="31"/>
      <c r="T2150" s="31"/>
      <c r="U2150" s="31"/>
      <c r="V2150" s="31"/>
      <c r="W2150" s="31"/>
      <c r="X2150" s="31"/>
      <c r="Y2150" s="31"/>
      <c r="Z2150" s="31"/>
      <c r="AA2150" s="31"/>
      <c r="AB2150" s="31"/>
      <c r="AC2150" s="31"/>
      <c r="AD2150" s="31"/>
      <c r="AE2150" s="31"/>
      <c r="AF2150" s="31"/>
      <c r="AG2150" s="31"/>
      <c r="AH2150" s="31"/>
      <c r="AI2150" s="31"/>
      <c r="AJ2150" s="31"/>
      <c r="AK2150" s="31"/>
      <c r="AL2150" s="28" t="str">
        <f>VLOOKUP($G2150,'[42]Sheet1 (2)'!$A$1:$B$1048440,2,FALSE)</f>
        <v>Rmt.</v>
      </c>
      <c r="AM2150" s="32"/>
      <c r="AN2150" s="31"/>
      <c r="AO2150" s="33"/>
    </row>
    <row r="2151" spans="1:41" ht="140" x14ac:dyDescent="0.25">
      <c r="A2151" s="243">
        <v>1970</v>
      </c>
      <c r="B2151" s="24" t="s">
        <v>298</v>
      </c>
      <c r="C2151" s="280">
        <v>51.133000000000003</v>
      </c>
      <c r="D2151" s="21" t="s">
        <v>3374</v>
      </c>
      <c r="E2151" s="24" t="s">
        <v>3375</v>
      </c>
      <c r="F2151" s="21" t="s">
        <v>3374</v>
      </c>
      <c r="G2151" s="25" t="s">
        <v>47</v>
      </c>
      <c r="H2151" s="26">
        <v>11689</v>
      </c>
      <c r="I2151" s="26">
        <v>0</v>
      </c>
      <c r="J2151" s="31"/>
      <c r="K2151" s="31"/>
      <c r="L2151" s="31"/>
      <c r="M2151" s="31"/>
      <c r="N2151" s="31"/>
      <c r="O2151" s="31"/>
      <c r="P2151" s="31"/>
      <c r="Q2151" s="31"/>
      <c r="R2151" s="31"/>
      <c r="S2151" s="31"/>
      <c r="T2151" s="31"/>
      <c r="U2151" s="31"/>
      <c r="V2151" s="31"/>
      <c r="W2151" s="31"/>
      <c r="X2151" s="31"/>
      <c r="Y2151" s="31"/>
      <c r="Z2151" s="31"/>
      <c r="AA2151" s="31"/>
      <c r="AB2151" s="31"/>
      <c r="AC2151" s="31"/>
      <c r="AD2151" s="31"/>
      <c r="AE2151" s="31"/>
      <c r="AF2151" s="31"/>
      <c r="AG2151" s="31"/>
      <c r="AH2151" s="31"/>
      <c r="AI2151" s="31"/>
      <c r="AJ2151" s="31"/>
      <c r="AK2151" s="31"/>
      <c r="AL2151" s="28" t="str">
        <f>VLOOKUP($G2151,'[42]Sheet1 (2)'!$A$1:$B$1048440,2,FALSE)</f>
        <v>Cum</v>
      </c>
      <c r="AM2151" s="32"/>
      <c r="AN2151" s="31"/>
      <c r="AO2151" s="33"/>
    </row>
    <row r="2152" spans="1:41" ht="56" x14ac:dyDescent="0.25">
      <c r="A2152" s="243">
        <v>1971</v>
      </c>
      <c r="B2152" s="21" t="s">
        <v>3370</v>
      </c>
      <c r="C2152" s="280">
        <v>51.134</v>
      </c>
      <c r="D2152" s="25" t="s">
        <v>524</v>
      </c>
      <c r="E2152" s="23" t="s">
        <v>3376</v>
      </c>
      <c r="F2152" s="35" t="s">
        <v>1742</v>
      </c>
      <c r="G2152" s="21" t="s">
        <v>514</v>
      </c>
      <c r="H2152" s="26">
        <v>44</v>
      </c>
      <c r="I2152" s="26">
        <v>0</v>
      </c>
      <c r="J2152" s="31"/>
      <c r="K2152" s="31"/>
      <c r="L2152" s="31"/>
      <c r="M2152" s="31"/>
      <c r="N2152" s="31"/>
      <c r="O2152" s="31"/>
      <c r="P2152" s="31"/>
      <c r="Q2152" s="31"/>
      <c r="R2152" s="31"/>
      <c r="S2152" s="31"/>
      <c r="T2152" s="31"/>
      <c r="U2152" s="31"/>
      <c r="V2152" s="31"/>
      <c r="W2152" s="31"/>
      <c r="X2152" s="31"/>
      <c r="Y2152" s="31"/>
      <c r="Z2152" s="31"/>
      <c r="AA2152" s="31"/>
      <c r="AB2152" s="31"/>
      <c r="AC2152" s="31"/>
      <c r="AD2152" s="31"/>
      <c r="AE2152" s="31"/>
      <c r="AF2152" s="31"/>
      <c r="AG2152" s="31"/>
      <c r="AH2152" s="31"/>
      <c r="AI2152" s="31"/>
      <c r="AJ2152" s="31"/>
      <c r="AK2152" s="31"/>
      <c r="AL2152" s="28" t="str">
        <f>VLOOKUP($G2152,'[42]Sheet1 (2)'!$A$1:$B$1048440,2,FALSE)</f>
        <v>Sqm</v>
      </c>
      <c r="AM2152" s="32"/>
      <c r="AN2152" s="31"/>
      <c r="AO2152" s="33"/>
    </row>
    <row r="2153" spans="1:41" ht="56" x14ac:dyDescent="0.25">
      <c r="A2153" s="243">
        <v>1972</v>
      </c>
      <c r="B2153" s="21" t="s">
        <v>3370</v>
      </c>
      <c r="C2153" s="280">
        <v>51.134999999999998</v>
      </c>
      <c r="D2153" s="25" t="s">
        <v>524</v>
      </c>
      <c r="E2153" s="24" t="s">
        <v>3377</v>
      </c>
      <c r="F2153" s="35" t="s">
        <v>1742</v>
      </c>
      <c r="G2153" s="21" t="s">
        <v>514</v>
      </c>
      <c r="H2153" s="26">
        <v>38</v>
      </c>
      <c r="I2153" s="26">
        <v>0</v>
      </c>
      <c r="J2153" s="31"/>
      <c r="K2153" s="31"/>
      <c r="L2153" s="31"/>
      <c r="M2153" s="31"/>
      <c r="N2153" s="31"/>
      <c r="O2153" s="31"/>
      <c r="P2153" s="31"/>
      <c r="Q2153" s="31"/>
      <c r="R2153" s="31"/>
      <c r="S2153" s="31"/>
      <c r="T2153" s="31"/>
      <c r="U2153" s="31"/>
      <c r="V2153" s="31"/>
      <c r="W2153" s="31"/>
      <c r="X2153" s="31"/>
      <c r="Y2153" s="31"/>
      <c r="Z2153" s="31"/>
      <c r="AA2153" s="31"/>
      <c r="AB2153" s="31"/>
      <c r="AC2153" s="31"/>
      <c r="AD2153" s="31"/>
      <c r="AE2153" s="31"/>
      <c r="AF2153" s="31"/>
      <c r="AG2153" s="31"/>
      <c r="AH2153" s="31"/>
      <c r="AI2153" s="31"/>
      <c r="AJ2153" s="31"/>
      <c r="AK2153" s="31"/>
      <c r="AL2153" s="28" t="str">
        <f>VLOOKUP($G2153,'[42]Sheet1 (2)'!$A$1:$B$1048440,2,FALSE)</f>
        <v>Sqm</v>
      </c>
      <c r="AM2153" s="32"/>
      <c r="AN2153" s="31"/>
      <c r="AO2153" s="33"/>
    </row>
    <row r="2154" spans="1:41" ht="126" x14ac:dyDescent="0.25">
      <c r="A2154" s="243">
        <v>1973</v>
      </c>
      <c r="B2154" s="24" t="s">
        <v>298</v>
      </c>
      <c r="C2154" s="280">
        <v>51.136000000000003</v>
      </c>
      <c r="D2154" s="21" t="s">
        <v>3378</v>
      </c>
      <c r="E2154" s="24" t="s">
        <v>3379</v>
      </c>
      <c r="F2154" s="21" t="s">
        <v>3378</v>
      </c>
      <c r="G2154" s="21" t="s">
        <v>514</v>
      </c>
      <c r="H2154" s="26">
        <v>179</v>
      </c>
      <c r="I2154" s="26">
        <v>0</v>
      </c>
      <c r="J2154" s="31"/>
      <c r="K2154" s="31"/>
      <c r="L2154" s="31"/>
      <c r="M2154" s="31"/>
      <c r="N2154" s="31"/>
      <c r="O2154" s="31"/>
      <c r="P2154" s="31"/>
      <c r="Q2154" s="31"/>
      <c r="R2154" s="31"/>
      <c r="S2154" s="31"/>
      <c r="T2154" s="31"/>
      <c r="U2154" s="31"/>
      <c r="V2154" s="31"/>
      <c r="W2154" s="31"/>
      <c r="X2154" s="31"/>
      <c r="Y2154" s="31"/>
      <c r="Z2154" s="31"/>
      <c r="AA2154" s="31"/>
      <c r="AB2154" s="31"/>
      <c r="AC2154" s="31"/>
      <c r="AD2154" s="31"/>
      <c r="AE2154" s="31"/>
      <c r="AF2154" s="31"/>
      <c r="AG2154" s="31"/>
      <c r="AH2154" s="31"/>
      <c r="AI2154" s="31"/>
      <c r="AJ2154" s="31"/>
      <c r="AK2154" s="31"/>
      <c r="AL2154" s="28" t="str">
        <f>VLOOKUP($G2154,'[42]Sheet1 (2)'!$A$1:$B$1048440,2,FALSE)</f>
        <v>Sqm</v>
      </c>
      <c r="AM2154" s="32"/>
      <c r="AN2154" s="31"/>
      <c r="AO2154" s="33"/>
    </row>
    <row r="2155" spans="1:41" ht="98" x14ac:dyDescent="0.25">
      <c r="A2155" s="243">
        <v>1974</v>
      </c>
      <c r="B2155" s="21" t="s">
        <v>3370</v>
      </c>
      <c r="C2155" s="280">
        <v>51.137</v>
      </c>
      <c r="D2155" s="25" t="s">
        <v>524</v>
      </c>
      <c r="E2155" s="24" t="s">
        <v>3380</v>
      </c>
      <c r="F2155" s="25" t="s">
        <v>44</v>
      </c>
      <c r="G2155" s="21" t="s">
        <v>514</v>
      </c>
      <c r="H2155" s="26">
        <v>125</v>
      </c>
      <c r="I2155" s="26">
        <v>0</v>
      </c>
      <c r="J2155" s="31"/>
      <c r="K2155" s="31"/>
      <c r="L2155" s="31"/>
      <c r="M2155" s="31"/>
      <c r="N2155" s="31"/>
      <c r="O2155" s="31"/>
      <c r="P2155" s="31"/>
      <c r="Q2155" s="31"/>
      <c r="R2155" s="31"/>
      <c r="S2155" s="31"/>
      <c r="T2155" s="31"/>
      <c r="U2155" s="31"/>
      <c r="V2155" s="31"/>
      <c r="W2155" s="31"/>
      <c r="X2155" s="31"/>
      <c r="Y2155" s="31"/>
      <c r="Z2155" s="31"/>
      <c r="AA2155" s="31"/>
      <c r="AB2155" s="31"/>
      <c r="AC2155" s="31"/>
      <c r="AD2155" s="31"/>
      <c r="AE2155" s="31"/>
      <c r="AF2155" s="31"/>
      <c r="AG2155" s="31"/>
      <c r="AH2155" s="31"/>
      <c r="AI2155" s="31"/>
      <c r="AJ2155" s="31"/>
      <c r="AK2155" s="31"/>
      <c r="AL2155" s="28" t="str">
        <f>VLOOKUP($G2155,'[42]Sheet1 (2)'!$A$1:$B$1048440,2,FALSE)</f>
        <v>Sqm</v>
      </c>
      <c r="AM2155" s="32"/>
      <c r="AN2155" s="31"/>
      <c r="AO2155" s="33"/>
    </row>
    <row r="2156" spans="1:41" ht="196" x14ac:dyDescent="0.25">
      <c r="A2156" s="23"/>
      <c r="B2156" s="21" t="s">
        <v>3370</v>
      </c>
      <c r="C2156" s="280">
        <v>51.137999999999998</v>
      </c>
      <c r="D2156" s="25" t="s">
        <v>524</v>
      </c>
      <c r="E2156" s="23" t="s">
        <v>3381</v>
      </c>
      <c r="F2156" s="23"/>
      <c r="G2156" s="21" t="s">
        <v>514</v>
      </c>
      <c r="H2156" s="23"/>
      <c r="I2156" s="23"/>
      <c r="J2156" s="31"/>
      <c r="K2156" s="31"/>
      <c r="L2156" s="31"/>
      <c r="M2156" s="31"/>
      <c r="N2156" s="31"/>
      <c r="O2156" s="31"/>
      <c r="P2156" s="31"/>
      <c r="Q2156" s="31"/>
      <c r="R2156" s="31"/>
      <c r="S2156" s="31"/>
      <c r="T2156" s="31"/>
      <c r="U2156" s="31"/>
      <c r="V2156" s="31"/>
      <c r="W2156" s="31"/>
      <c r="X2156" s="31"/>
      <c r="Y2156" s="31"/>
      <c r="Z2156" s="31"/>
      <c r="AA2156" s="31"/>
      <c r="AB2156" s="31"/>
      <c r="AC2156" s="31"/>
      <c r="AD2156" s="31"/>
      <c r="AE2156" s="31"/>
      <c r="AF2156" s="31"/>
      <c r="AG2156" s="31"/>
      <c r="AH2156" s="31"/>
      <c r="AI2156" s="31"/>
      <c r="AJ2156" s="31"/>
      <c r="AK2156" s="31"/>
      <c r="AL2156" s="28" t="str">
        <f>VLOOKUP($G2156,'[42]Sheet1 (2)'!$A$1:$B$1048440,2,FALSE)</f>
        <v>Sqm</v>
      </c>
      <c r="AM2156" s="32"/>
      <c r="AN2156" s="31"/>
      <c r="AO2156" s="33"/>
    </row>
    <row r="2157" spans="1:41" ht="56" x14ac:dyDescent="0.25">
      <c r="A2157" s="243">
        <v>1975</v>
      </c>
      <c r="B2157" s="21" t="s">
        <v>3370</v>
      </c>
      <c r="C2157" s="30" t="s">
        <v>3382</v>
      </c>
      <c r="D2157" s="25" t="s">
        <v>524</v>
      </c>
      <c r="E2157" s="24" t="s">
        <v>3383</v>
      </c>
      <c r="F2157" s="35" t="s">
        <v>1742</v>
      </c>
      <c r="G2157" s="21" t="s">
        <v>514</v>
      </c>
      <c r="H2157" s="26">
        <v>1317</v>
      </c>
      <c r="I2157" s="26">
        <v>180</v>
      </c>
      <c r="J2157" s="31"/>
      <c r="K2157" s="31"/>
      <c r="L2157" s="31"/>
      <c r="M2157" s="31"/>
      <c r="N2157" s="31"/>
      <c r="O2157" s="31"/>
      <c r="P2157" s="31"/>
      <c r="Q2157" s="31"/>
      <c r="R2157" s="31"/>
      <c r="S2157" s="31"/>
      <c r="T2157" s="31"/>
      <c r="U2157" s="31"/>
      <c r="V2157" s="31"/>
      <c r="W2157" s="31"/>
      <c r="X2157" s="31"/>
      <c r="Y2157" s="31"/>
      <c r="Z2157" s="31"/>
      <c r="AA2157" s="31"/>
      <c r="AB2157" s="31"/>
      <c r="AC2157" s="31"/>
      <c r="AD2157" s="31"/>
      <c r="AE2157" s="31"/>
      <c r="AF2157" s="31"/>
      <c r="AG2157" s="31"/>
      <c r="AH2157" s="31"/>
      <c r="AI2157" s="31"/>
      <c r="AJ2157" s="31"/>
      <c r="AK2157" s="31"/>
      <c r="AL2157" s="28" t="str">
        <f>VLOOKUP($G2157,'[42]Sheet1 (2)'!$A$1:$B$1048440,2,FALSE)</f>
        <v>Sqm</v>
      </c>
      <c r="AM2157" s="32"/>
      <c r="AN2157" s="31"/>
      <c r="AO2157" s="33"/>
    </row>
    <row r="2158" spans="1:41" ht="70" x14ac:dyDescent="0.25">
      <c r="A2158" s="243">
        <v>1976</v>
      </c>
      <c r="B2158" s="21" t="s">
        <v>3370</v>
      </c>
      <c r="C2158" s="30" t="s">
        <v>3384</v>
      </c>
      <c r="D2158" s="25" t="s">
        <v>524</v>
      </c>
      <c r="E2158" s="24" t="s">
        <v>3385</v>
      </c>
      <c r="F2158" s="92" t="s">
        <v>64</v>
      </c>
      <c r="G2158" s="266" t="s">
        <v>151</v>
      </c>
      <c r="H2158" s="26">
        <v>1867</v>
      </c>
      <c r="I2158" s="26">
        <v>180</v>
      </c>
      <c r="J2158" s="31"/>
      <c r="K2158" s="31"/>
      <c r="L2158" s="31"/>
      <c r="M2158" s="31"/>
      <c r="N2158" s="31"/>
      <c r="O2158" s="31"/>
      <c r="P2158" s="31"/>
      <c r="Q2158" s="31"/>
      <c r="R2158" s="31"/>
      <c r="S2158" s="31"/>
      <c r="T2158" s="31"/>
      <c r="U2158" s="31"/>
      <c r="V2158" s="31"/>
      <c r="W2158" s="31"/>
      <c r="X2158" s="31"/>
      <c r="Y2158" s="31"/>
      <c r="Z2158" s="31"/>
      <c r="AA2158" s="31"/>
      <c r="AB2158" s="31"/>
      <c r="AC2158" s="31"/>
      <c r="AD2158" s="31"/>
      <c r="AE2158" s="31"/>
      <c r="AF2158" s="31"/>
      <c r="AG2158" s="31"/>
      <c r="AH2158" s="31"/>
      <c r="AI2158" s="31"/>
      <c r="AJ2158" s="31"/>
      <c r="AK2158" s="31"/>
      <c r="AL2158" s="28" t="str">
        <f>VLOOKUP($G2158,'[42]Sheet1 (2)'!$A$1:$B$1048440,2,FALSE)</f>
        <v>Sqm</v>
      </c>
      <c r="AM2158" s="32"/>
      <c r="AN2158" s="31"/>
      <c r="AO2158" s="33"/>
    </row>
    <row r="2159" spans="1:41" ht="140" x14ac:dyDescent="0.25">
      <c r="A2159" s="243">
        <v>1977</v>
      </c>
      <c r="B2159" s="24" t="s">
        <v>298</v>
      </c>
      <c r="C2159" s="30" t="s">
        <v>3386</v>
      </c>
      <c r="D2159" s="25" t="s">
        <v>299</v>
      </c>
      <c r="E2159" s="24" t="s">
        <v>3387</v>
      </c>
      <c r="F2159" s="39" t="s">
        <v>299</v>
      </c>
      <c r="G2159" s="266" t="s">
        <v>151</v>
      </c>
      <c r="H2159" s="26">
        <v>191</v>
      </c>
      <c r="I2159" s="26">
        <v>5</v>
      </c>
      <c r="J2159" s="31"/>
      <c r="K2159" s="31"/>
      <c r="L2159" s="31"/>
      <c r="M2159" s="31"/>
      <c r="N2159" s="31"/>
      <c r="O2159" s="31"/>
      <c r="P2159" s="31"/>
      <c r="Q2159" s="31"/>
      <c r="R2159" s="31"/>
      <c r="S2159" s="31"/>
      <c r="T2159" s="31"/>
      <c r="U2159" s="31"/>
      <c r="V2159" s="31"/>
      <c r="W2159" s="31"/>
      <c r="X2159" s="31"/>
      <c r="Y2159" s="31"/>
      <c r="Z2159" s="31"/>
      <c r="AA2159" s="31"/>
      <c r="AB2159" s="31"/>
      <c r="AC2159" s="31"/>
      <c r="AD2159" s="31"/>
      <c r="AE2159" s="31"/>
      <c r="AF2159" s="31"/>
      <c r="AG2159" s="31"/>
      <c r="AH2159" s="31"/>
      <c r="AI2159" s="31"/>
      <c r="AJ2159" s="31"/>
      <c r="AK2159" s="31"/>
      <c r="AL2159" s="28" t="str">
        <f>VLOOKUP($G2159,'[42]Sheet1 (2)'!$A$1:$B$1048440,2,FALSE)</f>
        <v>Sqm</v>
      </c>
      <c r="AM2159" s="32"/>
      <c r="AN2159" s="31"/>
      <c r="AO2159" s="33"/>
    </row>
    <row r="2160" spans="1:41" ht="140" x14ac:dyDescent="0.25">
      <c r="A2160" s="243">
        <v>1978</v>
      </c>
      <c r="B2160" s="24" t="s">
        <v>298</v>
      </c>
      <c r="C2160" s="30" t="s">
        <v>3388</v>
      </c>
      <c r="D2160" s="25" t="s">
        <v>299</v>
      </c>
      <c r="E2160" s="24" t="s">
        <v>3389</v>
      </c>
      <c r="F2160" s="39" t="s">
        <v>299</v>
      </c>
      <c r="G2160" s="266" t="s">
        <v>151</v>
      </c>
      <c r="H2160" s="26">
        <v>198</v>
      </c>
      <c r="I2160" s="26">
        <v>5</v>
      </c>
      <c r="J2160" s="31"/>
      <c r="K2160" s="31"/>
      <c r="L2160" s="31"/>
      <c r="M2160" s="31"/>
      <c r="N2160" s="31"/>
      <c r="O2160" s="31"/>
      <c r="P2160" s="31"/>
      <c r="Q2160" s="31"/>
      <c r="R2160" s="31"/>
      <c r="S2160" s="31"/>
      <c r="T2160" s="31"/>
      <c r="U2160" s="31"/>
      <c r="V2160" s="31"/>
      <c r="W2160" s="31"/>
      <c r="X2160" s="31"/>
      <c r="Y2160" s="31"/>
      <c r="Z2160" s="31"/>
      <c r="AA2160" s="31"/>
      <c r="AB2160" s="31"/>
      <c r="AC2160" s="31"/>
      <c r="AD2160" s="31"/>
      <c r="AE2160" s="31"/>
      <c r="AF2160" s="31"/>
      <c r="AG2160" s="31"/>
      <c r="AH2160" s="31"/>
      <c r="AI2160" s="31"/>
      <c r="AJ2160" s="31"/>
      <c r="AK2160" s="31"/>
      <c r="AL2160" s="28" t="str">
        <f>VLOOKUP($G2160,'[42]Sheet1 (2)'!$A$1:$B$1048440,2,FALSE)</f>
        <v>Sqm</v>
      </c>
      <c r="AM2160" s="32"/>
      <c r="AN2160" s="31"/>
      <c r="AO2160" s="33"/>
    </row>
    <row r="2161" spans="1:41" ht="84" x14ac:dyDescent="0.25">
      <c r="A2161" s="243">
        <v>1979</v>
      </c>
      <c r="B2161" s="21" t="s">
        <v>1068</v>
      </c>
      <c r="C2161" s="280">
        <v>51.14</v>
      </c>
      <c r="D2161" s="25" t="s">
        <v>772</v>
      </c>
      <c r="E2161" s="24" t="s">
        <v>3390</v>
      </c>
      <c r="F2161" s="25" t="s">
        <v>44</v>
      </c>
      <c r="G2161" s="266" t="s">
        <v>151</v>
      </c>
      <c r="H2161" s="26">
        <v>515</v>
      </c>
      <c r="I2161" s="26">
        <v>0</v>
      </c>
      <c r="J2161" s="31"/>
      <c r="K2161" s="31"/>
      <c r="L2161" s="31"/>
      <c r="M2161" s="31"/>
      <c r="N2161" s="31"/>
      <c r="O2161" s="31"/>
      <c r="P2161" s="31"/>
      <c r="Q2161" s="31"/>
      <c r="R2161" s="31"/>
      <c r="S2161" s="31"/>
      <c r="T2161" s="31"/>
      <c r="U2161" s="31"/>
      <c r="V2161" s="31"/>
      <c r="W2161" s="31"/>
      <c r="X2161" s="31"/>
      <c r="Y2161" s="31"/>
      <c r="Z2161" s="31"/>
      <c r="AA2161" s="31"/>
      <c r="AB2161" s="31"/>
      <c r="AC2161" s="31"/>
      <c r="AD2161" s="31"/>
      <c r="AE2161" s="31"/>
      <c r="AF2161" s="31"/>
      <c r="AG2161" s="31"/>
      <c r="AH2161" s="31"/>
      <c r="AI2161" s="31"/>
      <c r="AJ2161" s="31"/>
      <c r="AK2161" s="31"/>
      <c r="AL2161" s="28" t="str">
        <f>VLOOKUP($G2161,'[42]Sheet1 (2)'!$A$1:$B$1048440,2,FALSE)</f>
        <v>Sqm</v>
      </c>
      <c r="AM2161" s="32"/>
      <c r="AN2161" s="31"/>
      <c r="AO2161" s="33"/>
    </row>
    <row r="2162" spans="1:41" ht="56" x14ac:dyDescent="0.25">
      <c r="A2162" s="243">
        <v>1980</v>
      </c>
      <c r="B2162" s="21" t="s">
        <v>1068</v>
      </c>
      <c r="C2162" s="280">
        <v>51.140999999999998</v>
      </c>
      <c r="D2162" s="25" t="s">
        <v>772</v>
      </c>
      <c r="E2162" s="24" t="s">
        <v>3391</v>
      </c>
      <c r="F2162" s="35" t="s">
        <v>1742</v>
      </c>
      <c r="G2162" s="266" t="s">
        <v>151</v>
      </c>
      <c r="H2162" s="26">
        <v>516</v>
      </c>
      <c r="I2162" s="26">
        <v>0</v>
      </c>
      <c r="J2162" s="31"/>
      <c r="K2162" s="31"/>
      <c r="L2162" s="31"/>
      <c r="M2162" s="31"/>
      <c r="N2162" s="31"/>
      <c r="O2162" s="31"/>
      <c r="P2162" s="31"/>
      <c r="Q2162" s="31"/>
      <c r="R2162" s="31"/>
      <c r="S2162" s="31"/>
      <c r="T2162" s="31"/>
      <c r="U2162" s="31"/>
      <c r="V2162" s="31"/>
      <c r="W2162" s="31"/>
      <c r="X2162" s="31"/>
      <c r="Y2162" s="31"/>
      <c r="Z2162" s="31"/>
      <c r="AA2162" s="31"/>
      <c r="AB2162" s="31"/>
      <c r="AC2162" s="31"/>
      <c r="AD2162" s="31"/>
      <c r="AE2162" s="31"/>
      <c r="AF2162" s="31"/>
      <c r="AG2162" s="31"/>
      <c r="AH2162" s="31"/>
      <c r="AI2162" s="31"/>
      <c r="AJ2162" s="31"/>
      <c r="AK2162" s="31"/>
      <c r="AL2162" s="28" t="str">
        <f>VLOOKUP($G2162,'[42]Sheet1 (2)'!$A$1:$B$1048440,2,FALSE)</f>
        <v>Sqm</v>
      </c>
      <c r="AM2162" s="32"/>
      <c r="AN2162" s="31"/>
      <c r="AO2162" s="33"/>
    </row>
    <row r="2163" spans="1:41" ht="70" x14ac:dyDescent="0.25">
      <c r="A2163" s="243">
        <v>1981</v>
      </c>
      <c r="B2163" s="21" t="s">
        <v>1068</v>
      </c>
      <c r="C2163" s="280">
        <v>51.142000000000003</v>
      </c>
      <c r="D2163" s="25" t="s">
        <v>772</v>
      </c>
      <c r="E2163" s="23" t="s">
        <v>3392</v>
      </c>
      <c r="F2163" s="92" t="s">
        <v>64</v>
      </c>
      <c r="G2163" s="266" t="s">
        <v>151</v>
      </c>
      <c r="H2163" s="26">
        <v>4858</v>
      </c>
      <c r="I2163" s="26">
        <v>0</v>
      </c>
      <c r="J2163" s="31"/>
      <c r="K2163" s="31"/>
      <c r="L2163" s="31"/>
      <c r="M2163" s="31"/>
      <c r="N2163" s="31"/>
      <c r="O2163" s="31"/>
      <c r="P2163" s="31"/>
      <c r="Q2163" s="31"/>
      <c r="R2163" s="31"/>
      <c r="S2163" s="31"/>
      <c r="T2163" s="31"/>
      <c r="U2163" s="31"/>
      <c r="V2163" s="31"/>
      <c r="W2163" s="31"/>
      <c r="X2163" s="31"/>
      <c r="Y2163" s="31"/>
      <c r="Z2163" s="31"/>
      <c r="AA2163" s="31"/>
      <c r="AB2163" s="31"/>
      <c r="AC2163" s="31"/>
      <c r="AD2163" s="31"/>
      <c r="AE2163" s="31"/>
      <c r="AF2163" s="31"/>
      <c r="AG2163" s="31"/>
      <c r="AH2163" s="31"/>
      <c r="AI2163" s="31"/>
      <c r="AJ2163" s="31"/>
      <c r="AK2163" s="31"/>
      <c r="AL2163" s="28" t="str">
        <f>VLOOKUP($G2163,'[42]Sheet1 (2)'!$A$1:$B$1048440,2,FALSE)</f>
        <v>Sqm</v>
      </c>
      <c r="AM2163" s="32"/>
      <c r="AN2163" s="31"/>
      <c r="AO2163" s="33"/>
    </row>
    <row r="2164" spans="1:41" ht="56" x14ac:dyDescent="0.25">
      <c r="A2164" s="243">
        <v>1982</v>
      </c>
      <c r="B2164" s="21" t="s">
        <v>1068</v>
      </c>
      <c r="C2164" s="280">
        <v>51.143000000000001</v>
      </c>
      <c r="D2164" s="25" t="s">
        <v>772</v>
      </c>
      <c r="E2164" s="24" t="s">
        <v>3393</v>
      </c>
      <c r="F2164" s="35" t="s">
        <v>1742</v>
      </c>
      <c r="G2164" s="21" t="s">
        <v>80</v>
      </c>
      <c r="H2164" s="26">
        <v>459</v>
      </c>
      <c r="I2164" s="26">
        <v>0</v>
      </c>
      <c r="J2164" s="31"/>
      <c r="K2164" s="31"/>
      <c r="L2164" s="31"/>
      <c r="M2164" s="31"/>
      <c r="N2164" s="31"/>
      <c r="O2164" s="31"/>
      <c r="P2164" s="31"/>
      <c r="Q2164" s="31"/>
      <c r="R2164" s="31"/>
      <c r="S2164" s="31"/>
      <c r="T2164" s="31"/>
      <c r="U2164" s="31"/>
      <c r="V2164" s="31"/>
      <c r="W2164" s="31"/>
      <c r="X2164" s="31"/>
      <c r="Y2164" s="31"/>
      <c r="Z2164" s="31"/>
      <c r="AA2164" s="31"/>
      <c r="AB2164" s="31"/>
      <c r="AC2164" s="31"/>
      <c r="AD2164" s="31"/>
      <c r="AE2164" s="31"/>
      <c r="AF2164" s="31"/>
      <c r="AG2164" s="31"/>
      <c r="AH2164" s="31"/>
      <c r="AI2164" s="31"/>
      <c r="AJ2164" s="31"/>
      <c r="AK2164" s="31"/>
      <c r="AL2164" s="28" t="str">
        <f>VLOOKUP($G2164,'[42]Sheet1 (2)'!$A$1:$B$1048440,2,FALSE)</f>
        <v>Rmt.</v>
      </c>
      <c r="AM2164" s="32"/>
      <c r="AN2164" s="31"/>
      <c r="AO2164" s="33"/>
    </row>
    <row r="2165" spans="1:41" ht="56" x14ac:dyDescent="0.25">
      <c r="A2165" s="243">
        <v>1983</v>
      </c>
      <c r="B2165" s="21" t="s">
        <v>1068</v>
      </c>
      <c r="C2165" s="280">
        <v>51.143999999999998</v>
      </c>
      <c r="D2165" s="25" t="s">
        <v>772</v>
      </c>
      <c r="E2165" s="23" t="s">
        <v>3394</v>
      </c>
      <c r="F2165" s="35" t="s">
        <v>1742</v>
      </c>
      <c r="G2165" s="25" t="s">
        <v>3395</v>
      </c>
      <c r="H2165" s="26">
        <v>9335</v>
      </c>
      <c r="I2165" s="26">
        <v>0</v>
      </c>
      <c r="J2165" s="31"/>
      <c r="K2165" s="31"/>
      <c r="L2165" s="31"/>
      <c r="M2165" s="31"/>
      <c r="N2165" s="31"/>
      <c r="O2165" s="31"/>
      <c r="P2165" s="31"/>
      <c r="Q2165" s="31"/>
      <c r="R2165" s="31"/>
      <c r="S2165" s="31"/>
      <c r="T2165" s="31"/>
      <c r="U2165" s="31"/>
      <c r="V2165" s="31"/>
      <c r="W2165" s="31"/>
      <c r="X2165" s="31"/>
      <c r="Y2165" s="31"/>
      <c r="Z2165" s="31"/>
      <c r="AA2165" s="31"/>
      <c r="AB2165" s="31"/>
      <c r="AC2165" s="31"/>
      <c r="AD2165" s="31"/>
      <c r="AE2165" s="31"/>
      <c r="AF2165" s="31"/>
      <c r="AG2165" s="31"/>
      <c r="AH2165" s="31"/>
      <c r="AI2165" s="31"/>
      <c r="AJ2165" s="31"/>
      <c r="AK2165" s="31"/>
      <c r="AL2165" s="28" t="str">
        <f>VLOOKUP($G2165,'[42]Sheet1 (2)'!$A$1:$B$1048440,2,FALSE)</f>
        <v>Per bearing</v>
      </c>
      <c r="AM2165" s="32"/>
      <c r="AN2165" s="31"/>
      <c r="AO2165" s="33"/>
    </row>
    <row r="2166" spans="1:41" ht="56" x14ac:dyDescent="0.25">
      <c r="A2166" s="243">
        <v>1984</v>
      </c>
      <c r="B2166" s="21" t="s">
        <v>1068</v>
      </c>
      <c r="C2166" s="280">
        <v>51.145000000000003</v>
      </c>
      <c r="D2166" s="25" t="s">
        <v>772</v>
      </c>
      <c r="E2166" s="23" t="s">
        <v>3396</v>
      </c>
      <c r="F2166" s="35" t="s">
        <v>1742</v>
      </c>
      <c r="G2166" s="25" t="s">
        <v>45</v>
      </c>
      <c r="H2166" s="26">
        <v>9605</v>
      </c>
      <c r="I2166" s="26">
        <v>0</v>
      </c>
      <c r="J2166" s="31"/>
      <c r="K2166" s="31"/>
      <c r="L2166" s="31"/>
      <c r="M2166" s="31"/>
      <c r="N2166" s="31"/>
      <c r="O2166" s="31"/>
      <c r="P2166" s="31"/>
      <c r="Q2166" s="31"/>
      <c r="R2166" s="31"/>
      <c r="S2166" s="31"/>
      <c r="T2166" s="31"/>
      <c r="U2166" s="31"/>
      <c r="V2166" s="31"/>
      <c r="W2166" s="31"/>
      <c r="X2166" s="31"/>
      <c r="Y2166" s="31"/>
      <c r="Z2166" s="31"/>
      <c r="AA2166" s="31"/>
      <c r="AB2166" s="31"/>
      <c r="AC2166" s="31"/>
      <c r="AD2166" s="31"/>
      <c r="AE2166" s="31"/>
      <c r="AF2166" s="31"/>
      <c r="AG2166" s="31"/>
      <c r="AH2166" s="31"/>
      <c r="AI2166" s="31"/>
      <c r="AJ2166" s="31"/>
      <c r="AK2166" s="31"/>
      <c r="AL2166" s="28" t="str">
        <f>VLOOKUP($G2166,'[42]Sheet1 (2)'!$A$1:$B$1048440,2,FALSE)</f>
        <v>No.</v>
      </c>
      <c r="AM2166" s="32"/>
      <c r="AN2166" s="31"/>
      <c r="AO2166" s="33"/>
    </row>
    <row r="2167" spans="1:41" ht="168" x14ac:dyDescent="0.25">
      <c r="A2167" s="243">
        <v>1985</v>
      </c>
      <c r="B2167" s="21" t="s">
        <v>1068</v>
      </c>
      <c r="C2167" s="280">
        <v>51.146000000000001</v>
      </c>
      <c r="D2167" s="25" t="s">
        <v>772</v>
      </c>
      <c r="E2167" s="24" t="s">
        <v>3397</v>
      </c>
      <c r="F2167" s="25" t="s">
        <v>44</v>
      </c>
      <c r="G2167" s="209" t="s">
        <v>47</v>
      </c>
      <c r="H2167" s="26">
        <v>67000</v>
      </c>
      <c r="I2167" s="26">
        <v>0</v>
      </c>
      <c r="J2167" s="31"/>
      <c r="K2167" s="31"/>
      <c r="L2167" s="31"/>
      <c r="M2167" s="31"/>
      <c r="N2167" s="31"/>
      <c r="O2167" s="31"/>
      <c r="P2167" s="31"/>
      <c r="Q2167" s="31"/>
      <c r="R2167" s="31"/>
      <c r="S2167" s="31"/>
      <c r="T2167" s="31"/>
      <c r="U2167" s="31"/>
      <c r="V2167" s="31"/>
      <c r="W2167" s="31"/>
      <c r="X2167" s="31"/>
      <c r="Y2167" s="31"/>
      <c r="Z2167" s="31"/>
      <c r="AA2167" s="31"/>
      <c r="AB2167" s="31"/>
      <c r="AC2167" s="31"/>
      <c r="AD2167" s="31"/>
      <c r="AE2167" s="31"/>
      <c r="AF2167" s="31"/>
      <c r="AG2167" s="31"/>
      <c r="AH2167" s="31"/>
      <c r="AI2167" s="31"/>
      <c r="AJ2167" s="31"/>
      <c r="AK2167" s="31"/>
      <c r="AL2167" s="28" t="str">
        <f>VLOOKUP($G2167,'[42]Sheet1 (2)'!$A$1:$B$1048440,2,FALSE)</f>
        <v>Cum</v>
      </c>
      <c r="AM2167" s="32"/>
      <c r="AN2167" s="31"/>
      <c r="AO2167" s="33"/>
    </row>
    <row r="2168" spans="1:41" ht="70" x14ac:dyDescent="0.25">
      <c r="A2168" s="243">
        <v>1986</v>
      </c>
      <c r="B2168" s="21" t="s">
        <v>1068</v>
      </c>
      <c r="C2168" s="280">
        <v>51.146999999999998</v>
      </c>
      <c r="D2168" s="25" t="s">
        <v>772</v>
      </c>
      <c r="E2168" s="23" t="s">
        <v>3398</v>
      </c>
      <c r="F2168" s="92" t="s">
        <v>64</v>
      </c>
      <c r="G2168" s="266" t="s">
        <v>151</v>
      </c>
      <c r="H2168" s="26">
        <v>1435</v>
      </c>
      <c r="I2168" s="26">
        <v>0</v>
      </c>
      <c r="J2168" s="31"/>
      <c r="K2168" s="31"/>
      <c r="L2168" s="31"/>
      <c r="M2168" s="31"/>
      <c r="N2168" s="31"/>
      <c r="O2168" s="31"/>
      <c r="P2168" s="31"/>
      <c r="Q2168" s="31"/>
      <c r="R2168" s="31"/>
      <c r="S2168" s="31"/>
      <c r="T2168" s="31"/>
      <c r="U2168" s="31"/>
      <c r="V2168" s="31"/>
      <c r="W2168" s="31"/>
      <c r="X2168" s="31"/>
      <c r="Y2168" s="31"/>
      <c r="Z2168" s="31"/>
      <c r="AA2168" s="31"/>
      <c r="AB2168" s="31"/>
      <c r="AC2168" s="31"/>
      <c r="AD2168" s="31"/>
      <c r="AE2168" s="31"/>
      <c r="AF2168" s="31"/>
      <c r="AG2168" s="31"/>
      <c r="AH2168" s="31"/>
      <c r="AI2168" s="31"/>
      <c r="AJ2168" s="31"/>
      <c r="AK2168" s="31"/>
      <c r="AL2168" s="28" t="str">
        <f>VLOOKUP($G2168,'[42]Sheet1 (2)'!$A$1:$B$1048440,2,FALSE)</f>
        <v>Sqm</v>
      </c>
      <c r="AM2168" s="32"/>
      <c r="AN2168" s="31"/>
      <c r="AO2168" s="33"/>
    </row>
    <row r="2169" spans="1:41" ht="56" x14ac:dyDescent="0.25">
      <c r="A2169" s="243">
        <v>1987</v>
      </c>
      <c r="B2169" s="21" t="s">
        <v>1068</v>
      </c>
      <c r="C2169" s="280">
        <v>51.148000000000003</v>
      </c>
      <c r="D2169" s="25" t="s">
        <v>772</v>
      </c>
      <c r="E2169" s="23" t="s">
        <v>3399</v>
      </c>
      <c r="F2169" s="35" t="s">
        <v>1742</v>
      </c>
      <c r="G2169" s="266" t="s">
        <v>151</v>
      </c>
      <c r="H2169" s="26">
        <v>429</v>
      </c>
      <c r="I2169" s="26">
        <v>0</v>
      </c>
      <c r="J2169" s="31"/>
      <c r="K2169" s="31"/>
      <c r="L2169" s="31"/>
      <c r="M2169" s="31"/>
      <c r="N2169" s="31"/>
      <c r="O2169" s="31"/>
      <c r="P2169" s="31"/>
      <c r="Q2169" s="31"/>
      <c r="R2169" s="31"/>
      <c r="S2169" s="31"/>
      <c r="T2169" s="31"/>
      <c r="U2169" s="31"/>
      <c r="V2169" s="31"/>
      <c r="W2169" s="31"/>
      <c r="X2169" s="31"/>
      <c r="Y2169" s="31"/>
      <c r="Z2169" s="31"/>
      <c r="AA2169" s="31"/>
      <c r="AB2169" s="31"/>
      <c r="AC2169" s="31"/>
      <c r="AD2169" s="31"/>
      <c r="AE2169" s="31"/>
      <c r="AF2169" s="31"/>
      <c r="AG2169" s="31"/>
      <c r="AH2169" s="31"/>
      <c r="AI2169" s="31"/>
      <c r="AJ2169" s="31"/>
      <c r="AK2169" s="31"/>
      <c r="AL2169" s="28" t="str">
        <f>VLOOKUP($G2169,'[42]Sheet1 (2)'!$A$1:$B$1048440,2,FALSE)</f>
        <v>Sqm</v>
      </c>
      <c r="AM2169" s="32"/>
      <c r="AN2169" s="31"/>
      <c r="AO2169" s="33"/>
    </row>
    <row r="2170" spans="1:41" ht="56" x14ac:dyDescent="0.25">
      <c r="A2170" s="243">
        <v>1988</v>
      </c>
      <c r="B2170" s="21" t="s">
        <v>1068</v>
      </c>
      <c r="C2170" s="280">
        <v>51.149000000000001</v>
      </c>
      <c r="D2170" s="25" t="s">
        <v>772</v>
      </c>
      <c r="E2170" s="24" t="s">
        <v>3400</v>
      </c>
      <c r="F2170" s="35" t="s">
        <v>1742</v>
      </c>
      <c r="G2170" s="266" t="s">
        <v>151</v>
      </c>
      <c r="H2170" s="26">
        <v>97</v>
      </c>
      <c r="I2170" s="26">
        <v>0</v>
      </c>
      <c r="J2170" s="31"/>
      <c r="K2170" s="31"/>
      <c r="L2170" s="31"/>
      <c r="M2170" s="31"/>
      <c r="N2170" s="31"/>
      <c r="O2170" s="31"/>
      <c r="P2170" s="31"/>
      <c r="Q2170" s="31"/>
      <c r="R2170" s="31"/>
      <c r="S2170" s="31"/>
      <c r="T2170" s="31"/>
      <c r="U2170" s="31"/>
      <c r="V2170" s="31"/>
      <c r="W2170" s="31"/>
      <c r="X2170" s="31"/>
      <c r="Y2170" s="31"/>
      <c r="Z2170" s="31"/>
      <c r="AA2170" s="31"/>
      <c r="AB2170" s="31"/>
      <c r="AC2170" s="31"/>
      <c r="AD2170" s="31"/>
      <c r="AE2170" s="31"/>
      <c r="AF2170" s="31"/>
      <c r="AG2170" s="31"/>
      <c r="AH2170" s="31"/>
      <c r="AI2170" s="31"/>
      <c r="AJ2170" s="31"/>
      <c r="AK2170" s="31"/>
      <c r="AL2170" s="28" t="str">
        <f>VLOOKUP($G2170,'[42]Sheet1 (2)'!$A$1:$B$1048440,2,FALSE)</f>
        <v>Sqm</v>
      </c>
      <c r="AM2170" s="32"/>
      <c r="AN2170" s="31"/>
      <c r="AO2170" s="33"/>
    </row>
    <row r="2171" spans="1:41" ht="70" x14ac:dyDescent="0.25">
      <c r="A2171" s="243">
        <v>1989</v>
      </c>
      <c r="B2171" s="21" t="s">
        <v>1068</v>
      </c>
      <c r="C2171" s="280">
        <v>51.15</v>
      </c>
      <c r="D2171" s="25" t="s">
        <v>772</v>
      </c>
      <c r="E2171" s="23" t="s">
        <v>3401</v>
      </c>
      <c r="F2171" s="92" t="s">
        <v>64</v>
      </c>
      <c r="G2171" s="266" t="s">
        <v>151</v>
      </c>
      <c r="H2171" s="26">
        <v>176233</v>
      </c>
      <c r="I2171" s="26">
        <v>0</v>
      </c>
      <c r="J2171" s="31"/>
      <c r="K2171" s="31"/>
      <c r="L2171" s="31"/>
      <c r="M2171" s="31"/>
      <c r="N2171" s="31"/>
      <c r="O2171" s="31"/>
      <c r="P2171" s="31"/>
      <c r="Q2171" s="31"/>
      <c r="R2171" s="31"/>
      <c r="S2171" s="31"/>
      <c r="T2171" s="31"/>
      <c r="U2171" s="31"/>
      <c r="V2171" s="31"/>
      <c r="W2171" s="31"/>
      <c r="X2171" s="31"/>
      <c r="Y2171" s="31"/>
      <c r="Z2171" s="31"/>
      <c r="AA2171" s="31"/>
      <c r="AB2171" s="31"/>
      <c r="AC2171" s="31"/>
      <c r="AD2171" s="31"/>
      <c r="AE2171" s="31"/>
      <c r="AF2171" s="31"/>
      <c r="AG2171" s="31"/>
      <c r="AH2171" s="31"/>
      <c r="AI2171" s="31"/>
      <c r="AJ2171" s="31"/>
      <c r="AK2171" s="31"/>
      <c r="AL2171" s="28" t="str">
        <f>VLOOKUP($G2171,'[42]Sheet1 (2)'!$A$1:$B$1048440,2,FALSE)</f>
        <v>Sqm</v>
      </c>
      <c r="AM2171" s="32"/>
      <c r="AN2171" s="31"/>
      <c r="AO2171" s="33"/>
    </row>
    <row r="2172" spans="1:41" ht="280" x14ac:dyDescent="0.25">
      <c r="A2172" s="243">
        <v>1990</v>
      </c>
      <c r="B2172" s="21" t="s">
        <v>1068</v>
      </c>
      <c r="C2172" s="280">
        <v>51.151000000000003</v>
      </c>
      <c r="D2172" s="25" t="s">
        <v>772</v>
      </c>
      <c r="E2172" s="24" t="s">
        <v>3402</v>
      </c>
      <c r="F2172" s="25" t="s">
        <v>44</v>
      </c>
      <c r="G2172" s="266" t="s">
        <v>151</v>
      </c>
      <c r="H2172" s="26">
        <v>6260</v>
      </c>
      <c r="I2172" s="26">
        <v>0</v>
      </c>
      <c r="J2172" s="31"/>
      <c r="K2172" s="31"/>
      <c r="L2172" s="31"/>
      <c r="M2172" s="31"/>
      <c r="N2172" s="31"/>
      <c r="O2172" s="31"/>
      <c r="P2172" s="31"/>
      <c r="Q2172" s="31"/>
      <c r="R2172" s="31"/>
      <c r="S2172" s="31"/>
      <c r="T2172" s="31"/>
      <c r="U2172" s="31"/>
      <c r="V2172" s="31"/>
      <c r="W2172" s="31"/>
      <c r="X2172" s="31"/>
      <c r="Y2172" s="31"/>
      <c r="Z2172" s="31"/>
      <c r="AA2172" s="31"/>
      <c r="AB2172" s="31"/>
      <c r="AC2172" s="31"/>
      <c r="AD2172" s="31"/>
      <c r="AE2172" s="31"/>
      <c r="AF2172" s="31"/>
      <c r="AG2172" s="31"/>
      <c r="AH2172" s="31"/>
      <c r="AI2172" s="31"/>
      <c r="AJ2172" s="31"/>
      <c r="AK2172" s="31"/>
      <c r="AL2172" s="28" t="str">
        <f>VLOOKUP($G2172,'[42]Sheet1 (2)'!$A$1:$B$1048440,2,FALSE)</f>
        <v>Sqm</v>
      </c>
      <c r="AM2172" s="32"/>
      <c r="AN2172" s="31"/>
      <c r="AO2172" s="33"/>
    </row>
    <row r="2173" spans="1:41" ht="84" x14ac:dyDescent="0.25">
      <c r="A2173" s="243">
        <v>1991</v>
      </c>
      <c r="B2173" s="21" t="s">
        <v>1068</v>
      </c>
      <c r="C2173" s="280">
        <v>51.152000000000001</v>
      </c>
      <c r="D2173" s="25" t="s">
        <v>772</v>
      </c>
      <c r="E2173" s="23" t="s">
        <v>3403</v>
      </c>
      <c r="F2173" s="25" t="s">
        <v>44</v>
      </c>
      <c r="G2173" s="21" t="s">
        <v>80</v>
      </c>
      <c r="H2173" s="26">
        <v>19016</v>
      </c>
      <c r="I2173" s="26">
        <v>0</v>
      </c>
      <c r="J2173" s="31"/>
      <c r="K2173" s="31"/>
      <c r="L2173" s="31"/>
      <c r="M2173" s="31"/>
      <c r="N2173" s="31"/>
      <c r="O2173" s="31"/>
      <c r="P2173" s="31"/>
      <c r="Q2173" s="31"/>
      <c r="R2173" s="31"/>
      <c r="S2173" s="31"/>
      <c r="T2173" s="31"/>
      <c r="U2173" s="31"/>
      <c r="V2173" s="31"/>
      <c r="W2173" s="31"/>
      <c r="X2173" s="31"/>
      <c r="Y2173" s="31"/>
      <c r="Z2173" s="31"/>
      <c r="AA2173" s="31"/>
      <c r="AB2173" s="31"/>
      <c r="AC2173" s="31"/>
      <c r="AD2173" s="31"/>
      <c r="AE2173" s="31"/>
      <c r="AF2173" s="31"/>
      <c r="AG2173" s="31"/>
      <c r="AH2173" s="31"/>
      <c r="AI2173" s="31"/>
      <c r="AJ2173" s="31"/>
      <c r="AK2173" s="31"/>
      <c r="AL2173" s="28" t="str">
        <f>VLOOKUP($G2173,'[42]Sheet1 (2)'!$A$1:$B$1048440,2,FALSE)</f>
        <v>Rmt.</v>
      </c>
      <c r="AM2173" s="32"/>
      <c r="AN2173" s="31"/>
      <c r="AO2173" s="33"/>
    </row>
    <row r="2174" spans="1:41" ht="98" x14ac:dyDescent="0.25">
      <c r="A2174" s="243">
        <v>1992</v>
      </c>
      <c r="B2174" s="21" t="s">
        <v>1068</v>
      </c>
      <c r="C2174" s="280">
        <v>51.152999999999999</v>
      </c>
      <c r="D2174" s="25" t="s">
        <v>772</v>
      </c>
      <c r="E2174" s="23" t="s">
        <v>3404</v>
      </c>
      <c r="F2174" s="25" t="s">
        <v>44</v>
      </c>
      <c r="G2174" s="266" t="s">
        <v>151</v>
      </c>
      <c r="H2174" s="26">
        <v>6345</v>
      </c>
      <c r="I2174" s="26">
        <v>0</v>
      </c>
      <c r="J2174" s="31"/>
      <c r="K2174" s="31"/>
      <c r="L2174" s="31"/>
      <c r="M2174" s="31"/>
      <c r="N2174" s="31"/>
      <c r="O2174" s="31"/>
      <c r="P2174" s="31"/>
      <c r="Q2174" s="31"/>
      <c r="R2174" s="31"/>
      <c r="S2174" s="31"/>
      <c r="T2174" s="31"/>
      <c r="U2174" s="31"/>
      <c r="V2174" s="31"/>
      <c r="W2174" s="31"/>
      <c r="X2174" s="31"/>
      <c r="Y2174" s="31"/>
      <c r="Z2174" s="31"/>
      <c r="AA2174" s="31"/>
      <c r="AB2174" s="31"/>
      <c r="AC2174" s="31"/>
      <c r="AD2174" s="31"/>
      <c r="AE2174" s="31"/>
      <c r="AF2174" s="31"/>
      <c r="AG2174" s="31"/>
      <c r="AH2174" s="31"/>
      <c r="AI2174" s="31"/>
      <c r="AJ2174" s="31"/>
      <c r="AK2174" s="31"/>
      <c r="AL2174" s="28" t="str">
        <f>VLOOKUP($G2174,'[42]Sheet1 (2)'!$A$1:$B$1048440,2,FALSE)</f>
        <v>Sqm</v>
      </c>
      <c r="AM2174" s="32"/>
      <c r="AN2174" s="31"/>
      <c r="AO2174" s="33"/>
    </row>
    <row r="2175" spans="1:41" ht="70" x14ac:dyDescent="0.25">
      <c r="A2175" s="243">
        <v>1993</v>
      </c>
      <c r="B2175" s="21" t="s">
        <v>1068</v>
      </c>
      <c r="C2175" s="280">
        <v>51.154000000000003</v>
      </c>
      <c r="D2175" s="25" t="s">
        <v>772</v>
      </c>
      <c r="E2175" s="24" t="s">
        <v>3405</v>
      </c>
      <c r="F2175" s="92" t="s">
        <v>64</v>
      </c>
      <c r="G2175" s="21" t="s">
        <v>45</v>
      </c>
      <c r="H2175" s="26">
        <v>266</v>
      </c>
      <c r="I2175" s="26">
        <v>0</v>
      </c>
      <c r="J2175" s="31"/>
      <c r="K2175" s="31"/>
      <c r="L2175" s="31"/>
      <c r="M2175" s="31"/>
      <c r="N2175" s="31"/>
      <c r="O2175" s="31"/>
      <c r="P2175" s="31"/>
      <c r="Q2175" s="31"/>
      <c r="R2175" s="31"/>
      <c r="S2175" s="31"/>
      <c r="T2175" s="31"/>
      <c r="U2175" s="31"/>
      <c r="V2175" s="31"/>
      <c r="W2175" s="31"/>
      <c r="X2175" s="31"/>
      <c r="Y2175" s="31"/>
      <c r="Z2175" s="31"/>
      <c r="AA2175" s="31"/>
      <c r="AB2175" s="31"/>
      <c r="AC2175" s="31"/>
      <c r="AD2175" s="31"/>
      <c r="AE2175" s="31"/>
      <c r="AF2175" s="31"/>
      <c r="AG2175" s="31"/>
      <c r="AH2175" s="31"/>
      <c r="AI2175" s="31"/>
      <c r="AJ2175" s="31"/>
      <c r="AK2175" s="31"/>
      <c r="AL2175" s="28" t="str">
        <f>VLOOKUP($G2175,'[42]Sheet1 (2)'!$A$1:$B$1048440,2,FALSE)</f>
        <v>No.</v>
      </c>
      <c r="AM2175" s="32"/>
      <c r="AN2175" s="31"/>
      <c r="AO2175" s="33"/>
    </row>
    <row r="2176" spans="1:41" ht="70" x14ac:dyDescent="0.25">
      <c r="A2176" s="243">
        <v>1994</v>
      </c>
      <c r="B2176" s="21" t="s">
        <v>1068</v>
      </c>
      <c r="C2176" s="280">
        <v>51.155000000000001</v>
      </c>
      <c r="D2176" s="25" t="s">
        <v>772</v>
      </c>
      <c r="E2176" s="24" t="s">
        <v>3406</v>
      </c>
      <c r="F2176" s="92" t="s">
        <v>64</v>
      </c>
      <c r="G2176" s="25" t="s">
        <v>2916</v>
      </c>
      <c r="H2176" s="26">
        <v>219</v>
      </c>
      <c r="I2176" s="26">
        <v>0</v>
      </c>
      <c r="J2176" s="31"/>
      <c r="K2176" s="31"/>
      <c r="L2176" s="31"/>
      <c r="M2176" s="31"/>
      <c r="N2176" s="31"/>
      <c r="O2176" s="31"/>
      <c r="P2176" s="31"/>
      <c r="Q2176" s="31"/>
      <c r="R2176" s="31"/>
      <c r="S2176" s="31"/>
      <c r="T2176" s="31"/>
      <c r="U2176" s="31"/>
      <c r="V2176" s="31"/>
      <c r="W2176" s="31"/>
      <c r="X2176" s="31"/>
      <c r="Y2176" s="31"/>
      <c r="Z2176" s="31"/>
      <c r="AA2176" s="31"/>
      <c r="AB2176" s="31"/>
      <c r="AC2176" s="31"/>
      <c r="AD2176" s="31"/>
      <c r="AE2176" s="31"/>
      <c r="AF2176" s="31"/>
      <c r="AG2176" s="31"/>
      <c r="AH2176" s="31"/>
      <c r="AI2176" s="31"/>
      <c r="AJ2176" s="31"/>
      <c r="AK2176" s="31"/>
      <c r="AL2176" s="28" t="str">
        <f>VLOOKUP($G2176,'[42]Sheet1 (2)'!$A$1:$B$1048440,2,FALSE)</f>
        <v>kg</v>
      </c>
      <c r="AM2176" s="32"/>
      <c r="AN2176" s="31"/>
      <c r="AO2176" s="33"/>
    </row>
    <row r="2177" spans="1:41" ht="84" x14ac:dyDescent="0.25">
      <c r="A2177" s="243">
        <v>1995</v>
      </c>
      <c r="B2177" s="21" t="s">
        <v>1068</v>
      </c>
      <c r="C2177" s="280">
        <v>51.155999999999999</v>
      </c>
      <c r="D2177" s="25" t="s">
        <v>772</v>
      </c>
      <c r="E2177" s="24" t="s">
        <v>3407</v>
      </c>
      <c r="F2177" s="25" t="s">
        <v>44</v>
      </c>
      <c r="G2177" s="25" t="s">
        <v>45</v>
      </c>
      <c r="H2177" s="26">
        <v>9280</v>
      </c>
      <c r="I2177" s="26">
        <v>0</v>
      </c>
      <c r="J2177" s="31"/>
      <c r="K2177" s="31"/>
      <c r="L2177" s="31"/>
      <c r="M2177" s="31"/>
      <c r="N2177" s="31"/>
      <c r="O2177" s="31"/>
      <c r="P2177" s="31"/>
      <c r="Q2177" s="31"/>
      <c r="R2177" s="31"/>
      <c r="S2177" s="31"/>
      <c r="T2177" s="31"/>
      <c r="U2177" s="31"/>
      <c r="V2177" s="31"/>
      <c r="W2177" s="31"/>
      <c r="X2177" s="31"/>
      <c r="Y2177" s="31"/>
      <c r="Z2177" s="31"/>
      <c r="AA2177" s="31"/>
      <c r="AB2177" s="31"/>
      <c r="AC2177" s="31"/>
      <c r="AD2177" s="31"/>
      <c r="AE2177" s="31"/>
      <c r="AF2177" s="31"/>
      <c r="AG2177" s="31"/>
      <c r="AH2177" s="31"/>
      <c r="AI2177" s="31"/>
      <c r="AJ2177" s="31"/>
      <c r="AK2177" s="31"/>
      <c r="AL2177" s="28" t="str">
        <f>VLOOKUP($G2177,'[42]Sheet1 (2)'!$A$1:$B$1048440,2,FALSE)</f>
        <v>No.</v>
      </c>
      <c r="AM2177" s="32"/>
      <c r="AN2177" s="31"/>
      <c r="AO2177" s="33"/>
    </row>
    <row r="2178" spans="1:41" ht="210" x14ac:dyDescent="0.25">
      <c r="A2178" s="243">
        <v>1996</v>
      </c>
      <c r="B2178" s="21" t="s">
        <v>3408</v>
      </c>
      <c r="C2178" s="280">
        <v>51.156999999999996</v>
      </c>
      <c r="D2178" s="23"/>
      <c r="E2178" s="23" t="s">
        <v>3409</v>
      </c>
      <c r="F2178" s="25" t="s">
        <v>44</v>
      </c>
      <c r="G2178" s="266" t="s">
        <v>151</v>
      </c>
      <c r="H2178" s="26">
        <v>2967</v>
      </c>
      <c r="I2178" s="26">
        <v>0</v>
      </c>
      <c r="J2178" s="31"/>
      <c r="K2178" s="31"/>
      <c r="L2178" s="31"/>
      <c r="M2178" s="31"/>
      <c r="N2178" s="31"/>
      <c r="O2178" s="31"/>
      <c r="P2178" s="31"/>
      <c r="Q2178" s="31"/>
      <c r="R2178" s="31"/>
      <c r="S2178" s="31"/>
      <c r="T2178" s="31"/>
      <c r="U2178" s="31"/>
      <c r="V2178" s="31"/>
      <c r="W2178" s="31"/>
      <c r="X2178" s="31"/>
      <c r="Y2178" s="31"/>
      <c r="Z2178" s="31"/>
      <c r="AA2178" s="31"/>
      <c r="AB2178" s="31"/>
      <c r="AC2178" s="31"/>
      <c r="AD2178" s="31"/>
      <c r="AE2178" s="31"/>
      <c r="AF2178" s="31"/>
      <c r="AG2178" s="31"/>
      <c r="AH2178" s="31"/>
      <c r="AI2178" s="31"/>
      <c r="AJ2178" s="31"/>
      <c r="AK2178" s="31"/>
      <c r="AL2178" s="28" t="str">
        <f>VLOOKUP($G2178,'[42]Sheet1 (2)'!$A$1:$B$1048440,2,FALSE)</f>
        <v>Sqm</v>
      </c>
      <c r="AM2178" s="32"/>
      <c r="AN2178" s="31"/>
      <c r="AO2178" s="33"/>
    </row>
    <row r="2179" spans="1:41" ht="168" x14ac:dyDescent="0.25">
      <c r="A2179" s="243">
        <v>1997</v>
      </c>
      <c r="B2179" s="21" t="s">
        <v>3408</v>
      </c>
      <c r="C2179" s="280">
        <v>51.158000000000001</v>
      </c>
      <c r="D2179" s="23"/>
      <c r="E2179" s="23" t="s">
        <v>3410</v>
      </c>
      <c r="F2179" s="25" t="s">
        <v>44</v>
      </c>
      <c r="G2179" s="21" t="s">
        <v>758</v>
      </c>
      <c r="H2179" s="26">
        <v>166000</v>
      </c>
      <c r="I2179" s="26">
        <v>49800</v>
      </c>
      <c r="J2179" s="31"/>
      <c r="K2179" s="31"/>
      <c r="L2179" s="31"/>
      <c r="M2179" s="31"/>
      <c r="N2179" s="31"/>
      <c r="O2179" s="31"/>
      <c r="P2179" s="31"/>
      <c r="Q2179" s="31"/>
      <c r="R2179" s="31"/>
      <c r="S2179" s="31"/>
      <c r="T2179" s="31"/>
      <c r="U2179" s="31"/>
      <c r="V2179" s="31"/>
      <c r="W2179" s="31"/>
      <c r="X2179" s="31"/>
      <c r="Y2179" s="31"/>
      <c r="Z2179" s="31"/>
      <c r="AA2179" s="31"/>
      <c r="AB2179" s="31"/>
      <c r="AC2179" s="31"/>
      <c r="AD2179" s="31"/>
      <c r="AE2179" s="31"/>
      <c r="AF2179" s="31"/>
      <c r="AG2179" s="31"/>
      <c r="AH2179" s="31"/>
      <c r="AI2179" s="31"/>
      <c r="AJ2179" s="31"/>
      <c r="AK2179" s="31"/>
      <c r="AL2179" s="28" t="str">
        <f>VLOOKUP($G2179,'[42]Sheet1 (2)'!$A$1:$B$1048440,2,FALSE)</f>
        <v>M.T.</v>
      </c>
      <c r="AM2179" s="32"/>
      <c r="AN2179" s="31"/>
      <c r="AO2179" s="33"/>
    </row>
    <row r="2180" spans="1:41" ht="98" x14ac:dyDescent="0.25">
      <c r="A2180" s="243">
        <v>1998</v>
      </c>
      <c r="B2180" s="21" t="s">
        <v>3408</v>
      </c>
      <c r="C2180" s="280">
        <v>51.158999999999999</v>
      </c>
      <c r="D2180" s="23"/>
      <c r="E2180" s="24" t="s">
        <v>3411</v>
      </c>
      <c r="F2180" s="25" t="s">
        <v>44</v>
      </c>
      <c r="G2180" s="21" t="s">
        <v>758</v>
      </c>
      <c r="H2180" s="26">
        <v>110000</v>
      </c>
      <c r="I2180" s="26">
        <v>33000</v>
      </c>
      <c r="J2180" s="31"/>
      <c r="K2180" s="31"/>
      <c r="L2180" s="31"/>
      <c r="M2180" s="31"/>
      <c r="N2180" s="31"/>
      <c r="O2180" s="31"/>
      <c r="P2180" s="31"/>
      <c r="Q2180" s="31"/>
      <c r="R2180" s="31"/>
      <c r="S2180" s="31"/>
      <c r="T2180" s="31"/>
      <c r="U2180" s="31"/>
      <c r="V2180" s="31"/>
      <c r="W2180" s="31"/>
      <c r="X2180" s="31"/>
      <c r="Y2180" s="31"/>
      <c r="Z2180" s="31"/>
      <c r="AA2180" s="31"/>
      <c r="AB2180" s="31"/>
      <c r="AC2180" s="31"/>
      <c r="AD2180" s="31"/>
      <c r="AE2180" s="31"/>
      <c r="AF2180" s="31"/>
      <c r="AG2180" s="31"/>
      <c r="AH2180" s="31"/>
      <c r="AI2180" s="31"/>
      <c r="AJ2180" s="31"/>
      <c r="AK2180" s="31"/>
      <c r="AL2180" s="28" t="str">
        <f>VLOOKUP($G2180,'[42]Sheet1 (2)'!$A$1:$B$1048440,2,FALSE)</f>
        <v>M.T.</v>
      </c>
      <c r="AM2180" s="32"/>
      <c r="AN2180" s="31"/>
      <c r="AO2180" s="33"/>
    </row>
    <row r="2181" spans="1:41" ht="154" x14ac:dyDescent="0.25">
      <c r="A2181" s="243">
        <v>1999</v>
      </c>
      <c r="B2181" s="21" t="s">
        <v>3408</v>
      </c>
      <c r="C2181" s="280">
        <v>51.16</v>
      </c>
      <c r="D2181" s="23"/>
      <c r="E2181" s="23" t="s">
        <v>3412</v>
      </c>
      <c r="F2181" s="25" t="s">
        <v>44</v>
      </c>
      <c r="G2181" s="202" t="s">
        <v>621</v>
      </c>
      <c r="H2181" s="26">
        <v>18340</v>
      </c>
      <c r="I2181" s="26">
        <v>5502</v>
      </c>
      <c r="J2181" s="31"/>
      <c r="K2181" s="31"/>
      <c r="L2181" s="31"/>
      <c r="M2181" s="31"/>
      <c r="N2181" s="31"/>
      <c r="O2181" s="31"/>
      <c r="P2181" s="31"/>
      <c r="Q2181" s="31"/>
      <c r="R2181" s="31"/>
      <c r="S2181" s="31"/>
      <c r="T2181" s="31"/>
      <c r="U2181" s="31"/>
      <c r="V2181" s="31"/>
      <c r="W2181" s="31"/>
      <c r="X2181" s="31"/>
      <c r="Y2181" s="31"/>
      <c r="Z2181" s="31"/>
      <c r="AA2181" s="31"/>
      <c r="AB2181" s="31"/>
      <c r="AC2181" s="31"/>
      <c r="AD2181" s="31"/>
      <c r="AE2181" s="31"/>
      <c r="AF2181" s="31"/>
      <c r="AG2181" s="31"/>
      <c r="AH2181" s="31"/>
      <c r="AI2181" s="31"/>
      <c r="AJ2181" s="31"/>
      <c r="AK2181" s="31"/>
      <c r="AL2181" s="28" t="str">
        <f>VLOOKUP($G2181,'[42]Sheet1 (2)'!$A$1:$B$1048440,2,FALSE)</f>
        <v>Sqm</v>
      </c>
      <c r="AM2181" s="32"/>
      <c r="AN2181" s="31"/>
      <c r="AO2181" s="33"/>
    </row>
    <row r="2182" spans="1:41" ht="70" x14ac:dyDescent="0.25">
      <c r="A2182" s="243">
        <v>2000</v>
      </c>
      <c r="B2182" s="21" t="s">
        <v>3408</v>
      </c>
      <c r="C2182" s="280">
        <v>51.161000000000001</v>
      </c>
      <c r="D2182" s="23"/>
      <c r="E2182" s="23" t="s">
        <v>3413</v>
      </c>
      <c r="F2182" s="92" t="s">
        <v>64</v>
      </c>
      <c r="G2182" s="21" t="s">
        <v>1081</v>
      </c>
      <c r="H2182" s="26">
        <v>2500</v>
      </c>
      <c r="I2182" s="26">
        <v>750</v>
      </c>
      <c r="J2182" s="31"/>
      <c r="K2182" s="31"/>
      <c r="L2182" s="31"/>
      <c r="M2182" s="31"/>
      <c r="N2182" s="31"/>
      <c r="O2182" s="31"/>
      <c r="P2182" s="31"/>
      <c r="Q2182" s="31"/>
      <c r="R2182" s="31"/>
      <c r="S2182" s="31"/>
      <c r="T2182" s="31"/>
      <c r="U2182" s="31"/>
      <c r="V2182" s="31"/>
      <c r="W2182" s="31"/>
      <c r="X2182" s="31"/>
      <c r="Y2182" s="31"/>
      <c r="Z2182" s="31"/>
      <c r="AA2182" s="31"/>
      <c r="AB2182" s="31"/>
      <c r="AC2182" s="31"/>
      <c r="AD2182" s="31"/>
      <c r="AE2182" s="31"/>
      <c r="AF2182" s="31"/>
      <c r="AG2182" s="31"/>
      <c r="AH2182" s="31"/>
      <c r="AI2182" s="31"/>
      <c r="AJ2182" s="31"/>
      <c r="AK2182" s="31"/>
      <c r="AL2182" s="28" t="e">
        <f>VLOOKUP($G2182,'[42]Sheet1 (2)'!$A$1:$B$1048440,2,FALSE)</f>
        <v>#N/A</v>
      </c>
      <c r="AM2182" s="32"/>
      <c r="AN2182" s="31"/>
      <c r="AO2182" s="33"/>
    </row>
    <row r="2183" spans="1:41" ht="294" x14ac:dyDescent="0.25">
      <c r="A2183" s="243">
        <v>2001</v>
      </c>
      <c r="B2183" s="25" t="s">
        <v>3414</v>
      </c>
      <c r="C2183" s="280">
        <v>51.161999999999999</v>
      </c>
      <c r="D2183" s="23"/>
      <c r="E2183" s="23" t="s">
        <v>3415</v>
      </c>
      <c r="F2183" s="24" t="s">
        <v>3072</v>
      </c>
      <c r="G2183" s="202" t="s">
        <v>621</v>
      </c>
      <c r="H2183" s="26">
        <v>11196</v>
      </c>
      <c r="I2183" s="26">
        <v>352</v>
      </c>
      <c r="J2183" s="31"/>
      <c r="K2183" s="31"/>
      <c r="L2183" s="31"/>
      <c r="M2183" s="31"/>
      <c r="N2183" s="31"/>
      <c r="O2183" s="31"/>
      <c r="P2183" s="31"/>
      <c r="Q2183" s="31"/>
      <c r="R2183" s="31"/>
      <c r="S2183" s="31"/>
      <c r="T2183" s="31"/>
      <c r="U2183" s="31"/>
      <c r="V2183" s="31"/>
      <c r="W2183" s="31"/>
      <c r="X2183" s="31"/>
      <c r="Y2183" s="31"/>
      <c r="Z2183" s="31"/>
      <c r="AA2183" s="31"/>
      <c r="AB2183" s="31"/>
      <c r="AC2183" s="31"/>
      <c r="AD2183" s="31"/>
      <c r="AE2183" s="31"/>
      <c r="AF2183" s="31"/>
      <c r="AG2183" s="31"/>
      <c r="AH2183" s="31"/>
      <c r="AI2183" s="31"/>
      <c r="AJ2183" s="31"/>
      <c r="AK2183" s="31"/>
      <c r="AL2183" s="28" t="str">
        <f>VLOOKUP($G2183,'[42]Sheet1 (2)'!$A$1:$B$1048440,2,FALSE)</f>
        <v>Sqm</v>
      </c>
      <c r="AM2183" s="32"/>
      <c r="AN2183" s="31"/>
      <c r="AO2183" s="33"/>
    </row>
    <row r="2184" spans="1:41" ht="336" x14ac:dyDescent="0.25">
      <c r="A2184" s="243">
        <v>2002</v>
      </c>
      <c r="B2184" s="25" t="s">
        <v>3414</v>
      </c>
      <c r="C2184" s="280">
        <v>51.162999999999997</v>
      </c>
      <c r="D2184" s="23"/>
      <c r="E2184" s="24" t="s">
        <v>3416</v>
      </c>
      <c r="F2184" s="24" t="s">
        <v>3072</v>
      </c>
      <c r="G2184" s="202" t="s">
        <v>621</v>
      </c>
      <c r="H2184" s="26">
        <v>9051</v>
      </c>
      <c r="I2184" s="26">
        <v>270</v>
      </c>
      <c r="J2184" s="31"/>
      <c r="K2184" s="31"/>
      <c r="L2184" s="31"/>
      <c r="M2184" s="31"/>
      <c r="N2184" s="31"/>
      <c r="O2184" s="31"/>
      <c r="P2184" s="31"/>
      <c r="Q2184" s="31"/>
      <c r="R2184" s="31"/>
      <c r="S2184" s="31"/>
      <c r="T2184" s="31"/>
      <c r="U2184" s="31"/>
      <c r="V2184" s="31"/>
      <c r="W2184" s="31"/>
      <c r="X2184" s="31"/>
      <c r="Y2184" s="31"/>
      <c r="Z2184" s="31"/>
      <c r="AA2184" s="31"/>
      <c r="AB2184" s="31"/>
      <c r="AC2184" s="31"/>
      <c r="AD2184" s="31"/>
      <c r="AE2184" s="31"/>
      <c r="AF2184" s="31"/>
      <c r="AG2184" s="31"/>
      <c r="AH2184" s="31"/>
      <c r="AI2184" s="31"/>
      <c r="AJ2184" s="31"/>
      <c r="AK2184" s="31"/>
      <c r="AL2184" s="28" t="str">
        <f>VLOOKUP($G2184,'[42]Sheet1 (2)'!$A$1:$B$1048440,2,FALSE)</f>
        <v>Sqm</v>
      </c>
      <c r="AM2184" s="32"/>
      <c r="AN2184" s="31"/>
      <c r="AO2184" s="33"/>
    </row>
    <row r="2185" spans="1:41" ht="252" x14ac:dyDescent="0.25">
      <c r="A2185" s="243">
        <v>2003</v>
      </c>
      <c r="B2185" s="25" t="s">
        <v>3414</v>
      </c>
      <c r="C2185" s="280">
        <v>51.164000000000001</v>
      </c>
      <c r="D2185" s="23"/>
      <c r="E2185" s="24" t="s">
        <v>3417</v>
      </c>
      <c r="F2185" s="24" t="s">
        <v>3072</v>
      </c>
      <c r="G2185" s="202" t="s">
        <v>621</v>
      </c>
      <c r="H2185" s="26">
        <v>8762</v>
      </c>
      <c r="I2185" s="26">
        <v>875</v>
      </c>
      <c r="J2185" s="31"/>
      <c r="K2185" s="31"/>
      <c r="L2185" s="31"/>
      <c r="M2185" s="31"/>
      <c r="N2185" s="31"/>
      <c r="O2185" s="31"/>
      <c r="P2185" s="31"/>
      <c r="Q2185" s="31"/>
      <c r="R2185" s="31"/>
      <c r="S2185" s="31"/>
      <c r="T2185" s="31"/>
      <c r="U2185" s="31"/>
      <c r="V2185" s="31"/>
      <c r="W2185" s="31"/>
      <c r="X2185" s="31"/>
      <c r="Y2185" s="31"/>
      <c r="Z2185" s="31"/>
      <c r="AA2185" s="31"/>
      <c r="AB2185" s="31"/>
      <c r="AC2185" s="31"/>
      <c r="AD2185" s="31"/>
      <c r="AE2185" s="31"/>
      <c r="AF2185" s="31"/>
      <c r="AG2185" s="31"/>
      <c r="AH2185" s="31"/>
      <c r="AI2185" s="31"/>
      <c r="AJ2185" s="31"/>
      <c r="AK2185" s="31"/>
      <c r="AL2185" s="28" t="str">
        <f>VLOOKUP($G2185,'[42]Sheet1 (2)'!$A$1:$B$1048440,2,FALSE)</f>
        <v>Sqm</v>
      </c>
      <c r="AM2185" s="32"/>
      <c r="AN2185" s="31"/>
      <c r="AO2185" s="33"/>
    </row>
    <row r="2186" spans="1:41" ht="308" x14ac:dyDescent="0.25">
      <c r="A2186" s="243">
        <v>2004</v>
      </c>
      <c r="B2186" s="25" t="s">
        <v>3414</v>
      </c>
      <c r="C2186" s="280">
        <v>51.164999999999999</v>
      </c>
      <c r="D2186" s="23"/>
      <c r="E2186" s="24" t="s">
        <v>3418</v>
      </c>
      <c r="F2186" s="24" t="s">
        <v>3072</v>
      </c>
      <c r="G2186" s="202" t="s">
        <v>621</v>
      </c>
      <c r="H2186" s="26">
        <v>8634</v>
      </c>
      <c r="I2186" s="26">
        <v>321</v>
      </c>
      <c r="J2186" s="31"/>
      <c r="K2186" s="31"/>
      <c r="L2186" s="31"/>
      <c r="M2186" s="31"/>
      <c r="N2186" s="31"/>
      <c r="O2186" s="31"/>
      <c r="P2186" s="31"/>
      <c r="Q2186" s="31"/>
      <c r="R2186" s="31"/>
      <c r="S2186" s="31"/>
      <c r="T2186" s="31"/>
      <c r="U2186" s="31"/>
      <c r="V2186" s="31"/>
      <c r="W2186" s="31"/>
      <c r="X2186" s="31"/>
      <c r="Y2186" s="31"/>
      <c r="Z2186" s="31"/>
      <c r="AA2186" s="31"/>
      <c r="AB2186" s="31"/>
      <c r="AC2186" s="31"/>
      <c r="AD2186" s="31"/>
      <c r="AE2186" s="31"/>
      <c r="AF2186" s="31"/>
      <c r="AG2186" s="31"/>
      <c r="AH2186" s="31"/>
      <c r="AI2186" s="31"/>
      <c r="AJ2186" s="31"/>
      <c r="AK2186" s="31"/>
      <c r="AL2186" s="28" t="str">
        <f>VLOOKUP($G2186,'[42]Sheet1 (2)'!$A$1:$B$1048440,2,FALSE)</f>
        <v>Sqm</v>
      </c>
      <c r="AM2186" s="32"/>
      <c r="AN2186" s="31"/>
      <c r="AO2186" s="33"/>
    </row>
    <row r="2187" spans="1:41" ht="322" x14ac:dyDescent="0.25">
      <c r="A2187" s="243">
        <v>2005</v>
      </c>
      <c r="B2187" s="25" t="s">
        <v>3414</v>
      </c>
      <c r="C2187" s="280">
        <v>51.165999999999997</v>
      </c>
      <c r="D2187" s="23"/>
      <c r="E2187" s="23" t="s">
        <v>3419</v>
      </c>
      <c r="F2187" s="24" t="s">
        <v>3072</v>
      </c>
      <c r="G2187" s="202" t="s">
        <v>621</v>
      </c>
      <c r="H2187" s="26">
        <v>8324</v>
      </c>
      <c r="I2187" s="26">
        <v>331</v>
      </c>
      <c r="J2187" s="31"/>
      <c r="K2187" s="31"/>
      <c r="L2187" s="31"/>
      <c r="M2187" s="31"/>
      <c r="N2187" s="31"/>
      <c r="O2187" s="31"/>
      <c r="P2187" s="31"/>
      <c r="Q2187" s="31"/>
      <c r="R2187" s="31"/>
      <c r="S2187" s="31"/>
      <c r="T2187" s="31"/>
      <c r="U2187" s="31"/>
      <c r="V2187" s="31"/>
      <c r="W2187" s="31"/>
      <c r="X2187" s="31"/>
      <c r="Y2187" s="31"/>
      <c r="Z2187" s="31"/>
      <c r="AA2187" s="31"/>
      <c r="AB2187" s="31"/>
      <c r="AC2187" s="31"/>
      <c r="AD2187" s="31"/>
      <c r="AE2187" s="31"/>
      <c r="AF2187" s="31"/>
      <c r="AG2187" s="31"/>
      <c r="AH2187" s="31"/>
      <c r="AI2187" s="31"/>
      <c r="AJ2187" s="31"/>
      <c r="AK2187" s="31"/>
      <c r="AL2187" s="28" t="str">
        <f>VLOOKUP($G2187,'[42]Sheet1 (2)'!$A$1:$B$1048440,2,FALSE)</f>
        <v>Sqm</v>
      </c>
      <c r="AM2187" s="32"/>
      <c r="AN2187" s="31"/>
      <c r="AO2187" s="33"/>
    </row>
    <row r="2188" spans="1:41" ht="294" x14ac:dyDescent="0.25">
      <c r="A2188" s="243">
        <v>2006</v>
      </c>
      <c r="B2188" s="25" t="s">
        <v>3414</v>
      </c>
      <c r="C2188" s="280">
        <v>51.167000000000002</v>
      </c>
      <c r="D2188" s="23"/>
      <c r="E2188" s="24" t="s">
        <v>3420</v>
      </c>
      <c r="F2188" s="24" t="s">
        <v>3072</v>
      </c>
      <c r="G2188" s="202" t="s">
        <v>621</v>
      </c>
      <c r="H2188" s="26">
        <v>5909</v>
      </c>
      <c r="I2188" s="26">
        <v>321</v>
      </c>
      <c r="J2188" s="31"/>
      <c r="K2188" s="31"/>
      <c r="L2188" s="31"/>
      <c r="M2188" s="31"/>
      <c r="N2188" s="31"/>
      <c r="O2188" s="31"/>
      <c r="P2188" s="31"/>
      <c r="Q2188" s="31"/>
      <c r="R2188" s="31"/>
      <c r="S2188" s="31"/>
      <c r="T2188" s="31"/>
      <c r="U2188" s="31"/>
      <c r="V2188" s="31"/>
      <c r="W2188" s="31"/>
      <c r="X2188" s="31"/>
      <c r="Y2188" s="31"/>
      <c r="Z2188" s="31"/>
      <c r="AA2188" s="31"/>
      <c r="AB2188" s="31"/>
      <c r="AC2188" s="31"/>
      <c r="AD2188" s="31"/>
      <c r="AE2188" s="31"/>
      <c r="AF2188" s="31"/>
      <c r="AG2188" s="31"/>
      <c r="AH2188" s="31"/>
      <c r="AI2188" s="31"/>
      <c r="AJ2188" s="31"/>
      <c r="AK2188" s="31"/>
      <c r="AL2188" s="28" t="str">
        <f>VLOOKUP($G2188,'[42]Sheet1 (2)'!$A$1:$B$1048440,2,FALSE)</f>
        <v>Sqm</v>
      </c>
      <c r="AM2188" s="32"/>
      <c r="AN2188" s="31"/>
      <c r="AO2188" s="33"/>
    </row>
    <row r="2189" spans="1:41" ht="294" x14ac:dyDescent="0.25">
      <c r="A2189" s="243">
        <v>2007</v>
      </c>
      <c r="B2189" s="23"/>
      <c r="C2189" s="280">
        <v>51.167999999999999</v>
      </c>
      <c r="D2189" s="25" t="s">
        <v>320</v>
      </c>
      <c r="E2189" s="23" t="s">
        <v>3421</v>
      </c>
      <c r="F2189" s="21" t="s">
        <v>3422</v>
      </c>
      <c r="G2189" s="25" t="s">
        <v>2916</v>
      </c>
      <c r="H2189" s="26">
        <v>112</v>
      </c>
      <c r="I2189" s="26">
        <v>0</v>
      </c>
      <c r="J2189" s="31"/>
      <c r="K2189" s="31"/>
      <c r="L2189" s="31"/>
      <c r="M2189" s="31"/>
      <c r="N2189" s="31"/>
      <c r="O2189" s="31"/>
      <c r="P2189" s="31"/>
      <c r="Q2189" s="31"/>
      <c r="R2189" s="31"/>
      <c r="S2189" s="31"/>
      <c r="T2189" s="31"/>
      <c r="U2189" s="31"/>
      <c r="V2189" s="31"/>
      <c r="W2189" s="31"/>
      <c r="X2189" s="31"/>
      <c r="Y2189" s="31"/>
      <c r="Z2189" s="31"/>
      <c r="AA2189" s="31"/>
      <c r="AB2189" s="31"/>
      <c r="AC2189" s="31"/>
      <c r="AD2189" s="31"/>
      <c r="AE2189" s="31"/>
      <c r="AF2189" s="31"/>
      <c r="AG2189" s="31"/>
      <c r="AH2189" s="31"/>
      <c r="AI2189" s="31"/>
      <c r="AJ2189" s="31"/>
      <c r="AK2189" s="31"/>
      <c r="AL2189" s="28" t="str">
        <f>VLOOKUP($G2189,'[42]Sheet1 (2)'!$A$1:$B$1048440,2,FALSE)</f>
        <v>kg</v>
      </c>
      <c r="AM2189" s="32"/>
      <c r="AN2189" s="31"/>
      <c r="AO2189" s="33"/>
    </row>
    <row r="2190" spans="1:41" ht="56" x14ac:dyDescent="0.25">
      <c r="A2190" s="23"/>
      <c r="B2190" s="39" t="s">
        <v>3069</v>
      </c>
      <c r="C2190" s="280">
        <v>51.168999999999997</v>
      </c>
      <c r="D2190" s="25" t="s">
        <v>3070</v>
      </c>
      <c r="E2190" s="24" t="s">
        <v>3423</v>
      </c>
      <c r="F2190" s="24" t="s">
        <v>3072</v>
      </c>
      <c r="G2190" s="23"/>
      <c r="H2190" s="23"/>
      <c r="I2190" s="23"/>
      <c r="J2190" s="31"/>
      <c r="K2190" s="31"/>
      <c r="L2190" s="31"/>
      <c r="M2190" s="31"/>
      <c r="N2190" s="31"/>
      <c r="O2190" s="31"/>
      <c r="P2190" s="31"/>
      <c r="Q2190" s="31"/>
      <c r="R2190" s="31"/>
      <c r="S2190" s="31"/>
      <c r="T2190" s="31"/>
      <c r="U2190" s="31"/>
      <c r="V2190" s="31"/>
      <c r="W2190" s="31"/>
      <c r="X2190" s="31"/>
      <c r="Y2190" s="31"/>
      <c r="Z2190" s="31"/>
      <c r="AA2190" s="31"/>
      <c r="AB2190" s="31"/>
      <c r="AC2190" s="31"/>
      <c r="AD2190" s="31"/>
      <c r="AE2190" s="31"/>
      <c r="AF2190" s="31"/>
      <c r="AG2190" s="31"/>
      <c r="AH2190" s="31"/>
      <c r="AI2190" s="31"/>
      <c r="AJ2190" s="31"/>
      <c r="AK2190" s="31"/>
      <c r="AL2190" s="28" t="e">
        <f>VLOOKUP($G2190,'[42]Sheet1 (2)'!$A$1:$B$1048440,2,FALSE)</f>
        <v>#N/A</v>
      </c>
      <c r="AM2190" s="32"/>
      <c r="AN2190" s="31"/>
      <c r="AO2190" s="33"/>
    </row>
    <row r="2191" spans="1:41" ht="168" x14ac:dyDescent="0.25">
      <c r="A2191" s="23"/>
      <c r="B2191" s="23"/>
      <c r="C2191" s="23"/>
      <c r="D2191" s="23"/>
      <c r="E2191" s="24" t="s">
        <v>3424</v>
      </c>
      <c r="F2191" s="23"/>
      <c r="G2191" s="21" t="s">
        <v>80</v>
      </c>
      <c r="H2191" s="23"/>
      <c r="I2191" s="23"/>
      <c r="J2191" s="31"/>
      <c r="K2191" s="31"/>
      <c r="L2191" s="31"/>
      <c r="M2191" s="31"/>
      <c r="N2191" s="31"/>
      <c r="O2191" s="31"/>
      <c r="P2191" s="31"/>
      <c r="Q2191" s="31"/>
      <c r="R2191" s="31"/>
      <c r="S2191" s="31"/>
      <c r="T2191" s="31"/>
      <c r="U2191" s="31"/>
      <c r="V2191" s="31"/>
      <c r="W2191" s="31"/>
      <c r="X2191" s="31"/>
      <c r="Y2191" s="31"/>
      <c r="Z2191" s="31"/>
      <c r="AA2191" s="31"/>
      <c r="AB2191" s="31"/>
      <c r="AC2191" s="31"/>
      <c r="AD2191" s="31"/>
      <c r="AE2191" s="31"/>
      <c r="AF2191" s="31"/>
      <c r="AG2191" s="31"/>
      <c r="AH2191" s="31"/>
      <c r="AI2191" s="31"/>
      <c r="AJ2191" s="31"/>
      <c r="AK2191" s="31"/>
      <c r="AL2191" s="28" t="str">
        <f>VLOOKUP($G2191,'[42]Sheet1 (2)'!$A$1:$B$1048440,2,FALSE)</f>
        <v>Rmt.</v>
      </c>
      <c r="AM2191" s="32"/>
      <c r="AN2191" s="31"/>
      <c r="AO2191" s="33"/>
    </row>
    <row r="2192" spans="1:41" ht="140" x14ac:dyDescent="0.25">
      <c r="A2192" s="243">
        <v>2008</v>
      </c>
      <c r="B2192" s="23"/>
      <c r="C2192" s="23"/>
      <c r="D2192" s="23"/>
      <c r="E2192" s="24" t="s">
        <v>3425</v>
      </c>
      <c r="F2192" s="23"/>
      <c r="G2192" s="21" t="s">
        <v>80</v>
      </c>
      <c r="H2192" s="26">
        <v>1839</v>
      </c>
      <c r="I2192" s="26">
        <v>540</v>
      </c>
      <c r="J2192" s="31"/>
      <c r="K2192" s="31"/>
      <c r="L2192" s="31"/>
      <c r="M2192" s="31"/>
      <c r="N2192" s="31"/>
      <c r="O2192" s="31"/>
      <c r="P2192" s="31"/>
      <c r="Q2192" s="31"/>
      <c r="R2192" s="31"/>
      <c r="S2192" s="31"/>
      <c r="T2192" s="31"/>
      <c r="U2192" s="31"/>
      <c r="V2192" s="31"/>
      <c r="W2192" s="31"/>
      <c r="X2192" s="31"/>
      <c r="Y2192" s="31"/>
      <c r="Z2192" s="31"/>
      <c r="AA2192" s="31"/>
      <c r="AB2192" s="31"/>
      <c r="AC2192" s="31"/>
      <c r="AD2192" s="31"/>
      <c r="AE2192" s="31"/>
      <c r="AF2192" s="31"/>
      <c r="AG2192" s="31"/>
      <c r="AH2192" s="31"/>
      <c r="AI2192" s="31"/>
      <c r="AJ2192" s="31"/>
      <c r="AK2192" s="31"/>
      <c r="AL2192" s="28" t="str">
        <f>VLOOKUP($G2192,'[42]Sheet1 (2)'!$A$1:$B$1048440,2,FALSE)</f>
        <v>Rmt.</v>
      </c>
      <c r="AM2192" s="32"/>
      <c r="AN2192" s="31"/>
      <c r="AO2192" s="33"/>
    </row>
    <row r="2193" spans="1:41" ht="266" x14ac:dyDescent="0.25">
      <c r="A2193" s="243">
        <v>2009</v>
      </c>
      <c r="B2193" s="23"/>
      <c r="C2193" s="280">
        <v>51.17</v>
      </c>
      <c r="D2193" s="23"/>
      <c r="E2193" s="24" t="s">
        <v>3426</v>
      </c>
      <c r="F2193" s="23"/>
      <c r="G2193" s="202" t="s">
        <v>621</v>
      </c>
      <c r="H2193" s="26">
        <v>10604</v>
      </c>
      <c r="I2193" s="26">
        <v>2738</v>
      </c>
      <c r="J2193" s="31"/>
      <c r="K2193" s="31"/>
      <c r="L2193" s="31"/>
      <c r="M2193" s="31"/>
      <c r="N2193" s="31"/>
      <c r="O2193" s="31"/>
      <c r="P2193" s="31"/>
      <c r="Q2193" s="31"/>
      <c r="R2193" s="31"/>
      <c r="S2193" s="31"/>
      <c r="T2193" s="31"/>
      <c r="U2193" s="31"/>
      <c r="V2193" s="31"/>
      <c r="W2193" s="31"/>
      <c r="X2193" s="31"/>
      <c r="Y2193" s="31"/>
      <c r="Z2193" s="31"/>
      <c r="AA2193" s="31"/>
      <c r="AB2193" s="31"/>
      <c r="AC2193" s="31"/>
      <c r="AD2193" s="31"/>
      <c r="AE2193" s="31"/>
      <c r="AF2193" s="31"/>
      <c r="AG2193" s="31"/>
      <c r="AH2193" s="31"/>
      <c r="AI2193" s="31"/>
      <c r="AJ2193" s="31"/>
      <c r="AK2193" s="31"/>
      <c r="AL2193" s="28" t="str">
        <f>VLOOKUP($G2193,'[42]Sheet1 (2)'!$A$1:$B$1048440,2,FALSE)</f>
        <v>Sqm</v>
      </c>
      <c r="AM2193" s="32"/>
      <c r="AN2193" s="31"/>
      <c r="AO2193" s="33"/>
    </row>
    <row r="2194" spans="1:41" ht="84" x14ac:dyDescent="0.25">
      <c r="A2194" s="243">
        <v>2010</v>
      </c>
      <c r="B2194" s="23"/>
      <c r="C2194" s="280">
        <v>51.170999999999999</v>
      </c>
      <c r="D2194" s="23"/>
      <c r="E2194" s="23" t="s">
        <v>3427</v>
      </c>
      <c r="F2194" s="23"/>
      <c r="G2194" s="202" t="s">
        <v>621</v>
      </c>
      <c r="H2194" s="26">
        <v>57157</v>
      </c>
      <c r="I2194" s="26">
        <v>0</v>
      </c>
      <c r="J2194" s="31"/>
      <c r="K2194" s="31"/>
      <c r="L2194" s="31"/>
      <c r="M2194" s="31"/>
      <c r="N2194" s="31"/>
      <c r="O2194" s="31"/>
      <c r="P2194" s="31"/>
      <c r="Q2194" s="31"/>
      <c r="R2194" s="31"/>
      <c r="S2194" s="31"/>
      <c r="T2194" s="31"/>
      <c r="U2194" s="31"/>
      <c r="V2194" s="31"/>
      <c r="W2194" s="31"/>
      <c r="X2194" s="31"/>
      <c r="Y2194" s="31"/>
      <c r="Z2194" s="31"/>
      <c r="AA2194" s="31"/>
      <c r="AB2194" s="31"/>
      <c r="AC2194" s="31"/>
      <c r="AD2194" s="31"/>
      <c r="AE2194" s="31"/>
      <c r="AF2194" s="31"/>
      <c r="AG2194" s="31"/>
      <c r="AH2194" s="31"/>
      <c r="AI2194" s="31"/>
      <c r="AJ2194" s="31"/>
      <c r="AK2194" s="31"/>
      <c r="AL2194" s="28" t="str">
        <f>VLOOKUP($G2194,'[42]Sheet1 (2)'!$A$1:$B$1048440,2,FALSE)</f>
        <v>Sqm</v>
      </c>
      <c r="AM2194" s="32"/>
      <c r="AN2194" s="31"/>
      <c r="AO2194" s="33"/>
    </row>
    <row r="2195" spans="1:41" ht="196" x14ac:dyDescent="0.25">
      <c r="A2195" s="23"/>
      <c r="B2195" s="39" t="s">
        <v>3069</v>
      </c>
      <c r="C2195" s="23"/>
      <c r="D2195" s="25" t="s">
        <v>3070</v>
      </c>
      <c r="E2195" s="24" t="s">
        <v>3428</v>
      </c>
      <c r="F2195" s="24" t="s">
        <v>3072</v>
      </c>
      <c r="G2195" s="238" t="s">
        <v>80</v>
      </c>
      <c r="H2195" s="23"/>
      <c r="I2195" s="23"/>
      <c r="J2195" s="31"/>
      <c r="K2195" s="31"/>
      <c r="L2195" s="31"/>
      <c r="M2195" s="31"/>
      <c r="N2195" s="31"/>
      <c r="O2195" s="31"/>
      <c r="P2195" s="31"/>
      <c r="Q2195" s="31"/>
      <c r="R2195" s="31"/>
      <c r="S2195" s="31"/>
      <c r="T2195" s="31"/>
      <c r="U2195" s="31"/>
      <c r="V2195" s="31"/>
      <c r="W2195" s="31"/>
      <c r="X2195" s="31"/>
      <c r="Y2195" s="31"/>
      <c r="Z2195" s="31"/>
      <c r="AA2195" s="31"/>
      <c r="AB2195" s="31"/>
      <c r="AC2195" s="31"/>
      <c r="AD2195" s="31"/>
      <c r="AE2195" s="31"/>
      <c r="AF2195" s="31"/>
      <c r="AG2195" s="31"/>
      <c r="AH2195" s="31"/>
      <c r="AI2195" s="31"/>
      <c r="AJ2195" s="31"/>
      <c r="AK2195" s="31"/>
      <c r="AL2195" s="28" t="str">
        <f>VLOOKUP($G2195,'[42]Sheet1 (2)'!$A$1:$B$1048440,2,FALSE)</f>
        <v>Rmt.</v>
      </c>
      <c r="AM2195" s="32"/>
      <c r="AN2195" s="31"/>
      <c r="AO2195" s="33"/>
    </row>
    <row r="2196" spans="1:41" ht="140" x14ac:dyDescent="0.25">
      <c r="A2196" s="243">
        <v>2011</v>
      </c>
      <c r="B2196" s="23"/>
      <c r="C2196" s="280">
        <v>51.171999999999997</v>
      </c>
      <c r="D2196" s="23"/>
      <c r="E2196" s="24" t="s">
        <v>3429</v>
      </c>
      <c r="F2196" s="23"/>
      <c r="G2196" s="238" t="s">
        <v>80</v>
      </c>
      <c r="H2196" s="26">
        <v>1936</v>
      </c>
      <c r="I2196" s="26">
        <v>540</v>
      </c>
      <c r="J2196" s="31"/>
      <c r="K2196" s="31"/>
      <c r="L2196" s="31"/>
      <c r="M2196" s="31"/>
      <c r="N2196" s="31"/>
      <c r="O2196" s="31"/>
      <c r="P2196" s="31"/>
      <c r="Q2196" s="31"/>
      <c r="R2196" s="31"/>
      <c r="S2196" s="31"/>
      <c r="T2196" s="31"/>
      <c r="U2196" s="31"/>
      <c r="V2196" s="31"/>
      <c r="W2196" s="31"/>
      <c r="X2196" s="31"/>
      <c r="Y2196" s="31"/>
      <c r="Z2196" s="31"/>
      <c r="AA2196" s="31"/>
      <c r="AB2196" s="31"/>
      <c r="AC2196" s="31"/>
      <c r="AD2196" s="31"/>
      <c r="AE2196" s="31"/>
      <c r="AF2196" s="31"/>
      <c r="AG2196" s="31"/>
      <c r="AH2196" s="31"/>
      <c r="AI2196" s="31"/>
      <c r="AJ2196" s="31"/>
      <c r="AK2196" s="31"/>
      <c r="AL2196" s="28" t="str">
        <f>VLOOKUP($G2196,'[42]Sheet1 (2)'!$A$1:$B$1048440,2,FALSE)</f>
        <v>Rmt.</v>
      </c>
      <c r="AM2196" s="32"/>
      <c r="AN2196" s="31"/>
      <c r="AO2196" s="33"/>
    </row>
    <row r="2197" spans="1:41" ht="308" x14ac:dyDescent="0.25">
      <c r="A2197" s="243">
        <v>2012</v>
      </c>
      <c r="B2197" s="23"/>
      <c r="C2197" s="280">
        <v>51.173000000000002</v>
      </c>
      <c r="D2197" s="23"/>
      <c r="E2197" s="24" t="s">
        <v>3430</v>
      </c>
      <c r="F2197" s="24" t="s">
        <v>3072</v>
      </c>
      <c r="G2197" s="202" t="s">
        <v>621</v>
      </c>
      <c r="H2197" s="26">
        <v>15374</v>
      </c>
      <c r="I2197" s="26">
        <v>2738</v>
      </c>
      <c r="J2197" s="31"/>
      <c r="K2197" s="31"/>
      <c r="L2197" s="31"/>
      <c r="M2197" s="31"/>
      <c r="N2197" s="31"/>
      <c r="O2197" s="31"/>
      <c r="P2197" s="31"/>
      <c r="Q2197" s="31"/>
      <c r="R2197" s="31"/>
      <c r="S2197" s="31"/>
      <c r="T2197" s="31"/>
      <c r="U2197" s="31"/>
      <c r="V2197" s="31"/>
      <c r="W2197" s="31"/>
      <c r="X2197" s="31"/>
      <c r="Y2197" s="31"/>
      <c r="Z2197" s="31"/>
      <c r="AA2197" s="31"/>
      <c r="AB2197" s="31"/>
      <c r="AC2197" s="31"/>
      <c r="AD2197" s="31"/>
      <c r="AE2197" s="31"/>
      <c r="AF2197" s="31"/>
      <c r="AG2197" s="31"/>
      <c r="AH2197" s="31"/>
      <c r="AI2197" s="31"/>
      <c r="AJ2197" s="31"/>
      <c r="AK2197" s="31"/>
      <c r="AL2197" s="28" t="str">
        <f>VLOOKUP($G2197,'[42]Sheet1 (2)'!$A$1:$B$1048440,2,FALSE)</f>
        <v>Sqm</v>
      </c>
      <c r="AM2197" s="32"/>
      <c r="AN2197" s="31"/>
      <c r="AO2197" s="33"/>
    </row>
    <row r="2198" spans="1:41" ht="210" x14ac:dyDescent="0.25">
      <c r="A2198" s="243">
        <v>2013</v>
      </c>
      <c r="B2198" s="39" t="s">
        <v>3069</v>
      </c>
      <c r="C2198" s="280">
        <v>51.173999999999999</v>
      </c>
      <c r="D2198" s="25" t="s">
        <v>3070</v>
      </c>
      <c r="E2198" s="23" t="s">
        <v>3431</v>
      </c>
      <c r="F2198" s="24" t="s">
        <v>3072</v>
      </c>
      <c r="G2198" s="202" t="s">
        <v>621</v>
      </c>
      <c r="H2198" s="26">
        <v>10453</v>
      </c>
      <c r="I2198" s="26">
        <v>1277</v>
      </c>
      <c r="J2198" s="31"/>
      <c r="K2198" s="31"/>
      <c r="L2198" s="31"/>
      <c r="M2198" s="31"/>
      <c r="N2198" s="31"/>
      <c r="O2198" s="31"/>
      <c r="P2198" s="31"/>
      <c r="Q2198" s="31"/>
      <c r="R2198" s="31"/>
      <c r="S2198" s="31"/>
      <c r="T2198" s="31"/>
      <c r="U2198" s="31"/>
      <c r="V2198" s="31"/>
      <c r="W2198" s="31"/>
      <c r="X2198" s="31"/>
      <c r="Y2198" s="31"/>
      <c r="Z2198" s="31"/>
      <c r="AA2198" s="31"/>
      <c r="AB2198" s="31"/>
      <c r="AC2198" s="31"/>
      <c r="AD2198" s="31"/>
      <c r="AE2198" s="31"/>
      <c r="AF2198" s="31"/>
      <c r="AG2198" s="31"/>
      <c r="AH2198" s="31"/>
      <c r="AI2198" s="31"/>
      <c r="AJ2198" s="31"/>
      <c r="AK2198" s="31"/>
      <c r="AL2198" s="28" t="str">
        <f>VLOOKUP($G2198,'[42]Sheet1 (2)'!$A$1:$B$1048440,2,FALSE)</f>
        <v>Sqm</v>
      </c>
      <c r="AM2198" s="32"/>
      <c r="AN2198" s="31"/>
      <c r="AO2198" s="33"/>
    </row>
    <row r="2199" spans="1:41" ht="182" x14ac:dyDescent="0.25">
      <c r="A2199" s="243">
        <v>2014</v>
      </c>
      <c r="B2199" s="39" t="s">
        <v>3069</v>
      </c>
      <c r="C2199" s="280">
        <v>51.174999999999997</v>
      </c>
      <c r="D2199" s="25" t="s">
        <v>3070</v>
      </c>
      <c r="E2199" s="23" t="s">
        <v>3432</v>
      </c>
      <c r="F2199" s="24" t="s">
        <v>3072</v>
      </c>
      <c r="G2199" s="25" t="s">
        <v>45</v>
      </c>
      <c r="H2199" s="26">
        <v>10189</v>
      </c>
      <c r="I2199" s="26">
        <v>1523</v>
      </c>
      <c r="J2199" s="31"/>
      <c r="K2199" s="31"/>
      <c r="L2199" s="31"/>
      <c r="M2199" s="31"/>
      <c r="N2199" s="31"/>
      <c r="O2199" s="31"/>
      <c r="P2199" s="31"/>
      <c r="Q2199" s="31"/>
      <c r="R2199" s="31"/>
      <c r="S2199" s="31"/>
      <c r="T2199" s="31"/>
      <c r="U2199" s="31"/>
      <c r="V2199" s="31"/>
      <c r="W2199" s="31"/>
      <c r="X2199" s="31"/>
      <c r="Y2199" s="31"/>
      <c r="Z2199" s="31"/>
      <c r="AA2199" s="31"/>
      <c r="AB2199" s="31"/>
      <c r="AC2199" s="31"/>
      <c r="AD2199" s="31"/>
      <c r="AE2199" s="31"/>
      <c r="AF2199" s="31"/>
      <c r="AG2199" s="31"/>
      <c r="AH2199" s="31"/>
      <c r="AI2199" s="31"/>
      <c r="AJ2199" s="31"/>
      <c r="AK2199" s="31"/>
      <c r="AL2199" s="28" t="str">
        <f>VLOOKUP($G2199,'[42]Sheet1 (2)'!$A$1:$B$1048440,2,FALSE)</f>
        <v>No.</v>
      </c>
      <c r="AM2199" s="32"/>
      <c r="AN2199" s="31"/>
      <c r="AO2199" s="33"/>
    </row>
    <row r="2200" spans="1:41" ht="126" x14ac:dyDescent="0.25">
      <c r="A2200" s="243">
        <v>2015</v>
      </c>
      <c r="B2200" s="39" t="s">
        <v>3069</v>
      </c>
      <c r="C2200" s="280">
        <v>51.176000000000002</v>
      </c>
      <c r="D2200" s="25" t="s">
        <v>3070</v>
      </c>
      <c r="E2200" s="23" t="s">
        <v>3433</v>
      </c>
      <c r="F2200" s="24" t="s">
        <v>3072</v>
      </c>
      <c r="G2200" s="25" t="s">
        <v>45</v>
      </c>
      <c r="H2200" s="26">
        <v>3908</v>
      </c>
      <c r="I2200" s="26">
        <v>406</v>
      </c>
      <c r="J2200" s="31"/>
      <c r="K2200" s="31"/>
      <c r="L2200" s="31"/>
      <c r="M2200" s="31"/>
      <c r="N2200" s="31"/>
      <c r="O2200" s="31"/>
      <c r="P2200" s="31"/>
      <c r="Q2200" s="31"/>
      <c r="R2200" s="31"/>
      <c r="S2200" s="31"/>
      <c r="T2200" s="31"/>
      <c r="U2200" s="31"/>
      <c r="V2200" s="31"/>
      <c r="W2200" s="31"/>
      <c r="X2200" s="31"/>
      <c r="Y2200" s="31"/>
      <c r="Z2200" s="31"/>
      <c r="AA2200" s="31"/>
      <c r="AB2200" s="31"/>
      <c r="AC2200" s="31"/>
      <c r="AD2200" s="31"/>
      <c r="AE2200" s="31"/>
      <c r="AF2200" s="31"/>
      <c r="AG2200" s="31"/>
      <c r="AH2200" s="31"/>
      <c r="AI2200" s="31"/>
      <c r="AJ2200" s="31"/>
      <c r="AK2200" s="31"/>
      <c r="AL2200" s="28" t="str">
        <f>VLOOKUP($G2200,'[42]Sheet1 (2)'!$A$1:$B$1048440,2,FALSE)</f>
        <v>No.</v>
      </c>
      <c r="AM2200" s="32"/>
      <c r="AN2200" s="31"/>
      <c r="AO2200" s="33"/>
    </row>
    <row r="2201" spans="1:41" ht="112" x14ac:dyDescent="0.25">
      <c r="A2201" s="243">
        <v>2016</v>
      </c>
      <c r="B2201" s="39" t="s">
        <v>3069</v>
      </c>
      <c r="C2201" s="280">
        <v>51.177</v>
      </c>
      <c r="D2201" s="25" t="s">
        <v>3070</v>
      </c>
      <c r="E2201" s="23" t="s">
        <v>3434</v>
      </c>
      <c r="F2201" s="24" t="s">
        <v>3072</v>
      </c>
      <c r="G2201" s="25" t="s">
        <v>45</v>
      </c>
      <c r="H2201" s="26">
        <v>2041</v>
      </c>
      <c r="I2201" s="26">
        <v>271</v>
      </c>
      <c r="J2201" s="31"/>
      <c r="K2201" s="31"/>
      <c r="L2201" s="31"/>
      <c r="M2201" s="31"/>
      <c r="N2201" s="31"/>
      <c r="O2201" s="31"/>
      <c r="P2201" s="31"/>
      <c r="Q2201" s="31"/>
      <c r="R2201" s="31"/>
      <c r="S2201" s="31"/>
      <c r="T2201" s="31"/>
      <c r="U2201" s="31"/>
      <c r="V2201" s="31"/>
      <c r="W2201" s="31"/>
      <c r="X2201" s="31"/>
      <c r="Y2201" s="31"/>
      <c r="Z2201" s="31"/>
      <c r="AA2201" s="31"/>
      <c r="AB2201" s="31"/>
      <c r="AC2201" s="31"/>
      <c r="AD2201" s="31"/>
      <c r="AE2201" s="31"/>
      <c r="AF2201" s="31"/>
      <c r="AG2201" s="31"/>
      <c r="AH2201" s="31"/>
      <c r="AI2201" s="31"/>
      <c r="AJ2201" s="31"/>
      <c r="AK2201" s="31"/>
      <c r="AL2201" s="28" t="str">
        <f>VLOOKUP($G2201,'[42]Sheet1 (2)'!$A$1:$B$1048440,2,FALSE)</f>
        <v>No.</v>
      </c>
      <c r="AM2201" s="32"/>
      <c r="AN2201" s="31"/>
      <c r="AO2201" s="33"/>
    </row>
    <row r="2202" spans="1:41" ht="350" x14ac:dyDescent="0.25">
      <c r="A2202" s="243">
        <v>2017</v>
      </c>
      <c r="B2202" s="25" t="s">
        <v>3435</v>
      </c>
      <c r="C2202" s="280">
        <v>51.177999999999997</v>
      </c>
      <c r="D2202" s="25" t="s">
        <v>3436</v>
      </c>
      <c r="E2202" s="24" t="s">
        <v>3437</v>
      </c>
      <c r="F2202" s="35" t="s">
        <v>3438</v>
      </c>
      <c r="G2202" s="25" t="s">
        <v>47</v>
      </c>
      <c r="H2202" s="26">
        <v>7424</v>
      </c>
      <c r="I2202" s="26">
        <v>37</v>
      </c>
      <c r="J2202" s="31"/>
      <c r="K2202" s="31"/>
      <c r="L2202" s="31"/>
      <c r="M2202" s="31"/>
      <c r="N2202" s="31"/>
      <c r="O2202" s="31"/>
      <c r="P2202" s="31"/>
      <c r="Q2202" s="31"/>
      <c r="R2202" s="31"/>
      <c r="S2202" s="31"/>
      <c r="T2202" s="31"/>
      <c r="U2202" s="31"/>
      <c r="V2202" s="31"/>
      <c r="W2202" s="31"/>
      <c r="X2202" s="31"/>
      <c r="Y2202" s="31"/>
      <c r="Z2202" s="31"/>
      <c r="AA2202" s="31"/>
      <c r="AB2202" s="31"/>
      <c r="AC2202" s="31"/>
      <c r="AD2202" s="31"/>
      <c r="AE2202" s="31"/>
      <c r="AF2202" s="31"/>
      <c r="AG2202" s="31"/>
      <c r="AH2202" s="31"/>
      <c r="AI2202" s="31"/>
      <c r="AJ2202" s="31"/>
      <c r="AK2202" s="31"/>
      <c r="AL2202" s="28" t="str">
        <f>VLOOKUP($G2202,'[42]Sheet1 (2)'!$A$1:$B$1048440,2,FALSE)</f>
        <v>Cum</v>
      </c>
      <c r="AM2202" s="32"/>
      <c r="AN2202" s="31"/>
      <c r="AO2202" s="33"/>
    </row>
    <row r="2203" spans="1:41" ht="308" x14ac:dyDescent="0.25">
      <c r="A2203" s="243">
        <v>2018</v>
      </c>
      <c r="B2203" s="25" t="s">
        <v>362</v>
      </c>
      <c r="C2203" s="280">
        <v>51.179000000000002</v>
      </c>
      <c r="D2203" s="25" t="s">
        <v>3436</v>
      </c>
      <c r="E2203" s="23" t="s">
        <v>3439</v>
      </c>
      <c r="F2203" s="39" t="s">
        <v>3440</v>
      </c>
      <c r="G2203" s="25" t="s">
        <v>45</v>
      </c>
      <c r="H2203" s="26">
        <v>1352</v>
      </c>
      <c r="I2203" s="26">
        <v>378</v>
      </c>
      <c r="J2203" s="31"/>
      <c r="K2203" s="31"/>
      <c r="L2203" s="31"/>
      <c r="M2203" s="31"/>
      <c r="N2203" s="31"/>
      <c r="O2203" s="31"/>
      <c r="P2203" s="31"/>
      <c r="Q2203" s="31"/>
      <c r="R2203" s="31"/>
      <c r="S2203" s="31"/>
      <c r="T2203" s="31"/>
      <c r="U2203" s="31"/>
      <c r="V2203" s="31"/>
      <c r="W2203" s="31"/>
      <c r="X2203" s="31"/>
      <c r="Y2203" s="31"/>
      <c r="Z2203" s="31"/>
      <c r="AA2203" s="31"/>
      <c r="AB2203" s="31"/>
      <c r="AC2203" s="31"/>
      <c r="AD2203" s="31"/>
      <c r="AE2203" s="31"/>
      <c r="AF2203" s="31"/>
      <c r="AG2203" s="31"/>
      <c r="AH2203" s="31"/>
      <c r="AI2203" s="31"/>
      <c r="AJ2203" s="31"/>
      <c r="AK2203" s="31"/>
      <c r="AL2203" s="28" t="str">
        <f>VLOOKUP($G2203,'[42]Sheet1 (2)'!$A$1:$B$1048440,2,FALSE)</f>
        <v>No.</v>
      </c>
      <c r="AM2203" s="32"/>
      <c r="AN2203" s="31"/>
      <c r="AO2203" s="33"/>
    </row>
    <row r="2204" spans="1:41" ht="406" x14ac:dyDescent="0.25">
      <c r="A2204" s="243">
        <v>2019</v>
      </c>
      <c r="B2204" s="25" t="s">
        <v>362</v>
      </c>
      <c r="C2204" s="280">
        <v>51.18</v>
      </c>
      <c r="D2204" s="25" t="s">
        <v>3436</v>
      </c>
      <c r="E2204" s="23" t="s">
        <v>3441</v>
      </c>
      <c r="F2204" s="39" t="s">
        <v>3442</v>
      </c>
      <c r="G2204" s="25" t="s">
        <v>45</v>
      </c>
      <c r="H2204" s="26">
        <v>405</v>
      </c>
      <c r="I2204" s="26">
        <v>0</v>
      </c>
      <c r="J2204" s="31"/>
      <c r="K2204" s="31"/>
      <c r="L2204" s="31"/>
      <c r="M2204" s="31"/>
      <c r="N2204" s="31"/>
      <c r="O2204" s="31"/>
      <c r="P2204" s="31"/>
      <c r="Q2204" s="31"/>
      <c r="R2204" s="31"/>
      <c r="S2204" s="31"/>
      <c r="T2204" s="31"/>
      <c r="U2204" s="31"/>
      <c r="V2204" s="31"/>
      <c r="W2204" s="31"/>
      <c r="X2204" s="31"/>
      <c r="Y2204" s="31"/>
      <c r="Z2204" s="31"/>
      <c r="AA2204" s="31"/>
      <c r="AB2204" s="31"/>
      <c r="AC2204" s="31"/>
      <c r="AD2204" s="31"/>
      <c r="AE2204" s="31"/>
      <c r="AF2204" s="31"/>
      <c r="AG2204" s="31"/>
      <c r="AH2204" s="31"/>
      <c r="AI2204" s="31"/>
      <c r="AJ2204" s="31"/>
      <c r="AK2204" s="31"/>
      <c r="AL2204" s="28" t="str">
        <f>VLOOKUP($G2204,'[42]Sheet1 (2)'!$A$1:$B$1048440,2,FALSE)</f>
        <v>No.</v>
      </c>
      <c r="AM2204" s="32"/>
      <c r="AN2204" s="31"/>
      <c r="AO2204" s="33"/>
    </row>
    <row r="2205" spans="1:41" ht="210" x14ac:dyDescent="0.25">
      <c r="A2205" s="243">
        <v>2020</v>
      </c>
      <c r="B2205" s="25" t="s">
        <v>3435</v>
      </c>
      <c r="C2205" s="280">
        <v>51.180999999999997</v>
      </c>
      <c r="D2205" s="23"/>
      <c r="E2205" s="23" t="s">
        <v>3443</v>
      </c>
      <c r="F2205" s="24" t="s">
        <v>3072</v>
      </c>
      <c r="G2205" s="209" t="s">
        <v>47</v>
      </c>
      <c r="H2205" s="26">
        <v>12770</v>
      </c>
      <c r="I2205" s="26">
        <v>80</v>
      </c>
      <c r="J2205" s="31"/>
      <c r="K2205" s="31"/>
      <c r="L2205" s="31"/>
      <c r="M2205" s="31"/>
      <c r="N2205" s="31"/>
      <c r="O2205" s="31"/>
      <c r="P2205" s="31"/>
      <c r="Q2205" s="31"/>
      <c r="R2205" s="31"/>
      <c r="S2205" s="31"/>
      <c r="T2205" s="31"/>
      <c r="U2205" s="31"/>
      <c r="V2205" s="31"/>
      <c r="W2205" s="31"/>
      <c r="X2205" s="31"/>
      <c r="Y2205" s="31"/>
      <c r="Z2205" s="31"/>
      <c r="AA2205" s="31"/>
      <c r="AB2205" s="31"/>
      <c r="AC2205" s="31"/>
      <c r="AD2205" s="31"/>
      <c r="AE2205" s="31"/>
      <c r="AF2205" s="31"/>
      <c r="AG2205" s="31"/>
      <c r="AH2205" s="31"/>
      <c r="AI2205" s="31"/>
      <c r="AJ2205" s="31"/>
      <c r="AK2205" s="31"/>
      <c r="AL2205" s="28" t="str">
        <f>VLOOKUP($G2205,'[42]Sheet1 (2)'!$A$1:$B$1048440,2,FALSE)</f>
        <v>Cum</v>
      </c>
      <c r="AM2205" s="32"/>
      <c r="AN2205" s="31"/>
      <c r="AO2205" s="33"/>
    </row>
    <row r="2206" spans="1:41" ht="140" x14ac:dyDescent="0.25">
      <c r="A2206" s="243">
        <v>2021</v>
      </c>
      <c r="B2206" s="23"/>
      <c r="C2206" s="280">
        <v>51.182000000000002</v>
      </c>
      <c r="D2206" s="23"/>
      <c r="E2206" s="23" t="s">
        <v>3444</v>
      </c>
      <c r="F2206" s="24" t="s">
        <v>3072</v>
      </c>
      <c r="G2206" s="202" t="s">
        <v>621</v>
      </c>
      <c r="H2206" s="26">
        <v>4404</v>
      </c>
      <c r="I2206" s="26">
        <v>71</v>
      </c>
      <c r="J2206" s="31"/>
      <c r="K2206" s="31"/>
      <c r="L2206" s="31"/>
      <c r="M2206" s="31"/>
      <c r="N2206" s="31"/>
      <c r="O2206" s="31"/>
      <c r="P2206" s="31"/>
      <c r="Q2206" s="31"/>
      <c r="R2206" s="31"/>
      <c r="S2206" s="31"/>
      <c r="T2206" s="31"/>
      <c r="U2206" s="31"/>
      <c r="V2206" s="31"/>
      <c r="W2206" s="31"/>
      <c r="X2206" s="31"/>
      <c r="Y2206" s="31"/>
      <c r="Z2206" s="31"/>
      <c r="AA2206" s="31"/>
      <c r="AB2206" s="31"/>
      <c r="AC2206" s="31"/>
      <c r="AD2206" s="31"/>
      <c r="AE2206" s="31"/>
      <c r="AF2206" s="31"/>
      <c r="AG2206" s="31"/>
      <c r="AH2206" s="31"/>
      <c r="AI2206" s="31"/>
      <c r="AJ2206" s="31"/>
      <c r="AK2206" s="31"/>
      <c r="AL2206" s="28" t="str">
        <f>VLOOKUP($G2206,'[42]Sheet1 (2)'!$A$1:$B$1048440,2,FALSE)</f>
        <v>Sqm</v>
      </c>
      <c r="AM2206" s="32"/>
      <c r="AN2206" s="31"/>
      <c r="AO2206" s="33"/>
    </row>
    <row r="2207" spans="1:41" ht="140" x14ac:dyDescent="0.25">
      <c r="A2207" s="243">
        <v>2022</v>
      </c>
      <c r="B2207" s="23"/>
      <c r="C2207" s="280">
        <v>51.183</v>
      </c>
      <c r="D2207" s="23"/>
      <c r="E2207" s="23" t="s">
        <v>3445</v>
      </c>
      <c r="F2207" s="24" t="s">
        <v>3072</v>
      </c>
      <c r="G2207" s="202" t="s">
        <v>621</v>
      </c>
      <c r="H2207" s="26">
        <v>6153</v>
      </c>
      <c r="I2207" s="103">
        <v>67</v>
      </c>
      <c r="J2207" s="31"/>
      <c r="K2207" s="31"/>
      <c r="L2207" s="31"/>
      <c r="M2207" s="31"/>
      <c r="N2207" s="31"/>
      <c r="O2207" s="31"/>
      <c r="P2207" s="31"/>
      <c r="Q2207" s="31"/>
      <c r="R2207" s="31"/>
      <c r="S2207" s="31"/>
      <c r="T2207" s="31"/>
      <c r="U2207" s="31"/>
      <c r="V2207" s="31"/>
      <c r="W2207" s="31"/>
      <c r="X2207" s="31"/>
      <c r="Y2207" s="31"/>
      <c r="Z2207" s="31"/>
      <c r="AA2207" s="31"/>
      <c r="AB2207" s="31"/>
      <c r="AC2207" s="31"/>
      <c r="AD2207" s="31"/>
      <c r="AE2207" s="31"/>
      <c r="AF2207" s="31"/>
      <c r="AG2207" s="31"/>
      <c r="AH2207" s="31"/>
      <c r="AI2207" s="31"/>
      <c r="AJ2207" s="31"/>
      <c r="AK2207" s="31"/>
      <c r="AL2207" s="28" t="str">
        <f>VLOOKUP($G2207,'[42]Sheet1 (2)'!$A$1:$B$1048440,2,FALSE)</f>
        <v>Sqm</v>
      </c>
      <c r="AM2207" s="32"/>
      <c r="AN2207" s="31"/>
      <c r="AO2207" s="33"/>
    </row>
    <row r="2208" spans="1:41" ht="140" x14ac:dyDescent="0.25">
      <c r="A2208" s="243">
        <v>2023</v>
      </c>
      <c r="B2208" s="23"/>
      <c r="C2208" s="280">
        <v>51.183999999999997</v>
      </c>
      <c r="D2208" s="23"/>
      <c r="E2208" s="24" t="s">
        <v>3446</v>
      </c>
      <c r="F2208" s="24" t="s">
        <v>3072</v>
      </c>
      <c r="G2208" s="202" t="s">
        <v>621</v>
      </c>
      <c r="H2208" s="26">
        <v>7695</v>
      </c>
      <c r="I2208" s="103">
        <v>95</v>
      </c>
      <c r="J2208" s="31"/>
      <c r="K2208" s="31"/>
      <c r="L2208" s="31"/>
      <c r="M2208" s="31"/>
      <c r="N2208" s="31"/>
      <c r="O2208" s="31"/>
      <c r="P2208" s="31"/>
      <c r="Q2208" s="31"/>
      <c r="R2208" s="31"/>
      <c r="S2208" s="31"/>
      <c r="T2208" s="31"/>
      <c r="U2208" s="31"/>
      <c r="V2208" s="31"/>
      <c r="W2208" s="31"/>
      <c r="X2208" s="31"/>
      <c r="Y2208" s="31"/>
      <c r="Z2208" s="31"/>
      <c r="AA2208" s="31"/>
      <c r="AB2208" s="31"/>
      <c r="AC2208" s="31"/>
      <c r="AD2208" s="31"/>
      <c r="AE2208" s="31"/>
      <c r="AF2208" s="31"/>
      <c r="AG2208" s="31"/>
      <c r="AH2208" s="31"/>
      <c r="AI2208" s="31"/>
      <c r="AJ2208" s="31"/>
      <c r="AK2208" s="31"/>
      <c r="AL2208" s="28" t="str">
        <f>VLOOKUP($G2208,'[42]Sheet1 (2)'!$A$1:$B$1048440,2,FALSE)</f>
        <v>Sqm</v>
      </c>
      <c r="AM2208" s="32"/>
      <c r="AN2208" s="31"/>
      <c r="AO2208" s="33"/>
    </row>
    <row r="2209" spans="1:41" ht="140" x14ac:dyDescent="0.25">
      <c r="A2209" s="243">
        <v>2024</v>
      </c>
      <c r="B2209" s="23"/>
      <c r="C2209" s="280">
        <v>51.185000000000002</v>
      </c>
      <c r="D2209" s="23"/>
      <c r="E2209" s="23" t="s">
        <v>3447</v>
      </c>
      <c r="F2209" s="24" t="s">
        <v>3072</v>
      </c>
      <c r="G2209" s="202" t="s">
        <v>621</v>
      </c>
      <c r="H2209" s="26">
        <v>6452</v>
      </c>
      <c r="I2209" s="103">
        <v>52</v>
      </c>
      <c r="J2209" s="31"/>
      <c r="K2209" s="31"/>
      <c r="L2209" s="31"/>
      <c r="M2209" s="31"/>
      <c r="N2209" s="31"/>
      <c r="O2209" s="31"/>
      <c r="P2209" s="31"/>
      <c r="Q2209" s="31"/>
      <c r="R2209" s="31"/>
      <c r="S2209" s="31"/>
      <c r="T2209" s="31"/>
      <c r="U2209" s="31"/>
      <c r="V2209" s="31"/>
      <c r="W2209" s="31"/>
      <c r="X2209" s="31"/>
      <c r="Y2209" s="31"/>
      <c r="Z2209" s="31"/>
      <c r="AA2209" s="31"/>
      <c r="AB2209" s="31"/>
      <c r="AC2209" s="31"/>
      <c r="AD2209" s="31"/>
      <c r="AE2209" s="31"/>
      <c r="AF2209" s="31"/>
      <c r="AG2209" s="31"/>
      <c r="AH2209" s="31"/>
      <c r="AI2209" s="31"/>
      <c r="AJ2209" s="31"/>
      <c r="AK2209" s="31"/>
      <c r="AL2209" s="28" t="str">
        <f>VLOOKUP($G2209,'[42]Sheet1 (2)'!$A$1:$B$1048440,2,FALSE)</f>
        <v>Sqm</v>
      </c>
      <c r="AM2209" s="32"/>
      <c r="AN2209" s="31"/>
      <c r="AO2209" s="33"/>
    </row>
    <row r="2210" spans="1:41" ht="140" x14ac:dyDescent="0.25">
      <c r="A2210" s="243">
        <v>2025</v>
      </c>
      <c r="B2210" s="23"/>
      <c r="C2210" s="280">
        <v>51.186</v>
      </c>
      <c r="D2210" s="23"/>
      <c r="E2210" s="23" t="s">
        <v>3448</v>
      </c>
      <c r="F2210" s="24" t="s">
        <v>3072</v>
      </c>
      <c r="G2210" s="202" t="s">
        <v>621</v>
      </c>
      <c r="H2210" s="26">
        <v>11066</v>
      </c>
      <c r="I2210" s="103">
        <v>66</v>
      </c>
      <c r="J2210" s="31"/>
      <c r="K2210" s="31"/>
      <c r="L2210" s="31"/>
      <c r="M2210" s="31"/>
      <c r="N2210" s="31"/>
      <c r="O2210" s="31"/>
      <c r="P2210" s="31"/>
      <c r="Q2210" s="31"/>
      <c r="R2210" s="31"/>
      <c r="S2210" s="31"/>
      <c r="T2210" s="31"/>
      <c r="U2210" s="31"/>
      <c r="V2210" s="31"/>
      <c r="W2210" s="31"/>
      <c r="X2210" s="31"/>
      <c r="Y2210" s="31"/>
      <c r="Z2210" s="31"/>
      <c r="AA2210" s="31"/>
      <c r="AB2210" s="31"/>
      <c r="AC2210" s="31"/>
      <c r="AD2210" s="31"/>
      <c r="AE2210" s="31"/>
      <c r="AF2210" s="31"/>
      <c r="AG2210" s="31"/>
      <c r="AH2210" s="31"/>
      <c r="AI2210" s="31"/>
      <c r="AJ2210" s="31"/>
      <c r="AK2210" s="31"/>
      <c r="AL2210" s="28" t="str">
        <f>VLOOKUP($G2210,'[42]Sheet1 (2)'!$A$1:$B$1048440,2,FALSE)</f>
        <v>Sqm</v>
      </c>
      <c r="AM2210" s="32"/>
      <c r="AN2210" s="31"/>
      <c r="AO2210" s="33"/>
    </row>
    <row r="2211" spans="1:41" ht="409.5" x14ac:dyDescent="0.25">
      <c r="A2211" s="243">
        <v>2026</v>
      </c>
      <c r="B2211" s="25" t="s">
        <v>3449</v>
      </c>
      <c r="C2211" s="281">
        <v>51.186999999999998</v>
      </c>
      <c r="D2211" s="23"/>
      <c r="E2211" s="24" t="s">
        <v>3450</v>
      </c>
      <c r="F2211" s="24" t="s">
        <v>3072</v>
      </c>
      <c r="G2211" s="202" t="s">
        <v>621</v>
      </c>
      <c r="H2211" s="20">
        <v>3971</v>
      </c>
      <c r="I2211" s="26">
        <v>481</v>
      </c>
      <c r="J2211" s="31"/>
      <c r="K2211" s="31"/>
      <c r="L2211" s="31"/>
      <c r="M2211" s="31"/>
      <c r="N2211" s="31"/>
      <c r="O2211" s="31"/>
      <c r="P2211" s="31"/>
      <c r="Q2211" s="31"/>
      <c r="R2211" s="31"/>
      <c r="S2211" s="31"/>
      <c r="T2211" s="31"/>
      <c r="U2211" s="31"/>
      <c r="V2211" s="31"/>
      <c r="W2211" s="31"/>
      <c r="X2211" s="31"/>
      <c r="Y2211" s="31"/>
      <c r="Z2211" s="31"/>
      <c r="AA2211" s="31"/>
      <c r="AB2211" s="31"/>
      <c r="AC2211" s="31"/>
      <c r="AD2211" s="31"/>
      <c r="AE2211" s="31"/>
      <c r="AF2211" s="31"/>
      <c r="AG2211" s="31"/>
      <c r="AH2211" s="31"/>
      <c r="AI2211" s="31"/>
      <c r="AJ2211" s="31"/>
      <c r="AK2211" s="31"/>
      <c r="AL2211" s="28" t="str">
        <f>VLOOKUP($G2211,'[42]Sheet1 (2)'!$A$1:$B$1048440,2,FALSE)</f>
        <v>Sqm</v>
      </c>
      <c r="AM2211" s="32"/>
      <c r="AN2211" s="31"/>
      <c r="AO2211" s="33"/>
    </row>
    <row r="2212" spans="1:41" ht="409.5" x14ac:dyDescent="0.25">
      <c r="A2212" s="243">
        <v>2027</v>
      </c>
      <c r="B2212" s="25" t="s">
        <v>3449</v>
      </c>
      <c r="C2212" s="281">
        <v>51.188000000000002</v>
      </c>
      <c r="D2212" s="23"/>
      <c r="E2212" s="23" t="s">
        <v>3451</v>
      </c>
      <c r="F2212" s="24" t="s">
        <v>3072</v>
      </c>
      <c r="G2212" s="202" t="s">
        <v>621</v>
      </c>
      <c r="H2212" s="20">
        <v>5025</v>
      </c>
      <c r="I2212" s="26">
        <v>481</v>
      </c>
      <c r="J2212" s="31"/>
      <c r="K2212" s="31"/>
      <c r="L2212" s="31"/>
      <c r="M2212" s="31"/>
      <c r="N2212" s="31"/>
      <c r="O2212" s="31"/>
      <c r="P2212" s="31"/>
      <c r="Q2212" s="31"/>
      <c r="R2212" s="31"/>
      <c r="S2212" s="31"/>
      <c r="T2212" s="31"/>
      <c r="U2212" s="31"/>
      <c r="V2212" s="31"/>
      <c r="W2212" s="31"/>
      <c r="X2212" s="31"/>
      <c r="Y2212" s="31"/>
      <c r="Z2212" s="31"/>
      <c r="AA2212" s="31"/>
      <c r="AB2212" s="31"/>
      <c r="AC2212" s="31"/>
      <c r="AD2212" s="31"/>
      <c r="AE2212" s="31"/>
      <c r="AF2212" s="31"/>
      <c r="AG2212" s="31"/>
      <c r="AH2212" s="31"/>
      <c r="AI2212" s="31"/>
      <c r="AJ2212" s="31"/>
      <c r="AK2212" s="31"/>
      <c r="AL2212" s="28" t="str">
        <f>VLOOKUP($G2212,'[42]Sheet1 (2)'!$A$1:$B$1048440,2,FALSE)</f>
        <v>Sqm</v>
      </c>
      <c r="AM2212" s="32"/>
      <c r="AN2212" s="31"/>
      <c r="AO2212" s="33"/>
    </row>
    <row r="2213" spans="1:41" ht="409.5" x14ac:dyDescent="0.25">
      <c r="A2213" s="243">
        <v>2028</v>
      </c>
      <c r="B2213" s="25" t="s">
        <v>3449</v>
      </c>
      <c r="C2213" s="281">
        <v>51.189</v>
      </c>
      <c r="D2213" s="23"/>
      <c r="E2213" s="23" t="s">
        <v>3452</v>
      </c>
      <c r="F2213" s="24" t="s">
        <v>3072</v>
      </c>
      <c r="G2213" s="202" t="s">
        <v>621</v>
      </c>
      <c r="H2213" s="20">
        <v>5444</v>
      </c>
      <c r="I2213" s="26">
        <v>481</v>
      </c>
      <c r="J2213" s="31"/>
      <c r="K2213" s="31"/>
      <c r="L2213" s="31"/>
      <c r="M2213" s="31"/>
      <c r="N2213" s="31"/>
      <c r="O2213" s="31"/>
      <c r="P2213" s="31"/>
      <c r="Q2213" s="31"/>
      <c r="R2213" s="31"/>
      <c r="S2213" s="31"/>
      <c r="T2213" s="31"/>
      <c r="U2213" s="31"/>
      <c r="V2213" s="31"/>
      <c r="W2213" s="31"/>
      <c r="X2213" s="31"/>
      <c r="Y2213" s="31"/>
      <c r="Z2213" s="31"/>
      <c r="AA2213" s="31"/>
      <c r="AB2213" s="31"/>
      <c r="AC2213" s="31"/>
      <c r="AD2213" s="31"/>
      <c r="AE2213" s="31"/>
      <c r="AF2213" s="31"/>
      <c r="AG2213" s="31"/>
      <c r="AH2213" s="31"/>
      <c r="AI2213" s="31"/>
      <c r="AJ2213" s="31"/>
      <c r="AK2213" s="31"/>
      <c r="AL2213" s="28" t="str">
        <f>VLOOKUP($G2213,'[42]Sheet1 (2)'!$A$1:$B$1048440,2,FALSE)</f>
        <v>Sqm</v>
      </c>
      <c r="AM2213" s="32"/>
      <c r="AN2213" s="31"/>
      <c r="AO2213" s="33"/>
    </row>
    <row r="2214" spans="1:41" ht="409.5" x14ac:dyDescent="0.25">
      <c r="A2214" s="243">
        <v>2029</v>
      </c>
      <c r="B2214" s="25" t="s">
        <v>3449</v>
      </c>
      <c r="C2214" s="281">
        <v>51.19</v>
      </c>
      <c r="D2214" s="23"/>
      <c r="E2214" s="23" t="s">
        <v>3453</v>
      </c>
      <c r="F2214" s="24" t="s">
        <v>3072</v>
      </c>
      <c r="G2214" s="202" t="s">
        <v>621</v>
      </c>
      <c r="H2214" s="20">
        <v>6119</v>
      </c>
      <c r="I2214" s="26">
        <v>481</v>
      </c>
      <c r="J2214" s="31"/>
      <c r="K2214" s="31"/>
      <c r="L2214" s="31"/>
      <c r="M2214" s="31"/>
      <c r="N2214" s="31"/>
      <c r="O2214" s="31"/>
      <c r="P2214" s="31"/>
      <c r="Q2214" s="31"/>
      <c r="R2214" s="31"/>
      <c r="S2214" s="31"/>
      <c r="T2214" s="31"/>
      <c r="U2214" s="31"/>
      <c r="V2214" s="31"/>
      <c r="W2214" s="31"/>
      <c r="X2214" s="31"/>
      <c r="Y2214" s="31"/>
      <c r="Z2214" s="31"/>
      <c r="AA2214" s="31"/>
      <c r="AB2214" s="31"/>
      <c r="AC2214" s="31"/>
      <c r="AD2214" s="31"/>
      <c r="AE2214" s="31"/>
      <c r="AF2214" s="31"/>
      <c r="AG2214" s="31"/>
      <c r="AH2214" s="31"/>
      <c r="AI2214" s="31"/>
      <c r="AJ2214" s="31"/>
      <c r="AK2214" s="31"/>
      <c r="AL2214" s="28" t="str">
        <f>VLOOKUP($G2214,'[42]Sheet1 (2)'!$A$1:$B$1048440,2,FALSE)</f>
        <v>Sqm</v>
      </c>
      <c r="AM2214" s="32"/>
      <c r="AN2214" s="31"/>
      <c r="AO2214" s="33"/>
    </row>
    <row r="2215" spans="1:41" ht="210" x14ac:dyDescent="0.25">
      <c r="A2215" s="243">
        <v>2030</v>
      </c>
      <c r="B2215" s="25" t="s">
        <v>3454</v>
      </c>
      <c r="C2215" s="280">
        <v>51.191000000000003</v>
      </c>
      <c r="D2215" s="23"/>
      <c r="E2215" s="24" t="s">
        <v>3455</v>
      </c>
      <c r="F2215" s="24" t="s">
        <v>3072</v>
      </c>
      <c r="G2215" s="202" t="s">
        <v>621</v>
      </c>
      <c r="H2215" s="26">
        <v>282</v>
      </c>
      <c r="I2215" s="26">
        <v>155</v>
      </c>
      <c r="J2215" s="31"/>
      <c r="K2215" s="31"/>
      <c r="L2215" s="31"/>
      <c r="M2215" s="31"/>
      <c r="N2215" s="31"/>
      <c r="O2215" s="31"/>
      <c r="P2215" s="31"/>
      <c r="Q2215" s="31"/>
      <c r="R2215" s="31"/>
      <c r="S2215" s="31"/>
      <c r="T2215" s="31"/>
      <c r="U2215" s="31"/>
      <c r="V2215" s="31"/>
      <c r="W2215" s="31"/>
      <c r="X2215" s="31"/>
      <c r="Y2215" s="31"/>
      <c r="Z2215" s="31"/>
      <c r="AA2215" s="31"/>
      <c r="AB2215" s="31"/>
      <c r="AC2215" s="31"/>
      <c r="AD2215" s="31"/>
      <c r="AE2215" s="31"/>
      <c r="AF2215" s="31"/>
      <c r="AG2215" s="31"/>
      <c r="AH2215" s="31"/>
      <c r="AI2215" s="31"/>
      <c r="AJ2215" s="31"/>
      <c r="AK2215" s="31"/>
      <c r="AL2215" s="28" t="str">
        <f>VLOOKUP($G2215,'[42]Sheet1 (2)'!$A$1:$B$1048440,2,FALSE)</f>
        <v>Sqm</v>
      </c>
      <c r="AM2215" s="32"/>
      <c r="AN2215" s="31"/>
      <c r="AO2215" s="33"/>
    </row>
    <row r="2216" spans="1:41" ht="112" x14ac:dyDescent="0.25">
      <c r="A2216" s="243">
        <v>2031</v>
      </c>
      <c r="B2216" s="25" t="s">
        <v>3454</v>
      </c>
      <c r="C2216" s="280">
        <v>51.192</v>
      </c>
      <c r="D2216" s="23"/>
      <c r="E2216" s="24" t="s">
        <v>3456</v>
      </c>
      <c r="F2216" s="24" t="s">
        <v>3072</v>
      </c>
      <c r="G2216" s="21" t="s">
        <v>514</v>
      </c>
      <c r="H2216" s="26">
        <v>8598</v>
      </c>
      <c r="I2216" s="26">
        <v>188</v>
      </c>
      <c r="J2216" s="31"/>
      <c r="K2216" s="31"/>
      <c r="L2216" s="31"/>
      <c r="M2216" s="31"/>
      <c r="N2216" s="31"/>
      <c r="O2216" s="31"/>
      <c r="P2216" s="31"/>
      <c r="Q2216" s="31"/>
      <c r="R2216" s="31"/>
      <c r="S2216" s="31"/>
      <c r="T2216" s="31"/>
      <c r="U2216" s="31"/>
      <c r="V2216" s="31"/>
      <c r="W2216" s="31"/>
      <c r="X2216" s="31"/>
      <c r="Y2216" s="31"/>
      <c r="Z2216" s="31"/>
      <c r="AA2216" s="31"/>
      <c r="AB2216" s="31"/>
      <c r="AC2216" s="31"/>
      <c r="AD2216" s="31"/>
      <c r="AE2216" s="31"/>
      <c r="AF2216" s="31"/>
      <c r="AG2216" s="31"/>
      <c r="AH2216" s="31"/>
      <c r="AI2216" s="31"/>
      <c r="AJ2216" s="31"/>
      <c r="AK2216" s="31"/>
      <c r="AL2216" s="28" t="str">
        <f>VLOOKUP($G2216,'[42]Sheet1 (2)'!$A$1:$B$1048440,2,FALSE)</f>
        <v>Sqm</v>
      </c>
      <c r="AM2216" s="32"/>
      <c r="AN2216" s="31"/>
      <c r="AO2216" s="33"/>
    </row>
    <row r="2217" spans="1:41" ht="154" x14ac:dyDescent="0.25">
      <c r="A2217" s="243">
        <v>2032</v>
      </c>
      <c r="B2217" s="25" t="s">
        <v>3457</v>
      </c>
      <c r="C2217" s="280">
        <v>51.192999999999998</v>
      </c>
      <c r="D2217" s="23"/>
      <c r="E2217" s="24" t="s">
        <v>3458</v>
      </c>
      <c r="F2217" s="24" t="s">
        <v>3072</v>
      </c>
      <c r="G2217" s="21" t="s">
        <v>80</v>
      </c>
      <c r="H2217" s="26">
        <v>3377</v>
      </c>
      <c r="I2217" s="26">
        <v>409</v>
      </c>
      <c r="J2217" s="31"/>
      <c r="K2217" s="31"/>
      <c r="L2217" s="31"/>
      <c r="M2217" s="31"/>
      <c r="N2217" s="31"/>
      <c r="O2217" s="31"/>
      <c r="P2217" s="31"/>
      <c r="Q2217" s="31"/>
      <c r="R2217" s="31"/>
      <c r="S2217" s="31"/>
      <c r="T2217" s="31"/>
      <c r="U2217" s="31"/>
      <c r="V2217" s="31"/>
      <c r="W2217" s="31"/>
      <c r="X2217" s="31"/>
      <c r="Y2217" s="31"/>
      <c r="Z2217" s="31"/>
      <c r="AA2217" s="31"/>
      <c r="AB2217" s="31"/>
      <c r="AC2217" s="31"/>
      <c r="AD2217" s="31"/>
      <c r="AE2217" s="31"/>
      <c r="AF2217" s="31"/>
      <c r="AG2217" s="31"/>
      <c r="AH2217" s="31"/>
      <c r="AI2217" s="31"/>
      <c r="AJ2217" s="31"/>
      <c r="AK2217" s="31"/>
      <c r="AL2217" s="28" t="str">
        <f>VLOOKUP($G2217,'[42]Sheet1 (2)'!$A$1:$B$1048440,2,FALSE)</f>
        <v>Rmt.</v>
      </c>
      <c r="AM2217" s="32"/>
      <c r="AN2217" s="31"/>
      <c r="AO2217" s="33"/>
    </row>
    <row r="2218" spans="1:41" ht="154" x14ac:dyDescent="0.25">
      <c r="A2218" s="247">
        <v>2033</v>
      </c>
      <c r="B2218" s="248" t="s">
        <v>3457</v>
      </c>
      <c r="C2218" s="282">
        <v>51.194000000000003</v>
      </c>
      <c r="D2218" s="249"/>
      <c r="E2218" s="249" t="s">
        <v>3459</v>
      </c>
      <c r="F2218" s="250" t="s">
        <v>3072</v>
      </c>
      <c r="G2218" s="264" t="s">
        <v>80</v>
      </c>
      <c r="H2218" s="251">
        <v>4867</v>
      </c>
      <c r="I2218" s="251">
        <v>523</v>
      </c>
      <c r="J2218" s="31"/>
      <c r="K2218" s="31"/>
      <c r="L2218" s="31"/>
      <c r="M2218" s="31"/>
      <c r="N2218" s="31"/>
      <c r="O2218" s="31"/>
      <c r="P2218" s="31"/>
      <c r="Q2218" s="31"/>
      <c r="R2218" s="31"/>
      <c r="S2218" s="31"/>
      <c r="T2218" s="31"/>
      <c r="U2218" s="31"/>
      <c r="V2218" s="31"/>
      <c r="W2218" s="31"/>
      <c r="X2218" s="31"/>
      <c r="Y2218" s="31"/>
      <c r="Z2218" s="31"/>
      <c r="AA2218" s="31"/>
      <c r="AB2218" s="31"/>
      <c r="AC2218" s="31"/>
      <c r="AD2218" s="31"/>
      <c r="AE2218" s="31"/>
      <c r="AF2218" s="31"/>
      <c r="AG2218" s="31"/>
      <c r="AH2218" s="31"/>
      <c r="AI2218" s="31"/>
      <c r="AJ2218" s="31"/>
      <c r="AK2218" s="31"/>
      <c r="AL2218" s="28" t="str">
        <f>VLOOKUP($G2218,'[42]Sheet1 (2)'!$A$1:$B$1048440,2,FALSE)</f>
        <v>Rmt.</v>
      </c>
      <c r="AM2218" s="32"/>
      <c r="AN2218" s="31"/>
      <c r="AO2218" s="33"/>
    </row>
    <row r="2219" spans="1:41" ht="210" x14ac:dyDescent="0.25">
      <c r="A2219" s="252">
        <v>2034</v>
      </c>
      <c r="B2219" s="253" t="s">
        <v>3454</v>
      </c>
      <c r="C2219" s="283">
        <v>51.228000000000002</v>
      </c>
      <c r="D2219" s="256" t="s">
        <v>44</v>
      </c>
      <c r="E2219" s="256" t="s">
        <v>3460</v>
      </c>
      <c r="F2219" s="256" t="s">
        <v>44</v>
      </c>
      <c r="G2219" s="255"/>
      <c r="H2219" s="255"/>
      <c r="I2219" s="255"/>
      <c r="J2219" s="31"/>
      <c r="K2219" s="31"/>
      <c r="L2219" s="31"/>
      <c r="M2219" s="31"/>
      <c r="N2219" s="31"/>
      <c r="O2219" s="31"/>
      <c r="P2219" s="31"/>
      <c r="Q2219" s="31"/>
      <c r="R2219" s="31"/>
      <c r="S2219" s="31"/>
      <c r="T2219" s="31"/>
      <c r="U2219" s="31"/>
      <c r="V2219" s="31"/>
      <c r="W2219" s="31"/>
      <c r="X2219" s="31"/>
      <c r="Y2219" s="31"/>
      <c r="Z2219" s="31"/>
      <c r="AA2219" s="31"/>
      <c r="AB2219" s="31"/>
      <c r="AC2219" s="31"/>
      <c r="AD2219" s="31"/>
      <c r="AE2219" s="31"/>
      <c r="AF2219" s="31"/>
      <c r="AG2219" s="31"/>
      <c r="AH2219" s="31"/>
      <c r="AI2219" s="31"/>
      <c r="AJ2219" s="31"/>
      <c r="AK2219" s="31"/>
      <c r="AL2219" s="28" t="e">
        <f>VLOOKUP($G2219,'[42]Sheet1 (2)'!$A$1:$B$1048440,2,FALSE)</f>
        <v>#N/A</v>
      </c>
      <c r="AM2219" s="32"/>
      <c r="AN2219" s="31"/>
      <c r="AO2219" s="33"/>
    </row>
    <row r="2220" spans="1:41" ht="56" x14ac:dyDescent="0.25">
      <c r="A2220" s="243">
        <v>2035</v>
      </c>
      <c r="B2220" s="25" t="s">
        <v>3454</v>
      </c>
      <c r="C2220" s="30" t="s">
        <v>3461</v>
      </c>
      <c r="D2220" s="24" t="s">
        <v>44</v>
      </c>
      <c r="E2220" s="24" t="s">
        <v>3462</v>
      </c>
      <c r="F2220" s="24" t="s">
        <v>44</v>
      </c>
      <c r="G2220" s="25" t="s">
        <v>45</v>
      </c>
      <c r="H2220" s="26">
        <v>7203</v>
      </c>
      <c r="I2220" s="121">
        <v>2000</v>
      </c>
      <c r="J2220" s="31"/>
      <c r="K2220" s="31"/>
      <c r="L2220" s="31"/>
      <c r="M2220" s="31"/>
      <c r="N2220" s="31"/>
      <c r="O2220" s="31"/>
      <c r="P2220" s="31"/>
      <c r="Q2220" s="31"/>
      <c r="R2220" s="31"/>
      <c r="S2220" s="31"/>
      <c r="T2220" s="31"/>
      <c r="U2220" s="31"/>
      <c r="V2220" s="31"/>
      <c r="W2220" s="31"/>
      <c r="X2220" s="31"/>
      <c r="Y2220" s="31"/>
      <c r="Z2220" s="31"/>
      <c r="AA2220" s="31"/>
      <c r="AB2220" s="31"/>
      <c r="AC2220" s="31"/>
      <c r="AD2220" s="31"/>
      <c r="AE2220" s="31"/>
      <c r="AF2220" s="31"/>
      <c r="AG2220" s="31"/>
      <c r="AH2220" s="31"/>
      <c r="AI2220" s="31"/>
      <c r="AJ2220" s="31"/>
      <c r="AK2220" s="31"/>
      <c r="AL2220" s="28" t="str">
        <f>VLOOKUP($G2220,'[42]Sheet1 (2)'!$A$1:$B$1048440,2,FALSE)</f>
        <v>No.</v>
      </c>
      <c r="AM2220" s="32"/>
      <c r="AN2220" s="31"/>
      <c r="AO2220" s="33"/>
    </row>
    <row r="2221" spans="1:41" ht="56" x14ac:dyDescent="0.25">
      <c r="A2221" s="243">
        <v>2036</v>
      </c>
      <c r="B2221" s="25" t="s">
        <v>3454</v>
      </c>
      <c r="C2221" s="30" t="s">
        <v>3463</v>
      </c>
      <c r="D2221" s="24" t="s">
        <v>44</v>
      </c>
      <c r="E2221" s="24" t="s">
        <v>3464</v>
      </c>
      <c r="F2221" s="24" t="s">
        <v>44</v>
      </c>
      <c r="G2221" s="25" t="s">
        <v>45</v>
      </c>
      <c r="H2221" s="26">
        <v>9746</v>
      </c>
      <c r="I2221" s="121">
        <v>2500</v>
      </c>
      <c r="J2221" s="31"/>
      <c r="K2221" s="31"/>
      <c r="L2221" s="31"/>
      <c r="M2221" s="31"/>
      <c r="N2221" s="31"/>
      <c r="O2221" s="31"/>
      <c r="P2221" s="31"/>
      <c r="Q2221" s="31"/>
      <c r="R2221" s="31"/>
      <c r="S2221" s="31"/>
      <c r="T2221" s="31"/>
      <c r="U2221" s="31"/>
      <c r="V2221" s="31"/>
      <c r="W2221" s="31"/>
      <c r="X2221" s="31"/>
      <c r="Y2221" s="31"/>
      <c r="Z2221" s="31"/>
      <c r="AA2221" s="31"/>
      <c r="AB2221" s="31"/>
      <c r="AC2221" s="31"/>
      <c r="AD2221" s="31"/>
      <c r="AE2221" s="31"/>
      <c r="AF2221" s="31"/>
      <c r="AG2221" s="31"/>
      <c r="AH2221" s="31"/>
      <c r="AI2221" s="31"/>
      <c r="AJ2221" s="31"/>
      <c r="AK2221" s="31"/>
      <c r="AL2221" s="28" t="str">
        <f>VLOOKUP($G2221,'[42]Sheet1 (2)'!$A$1:$B$1048440,2,FALSE)</f>
        <v>No.</v>
      </c>
      <c r="AM2221" s="32"/>
      <c r="AN2221" s="31"/>
      <c r="AO2221" s="33"/>
    </row>
    <row r="2222" spans="1:41" ht="56" x14ac:dyDescent="0.25">
      <c r="A2222" s="243">
        <v>2037</v>
      </c>
      <c r="B2222" s="25" t="s">
        <v>3454</v>
      </c>
      <c r="C2222" s="30" t="s">
        <v>3465</v>
      </c>
      <c r="D2222" s="24" t="s">
        <v>44</v>
      </c>
      <c r="E2222" s="24" t="s">
        <v>3466</v>
      </c>
      <c r="F2222" s="24" t="s">
        <v>44</v>
      </c>
      <c r="G2222" s="25" t="s">
        <v>45</v>
      </c>
      <c r="H2222" s="26">
        <v>10381</v>
      </c>
      <c r="I2222" s="121">
        <v>3000</v>
      </c>
      <c r="J2222" s="31"/>
      <c r="K2222" s="31"/>
      <c r="L2222" s="31"/>
      <c r="M2222" s="31"/>
      <c r="N2222" s="31"/>
      <c r="O2222" s="31"/>
      <c r="P2222" s="31"/>
      <c r="Q2222" s="31"/>
      <c r="R2222" s="31"/>
      <c r="S2222" s="31"/>
      <c r="T2222" s="31"/>
      <c r="U2222" s="31"/>
      <c r="V2222" s="31"/>
      <c r="W2222" s="31"/>
      <c r="X2222" s="31"/>
      <c r="Y2222" s="31"/>
      <c r="Z2222" s="31"/>
      <c r="AA2222" s="31"/>
      <c r="AB2222" s="31"/>
      <c r="AC2222" s="31"/>
      <c r="AD2222" s="31"/>
      <c r="AE2222" s="31"/>
      <c r="AF2222" s="31"/>
      <c r="AG2222" s="31"/>
      <c r="AH2222" s="31"/>
      <c r="AI2222" s="31"/>
      <c r="AJ2222" s="31"/>
      <c r="AK2222" s="31"/>
      <c r="AL2222" s="28" t="str">
        <f>VLOOKUP($G2222,'[42]Sheet1 (2)'!$A$1:$B$1048440,2,FALSE)</f>
        <v>No.</v>
      </c>
      <c r="AM2222" s="32"/>
      <c r="AN2222" s="31"/>
      <c r="AO2222" s="33"/>
    </row>
    <row r="2223" spans="1:41" ht="56" x14ac:dyDescent="0.25">
      <c r="A2223" s="243">
        <v>2038</v>
      </c>
      <c r="B2223" s="25" t="s">
        <v>3454</v>
      </c>
      <c r="C2223" s="30" t="s">
        <v>3467</v>
      </c>
      <c r="D2223" s="24" t="s">
        <v>44</v>
      </c>
      <c r="E2223" s="24" t="s">
        <v>3468</v>
      </c>
      <c r="F2223" s="24" t="s">
        <v>44</v>
      </c>
      <c r="G2223" s="25" t="s">
        <v>45</v>
      </c>
      <c r="H2223" s="26">
        <v>14195</v>
      </c>
      <c r="I2223" s="121">
        <v>3500</v>
      </c>
      <c r="J2223" s="31"/>
      <c r="K2223" s="31"/>
      <c r="L2223" s="31"/>
      <c r="M2223" s="31"/>
      <c r="N2223" s="31"/>
      <c r="O2223" s="31"/>
      <c r="P2223" s="31"/>
      <c r="Q2223" s="31"/>
      <c r="R2223" s="31"/>
      <c r="S2223" s="31"/>
      <c r="T2223" s="31"/>
      <c r="U2223" s="31"/>
      <c r="V2223" s="31"/>
      <c r="W2223" s="31"/>
      <c r="X2223" s="31"/>
      <c r="Y2223" s="31"/>
      <c r="Z2223" s="31"/>
      <c r="AA2223" s="31"/>
      <c r="AB2223" s="31"/>
      <c r="AC2223" s="31"/>
      <c r="AD2223" s="31"/>
      <c r="AE2223" s="31"/>
      <c r="AF2223" s="31"/>
      <c r="AG2223" s="31"/>
      <c r="AH2223" s="31"/>
      <c r="AI2223" s="31"/>
      <c r="AJ2223" s="31"/>
      <c r="AK2223" s="31"/>
      <c r="AL2223" s="28" t="str">
        <f>VLOOKUP($G2223,'[42]Sheet1 (2)'!$A$1:$B$1048440,2,FALSE)</f>
        <v>No.</v>
      </c>
      <c r="AM2223" s="32"/>
      <c r="AN2223" s="31"/>
      <c r="AO2223" s="33"/>
    </row>
    <row r="2224" spans="1:41" ht="42" x14ac:dyDescent="0.25">
      <c r="A2224" s="247">
        <v>2039</v>
      </c>
      <c r="B2224" s="248" t="s">
        <v>3454</v>
      </c>
      <c r="C2224" s="284" t="s">
        <v>3469</v>
      </c>
      <c r="D2224" s="250" t="s">
        <v>44</v>
      </c>
      <c r="E2224" s="250" t="s">
        <v>3470</v>
      </c>
      <c r="F2224" s="250" t="s">
        <v>44</v>
      </c>
      <c r="G2224" s="248" t="s">
        <v>45</v>
      </c>
      <c r="H2224" s="251">
        <v>20275</v>
      </c>
      <c r="I2224" s="285">
        <v>4000</v>
      </c>
      <c r="J2224" s="31"/>
      <c r="K2224" s="31"/>
      <c r="L2224" s="31"/>
      <c r="M2224" s="31"/>
      <c r="N2224" s="31"/>
      <c r="O2224" s="31"/>
      <c r="P2224" s="31"/>
      <c r="Q2224" s="31"/>
      <c r="R2224" s="31"/>
      <c r="S2224" s="31"/>
      <c r="T2224" s="31"/>
      <c r="U2224" s="31"/>
      <c r="V2224" s="31"/>
      <c r="W2224" s="31"/>
      <c r="X2224" s="31"/>
      <c r="Y2224" s="31"/>
      <c r="Z2224" s="31"/>
      <c r="AA2224" s="31"/>
      <c r="AB2224" s="31"/>
      <c r="AC2224" s="31"/>
      <c r="AD2224" s="31"/>
      <c r="AE2224" s="31"/>
      <c r="AF2224" s="31"/>
      <c r="AG2224" s="31"/>
      <c r="AH2224" s="31"/>
      <c r="AI2224" s="31"/>
      <c r="AJ2224" s="31"/>
      <c r="AK2224" s="31"/>
      <c r="AL2224" s="28" t="str">
        <f>VLOOKUP($G2224,'[42]Sheet1 (2)'!$A$1:$B$1048440,2,FALSE)</f>
        <v>No.</v>
      </c>
      <c r="AM2224" s="32"/>
      <c r="AN2224" s="31"/>
      <c r="AO2224" s="33"/>
    </row>
    <row r="2225" spans="1:41" ht="182" x14ac:dyDescent="0.25">
      <c r="A2225" s="252">
        <v>2040</v>
      </c>
      <c r="B2225" s="253" t="s">
        <v>3471</v>
      </c>
      <c r="C2225" s="283">
        <v>51.228999999999999</v>
      </c>
      <c r="D2225" s="256" t="s">
        <v>44</v>
      </c>
      <c r="E2225" s="255" t="s">
        <v>3472</v>
      </c>
      <c r="F2225" s="256" t="s">
        <v>44</v>
      </c>
      <c r="G2225" s="265" t="s">
        <v>3473</v>
      </c>
      <c r="H2225" s="258">
        <v>8500</v>
      </c>
      <c r="I2225" s="258">
        <v>0</v>
      </c>
      <c r="J2225" s="31"/>
      <c r="K2225" s="31"/>
      <c r="L2225" s="31"/>
      <c r="M2225" s="31"/>
      <c r="N2225" s="31"/>
      <c r="O2225" s="31"/>
      <c r="P2225" s="31"/>
      <c r="Q2225" s="31"/>
      <c r="R2225" s="31"/>
      <c r="S2225" s="31"/>
      <c r="T2225" s="31"/>
      <c r="U2225" s="31"/>
      <c r="V2225" s="31"/>
      <c r="W2225" s="31"/>
      <c r="X2225" s="31"/>
      <c r="Y2225" s="31"/>
      <c r="Z2225" s="31"/>
      <c r="AA2225" s="31"/>
      <c r="AB2225" s="31"/>
      <c r="AC2225" s="31"/>
      <c r="AD2225" s="31"/>
      <c r="AE2225" s="31"/>
      <c r="AF2225" s="31"/>
      <c r="AG2225" s="31"/>
      <c r="AH2225" s="31"/>
      <c r="AI2225" s="31"/>
      <c r="AJ2225" s="31"/>
      <c r="AK2225" s="31"/>
      <c r="AL2225" s="28" t="str">
        <f>VLOOKUP($G2225,'[42]Sheet1 (2)'!$A$1:$B$1048440,2,FALSE)</f>
        <v>Running One Km</v>
      </c>
      <c r="AM2225" s="32"/>
      <c r="AN2225" s="31"/>
      <c r="AO2225" s="33"/>
    </row>
    <row r="2226" spans="1:41" ht="182" x14ac:dyDescent="0.25">
      <c r="A2226" s="243">
        <v>2041</v>
      </c>
      <c r="B2226" s="25" t="s">
        <v>3471</v>
      </c>
      <c r="C2226" s="30" t="s">
        <v>3474</v>
      </c>
      <c r="D2226" s="24" t="s">
        <v>44</v>
      </c>
      <c r="E2226" s="23" t="s">
        <v>3475</v>
      </c>
      <c r="F2226" s="24" t="s">
        <v>44</v>
      </c>
      <c r="G2226" s="21" t="s">
        <v>3476</v>
      </c>
      <c r="H2226" s="26">
        <v>22500</v>
      </c>
      <c r="I2226" s="26">
        <v>0</v>
      </c>
      <c r="J2226" s="31"/>
      <c r="K2226" s="31"/>
      <c r="L2226" s="31"/>
      <c r="M2226" s="31"/>
      <c r="N2226" s="31"/>
      <c r="O2226" s="31"/>
      <c r="P2226" s="31"/>
      <c r="Q2226" s="31"/>
      <c r="R2226" s="31"/>
      <c r="S2226" s="31"/>
      <c r="T2226" s="31"/>
      <c r="U2226" s="31"/>
      <c r="V2226" s="31"/>
      <c r="W2226" s="31"/>
      <c r="X2226" s="31"/>
      <c r="Y2226" s="31"/>
      <c r="Z2226" s="31"/>
      <c r="AA2226" s="31"/>
      <c r="AB2226" s="31"/>
      <c r="AC2226" s="31"/>
      <c r="AD2226" s="31"/>
      <c r="AE2226" s="31"/>
      <c r="AF2226" s="31"/>
      <c r="AG2226" s="31"/>
      <c r="AH2226" s="31"/>
      <c r="AI2226" s="31"/>
      <c r="AJ2226" s="31"/>
      <c r="AK2226" s="31"/>
      <c r="AL2226" s="28" t="str">
        <f>VLOOKUP($G2226,'[42]Sheet1 (2)'!$A$1:$B$1048440,2,FALSE)</f>
        <v>Square One Km</v>
      </c>
      <c r="AM2226" s="32"/>
      <c r="AN2226" s="31"/>
      <c r="AO2226" s="33"/>
    </row>
    <row r="2227" spans="1:41" ht="98" x14ac:dyDescent="0.25">
      <c r="A2227" s="247">
        <v>2042</v>
      </c>
      <c r="B2227" s="248" t="s">
        <v>3471</v>
      </c>
      <c r="C2227" s="282">
        <v>51.23</v>
      </c>
      <c r="D2227" s="250" t="s">
        <v>44</v>
      </c>
      <c r="E2227" s="250" t="s">
        <v>3477</v>
      </c>
      <c r="F2227" s="250" t="s">
        <v>44</v>
      </c>
      <c r="G2227" s="264" t="s">
        <v>3476</v>
      </c>
      <c r="H2227" s="251">
        <v>4000</v>
      </c>
      <c r="I2227" s="251">
        <v>0</v>
      </c>
      <c r="J2227" s="31"/>
      <c r="K2227" s="31"/>
      <c r="L2227" s="31"/>
      <c r="M2227" s="31"/>
      <c r="N2227" s="31"/>
      <c r="O2227" s="31"/>
      <c r="P2227" s="31"/>
      <c r="Q2227" s="31"/>
      <c r="R2227" s="31"/>
      <c r="S2227" s="31"/>
      <c r="T2227" s="31"/>
      <c r="U2227" s="31"/>
      <c r="V2227" s="31"/>
      <c r="W2227" s="31"/>
      <c r="X2227" s="31"/>
      <c r="Y2227" s="31"/>
      <c r="Z2227" s="31"/>
      <c r="AA2227" s="31"/>
      <c r="AB2227" s="31"/>
      <c r="AC2227" s="31"/>
      <c r="AD2227" s="31"/>
      <c r="AE2227" s="31"/>
      <c r="AF2227" s="31"/>
      <c r="AG2227" s="31"/>
      <c r="AH2227" s="31"/>
      <c r="AI2227" s="31"/>
      <c r="AJ2227" s="31"/>
      <c r="AK2227" s="31"/>
      <c r="AL2227" s="28" t="str">
        <f>VLOOKUP($G2227,'[42]Sheet1 (2)'!$A$1:$B$1048440,2,FALSE)</f>
        <v>Square One Km</v>
      </c>
      <c r="AM2227" s="32"/>
      <c r="AN2227" s="31"/>
      <c r="AO2227" s="33"/>
    </row>
    <row r="2228" spans="1:41" ht="409.5" x14ac:dyDescent="0.25">
      <c r="A2228" s="286">
        <v>2043</v>
      </c>
      <c r="B2228" s="287" t="s">
        <v>3478</v>
      </c>
      <c r="C2228" s="288">
        <v>51.231000000000002</v>
      </c>
      <c r="D2228" s="289" t="s">
        <v>44</v>
      </c>
      <c r="E2228" s="290" t="s">
        <v>3479</v>
      </c>
      <c r="F2228" s="289" t="s">
        <v>44</v>
      </c>
      <c r="G2228" s="202" t="s">
        <v>621</v>
      </c>
      <c r="H2228" s="291">
        <v>2457</v>
      </c>
      <c r="I2228" s="292">
        <v>237</v>
      </c>
      <c r="J2228" s="31"/>
      <c r="K2228" s="31"/>
      <c r="L2228" s="31"/>
      <c r="M2228" s="31"/>
      <c r="N2228" s="31"/>
      <c r="O2228" s="31"/>
      <c r="P2228" s="31"/>
      <c r="Q2228" s="31"/>
      <c r="R2228" s="31"/>
      <c r="S2228" s="31"/>
      <c r="T2228" s="31"/>
      <c r="U2228" s="31"/>
      <c r="V2228" s="31"/>
      <c r="W2228" s="31"/>
      <c r="X2228" s="31"/>
      <c r="Y2228" s="31"/>
      <c r="Z2228" s="31"/>
      <c r="AA2228" s="31"/>
      <c r="AB2228" s="31"/>
      <c r="AC2228" s="31"/>
      <c r="AD2228" s="31"/>
      <c r="AE2228" s="31"/>
      <c r="AF2228" s="31"/>
      <c r="AG2228" s="31"/>
      <c r="AH2228" s="31"/>
      <c r="AI2228" s="31"/>
      <c r="AJ2228" s="31"/>
      <c r="AK2228" s="31"/>
      <c r="AL2228" s="28" t="str">
        <f>VLOOKUP($G2228,'[42]Sheet1 (2)'!$A$1:$B$1048440,2,FALSE)</f>
        <v>Sqm</v>
      </c>
      <c r="AM2228" s="32"/>
      <c r="AN2228" s="31"/>
      <c r="AO2228" s="33"/>
    </row>
    <row r="2229" spans="1:41" ht="409.5" x14ac:dyDescent="0.25">
      <c r="A2229" s="286">
        <v>2044</v>
      </c>
      <c r="B2229" s="287" t="s">
        <v>3478</v>
      </c>
      <c r="C2229" s="288">
        <v>51.231999999999999</v>
      </c>
      <c r="D2229" s="289" t="s">
        <v>44</v>
      </c>
      <c r="E2229" s="290" t="s">
        <v>3480</v>
      </c>
      <c r="F2229" s="289" t="s">
        <v>44</v>
      </c>
      <c r="G2229" s="202" t="s">
        <v>621</v>
      </c>
      <c r="H2229" s="291">
        <v>6645</v>
      </c>
      <c r="I2229" s="292">
        <v>0</v>
      </c>
      <c r="J2229" s="31"/>
      <c r="K2229" s="31"/>
      <c r="L2229" s="31"/>
      <c r="M2229" s="31"/>
      <c r="N2229" s="31"/>
      <c r="O2229" s="31"/>
      <c r="P2229" s="31"/>
      <c r="Q2229" s="31"/>
      <c r="R2229" s="31"/>
      <c r="S2229" s="31"/>
      <c r="T2229" s="31"/>
      <c r="U2229" s="31"/>
      <c r="V2229" s="31"/>
      <c r="W2229" s="31"/>
      <c r="X2229" s="31"/>
      <c r="Y2229" s="31"/>
      <c r="Z2229" s="31"/>
      <c r="AA2229" s="31"/>
      <c r="AB2229" s="31"/>
      <c r="AC2229" s="31"/>
      <c r="AD2229" s="31"/>
      <c r="AE2229" s="31"/>
      <c r="AF2229" s="31"/>
      <c r="AG2229" s="31"/>
      <c r="AH2229" s="31"/>
      <c r="AI2229" s="31"/>
      <c r="AJ2229" s="31"/>
      <c r="AK2229" s="31"/>
      <c r="AL2229" s="28" t="str">
        <f>VLOOKUP($G2229,'[42]Sheet1 (2)'!$A$1:$B$1048440,2,FALSE)</f>
        <v>Sqm</v>
      </c>
      <c r="AM2229" s="32"/>
      <c r="AN2229" s="31"/>
      <c r="AO2229" s="33"/>
    </row>
    <row r="2230" spans="1:41" ht="322" x14ac:dyDescent="0.25">
      <c r="A2230" s="252">
        <v>2045</v>
      </c>
      <c r="B2230" s="341" t="s">
        <v>3478</v>
      </c>
      <c r="C2230" s="347">
        <v>51.232999999999997</v>
      </c>
      <c r="D2230" s="343" t="s">
        <v>44</v>
      </c>
      <c r="E2230" s="290" t="s">
        <v>3481</v>
      </c>
      <c r="F2230" s="343" t="s">
        <v>44</v>
      </c>
      <c r="G2230" s="202" t="s">
        <v>621</v>
      </c>
      <c r="H2230" s="351">
        <v>5001</v>
      </c>
      <c r="I2230" s="352">
        <v>0</v>
      </c>
      <c r="J2230" s="31"/>
      <c r="K2230" s="31"/>
      <c r="L2230" s="31"/>
      <c r="M2230" s="31"/>
      <c r="N2230" s="31"/>
      <c r="O2230" s="31"/>
      <c r="P2230" s="31"/>
      <c r="Q2230" s="31"/>
      <c r="R2230" s="31"/>
      <c r="S2230" s="31"/>
      <c r="T2230" s="31"/>
      <c r="U2230" s="31"/>
      <c r="V2230" s="31"/>
      <c r="W2230" s="31"/>
      <c r="X2230" s="31"/>
      <c r="Y2230" s="31"/>
      <c r="Z2230" s="31"/>
      <c r="AA2230" s="31"/>
      <c r="AB2230" s="31"/>
      <c r="AC2230" s="31"/>
      <c r="AD2230" s="31"/>
      <c r="AE2230" s="31"/>
      <c r="AF2230" s="31"/>
      <c r="AG2230" s="31"/>
      <c r="AH2230" s="31"/>
      <c r="AI2230" s="31"/>
      <c r="AJ2230" s="31"/>
      <c r="AK2230" s="31"/>
      <c r="AL2230" s="28" t="str">
        <f>VLOOKUP($G2230,'[42]Sheet1 (2)'!$A$1:$B$1048440,2,FALSE)</f>
        <v>Sqm</v>
      </c>
      <c r="AM2230" s="32"/>
      <c r="AN2230" s="31"/>
      <c r="AO2230" s="33"/>
    </row>
    <row r="2231" spans="1:41" ht="322" x14ac:dyDescent="0.25">
      <c r="A2231" s="247">
        <v>2046</v>
      </c>
      <c r="B2231" s="341"/>
      <c r="C2231" s="347"/>
      <c r="D2231" s="343"/>
      <c r="E2231" s="289" t="s">
        <v>3482</v>
      </c>
      <c r="F2231" s="343"/>
      <c r="G2231" s="202" t="s">
        <v>621</v>
      </c>
      <c r="H2231" s="351"/>
      <c r="I2231" s="352"/>
      <c r="J2231" s="31"/>
      <c r="K2231" s="31"/>
      <c r="L2231" s="31"/>
      <c r="M2231" s="31"/>
      <c r="N2231" s="31"/>
      <c r="O2231" s="31"/>
      <c r="P2231" s="31"/>
      <c r="Q2231" s="31"/>
      <c r="R2231" s="31"/>
      <c r="S2231" s="31"/>
      <c r="T2231" s="31"/>
      <c r="U2231" s="31"/>
      <c r="V2231" s="31"/>
      <c r="W2231" s="31"/>
      <c r="X2231" s="31"/>
      <c r="Y2231" s="31"/>
      <c r="Z2231" s="31"/>
      <c r="AA2231" s="31"/>
      <c r="AB2231" s="31"/>
      <c r="AC2231" s="31"/>
      <c r="AD2231" s="31"/>
      <c r="AE2231" s="31"/>
      <c r="AF2231" s="31"/>
      <c r="AG2231" s="31"/>
      <c r="AH2231" s="31"/>
      <c r="AI2231" s="31"/>
      <c r="AJ2231" s="31"/>
      <c r="AK2231" s="31"/>
      <c r="AL2231" s="28" t="str">
        <f>VLOOKUP($G2231,'[42]Sheet1 (2)'!$A$1:$B$1048440,2,FALSE)</f>
        <v>Sqm</v>
      </c>
      <c r="AM2231" s="32"/>
      <c r="AN2231" s="31"/>
      <c r="AO2231" s="33"/>
    </row>
    <row r="2232" spans="1:41" ht="409.5" x14ac:dyDescent="0.25">
      <c r="A2232" s="286">
        <v>2047</v>
      </c>
      <c r="B2232" s="287" t="s">
        <v>3478</v>
      </c>
      <c r="C2232" s="288">
        <v>51.234000000000002</v>
      </c>
      <c r="D2232" s="289" t="s">
        <v>44</v>
      </c>
      <c r="E2232" s="289" t="s">
        <v>3483</v>
      </c>
      <c r="F2232" s="289" t="s">
        <v>44</v>
      </c>
      <c r="G2232" s="238" t="s">
        <v>80</v>
      </c>
      <c r="H2232" s="291">
        <v>1229</v>
      </c>
      <c r="I2232" s="292">
        <v>0</v>
      </c>
      <c r="J2232" s="31"/>
      <c r="K2232" s="31"/>
      <c r="L2232" s="31"/>
      <c r="M2232" s="31"/>
      <c r="N2232" s="31"/>
      <c r="O2232" s="31"/>
      <c r="P2232" s="31"/>
      <c r="Q2232" s="31"/>
      <c r="R2232" s="31"/>
      <c r="S2232" s="31"/>
      <c r="T2232" s="31"/>
      <c r="U2232" s="31"/>
      <c r="V2232" s="31"/>
      <c r="W2232" s="31"/>
      <c r="X2232" s="31"/>
      <c r="Y2232" s="31"/>
      <c r="Z2232" s="31"/>
      <c r="AA2232" s="31"/>
      <c r="AB2232" s="31"/>
      <c r="AC2232" s="31"/>
      <c r="AD2232" s="31"/>
      <c r="AE2232" s="31"/>
      <c r="AF2232" s="31"/>
      <c r="AG2232" s="31"/>
      <c r="AH2232" s="31"/>
      <c r="AI2232" s="31"/>
      <c r="AJ2232" s="31"/>
      <c r="AK2232" s="31"/>
      <c r="AL2232" s="28" t="str">
        <f>VLOOKUP($G2232,'[42]Sheet1 (2)'!$A$1:$B$1048440,2,FALSE)</f>
        <v>Rmt.</v>
      </c>
      <c r="AM2232" s="32"/>
      <c r="AN2232" s="31"/>
      <c r="AO2232" s="33"/>
    </row>
    <row r="2233" spans="1:41" ht="406" x14ac:dyDescent="0.25">
      <c r="A2233" s="286">
        <v>2048</v>
      </c>
      <c r="B2233" s="293" t="s">
        <v>3231</v>
      </c>
      <c r="C2233" s="288">
        <v>51.234999999999999</v>
      </c>
      <c r="D2233" s="289" t="s">
        <v>44</v>
      </c>
      <c r="E2233" s="290" t="s">
        <v>3484</v>
      </c>
      <c r="F2233" s="289" t="s">
        <v>44</v>
      </c>
      <c r="G2233" s="202" t="s">
        <v>621</v>
      </c>
      <c r="H2233" s="291">
        <v>3347</v>
      </c>
      <c r="I2233" s="292">
        <v>646</v>
      </c>
      <c r="J2233" s="31"/>
      <c r="K2233" s="31"/>
      <c r="L2233" s="31"/>
      <c r="M2233" s="31"/>
      <c r="N2233" s="31"/>
      <c r="O2233" s="31"/>
      <c r="P2233" s="31"/>
      <c r="Q2233" s="31"/>
      <c r="R2233" s="31"/>
      <c r="S2233" s="31"/>
      <c r="T2233" s="31"/>
      <c r="U2233" s="31"/>
      <c r="V2233" s="31"/>
      <c r="W2233" s="31"/>
      <c r="X2233" s="31"/>
      <c r="Y2233" s="31"/>
      <c r="Z2233" s="31"/>
      <c r="AA2233" s="31"/>
      <c r="AB2233" s="31"/>
      <c r="AC2233" s="31"/>
      <c r="AD2233" s="31"/>
      <c r="AE2233" s="31"/>
      <c r="AF2233" s="31"/>
      <c r="AG2233" s="31"/>
      <c r="AH2233" s="31"/>
      <c r="AI2233" s="31"/>
      <c r="AJ2233" s="31"/>
      <c r="AK2233" s="31"/>
      <c r="AL2233" s="28" t="str">
        <f>VLOOKUP($G2233,'[42]Sheet1 (2)'!$A$1:$B$1048440,2,FALSE)</f>
        <v>Sqm</v>
      </c>
      <c r="AM2233" s="32"/>
      <c r="AN2233" s="31"/>
      <c r="AO2233" s="33"/>
    </row>
    <row r="2234" spans="1:41" ht="409.5" x14ac:dyDescent="0.25">
      <c r="A2234" s="252">
        <v>2049</v>
      </c>
      <c r="B2234" s="253" t="s">
        <v>3231</v>
      </c>
      <c r="C2234" s="283">
        <v>51.235999999999997</v>
      </c>
      <c r="D2234" s="256" t="s">
        <v>44</v>
      </c>
      <c r="E2234" s="256" t="s">
        <v>3485</v>
      </c>
      <c r="F2234" s="256" t="s">
        <v>44</v>
      </c>
      <c r="G2234" s="202" t="s">
        <v>621</v>
      </c>
      <c r="H2234" s="258">
        <v>5841</v>
      </c>
      <c r="I2234" s="258">
        <v>746</v>
      </c>
      <c r="J2234" s="31"/>
      <c r="K2234" s="31"/>
      <c r="L2234" s="31"/>
      <c r="M2234" s="31"/>
      <c r="N2234" s="31"/>
      <c r="O2234" s="31"/>
      <c r="P2234" s="31"/>
      <c r="Q2234" s="31"/>
      <c r="R2234" s="31"/>
      <c r="S2234" s="31"/>
      <c r="T2234" s="31"/>
      <c r="U2234" s="31"/>
      <c r="V2234" s="31"/>
      <c r="W2234" s="31"/>
      <c r="X2234" s="31"/>
      <c r="Y2234" s="31"/>
      <c r="Z2234" s="31"/>
      <c r="AA2234" s="31"/>
      <c r="AB2234" s="31"/>
      <c r="AC2234" s="31"/>
      <c r="AD2234" s="31"/>
      <c r="AE2234" s="31"/>
      <c r="AF2234" s="31"/>
      <c r="AG2234" s="31"/>
      <c r="AH2234" s="31"/>
      <c r="AI2234" s="31"/>
      <c r="AJ2234" s="31"/>
      <c r="AK2234" s="31"/>
      <c r="AL2234" s="28" t="str">
        <f>VLOOKUP($G2234,'[42]Sheet1 (2)'!$A$1:$B$1048440,2,FALSE)</f>
        <v>Sqm</v>
      </c>
      <c r="AM2234" s="32"/>
      <c r="AN2234" s="31"/>
      <c r="AO2234" s="33"/>
    </row>
    <row r="2235" spans="1:41" ht="210" x14ac:dyDescent="0.25">
      <c r="A2235" s="243">
        <v>2050</v>
      </c>
      <c r="B2235" s="25" t="s">
        <v>3486</v>
      </c>
      <c r="C2235" s="280">
        <v>51.237000000000002</v>
      </c>
      <c r="D2235" s="24" t="s">
        <v>44</v>
      </c>
      <c r="E2235" s="24" t="s">
        <v>3487</v>
      </c>
      <c r="F2235" s="24" t="s">
        <v>44</v>
      </c>
      <c r="G2235" s="202" t="s">
        <v>621</v>
      </c>
      <c r="H2235" s="26">
        <v>4586</v>
      </c>
      <c r="I2235" s="26">
        <v>52</v>
      </c>
      <c r="J2235" s="31"/>
      <c r="K2235" s="31"/>
      <c r="L2235" s="31"/>
      <c r="M2235" s="31"/>
      <c r="N2235" s="31"/>
      <c r="O2235" s="31"/>
      <c r="P2235" s="31"/>
      <c r="Q2235" s="31"/>
      <c r="R2235" s="31"/>
      <c r="S2235" s="31"/>
      <c r="T2235" s="31"/>
      <c r="U2235" s="31"/>
      <c r="V2235" s="31"/>
      <c r="W2235" s="31"/>
      <c r="X2235" s="31"/>
      <c r="Y2235" s="31"/>
      <c r="Z2235" s="31"/>
      <c r="AA2235" s="31"/>
      <c r="AB2235" s="31"/>
      <c r="AC2235" s="31"/>
      <c r="AD2235" s="31"/>
      <c r="AE2235" s="31"/>
      <c r="AF2235" s="31"/>
      <c r="AG2235" s="31"/>
      <c r="AH2235" s="31"/>
      <c r="AI2235" s="31"/>
      <c r="AJ2235" s="31"/>
      <c r="AK2235" s="31"/>
      <c r="AL2235" s="28" t="str">
        <f>VLOOKUP($G2235,'[42]Sheet1 (2)'!$A$1:$B$1048440,2,FALSE)</f>
        <v>Sqm</v>
      </c>
      <c r="AM2235" s="32"/>
      <c r="AN2235" s="31"/>
      <c r="AO2235" s="33"/>
    </row>
    <row r="2236" spans="1:41" ht="17.5" x14ac:dyDescent="0.25">
      <c r="A2236" s="244"/>
      <c r="B2236" s="25"/>
      <c r="C2236" s="280"/>
      <c r="D2236" s="166"/>
      <c r="E2236" s="241" t="s">
        <v>3488</v>
      </c>
      <c r="F2236" s="166"/>
      <c r="G2236" s="206"/>
      <c r="H2236" s="167"/>
      <c r="I2236" s="167"/>
      <c r="J2236" s="31"/>
      <c r="K2236" s="31"/>
      <c r="L2236" s="31"/>
      <c r="M2236" s="31"/>
      <c r="N2236" s="31"/>
      <c r="O2236" s="31"/>
      <c r="P2236" s="31"/>
      <c r="Q2236" s="31"/>
      <c r="R2236" s="31"/>
      <c r="S2236" s="31"/>
      <c r="T2236" s="31"/>
      <c r="U2236" s="31"/>
      <c r="V2236" s="31"/>
      <c r="W2236" s="31"/>
      <c r="X2236" s="31"/>
      <c r="Y2236" s="31"/>
      <c r="Z2236" s="31"/>
      <c r="AA2236" s="31"/>
      <c r="AB2236" s="31"/>
      <c r="AC2236" s="31"/>
      <c r="AD2236" s="31"/>
      <c r="AE2236" s="31"/>
      <c r="AF2236" s="31"/>
      <c r="AG2236" s="31"/>
      <c r="AH2236" s="31"/>
      <c r="AI2236" s="31"/>
      <c r="AJ2236" s="31"/>
      <c r="AK2236" s="31"/>
      <c r="AL2236" s="28" t="e">
        <f>VLOOKUP($G2236,'[42]Sheet1 (2)'!$A$1:$B$1048440,2,FALSE)</f>
        <v>#N/A</v>
      </c>
      <c r="AM2236" s="32"/>
      <c r="AN2236" s="31"/>
      <c r="AO2236" s="33"/>
    </row>
    <row r="2237" spans="1:41" ht="224" x14ac:dyDescent="0.25">
      <c r="A2237" s="23"/>
      <c r="B2237" s="21" t="s">
        <v>3408</v>
      </c>
      <c r="C2237" s="127">
        <v>52.01</v>
      </c>
      <c r="D2237" s="23"/>
      <c r="E2237" s="23" t="s">
        <v>3489</v>
      </c>
      <c r="F2237" s="23"/>
      <c r="G2237" s="202" t="s">
        <v>621</v>
      </c>
      <c r="H2237" s="23"/>
      <c r="I2237" s="23"/>
      <c r="J2237" s="31"/>
      <c r="K2237" s="31"/>
      <c r="L2237" s="31"/>
      <c r="M2237" s="31"/>
      <c r="N2237" s="31"/>
      <c r="O2237" s="31"/>
      <c r="P2237" s="31"/>
      <c r="Q2237" s="31"/>
      <c r="R2237" s="31"/>
      <c r="S2237" s="31"/>
      <c r="T2237" s="31"/>
      <c r="U2237" s="31"/>
      <c r="V2237" s="31"/>
      <c r="W2237" s="31"/>
      <c r="X2237" s="31"/>
      <c r="Y2237" s="31"/>
      <c r="Z2237" s="31"/>
      <c r="AA2237" s="31"/>
      <c r="AB2237" s="31"/>
      <c r="AC2237" s="31"/>
      <c r="AD2237" s="31"/>
      <c r="AE2237" s="31"/>
      <c r="AF2237" s="31"/>
      <c r="AG2237" s="31"/>
      <c r="AH2237" s="31"/>
      <c r="AI2237" s="31"/>
      <c r="AJ2237" s="31"/>
      <c r="AK2237" s="31"/>
      <c r="AL2237" s="28" t="str">
        <f>VLOOKUP($G2237,'[42]Sheet1 (2)'!$A$1:$B$1048440,2,FALSE)</f>
        <v>Sqm</v>
      </c>
      <c r="AM2237" s="32"/>
      <c r="AN2237" s="31"/>
      <c r="AO2237" s="33"/>
    </row>
    <row r="2238" spans="1:41" ht="56" x14ac:dyDescent="0.25">
      <c r="A2238" s="20">
        <v>2051</v>
      </c>
      <c r="B2238" s="23"/>
      <c r="C2238" s="25" t="s">
        <v>373</v>
      </c>
      <c r="D2238" s="23"/>
      <c r="E2238" s="24" t="s">
        <v>3490</v>
      </c>
      <c r="F2238" s="35" t="s">
        <v>1742</v>
      </c>
      <c r="G2238" s="202" t="s">
        <v>621</v>
      </c>
      <c r="H2238" s="26">
        <v>3855</v>
      </c>
      <c r="I2238" s="121">
        <v>1157</v>
      </c>
      <c r="J2238" s="31"/>
      <c r="K2238" s="31"/>
      <c r="L2238" s="31"/>
      <c r="M2238" s="31"/>
      <c r="N2238" s="31"/>
      <c r="O2238" s="31"/>
      <c r="P2238" s="31"/>
      <c r="Q2238" s="31"/>
      <c r="R2238" s="31"/>
      <c r="S2238" s="31"/>
      <c r="T2238" s="31"/>
      <c r="U2238" s="31"/>
      <c r="V2238" s="31"/>
      <c r="W2238" s="31"/>
      <c r="X2238" s="31"/>
      <c r="Y2238" s="31"/>
      <c r="Z2238" s="31"/>
      <c r="AA2238" s="31"/>
      <c r="AB2238" s="31"/>
      <c r="AC2238" s="31"/>
      <c r="AD2238" s="31"/>
      <c r="AE2238" s="31"/>
      <c r="AF2238" s="31"/>
      <c r="AG2238" s="31"/>
      <c r="AH2238" s="31"/>
      <c r="AI2238" s="31"/>
      <c r="AJ2238" s="31"/>
      <c r="AK2238" s="31"/>
      <c r="AL2238" s="28" t="str">
        <f>VLOOKUP($G2238,'[42]Sheet1 (2)'!$A$1:$B$1048440,2,FALSE)</f>
        <v>Sqm</v>
      </c>
      <c r="AM2238" s="32"/>
      <c r="AN2238" s="31"/>
      <c r="AO2238" s="33"/>
    </row>
    <row r="2239" spans="1:41" ht="56" x14ac:dyDescent="0.25">
      <c r="A2239" s="20">
        <v>2052</v>
      </c>
      <c r="B2239" s="23"/>
      <c r="C2239" s="25" t="s">
        <v>375</v>
      </c>
      <c r="D2239" s="23"/>
      <c r="E2239" s="24" t="s">
        <v>3491</v>
      </c>
      <c r="F2239" s="35" t="s">
        <v>1742</v>
      </c>
      <c r="G2239" s="202" t="s">
        <v>621</v>
      </c>
      <c r="H2239" s="26">
        <v>4137</v>
      </c>
      <c r="I2239" s="121">
        <v>1241</v>
      </c>
      <c r="J2239" s="31"/>
      <c r="K2239" s="31"/>
      <c r="L2239" s="31"/>
      <c r="M2239" s="31"/>
      <c r="N2239" s="31"/>
      <c r="O2239" s="31"/>
      <c r="P2239" s="31"/>
      <c r="Q2239" s="31"/>
      <c r="R2239" s="31"/>
      <c r="S2239" s="31"/>
      <c r="T2239" s="31"/>
      <c r="U2239" s="31"/>
      <c r="V2239" s="31"/>
      <c r="W2239" s="31"/>
      <c r="X2239" s="31"/>
      <c r="Y2239" s="31"/>
      <c r="Z2239" s="31"/>
      <c r="AA2239" s="31"/>
      <c r="AB2239" s="31"/>
      <c r="AC2239" s="31"/>
      <c r="AD2239" s="31"/>
      <c r="AE2239" s="31"/>
      <c r="AF2239" s="31"/>
      <c r="AG2239" s="31"/>
      <c r="AH2239" s="31"/>
      <c r="AI2239" s="31"/>
      <c r="AJ2239" s="31"/>
      <c r="AK2239" s="31"/>
      <c r="AL2239" s="28" t="str">
        <f>VLOOKUP($G2239,'[42]Sheet1 (2)'!$A$1:$B$1048440,2,FALSE)</f>
        <v>Sqm</v>
      </c>
      <c r="AM2239" s="32"/>
      <c r="AN2239" s="31"/>
      <c r="AO2239" s="33"/>
    </row>
    <row r="2240" spans="1:41" ht="154" x14ac:dyDescent="0.25">
      <c r="A2240" s="23"/>
      <c r="B2240" s="21" t="s">
        <v>3408</v>
      </c>
      <c r="C2240" s="127">
        <v>52.02</v>
      </c>
      <c r="D2240" s="23"/>
      <c r="E2240" s="24" t="s">
        <v>3492</v>
      </c>
      <c r="F2240" s="23"/>
      <c r="G2240" s="202" t="s">
        <v>621</v>
      </c>
      <c r="H2240" s="23"/>
      <c r="I2240" s="23"/>
      <c r="J2240" s="31"/>
      <c r="K2240" s="31"/>
      <c r="L2240" s="31"/>
      <c r="M2240" s="31"/>
      <c r="N2240" s="31"/>
      <c r="O2240" s="31"/>
      <c r="P2240" s="31"/>
      <c r="Q2240" s="31"/>
      <c r="R2240" s="31"/>
      <c r="S2240" s="31"/>
      <c r="T2240" s="31"/>
      <c r="U2240" s="31"/>
      <c r="V2240" s="31"/>
      <c r="W2240" s="31"/>
      <c r="X2240" s="31"/>
      <c r="Y2240" s="31"/>
      <c r="Z2240" s="31"/>
      <c r="AA2240" s="31"/>
      <c r="AB2240" s="31"/>
      <c r="AC2240" s="31"/>
      <c r="AD2240" s="31"/>
      <c r="AE2240" s="31"/>
      <c r="AF2240" s="31"/>
      <c r="AG2240" s="31"/>
      <c r="AH2240" s="31"/>
      <c r="AI2240" s="31"/>
      <c r="AJ2240" s="31"/>
      <c r="AK2240" s="31"/>
      <c r="AL2240" s="28" t="str">
        <f>VLOOKUP($G2240,'[42]Sheet1 (2)'!$A$1:$B$1048440,2,FALSE)</f>
        <v>Sqm</v>
      </c>
      <c r="AM2240" s="32"/>
      <c r="AN2240" s="31"/>
      <c r="AO2240" s="33"/>
    </row>
    <row r="2241" spans="1:41" ht="56" x14ac:dyDescent="0.25">
      <c r="A2241" s="243">
        <v>2053</v>
      </c>
      <c r="B2241" s="23"/>
      <c r="C2241" s="25" t="s">
        <v>373</v>
      </c>
      <c r="D2241" s="23"/>
      <c r="E2241" s="24" t="s">
        <v>3493</v>
      </c>
      <c r="F2241" s="35" t="s">
        <v>1742</v>
      </c>
      <c r="G2241" s="202" t="s">
        <v>621</v>
      </c>
      <c r="H2241" s="26">
        <v>3997</v>
      </c>
      <c r="I2241" s="121">
        <v>1199</v>
      </c>
      <c r="J2241" s="31"/>
      <c r="K2241" s="31"/>
      <c r="L2241" s="31"/>
      <c r="M2241" s="31"/>
      <c r="N2241" s="31"/>
      <c r="O2241" s="31"/>
      <c r="P2241" s="31"/>
      <c r="Q2241" s="31"/>
      <c r="R2241" s="31"/>
      <c r="S2241" s="31"/>
      <c r="T2241" s="31"/>
      <c r="U2241" s="31"/>
      <c r="V2241" s="31"/>
      <c r="W2241" s="31"/>
      <c r="X2241" s="31"/>
      <c r="Y2241" s="31"/>
      <c r="Z2241" s="31"/>
      <c r="AA2241" s="31"/>
      <c r="AB2241" s="31"/>
      <c r="AC2241" s="31"/>
      <c r="AD2241" s="31"/>
      <c r="AE2241" s="31"/>
      <c r="AF2241" s="31"/>
      <c r="AG2241" s="31"/>
      <c r="AH2241" s="31"/>
      <c r="AI2241" s="31"/>
      <c r="AJ2241" s="31"/>
      <c r="AK2241" s="31"/>
      <c r="AL2241" s="28" t="str">
        <f>VLOOKUP($G2241,'[42]Sheet1 (2)'!$A$1:$B$1048440,2,FALSE)</f>
        <v>Sqm</v>
      </c>
      <c r="AM2241" s="32"/>
      <c r="AN2241" s="31"/>
      <c r="AO2241" s="33"/>
    </row>
    <row r="2242" spans="1:41" ht="70" x14ac:dyDescent="0.25">
      <c r="A2242" s="243">
        <v>2054</v>
      </c>
      <c r="B2242" s="23"/>
      <c r="C2242" s="25" t="s">
        <v>375</v>
      </c>
      <c r="D2242" s="23"/>
      <c r="E2242" s="24" t="s">
        <v>3494</v>
      </c>
      <c r="F2242" s="92" t="s">
        <v>64</v>
      </c>
      <c r="G2242" s="202" t="s">
        <v>621</v>
      </c>
      <c r="H2242" s="26">
        <v>4717</v>
      </c>
      <c r="I2242" s="121">
        <v>1415</v>
      </c>
      <c r="J2242" s="31"/>
      <c r="K2242" s="31"/>
      <c r="L2242" s="31"/>
      <c r="M2242" s="31"/>
      <c r="N2242" s="31"/>
      <c r="O2242" s="31"/>
      <c r="P2242" s="31"/>
      <c r="Q2242" s="31"/>
      <c r="R2242" s="31"/>
      <c r="S2242" s="31"/>
      <c r="T2242" s="31"/>
      <c r="U2242" s="31"/>
      <c r="V2242" s="31"/>
      <c r="W2242" s="31"/>
      <c r="X2242" s="31"/>
      <c r="Y2242" s="31"/>
      <c r="Z2242" s="31"/>
      <c r="AA2242" s="31"/>
      <c r="AB2242" s="31"/>
      <c r="AC2242" s="31"/>
      <c r="AD2242" s="31"/>
      <c r="AE2242" s="31"/>
      <c r="AF2242" s="31"/>
      <c r="AG2242" s="31"/>
      <c r="AH2242" s="31"/>
      <c r="AI2242" s="31"/>
      <c r="AJ2242" s="31"/>
      <c r="AK2242" s="31"/>
      <c r="AL2242" s="28" t="str">
        <f>VLOOKUP($G2242,'[42]Sheet1 (2)'!$A$1:$B$1048440,2,FALSE)</f>
        <v>Sqm</v>
      </c>
      <c r="AM2242" s="32"/>
      <c r="AN2242" s="31"/>
      <c r="AO2242" s="33"/>
    </row>
    <row r="2243" spans="1:41" ht="154" x14ac:dyDescent="0.25">
      <c r="A2243" s="243">
        <v>2055</v>
      </c>
      <c r="B2243" s="21" t="s">
        <v>3408</v>
      </c>
      <c r="C2243" s="22">
        <v>52.03</v>
      </c>
      <c r="D2243" s="23"/>
      <c r="E2243" s="24" t="s">
        <v>3495</v>
      </c>
      <c r="F2243" s="25" t="s">
        <v>44</v>
      </c>
      <c r="G2243" s="25" t="s">
        <v>3496</v>
      </c>
      <c r="H2243" s="26">
        <v>7000</v>
      </c>
      <c r="I2243" s="26">
        <v>0</v>
      </c>
      <c r="J2243" s="31"/>
      <c r="K2243" s="31"/>
      <c r="L2243" s="31"/>
      <c r="M2243" s="31"/>
      <c r="N2243" s="31"/>
      <c r="O2243" s="31"/>
      <c r="P2243" s="31"/>
      <c r="Q2243" s="31"/>
      <c r="R2243" s="31"/>
      <c r="S2243" s="31"/>
      <c r="T2243" s="31"/>
      <c r="U2243" s="31"/>
      <c r="V2243" s="31"/>
      <c r="W2243" s="31"/>
      <c r="X2243" s="31"/>
      <c r="Y2243" s="31"/>
      <c r="Z2243" s="31"/>
      <c r="AA2243" s="31"/>
      <c r="AB2243" s="31"/>
      <c r="AC2243" s="31"/>
      <c r="AD2243" s="31"/>
      <c r="AE2243" s="31"/>
      <c r="AF2243" s="31"/>
      <c r="AG2243" s="31"/>
      <c r="AH2243" s="31"/>
      <c r="AI2243" s="31"/>
      <c r="AJ2243" s="31"/>
      <c r="AK2243" s="31"/>
      <c r="AL2243" s="28" t="str">
        <f>VLOOKUP($G2243,'[42]Sheet1 (2)'!$A$1:$B$1048440,2,FALSE)</f>
        <v>Per Site</v>
      </c>
      <c r="AM2243" s="32"/>
      <c r="AN2243" s="31"/>
      <c r="AO2243" s="33"/>
    </row>
    <row r="2244" spans="1:41" ht="322" x14ac:dyDescent="0.25">
      <c r="A2244" s="243">
        <v>2056</v>
      </c>
      <c r="B2244" s="21" t="s">
        <v>3408</v>
      </c>
      <c r="C2244" s="22">
        <v>52.04</v>
      </c>
      <c r="D2244" s="23"/>
      <c r="E2244" s="23" t="s">
        <v>3497</v>
      </c>
      <c r="F2244" s="25" t="s">
        <v>44</v>
      </c>
      <c r="G2244" s="25" t="s">
        <v>3498</v>
      </c>
      <c r="H2244" s="26">
        <v>126012</v>
      </c>
      <c r="I2244" s="26">
        <v>0</v>
      </c>
      <c r="J2244" s="31"/>
      <c r="K2244" s="31"/>
      <c r="L2244" s="31"/>
      <c r="M2244" s="31"/>
      <c r="N2244" s="31"/>
      <c r="O2244" s="31"/>
      <c r="P2244" s="31"/>
      <c r="Q2244" s="31"/>
      <c r="R2244" s="31"/>
      <c r="S2244" s="31"/>
      <c r="T2244" s="31"/>
      <c r="U2244" s="31"/>
      <c r="V2244" s="31"/>
      <c r="W2244" s="31"/>
      <c r="X2244" s="31"/>
      <c r="Y2244" s="31"/>
      <c r="Z2244" s="31"/>
      <c r="AA2244" s="31"/>
      <c r="AB2244" s="31"/>
      <c r="AC2244" s="31"/>
      <c r="AD2244" s="31"/>
      <c r="AE2244" s="31"/>
      <c r="AF2244" s="31"/>
      <c r="AG2244" s="31"/>
      <c r="AH2244" s="31"/>
      <c r="AI2244" s="31"/>
      <c r="AJ2244" s="31"/>
      <c r="AK2244" s="31"/>
      <c r="AL2244" s="28" t="str">
        <f>VLOOKUP($G2244,'[42]Sheet1 (2)'!$A$1:$B$1048440,2,FALSE)</f>
        <v>No.</v>
      </c>
      <c r="AM2244" s="32"/>
      <c r="AN2244" s="31"/>
      <c r="AO2244" s="33"/>
    </row>
    <row r="2245" spans="1:41" ht="224" x14ac:dyDescent="0.25">
      <c r="A2245" s="243">
        <v>2057</v>
      </c>
      <c r="B2245" s="21" t="s">
        <v>3499</v>
      </c>
      <c r="C2245" s="22">
        <v>52.05</v>
      </c>
      <c r="D2245" s="23"/>
      <c r="E2245" s="24" t="s">
        <v>3500</v>
      </c>
      <c r="F2245" s="24" t="s">
        <v>44</v>
      </c>
      <c r="G2245" s="25" t="s">
        <v>1099</v>
      </c>
      <c r="H2245" s="121">
        <v>11300</v>
      </c>
      <c r="I2245" s="121">
        <v>6540</v>
      </c>
      <c r="J2245" s="31"/>
      <c r="K2245" s="31"/>
      <c r="L2245" s="31"/>
      <c r="M2245" s="31"/>
      <c r="N2245" s="31"/>
      <c r="O2245" s="31"/>
      <c r="P2245" s="31"/>
      <c r="Q2245" s="31"/>
      <c r="R2245" s="31"/>
      <c r="S2245" s="31"/>
      <c r="T2245" s="31"/>
      <c r="U2245" s="31"/>
      <c r="V2245" s="31"/>
      <c r="W2245" s="31"/>
      <c r="X2245" s="31"/>
      <c r="Y2245" s="31"/>
      <c r="Z2245" s="31"/>
      <c r="AA2245" s="31"/>
      <c r="AB2245" s="31"/>
      <c r="AC2245" s="31"/>
      <c r="AD2245" s="31"/>
      <c r="AE2245" s="31"/>
      <c r="AF2245" s="31"/>
      <c r="AG2245" s="31"/>
      <c r="AH2245" s="31"/>
      <c r="AI2245" s="31"/>
      <c r="AJ2245" s="31"/>
      <c r="AK2245" s="31"/>
      <c r="AL2245" s="28" t="e">
        <f>VLOOKUP($G2245,'[42]Sheet1 (2)'!$A$1:$B$1048440,2,FALSE)</f>
        <v>#N/A</v>
      </c>
      <c r="AM2245" s="32"/>
      <c r="AN2245" s="31"/>
      <c r="AO2245" s="33"/>
    </row>
    <row r="2246" spans="1:41" ht="280" x14ac:dyDescent="0.25">
      <c r="A2246" s="243">
        <v>2058</v>
      </c>
      <c r="B2246" s="21" t="s">
        <v>3499</v>
      </c>
      <c r="C2246" s="22">
        <v>52.06</v>
      </c>
      <c r="D2246" s="23"/>
      <c r="E2246" s="24" t="s">
        <v>3501</v>
      </c>
      <c r="F2246" s="24" t="s">
        <v>44</v>
      </c>
      <c r="G2246" s="202" t="s">
        <v>621</v>
      </c>
      <c r="H2246" s="121">
        <v>10150</v>
      </c>
      <c r="I2246" s="121">
        <v>1100</v>
      </c>
      <c r="J2246" s="31"/>
      <c r="K2246" s="31"/>
      <c r="L2246" s="31"/>
      <c r="M2246" s="31"/>
      <c r="N2246" s="31"/>
      <c r="O2246" s="31"/>
      <c r="P2246" s="31"/>
      <c r="Q2246" s="31"/>
      <c r="R2246" s="31"/>
      <c r="S2246" s="31"/>
      <c r="T2246" s="31"/>
      <c r="U2246" s="31"/>
      <c r="V2246" s="31"/>
      <c r="W2246" s="31"/>
      <c r="X2246" s="31"/>
      <c r="Y2246" s="31"/>
      <c r="Z2246" s="31"/>
      <c r="AA2246" s="31"/>
      <c r="AB2246" s="31"/>
      <c r="AC2246" s="31"/>
      <c r="AD2246" s="31"/>
      <c r="AE2246" s="31"/>
      <c r="AF2246" s="31"/>
      <c r="AG2246" s="31"/>
      <c r="AH2246" s="31"/>
      <c r="AI2246" s="31"/>
      <c r="AJ2246" s="31"/>
      <c r="AK2246" s="31"/>
      <c r="AL2246" s="28" t="str">
        <f>VLOOKUP($G2246,'[42]Sheet1 (2)'!$A$1:$B$1048440,2,FALSE)</f>
        <v>Sqm</v>
      </c>
      <c r="AM2246" s="32"/>
      <c r="AN2246" s="31"/>
      <c r="AO2246" s="33"/>
    </row>
    <row r="2247" spans="1:41" ht="224" x14ac:dyDescent="0.25">
      <c r="A2247" s="243">
        <v>2059</v>
      </c>
      <c r="B2247" s="21" t="s">
        <v>3499</v>
      </c>
      <c r="C2247" s="22">
        <v>52.07</v>
      </c>
      <c r="D2247" s="23"/>
      <c r="E2247" s="24" t="s">
        <v>3502</v>
      </c>
      <c r="F2247" s="24" t="s">
        <v>44</v>
      </c>
      <c r="G2247" s="202" t="s">
        <v>621</v>
      </c>
      <c r="H2247" s="26">
        <v>5006</v>
      </c>
      <c r="I2247" s="26">
        <v>64</v>
      </c>
      <c r="J2247" s="31"/>
      <c r="K2247" s="31"/>
      <c r="L2247" s="31"/>
      <c r="M2247" s="31"/>
      <c r="N2247" s="31"/>
      <c r="O2247" s="31"/>
      <c r="P2247" s="31"/>
      <c r="Q2247" s="31"/>
      <c r="R2247" s="31"/>
      <c r="S2247" s="31"/>
      <c r="T2247" s="31"/>
      <c r="U2247" s="31"/>
      <c r="V2247" s="31"/>
      <c r="W2247" s="31"/>
      <c r="X2247" s="31"/>
      <c r="Y2247" s="31"/>
      <c r="Z2247" s="31"/>
      <c r="AA2247" s="31"/>
      <c r="AB2247" s="31"/>
      <c r="AC2247" s="31"/>
      <c r="AD2247" s="31"/>
      <c r="AE2247" s="31"/>
      <c r="AF2247" s="31"/>
      <c r="AG2247" s="31"/>
      <c r="AH2247" s="31"/>
      <c r="AI2247" s="31"/>
      <c r="AJ2247" s="31"/>
      <c r="AK2247" s="31"/>
      <c r="AL2247" s="28" t="str">
        <f>VLOOKUP($G2247,'[42]Sheet1 (2)'!$A$1:$B$1048440,2,FALSE)</f>
        <v>Sqm</v>
      </c>
      <c r="AM2247" s="32"/>
      <c r="AN2247" s="31"/>
      <c r="AO2247" s="33"/>
    </row>
    <row r="2248" spans="1:41" ht="182" x14ac:dyDescent="0.25">
      <c r="A2248" s="243">
        <v>2060</v>
      </c>
      <c r="B2248" s="21" t="s">
        <v>3499</v>
      </c>
      <c r="C2248" s="22">
        <v>52.08</v>
      </c>
      <c r="D2248" s="23"/>
      <c r="E2248" s="24" t="s">
        <v>3503</v>
      </c>
      <c r="F2248" s="24" t="s">
        <v>44</v>
      </c>
      <c r="G2248" s="202" t="s">
        <v>621</v>
      </c>
      <c r="H2248" s="26">
        <v>9650</v>
      </c>
      <c r="I2248" s="26">
        <v>110</v>
      </c>
      <c r="J2248" s="31"/>
      <c r="K2248" s="31"/>
      <c r="L2248" s="31"/>
      <c r="M2248" s="31"/>
      <c r="N2248" s="31"/>
      <c r="O2248" s="31"/>
      <c r="P2248" s="31"/>
      <c r="Q2248" s="31"/>
      <c r="R2248" s="31"/>
      <c r="S2248" s="31"/>
      <c r="T2248" s="31"/>
      <c r="U2248" s="31"/>
      <c r="V2248" s="31"/>
      <c r="W2248" s="31"/>
      <c r="X2248" s="31"/>
      <c r="Y2248" s="31"/>
      <c r="Z2248" s="31"/>
      <c r="AA2248" s="31"/>
      <c r="AB2248" s="31"/>
      <c r="AC2248" s="31"/>
      <c r="AD2248" s="31"/>
      <c r="AE2248" s="31"/>
      <c r="AF2248" s="31"/>
      <c r="AG2248" s="31"/>
      <c r="AH2248" s="31"/>
      <c r="AI2248" s="31"/>
      <c r="AJ2248" s="31"/>
      <c r="AK2248" s="31"/>
      <c r="AL2248" s="28" t="str">
        <f>VLOOKUP($G2248,'[42]Sheet1 (2)'!$A$1:$B$1048440,2,FALSE)</f>
        <v>Sqm</v>
      </c>
      <c r="AM2248" s="32"/>
      <c r="AN2248" s="31"/>
      <c r="AO2248" s="33"/>
    </row>
    <row r="2249" spans="1:41" ht="280" x14ac:dyDescent="0.25">
      <c r="A2249" s="243">
        <v>2061</v>
      </c>
      <c r="B2249" s="21" t="s">
        <v>3499</v>
      </c>
      <c r="C2249" s="22">
        <v>52.09</v>
      </c>
      <c r="D2249" s="23"/>
      <c r="E2249" s="24" t="s">
        <v>3504</v>
      </c>
      <c r="F2249" s="24" t="s">
        <v>44</v>
      </c>
      <c r="G2249" s="202" t="s">
        <v>621</v>
      </c>
      <c r="H2249" s="26">
        <v>1225</v>
      </c>
      <c r="I2249" s="26">
        <v>571</v>
      </c>
      <c r="J2249" s="31"/>
      <c r="K2249" s="31"/>
      <c r="L2249" s="31"/>
      <c r="M2249" s="31"/>
      <c r="N2249" s="31"/>
      <c r="O2249" s="31"/>
      <c r="P2249" s="31"/>
      <c r="Q2249" s="31"/>
      <c r="R2249" s="31"/>
      <c r="S2249" s="31"/>
      <c r="T2249" s="31"/>
      <c r="U2249" s="31"/>
      <c r="V2249" s="31"/>
      <c r="W2249" s="31"/>
      <c r="X2249" s="31"/>
      <c r="Y2249" s="31"/>
      <c r="Z2249" s="31"/>
      <c r="AA2249" s="31"/>
      <c r="AB2249" s="31"/>
      <c r="AC2249" s="31"/>
      <c r="AD2249" s="31"/>
      <c r="AE2249" s="31"/>
      <c r="AF2249" s="31"/>
      <c r="AG2249" s="31"/>
      <c r="AH2249" s="31"/>
      <c r="AI2249" s="31"/>
      <c r="AJ2249" s="31"/>
      <c r="AK2249" s="31"/>
      <c r="AL2249" s="28" t="str">
        <f>VLOOKUP($G2249,'[42]Sheet1 (2)'!$A$1:$B$1048440,2,FALSE)</f>
        <v>Sqm</v>
      </c>
      <c r="AM2249" s="32"/>
      <c r="AN2249" s="31"/>
      <c r="AO2249" s="33"/>
    </row>
    <row r="2250" spans="1:41" ht="154" x14ac:dyDescent="0.25">
      <c r="A2250" s="243">
        <v>2062</v>
      </c>
      <c r="B2250" s="21" t="s">
        <v>3499</v>
      </c>
      <c r="C2250" s="22">
        <v>52.1</v>
      </c>
      <c r="D2250" s="23"/>
      <c r="E2250" s="24" t="s">
        <v>3505</v>
      </c>
      <c r="F2250" s="24" t="s">
        <v>44</v>
      </c>
      <c r="G2250" s="202" t="s">
        <v>621</v>
      </c>
      <c r="H2250" s="26">
        <v>1430</v>
      </c>
      <c r="I2250" s="26">
        <v>208</v>
      </c>
      <c r="J2250" s="31"/>
      <c r="K2250" s="31"/>
      <c r="L2250" s="31"/>
      <c r="M2250" s="31"/>
      <c r="N2250" s="31"/>
      <c r="O2250" s="31"/>
      <c r="P2250" s="31"/>
      <c r="Q2250" s="31"/>
      <c r="R2250" s="31"/>
      <c r="S2250" s="31"/>
      <c r="T2250" s="31"/>
      <c r="U2250" s="31"/>
      <c r="V2250" s="31"/>
      <c r="W2250" s="31"/>
      <c r="X2250" s="31"/>
      <c r="Y2250" s="31"/>
      <c r="Z2250" s="31"/>
      <c r="AA2250" s="31"/>
      <c r="AB2250" s="31"/>
      <c r="AC2250" s="31"/>
      <c r="AD2250" s="31"/>
      <c r="AE2250" s="31"/>
      <c r="AF2250" s="31"/>
      <c r="AG2250" s="31"/>
      <c r="AH2250" s="31"/>
      <c r="AI2250" s="31"/>
      <c r="AJ2250" s="31"/>
      <c r="AK2250" s="31"/>
      <c r="AL2250" s="28" t="str">
        <f>VLOOKUP($G2250,'[42]Sheet1 (2)'!$A$1:$B$1048440,2,FALSE)</f>
        <v>Sqm</v>
      </c>
      <c r="AM2250" s="32"/>
      <c r="AN2250" s="31"/>
      <c r="AO2250" s="33"/>
    </row>
    <row r="2251" spans="1:41" ht="154" x14ac:dyDescent="0.25">
      <c r="A2251" s="243">
        <v>2063</v>
      </c>
      <c r="B2251" s="21" t="s">
        <v>3499</v>
      </c>
      <c r="C2251" s="22">
        <v>52.11</v>
      </c>
      <c r="D2251" s="23"/>
      <c r="E2251" s="24" t="s">
        <v>3506</v>
      </c>
      <c r="F2251" s="24" t="s">
        <v>44</v>
      </c>
      <c r="G2251" s="202" t="s">
        <v>621</v>
      </c>
      <c r="H2251" s="26">
        <v>1512</v>
      </c>
      <c r="I2251" s="26">
        <v>195</v>
      </c>
      <c r="J2251" s="31"/>
      <c r="K2251" s="31"/>
      <c r="L2251" s="31"/>
      <c r="M2251" s="31"/>
      <c r="N2251" s="31"/>
      <c r="O2251" s="31"/>
      <c r="P2251" s="31"/>
      <c r="Q2251" s="31"/>
      <c r="R2251" s="31"/>
      <c r="S2251" s="31"/>
      <c r="T2251" s="31"/>
      <c r="U2251" s="31"/>
      <c r="V2251" s="31"/>
      <c r="W2251" s="31"/>
      <c r="X2251" s="31"/>
      <c r="Y2251" s="31"/>
      <c r="Z2251" s="31"/>
      <c r="AA2251" s="31"/>
      <c r="AB2251" s="31"/>
      <c r="AC2251" s="31"/>
      <c r="AD2251" s="31"/>
      <c r="AE2251" s="31"/>
      <c r="AF2251" s="31"/>
      <c r="AG2251" s="31"/>
      <c r="AH2251" s="31"/>
      <c r="AI2251" s="31"/>
      <c r="AJ2251" s="31"/>
      <c r="AK2251" s="31"/>
      <c r="AL2251" s="28" t="str">
        <f>VLOOKUP($G2251,'[42]Sheet1 (2)'!$A$1:$B$1048440,2,FALSE)</f>
        <v>Sqm</v>
      </c>
      <c r="AM2251" s="32"/>
      <c r="AN2251" s="31"/>
      <c r="AO2251" s="33"/>
    </row>
    <row r="2252" spans="1:41" ht="409.5" x14ac:dyDescent="0.25">
      <c r="A2252" s="243">
        <v>2064</v>
      </c>
      <c r="B2252" s="25" t="s">
        <v>3507</v>
      </c>
      <c r="C2252" s="203">
        <v>52.12</v>
      </c>
      <c r="D2252" s="23"/>
      <c r="E2252" s="23" t="s">
        <v>3508</v>
      </c>
      <c r="F2252" s="24" t="s">
        <v>44</v>
      </c>
      <c r="G2252" s="202" t="s">
        <v>621</v>
      </c>
      <c r="H2252" s="20">
        <v>1532</v>
      </c>
      <c r="I2252" s="26">
        <v>838</v>
      </c>
      <c r="J2252" s="31"/>
      <c r="K2252" s="31"/>
      <c r="L2252" s="31"/>
      <c r="M2252" s="31"/>
      <c r="N2252" s="31"/>
      <c r="O2252" s="31"/>
      <c r="P2252" s="31"/>
      <c r="Q2252" s="31"/>
      <c r="R2252" s="31"/>
      <c r="S2252" s="31"/>
      <c r="T2252" s="31"/>
      <c r="U2252" s="31"/>
      <c r="V2252" s="31"/>
      <c r="W2252" s="31"/>
      <c r="X2252" s="31"/>
      <c r="Y2252" s="31"/>
      <c r="Z2252" s="31"/>
      <c r="AA2252" s="31"/>
      <c r="AB2252" s="31"/>
      <c r="AC2252" s="31"/>
      <c r="AD2252" s="31"/>
      <c r="AE2252" s="31"/>
      <c r="AF2252" s="31"/>
      <c r="AG2252" s="31"/>
      <c r="AH2252" s="31"/>
      <c r="AI2252" s="31"/>
      <c r="AJ2252" s="31"/>
      <c r="AK2252" s="31"/>
      <c r="AL2252" s="28" t="str">
        <f>VLOOKUP($G2252,'[42]Sheet1 (2)'!$A$1:$B$1048440,2,FALSE)</f>
        <v>Sqm</v>
      </c>
      <c r="AM2252" s="32"/>
      <c r="AN2252" s="31"/>
      <c r="AO2252" s="33"/>
    </row>
    <row r="2253" spans="1:41" ht="409.5" x14ac:dyDescent="0.25">
      <c r="A2253" s="243">
        <v>2065</v>
      </c>
      <c r="B2253" s="25" t="s">
        <v>3507</v>
      </c>
      <c r="C2253" s="203">
        <v>52.13</v>
      </c>
      <c r="D2253" s="23"/>
      <c r="E2253" s="23" t="s">
        <v>3509</v>
      </c>
      <c r="F2253" s="24" t="s">
        <v>44</v>
      </c>
      <c r="G2253" s="202" t="s">
        <v>621</v>
      </c>
      <c r="H2253" s="20">
        <v>1532</v>
      </c>
      <c r="I2253" s="26">
        <v>838</v>
      </c>
      <c r="J2253" s="31"/>
      <c r="K2253" s="31"/>
      <c r="L2253" s="31"/>
      <c r="M2253" s="31"/>
      <c r="N2253" s="31"/>
      <c r="O2253" s="31"/>
      <c r="P2253" s="31"/>
      <c r="Q2253" s="31"/>
      <c r="R2253" s="31"/>
      <c r="S2253" s="31"/>
      <c r="T2253" s="31"/>
      <c r="U2253" s="31"/>
      <c r="V2253" s="31"/>
      <c r="W2253" s="31"/>
      <c r="X2253" s="31"/>
      <c r="Y2253" s="31"/>
      <c r="Z2253" s="31"/>
      <c r="AA2253" s="31"/>
      <c r="AB2253" s="31"/>
      <c r="AC2253" s="31"/>
      <c r="AD2253" s="31"/>
      <c r="AE2253" s="31"/>
      <c r="AF2253" s="31"/>
      <c r="AG2253" s="31"/>
      <c r="AH2253" s="31"/>
      <c r="AI2253" s="31"/>
      <c r="AJ2253" s="31"/>
      <c r="AK2253" s="31"/>
      <c r="AL2253" s="28" t="str">
        <f>VLOOKUP($G2253,'[42]Sheet1 (2)'!$A$1:$B$1048440,2,FALSE)</f>
        <v>Sqm</v>
      </c>
      <c r="AM2253" s="32"/>
      <c r="AN2253" s="31"/>
      <c r="AO2253" s="33"/>
    </row>
    <row r="2254" spans="1:41" ht="409.5" x14ac:dyDescent="0.25">
      <c r="A2254" s="243">
        <v>2066</v>
      </c>
      <c r="B2254" s="25" t="s">
        <v>3507</v>
      </c>
      <c r="C2254" s="203">
        <v>52.14</v>
      </c>
      <c r="D2254" s="23"/>
      <c r="E2254" s="23" t="s">
        <v>3510</v>
      </c>
      <c r="F2254" s="24" t="s">
        <v>44</v>
      </c>
      <c r="G2254" s="202" t="s">
        <v>621</v>
      </c>
      <c r="H2254" s="20">
        <v>3026</v>
      </c>
      <c r="I2254" s="26">
        <v>838</v>
      </c>
      <c r="J2254" s="31"/>
      <c r="K2254" s="31"/>
      <c r="L2254" s="31"/>
      <c r="M2254" s="31"/>
      <c r="N2254" s="31"/>
      <c r="O2254" s="31"/>
      <c r="P2254" s="31"/>
      <c r="Q2254" s="31"/>
      <c r="R2254" s="31"/>
      <c r="S2254" s="31"/>
      <c r="T2254" s="31"/>
      <c r="U2254" s="31"/>
      <c r="V2254" s="31"/>
      <c r="W2254" s="31"/>
      <c r="X2254" s="31"/>
      <c r="Y2254" s="31"/>
      <c r="Z2254" s="31"/>
      <c r="AA2254" s="31"/>
      <c r="AB2254" s="31"/>
      <c r="AC2254" s="31"/>
      <c r="AD2254" s="31"/>
      <c r="AE2254" s="31"/>
      <c r="AF2254" s="31"/>
      <c r="AG2254" s="31"/>
      <c r="AH2254" s="31"/>
      <c r="AI2254" s="31"/>
      <c r="AJ2254" s="31"/>
      <c r="AK2254" s="31"/>
      <c r="AL2254" s="28" t="str">
        <f>VLOOKUP($G2254,'[42]Sheet1 (2)'!$A$1:$B$1048440,2,FALSE)</f>
        <v>Sqm</v>
      </c>
      <c r="AM2254" s="32"/>
      <c r="AN2254" s="31"/>
      <c r="AO2254" s="33"/>
    </row>
    <row r="2255" spans="1:41" ht="409.5" x14ac:dyDescent="0.25">
      <c r="A2255" s="243">
        <v>2067</v>
      </c>
      <c r="B2255" s="25" t="s">
        <v>3507</v>
      </c>
      <c r="C2255" s="203">
        <v>52.15</v>
      </c>
      <c r="D2255" s="23"/>
      <c r="E2255" s="23" t="s">
        <v>3511</v>
      </c>
      <c r="F2255" s="24" t="s">
        <v>44</v>
      </c>
      <c r="G2255" s="202" t="s">
        <v>621</v>
      </c>
      <c r="H2255" s="20">
        <v>2125</v>
      </c>
      <c r="I2255" s="26">
        <v>838</v>
      </c>
      <c r="J2255" s="31"/>
      <c r="K2255" s="31"/>
      <c r="L2255" s="31"/>
      <c r="M2255" s="31"/>
      <c r="N2255" s="31"/>
      <c r="O2255" s="31"/>
      <c r="P2255" s="31"/>
      <c r="Q2255" s="31"/>
      <c r="R2255" s="31"/>
      <c r="S2255" s="31"/>
      <c r="T2255" s="31"/>
      <c r="U2255" s="31"/>
      <c r="V2255" s="31"/>
      <c r="W2255" s="31"/>
      <c r="X2255" s="31"/>
      <c r="Y2255" s="31"/>
      <c r="Z2255" s="31"/>
      <c r="AA2255" s="31"/>
      <c r="AB2255" s="31"/>
      <c r="AC2255" s="31"/>
      <c r="AD2255" s="31"/>
      <c r="AE2255" s="31"/>
      <c r="AF2255" s="31"/>
      <c r="AG2255" s="31"/>
      <c r="AH2255" s="31"/>
      <c r="AI2255" s="31"/>
      <c r="AJ2255" s="31"/>
      <c r="AK2255" s="31"/>
      <c r="AL2255" s="28" t="str">
        <f>VLOOKUP($G2255,'[42]Sheet1 (2)'!$A$1:$B$1048440,2,FALSE)</f>
        <v>Sqm</v>
      </c>
      <c r="AM2255" s="32"/>
      <c r="AN2255" s="31"/>
      <c r="AO2255" s="33"/>
    </row>
    <row r="2256" spans="1:41" ht="364" x14ac:dyDescent="0.25">
      <c r="A2256" s="243">
        <v>2068</v>
      </c>
      <c r="B2256" s="25" t="s">
        <v>3507</v>
      </c>
      <c r="C2256" s="203">
        <v>52.16</v>
      </c>
      <c r="D2256" s="23"/>
      <c r="E2256" s="24" t="s">
        <v>3512</v>
      </c>
      <c r="F2256" s="24" t="s">
        <v>44</v>
      </c>
      <c r="G2256" s="202" t="s">
        <v>621</v>
      </c>
      <c r="H2256" s="20">
        <v>2211</v>
      </c>
      <c r="I2256" s="26">
        <v>445</v>
      </c>
      <c r="J2256" s="31"/>
      <c r="K2256" s="31"/>
      <c r="L2256" s="31"/>
      <c r="M2256" s="31"/>
      <c r="N2256" s="31"/>
      <c r="O2256" s="31"/>
      <c r="P2256" s="31"/>
      <c r="Q2256" s="31"/>
      <c r="R2256" s="31"/>
      <c r="S2256" s="31"/>
      <c r="T2256" s="31"/>
      <c r="U2256" s="31"/>
      <c r="V2256" s="31"/>
      <c r="W2256" s="31"/>
      <c r="X2256" s="31"/>
      <c r="Y2256" s="31"/>
      <c r="Z2256" s="31"/>
      <c r="AA2256" s="31"/>
      <c r="AB2256" s="31"/>
      <c r="AC2256" s="31"/>
      <c r="AD2256" s="31"/>
      <c r="AE2256" s="31"/>
      <c r="AF2256" s="31"/>
      <c r="AG2256" s="31"/>
      <c r="AH2256" s="31"/>
      <c r="AI2256" s="31"/>
      <c r="AJ2256" s="31"/>
      <c r="AK2256" s="31"/>
      <c r="AL2256" s="28" t="str">
        <f>VLOOKUP($G2256,'[42]Sheet1 (2)'!$A$1:$B$1048440,2,FALSE)</f>
        <v>Sqm</v>
      </c>
      <c r="AM2256" s="32"/>
      <c r="AN2256" s="31"/>
      <c r="AO2256" s="33"/>
    </row>
    <row r="2257" spans="1:41" ht="378" x14ac:dyDescent="0.25">
      <c r="A2257" s="243">
        <v>2069</v>
      </c>
      <c r="B2257" s="25" t="s">
        <v>3507</v>
      </c>
      <c r="C2257" s="203">
        <v>52.17</v>
      </c>
      <c r="D2257" s="23"/>
      <c r="E2257" s="24" t="s">
        <v>3513</v>
      </c>
      <c r="F2257" s="24" t="s">
        <v>44</v>
      </c>
      <c r="G2257" s="202" t="s">
        <v>621</v>
      </c>
      <c r="H2257" s="20">
        <v>1471</v>
      </c>
      <c r="I2257" s="26">
        <v>214</v>
      </c>
      <c r="J2257" s="31"/>
      <c r="K2257" s="31"/>
      <c r="L2257" s="31"/>
      <c r="M2257" s="31"/>
      <c r="N2257" s="31"/>
      <c r="O2257" s="31"/>
      <c r="P2257" s="31"/>
      <c r="Q2257" s="31"/>
      <c r="R2257" s="31"/>
      <c r="S2257" s="31"/>
      <c r="T2257" s="31"/>
      <c r="U2257" s="31"/>
      <c r="V2257" s="31"/>
      <c r="W2257" s="31"/>
      <c r="X2257" s="31"/>
      <c r="Y2257" s="31"/>
      <c r="Z2257" s="31"/>
      <c r="AA2257" s="31"/>
      <c r="AB2257" s="31"/>
      <c r="AC2257" s="31"/>
      <c r="AD2257" s="31"/>
      <c r="AE2257" s="31"/>
      <c r="AF2257" s="31"/>
      <c r="AG2257" s="31"/>
      <c r="AH2257" s="31"/>
      <c r="AI2257" s="31"/>
      <c r="AJ2257" s="31"/>
      <c r="AK2257" s="31"/>
      <c r="AL2257" s="28" t="str">
        <f>VLOOKUP($G2257,'[42]Sheet1 (2)'!$A$1:$B$1048440,2,FALSE)</f>
        <v>Sqm</v>
      </c>
      <c r="AM2257" s="32"/>
      <c r="AN2257" s="31"/>
      <c r="AO2257" s="33"/>
    </row>
    <row r="2258" spans="1:41" ht="409.5" x14ac:dyDescent="0.25">
      <c r="A2258" s="243">
        <v>2070</v>
      </c>
      <c r="B2258" s="25" t="s">
        <v>3507</v>
      </c>
      <c r="C2258" s="203">
        <v>52.18</v>
      </c>
      <c r="D2258" s="23"/>
      <c r="E2258" s="23" t="s">
        <v>3514</v>
      </c>
      <c r="F2258" s="24" t="s">
        <v>44</v>
      </c>
      <c r="G2258" s="25" t="s">
        <v>2916</v>
      </c>
      <c r="H2258" s="20">
        <v>2024</v>
      </c>
      <c r="I2258" s="20">
        <v>1070</v>
      </c>
      <c r="J2258" s="31"/>
      <c r="K2258" s="31"/>
      <c r="L2258" s="31"/>
      <c r="M2258" s="31"/>
      <c r="N2258" s="31"/>
      <c r="O2258" s="31"/>
      <c r="P2258" s="31"/>
      <c r="Q2258" s="31"/>
      <c r="R2258" s="31"/>
      <c r="S2258" s="31"/>
      <c r="T2258" s="31"/>
      <c r="U2258" s="31"/>
      <c r="V2258" s="31"/>
      <c r="W2258" s="31"/>
      <c r="X2258" s="31"/>
      <c r="Y2258" s="31"/>
      <c r="Z2258" s="31"/>
      <c r="AA2258" s="31"/>
      <c r="AB2258" s="31"/>
      <c r="AC2258" s="31"/>
      <c r="AD2258" s="31"/>
      <c r="AE2258" s="31"/>
      <c r="AF2258" s="31"/>
      <c r="AG2258" s="31"/>
      <c r="AH2258" s="31"/>
      <c r="AI2258" s="31"/>
      <c r="AJ2258" s="31"/>
      <c r="AK2258" s="31"/>
      <c r="AL2258" s="28" t="str">
        <f>VLOOKUP($G2258,'[42]Sheet1 (2)'!$A$1:$B$1048440,2,FALSE)</f>
        <v>kg</v>
      </c>
      <c r="AM2258" s="32"/>
      <c r="AN2258" s="31"/>
      <c r="AO2258" s="33"/>
    </row>
    <row r="2259" spans="1:41" ht="409.5" x14ac:dyDescent="0.25">
      <c r="A2259" s="243">
        <v>2071</v>
      </c>
      <c r="B2259" s="25" t="s">
        <v>3507</v>
      </c>
      <c r="C2259" s="22">
        <v>52.19</v>
      </c>
      <c r="D2259" s="23"/>
      <c r="E2259" s="23" t="s">
        <v>3515</v>
      </c>
      <c r="F2259" s="24" t="s">
        <v>44</v>
      </c>
      <c r="G2259" s="202" t="s">
        <v>621</v>
      </c>
      <c r="H2259" s="26">
        <v>394</v>
      </c>
      <c r="I2259" s="26">
        <v>217</v>
      </c>
      <c r="J2259" s="31"/>
      <c r="K2259" s="31"/>
      <c r="L2259" s="31"/>
      <c r="M2259" s="31"/>
      <c r="N2259" s="31"/>
      <c r="O2259" s="31"/>
      <c r="P2259" s="31"/>
      <c r="Q2259" s="31"/>
      <c r="R2259" s="31"/>
      <c r="S2259" s="31"/>
      <c r="T2259" s="31"/>
      <c r="U2259" s="31"/>
      <c r="V2259" s="31"/>
      <c r="W2259" s="31"/>
      <c r="X2259" s="31"/>
      <c r="Y2259" s="31"/>
      <c r="Z2259" s="31"/>
      <c r="AA2259" s="31"/>
      <c r="AB2259" s="31"/>
      <c r="AC2259" s="31"/>
      <c r="AD2259" s="31"/>
      <c r="AE2259" s="31"/>
      <c r="AF2259" s="31"/>
      <c r="AG2259" s="31"/>
      <c r="AH2259" s="31"/>
      <c r="AI2259" s="31"/>
      <c r="AJ2259" s="31"/>
      <c r="AK2259" s="31"/>
      <c r="AL2259" s="28" t="str">
        <f>VLOOKUP($G2259,'[42]Sheet1 (2)'!$A$1:$B$1048440,2,FALSE)</f>
        <v>Sqm</v>
      </c>
      <c r="AM2259" s="32"/>
      <c r="AN2259" s="31"/>
      <c r="AO2259" s="33"/>
    </row>
    <row r="2260" spans="1:41" ht="266" x14ac:dyDescent="0.25">
      <c r="A2260" s="243">
        <v>2072</v>
      </c>
      <c r="B2260" s="25" t="s">
        <v>3507</v>
      </c>
      <c r="C2260" s="22">
        <v>52.2</v>
      </c>
      <c r="D2260" s="23"/>
      <c r="E2260" s="23" t="s">
        <v>3516</v>
      </c>
      <c r="F2260" s="24" t="s">
        <v>44</v>
      </c>
      <c r="G2260" s="202" t="s">
        <v>621</v>
      </c>
      <c r="H2260" s="26">
        <v>1089</v>
      </c>
      <c r="I2260" s="26">
        <v>36</v>
      </c>
      <c r="J2260" s="31"/>
      <c r="K2260" s="31"/>
      <c r="L2260" s="31"/>
      <c r="M2260" s="31"/>
      <c r="N2260" s="31"/>
      <c r="O2260" s="31"/>
      <c r="P2260" s="31"/>
      <c r="Q2260" s="31"/>
      <c r="R2260" s="31"/>
      <c r="S2260" s="31"/>
      <c r="T2260" s="31"/>
      <c r="U2260" s="31"/>
      <c r="V2260" s="31"/>
      <c r="W2260" s="31"/>
      <c r="X2260" s="31"/>
      <c r="Y2260" s="31"/>
      <c r="Z2260" s="31"/>
      <c r="AA2260" s="31"/>
      <c r="AB2260" s="31"/>
      <c r="AC2260" s="31"/>
      <c r="AD2260" s="31"/>
      <c r="AE2260" s="31"/>
      <c r="AF2260" s="31"/>
      <c r="AG2260" s="31"/>
      <c r="AH2260" s="31"/>
      <c r="AI2260" s="31"/>
      <c r="AJ2260" s="31"/>
      <c r="AK2260" s="31"/>
      <c r="AL2260" s="28" t="str">
        <f>VLOOKUP($G2260,'[42]Sheet1 (2)'!$A$1:$B$1048440,2,FALSE)</f>
        <v>Sqm</v>
      </c>
      <c r="AM2260" s="32"/>
      <c r="AN2260" s="31"/>
      <c r="AO2260" s="33"/>
    </row>
    <row r="2261" spans="1:41" ht="280" x14ac:dyDescent="0.25">
      <c r="A2261" s="243">
        <v>2073</v>
      </c>
      <c r="B2261" s="25" t="s">
        <v>3507</v>
      </c>
      <c r="C2261" s="203">
        <v>52.21</v>
      </c>
      <c r="D2261" s="23"/>
      <c r="E2261" s="23" t="s">
        <v>3517</v>
      </c>
      <c r="F2261" s="24" t="s">
        <v>44</v>
      </c>
      <c r="G2261" s="202" t="s">
        <v>621</v>
      </c>
      <c r="H2261" s="26">
        <v>160</v>
      </c>
      <c r="I2261" s="26">
        <v>30</v>
      </c>
      <c r="J2261" s="31"/>
      <c r="K2261" s="31"/>
      <c r="L2261" s="31"/>
      <c r="M2261" s="31"/>
      <c r="N2261" s="31"/>
      <c r="O2261" s="31"/>
      <c r="P2261" s="31"/>
      <c r="Q2261" s="31"/>
      <c r="R2261" s="31"/>
      <c r="S2261" s="31"/>
      <c r="T2261" s="31"/>
      <c r="U2261" s="31"/>
      <c r="V2261" s="31"/>
      <c r="W2261" s="31"/>
      <c r="X2261" s="31"/>
      <c r="Y2261" s="31"/>
      <c r="Z2261" s="31"/>
      <c r="AA2261" s="31"/>
      <c r="AB2261" s="31"/>
      <c r="AC2261" s="31"/>
      <c r="AD2261" s="31"/>
      <c r="AE2261" s="31"/>
      <c r="AF2261" s="31"/>
      <c r="AG2261" s="31"/>
      <c r="AH2261" s="31"/>
      <c r="AI2261" s="31"/>
      <c r="AJ2261" s="31"/>
      <c r="AK2261" s="31"/>
      <c r="AL2261" s="28" t="str">
        <f>VLOOKUP($G2261,'[42]Sheet1 (2)'!$A$1:$B$1048440,2,FALSE)</f>
        <v>Sqm</v>
      </c>
      <c r="AM2261" s="32"/>
      <c r="AN2261" s="31"/>
      <c r="AO2261" s="33"/>
    </row>
    <row r="2262" spans="1:41" ht="378" x14ac:dyDescent="0.25">
      <c r="A2262" s="243">
        <v>2074</v>
      </c>
      <c r="B2262" s="25" t="s">
        <v>3507</v>
      </c>
      <c r="C2262" s="203">
        <v>52.22</v>
      </c>
      <c r="D2262" s="23"/>
      <c r="E2262" s="23" t="s">
        <v>3518</v>
      </c>
      <c r="F2262" s="24" t="s">
        <v>44</v>
      </c>
      <c r="G2262" s="25" t="s">
        <v>2916</v>
      </c>
      <c r="H2262" s="26">
        <v>640</v>
      </c>
      <c r="I2262" s="26">
        <v>362</v>
      </c>
      <c r="J2262" s="31"/>
      <c r="K2262" s="31"/>
      <c r="L2262" s="31"/>
      <c r="M2262" s="31"/>
      <c r="N2262" s="31"/>
      <c r="O2262" s="31"/>
      <c r="P2262" s="31"/>
      <c r="Q2262" s="31"/>
      <c r="R2262" s="31"/>
      <c r="S2262" s="31"/>
      <c r="T2262" s="31"/>
      <c r="U2262" s="31"/>
      <c r="V2262" s="31"/>
      <c r="W2262" s="31"/>
      <c r="X2262" s="31"/>
      <c r="Y2262" s="31"/>
      <c r="Z2262" s="31"/>
      <c r="AA2262" s="31"/>
      <c r="AB2262" s="31"/>
      <c r="AC2262" s="31"/>
      <c r="AD2262" s="31"/>
      <c r="AE2262" s="31"/>
      <c r="AF2262" s="31"/>
      <c r="AG2262" s="31"/>
      <c r="AH2262" s="31"/>
      <c r="AI2262" s="31"/>
      <c r="AJ2262" s="31"/>
      <c r="AK2262" s="31"/>
      <c r="AL2262" s="28" t="str">
        <f>VLOOKUP($G2262,'[42]Sheet1 (2)'!$A$1:$B$1048440,2,FALSE)</f>
        <v>kg</v>
      </c>
      <c r="AM2262" s="32"/>
      <c r="AN2262" s="31"/>
      <c r="AO2262" s="33"/>
    </row>
    <row r="2263" spans="1:41" ht="250.5" customHeight="1" x14ac:dyDescent="0.25">
      <c r="A2263" s="243">
        <v>2075</v>
      </c>
      <c r="B2263" s="25" t="s">
        <v>3507</v>
      </c>
      <c r="C2263" s="22">
        <v>52.23</v>
      </c>
      <c r="D2263" s="23"/>
      <c r="E2263" s="23" t="s">
        <v>3519</v>
      </c>
      <c r="F2263" s="24" t="s">
        <v>44</v>
      </c>
      <c r="G2263" s="202" t="s">
        <v>621</v>
      </c>
      <c r="H2263" s="103">
        <v>450</v>
      </c>
      <c r="I2263" s="26">
        <v>198</v>
      </c>
      <c r="J2263" s="31"/>
      <c r="K2263" s="31"/>
      <c r="L2263" s="31"/>
      <c r="M2263" s="31"/>
      <c r="N2263" s="31"/>
      <c r="O2263" s="31"/>
      <c r="P2263" s="31"/>
      <c r="Q2263" s="31"/>
      <c r="R2263" s="31"/>
      <c r="S2263" s="31"/>
      <c r="T2263" s="31"/>
      <c r="U2263" s="31"/>
      <c r="V2263" s="31"/>
      <c r="W2263" s="31"/>
      <c r="X2263" s="31"/>
      <c r="Y2263" s="31"/>
      <c r="Z2263" s="31"/>
      <c r="AA2263" s="31"/>
      <c r="AB2263" s="31"/>
      <c r="AC2263" s="31"/>
      <c r="AD2263" s="31"/>
      <c r="AE2263" s="31"/>
      <c r="AF2263" s="31"/>
      <c r="AG2263" s="31"/>
      <c r="AH2263" s="31"/>
      <c r="AI2263" s="31"/>
      <c r="AJ2263" s="31"/>
      <c r="AK2263" s="31"/>
      <c r="AL2263" s="28" t="str">
        <f>VLOOKUP($G2263,'[42]Sheet1 (2)'!$A$1:$B$1048440,2,FALSE)</f>
        <v>Sqm</v>
      </c>
      <c r="AM2263" s="32"/>
      <c r="AN2263" s="31"/>
      <c r="AO2263" s="33"/>
    </row>
    <row r="2264" spans="1:41" ht="288" customHeight="1" x14ac:dyDescent="0.25">
      <c r="A2264" s="243">
        <v>2076</v>
      </c>
      <c r="B2264" s="25" t="s">
        <v>3507</v>
      </c>
      <c r="C2264" s="22">
        <v>52.24</v>
      </c>
      <c r="D2264" s="23"/>
      <c r="E2264" s="23" t="s">
        <v>3520</v>
      </c>
      <c r="F2264" s="24" t="s">
        <v>44</v>
      </c>
      <c r="G2264" s="25" t="s">
        <v>1752</v>
      </c>
      <c r="H2264" s="103">
        <v>528</v>
      </c>
      <c r="I2264" s="26">
        <v>61</v>
      </c>
      <c r="J2264" s="158">
        <f>0.4025/20</f>
        <v>2.0125000000000001E-2</v>
      </c>
      <c r="K2264" s="31"/>
      <c r="L2264" s="158">
        <v>4.8899999999999999E-2</v>
      </c>
      <c r="M2264" s="31"/>
      <c r="N2264" s="31"/>
      <c r="O2264" s="158"/>
      <c r="P2264" s="158">
        <f>L2264/2</f>
        <v>2.445E-2</v>
      </c>
      <c r="Q2264" s="31"/>
      <c r="R2264" s="31"/>
      <c r="S2264" s="31"/>
      <c r="T2264" s="31"/>
      <c r="U2264" s="31"/>
      <c r="V2264" s="31"/>
      <c r="W2264" s="31"/>
      <c r="X2264" s="31"/>
      <c r="Y2264" s="31"/>
      <c r="Z2264" s="31"/>
      <c r="AA2264" s="31"/>
      <c r="AB2264" s="31"/>
      <c r="AC2264" s="31"/>
      <c r="AD2264" s="31"/>
      <c r="AE2264" s="31"/>
      <c r="AF2264" s="31"/>
      <c r="AG2264" s="31"/>
      <c r="AH2264" s="31"/>
      <c r="AI2264" s="31"/>
      <c r="AJ2264" s="31"/>
      <c r="AK2264" s="31"/>
      <c r="AL2264" s="28" t="str">
        <f>VLOOKUP($G2264,'[42]Sheet1 (2)'!$A$1:$B$1048440,2,FALSE)</f>
        <v>One Litre</v>
      </c>
      <c r="AM2264" s="32" t="s">
        <v>3521</v>
      </c>
      <c r="AN2264" s="31"/>
      <c r="AO2264" s="33"/>
    </row>
    <row r="2265" spans="1:41" ht="346.5" customHeight="1" x14ac:dyDescent="0.25">
      <c r="A2265" s="243">
        <v>2077</v>
      </c>
      <c r="B2265" s="25" t="s">
        <v>3507</v>
      </c>
      <c r="C2265" s="203">
        <v>52.25</v>
      </c>
      <c r="D2265" s="23"/>
      <c r="E2265" s="23" t="s">
        <v>3522</v>
      </c>
      <c r="F2265" s="24" t="s">
        <v>44</v>
      </c>
      <c r="G2265" s="202" t="s">
        <v>621</v>
      </c>
      <c r="H2265" s="26">
        <v>704</v>
      </c>
      <c r="I2265" s="26">
        <v>195</v>
      </c>
      <c r="J2265" s="31"/>
      <c r="K2265" s="31"/>
      <c r="L2265" s="31"/>
      <c r="M2265" s="31"/>
      <c r="N2265" s="31"/>
      <c r="O2265" s="31"/>
      <c r="P2265" s="31"/>
      <c r="Q2265" s="31"/>
      <c r="R2265" s="31"/>
      <c r="S2265" s="31"/>
      <c r="T2265" s="31"/>
      <c r="U2265" s="31"/>
      <c r="V2265" s="31"/>
      <c r="W2265" s="31"/>
      <c r="X2265" s="31"/>
      <c r="Y2265" s="31"/>
      <c r="Z2265" s="31"/>
      <c r="AA2265" s="31"/>
      <c r="AB2265" s="31"/>
      <c r="AC2265" s="31"/>
      <c r="AD2265" s="31"/>
      <c r="AE2265" s="31"/>
      <c r="AF2265" s="31"/>
      <c r="AG2265" s="31"/>
      <c r="AH2265" s="31"/>
      <c r="AI2265" s="31"/>
      <c r="AJ2265" s="31"/>
      <c r="AK2265" s="31"/>
      <c r="AL2265" s="28" t="str">
        <f>VLOOKUP($G2265,'[42]Sheet1 (2)'!$A$1:$B$1048440,2,FALSE)</f>
        <v>Sqm</v>
      </c>
      <c r="AM2265" s="32"/>
      <c r="AN2265" s="31"/>
      <c r="AO2265" s="33"/>
    </row>
    <row r="2266" spans="1:41" ht="364" x14ac:dyDescent="0.25">
      <c r="A2266" s="243">
        <v>2078</v>
      </c>
      <c r="B2266" s="25" t="s">
        <v>3507</v>
      </c>
      <c r="C2266" s="22">
        <v>52.26</v>
      </c>
      <c r="D2266" s="23"/>
      <c r="E2266" s="24" t="s">
        <v>3523</v>
      </c>
      <c r="F2266" s="24" t="s">
        <v>3524</v>
      </c>
      <c r="G2266" s="202" t="s">
        <v>621</v>
      </c>
      <c r="H2266" s="26">
        <v>2167</v>
      </c>
      <c r="I2266" s="26">
        <v>512</v>
      </c>
      <c r="J2266" s="31"/>
      <c r="K2266" s="31"/>
      <c r="L2266" s="31"/>
      <c r="M2266" s="31"/>
      <c r="N2266" s="31"/>
      <c r="O2266" s="31"/>
      <c r="P2266" s="31"/>
      <c r="Q2266" s="31"/>
      <c r="R2266" s="31"/>
      <c r="S2266" s="31"/>
      <c r="T2266" s="31"/>
      <c r="U2266" s="31"/>
      <c r="V2266" s="31"/>
      <c r="W2266" s="31"/>
      <c r="X2266" s="31"/>
      <c r="Y2266" s="31"/>
      <c r="Z2266" s="31"/>
      <c r="AA2266" s="31"/>
      <c r="AB2266" s="31"/>
      <c r="AC2266" s="31"/>
      <c r="AD2266" s="31"/>
      <c r="AE2266" s="31"/>
      <c r="AF2266" s="31"/>
      <c r="AG2266" s="31"/>
      <c r="AH2266" s="31"/>
      <c r="AI2266" s="31"/>
      <c r="AJ2266" s="31"/>
      <c r="AK2266" s="31"/>
      <c r="AL2266" s="28" t="str">
        <f>VLOOKUP($G2266,'[42]Sheet1 (2)'!$A$1:$B$1048440,2,FALSE)</f>
        <v>Sqm</v>
      </c>
      <c r="AM2266" s="32"/>
      <c r="AN2266" s="31"/>
      <c r="AO2266" s="33"/>
    </row>
    <row r="2267" spans="1:41" ht="258.75" customHeight="1" x14ac:dyDescent="0.25">
      <c r="A2267" s="243">
        <v>2079</v>
      </c>
      <c r="B2267" s="25" t="s">
        <v>3507</v>
      </c>
      <c r="C2267" s="22">
        <v>52.27</v>
      </c>
      <c r="D2267" s="23"/>
      <c r="E2267" s="24" t="s">
        <v>3525</v>
      </c>
      <c r="F2267" s="24" t="s">
        <v>1233</v>
      </c>
      <c r="G2267" s="202" t="s">
        <v>621</v>
      </c>
      <c r="H2267" s="26">
        <v>1746</v>
      </c>
      <c r="I2267" s="26">
        <v>472</v>
      </c>
      <c r="J2267" s="31"/>
      <c r="K2267" s="31"/>
      <c r="L2267" s="31"/>
      <c r="M2267" s="31"/>
      <c r="N2267" s="31"/>
      <c r="O2267" s="31"/>
      <c r="P2267" s="31"/>
      <c r="Q2267" s="31"/>
      <c r="R2267" s="31"/>
      <c r="S2267" s="31"/>
      <c r="T2267" s="31"/>
      <c r="U2267" s="31"/>
      <c r="V2267" s="31"/>
      <c r="W2267" s="31"/>
      <c r="X2267" s="31"/>
      <c r="Y2267" s="31"/>
      <c r="Z2267" s="31"/>
      <c r="AA2267" s="31"/>
      <c r="AB2267" s="31"/>
      <c r="AC2267" s="31"/>
      <c r="AD2267" s="31"/>
      <c r="AE2267" s="31"/>
      <c r="AF2267" s="31"/>
      <c r="AG2267" s="31"/>
      <c r="AH2267" s="31"/>
      <c r="AI2267" s="31"/>
      <c r="AJ2267" s="31"/>
      <c r="AK2267" s="31"/>
      <c r="AL2267" s="28" t="str">
        <f>VLOOKUP($G2267,'[42]Sheet1 (2)'!$A$1:$B$1048440,2,FALSE)</f>
        <v>Sqm</v>
      </c>
      <c r="AM2267" s="32"/>
      <c r="AN2267" s="31"/>
      <c r="AO2267" s="33"/>
    </row>
    <row r="2268" spans="1:41" ht="238" x14ac:dyDescent="0.25">
      <c r="A2268" s="243">
        <v>2080</v>
      </c>
      <c r="B2268" s="25" t="s">
        <v>3507</v>
      </c>
      <c r="C2268" s="22">
        <v>52.28</v>
      </c>
      <c r="D2268" s="23"/>
      <c r="E2268" s="23" t="s">
        <v>3526</v>
      </c>
      <c r="F2268" s="24" t="s">
        <v>3527</v>
      </c>
      <c r="G2268" s="25" t="s">
        <v>2916</v>
      </c>
      <c r="H2268" s="103">
        <v>404</v>
      </c>
      <c r="I2268" s="26">
        <v>97</v>
      </c>
      <c r="J2268" s="31"/>
      <c r="K2268" s="31"/>
      <c r="L2268" s="31"/>
      <c r="M2268" s="31"/>
      <c r="N2268" s="31"/>
      <c r="O2268" s="31"/>
      <c r="P2268" s="31"/>
      <c r="Q2268" s="31"/>
      <c r="R2268" s="31"/>
      <c r="S2268" s="31"/>
      <c r="T2268" s="31"/>
      <c r="U2268" s="31"/>
      <c r="V2268" s="31"/>
      <c r="W2268" s="31"/>
      <c r="X2268" s="31"/>
      <c r="Y2268" s="31"/>
      <c r="Z2268" s="31"/>
      <c r="AA2268" s="31"/>
      <c r="AB2268" s="31"/>
      <c r="AC2268" s="31"/>
      <c r="AD2268" s="31"/>
      <c r="AE2268" s="31"/>
      <c r="AF2268" s="31"/>
      <c r="AG2268" s="31"/>
      <c r="AH2268" s="31"/>
      <c r="AI2268" s="31"/>
      <c r="AJ2268" s="31"/>
      <c r="AK2268" s="31"/>
      <c r="AL2268" s="28" t="str">
        <f>VLOOKUP($G2268,'[42]Sheet1 (2)'!$A$1:$B$1048440,2,FALSE)</f>
        <v>kg</v>
      </c>
      <c r="AM2268" s="32"/>
      <c r="AN2268" s="31"/>
      <c r="AO2268" s="33"/>
    </row>
    <row r="2269" spans="1:41" ht="322" x14ac:dyDescent="0.25">
      <c r="A2269" s="243">
        <v>2081</v>
      </c>
      <c r="B2269" s="25" t="s">
        <v>3528</v>
      </c>
      <c r="C2269" s="22">
        <v>52.29</v>
      </c>
      <c r="D2269" s="23"/>
      <c r="E2269" s="24" t="s">
        <v>3529</v>
      </c>
      <c r="F2269" s="24" t="s">
        <v>44</v>
      </c>
      <c r="G2269" s="25" t="s">
        <v>2916</v>
      </c>
      <c r="H2269" s="103">
        <v>210</v>
      </c>
      <c r="I2269" s="26">
        <v>0</v>
      </c>
      <c r="J2269" s="31"/>
      <c r="K2269" s="31"/>
      <c r="L2269" s="31"/>
      <c r="M2269" s="31"/>
      <c r="N2269" s="31"/>
      <c r="O2269" s="31"/>
      <c r="P2269" s="31"/>
      <c r="Q2269" s="31"/>
      <c r="R2269" s="31"/>
      <c r="S2269" s="31"/>
      <c r="T2269" s="31"/>
      <c r="U2269" s="31"/>
      <c r="V2269" s="31"/>
      <c r="W2269" s="31"/>
      <c r="X2269" s="31"/>
      <c r="Y2269" s="31"/>
      <c r="Z2269" s="31"/>
      <c r="AA2269" s="31"/>
      <c r="AB2269" s="31"/>
      <c r="AC2269" s="31"/>
      <c r="AD2269" s="31"/>
      <c r="AE2269" s="31"/>
      <c r="AF2269" s="31"/>
      <c r="AG2269" s="31"/>
      <c r="AH2269" s="31"/>
      <c r="AI2269" s="31"/>
      <c r="AJ2269" s="31"/>
      <c r="AK2269" s="31"/>
      <c r="AL2269" s="28" t="str">
        <f>VLOOKUP($G2269,'[42]Sheet1 (2)'!$A$1:$B$1048440,2,FALSE)</f>
        <v>kg</v>
      </c>
      <c r="AM2269" s="32"/>
      <c r="AN2269" s="31"/>
      <c r="AO2269" s="33"/>
    </row>
    <row r="2270" spans="1:41" ht="409.5" x14ac:dyDescent="0.25">
      <c r="A2270" s="243">
        <v>2082</v>
      </c>
      <c r="B2270" s="25" t="s">
        <v>3528</v>
      </c>
      <c r="C2270" s="203">
        <v>52.3</v>
      </c>
      <c r="D2270" s="23"/>
      <c r="E2270" s="23" t="s">
        <v>3530</v>
      </c>
      <c r="F2270" s="24" t="s">
        <v>44</v>
      </c>
      <c r="G2270" s="25" t="s">
        <v>2916</v>
      </c>
      <c r="H2270" s="20">
        <v>2064</v>
      </c>
      <c r="I2270" s="20">
        <v>1107</v>
      </c>
      <c r="J2270" s="31"/>
      <c r="K2270" s="31"/>
      <c r="L2270" s="31"/>
      <c r="M2270" s="31"/>
      <c r="N2270" s="31"/>
      <c r="O2270" s="31"/>
      <c r="P2270" s="31"/>
      <c r="Q2270" s="31"/>
      <c r="R2270" s="31"/>
      <c r="S2270" s="31"/>
      <c r="T2270" s="31"/>
      <c r="U2270" s="31"/>
      <c r="V2270" s="31"/>
      <c r="W2270" s="31"/>
      <c r="X2270" s="31"/>
      <c r="Y2270" s="31"/>
      <c r="Z2270" s="31"/>
      <c r="AA2270" s="31"/>
      <c r="AB2270" s="31"/>
      <c r="AC2270" s="31"/>
      <c r="AD2270" s="31"/>
      <c r="AE2270" s="31"/>
      <c r="AF2270" s="31"/>
      <c r="AG2270" s="31"/>
      <c r="AH2270" s="31"/>
      <c r="AI2270" s="31"/>
      <c r="AJ2270" s="31"/>
      <c r="AK2270" s="31"/>
      <c r="AL2270" s="28" t="str">
        <f>VLOOKUP($G2270,'[42]Sheet1 (2)'!$A$1:$B$1048440,2,FALSE)</f>
        <v>kg</v>
      </c>
      <c r="AM2270" s="32"/>
      <c r="AN2270" s="31"/>
      <c r="AO2270" s="33"/>
    </row>
    <row r="2271" spans="1:41" ht="409.5" x14ac:dyDescent="0.25">
      <c r="A2271" s="243">
        <v>2083</v>
      </c>
      <c r="B2271" s="25" t="s">
        <v>3528</v>
      </c>
      <c r="C2271" s="203">
        <v>52.31</v>
      </c>
      <c r="D2271" s="23"/>
      <c r="E2271" s="23" t="s">
        <v>3531</v>
      </c>
      <c r="F2271" s="24" t="s">
        <v>44</v>
      </c>
      <c r="G2271" s="202" t="s">
        <v>621</v>
      </c>
      <c r="H2271" s="26">
        <v>647</v>
      </c>
      <c r="I2271" s="26">
        <v>186</v>
      </c>
      <c r="J2271" s="31"/>
      <c r="K2271" s="31"/>
      <c r="L2271" s="31"/>
      <c r="M2271" s="31"/>
      <c r="N2271" s="31"/>
      <c r="O2271" s="31"/>
      <c r="P2271" s="31"/>
      <c r="Q2271" s="31"/>
      <c r="R2271" s="31"/>
      <c r="S2271" s="31"/>
      <c r="T2271" s="31"/>
      <c r="U2271" s="31"/>
      <c r="V2271" s="31"/>
      <c r="W2271" s="31"/>
      <c r="X2271" s="31"/>
      <c r="Y2271" s="31"/>
      <c r="Z2271" s="31"/>
      <c r="AA2271" s="31"/>
      <c r="AB2271" s="31"/>
      <c r="AC2271" s="31"/>
      <c r="AD2271" s="31"/>
      <c r="AE2271" s="31"/>
      <c r="AF2271" s="31"/>
      <c r="AG2271" s="31"/>
      <c r="AH2271" s="31"/>
      <c r="AI2271" s="31"/>
      <c r="AJ2271" s="31"/>
      <c r="AK2271" s="31"/>
      <c r="AL2271" s="28" t="str">
        <f>VLOOKUP($G2271,'[42]Sheet1 (2)'!$A$1:$B$1048440,2,FALSE)</f>
        <v>Sqm</v>
      </c>
      <c r="AM2271" s="32"/>
      <c r="AN2271" s="31"/>
      <c r="AO2271" s="33"/>
    </row>
    <row r="2272" spans="1:41" ht="392" x14ac:dyDescent="0.25">
      <c r="A2272" s="243">
        <v>2084</v>
      </c>
      <c r="B2272" s="25" t="s">
        <v>3528</v>
      </c>
      <c r="C2272" s="22">
        <v>52.32</v>
      </c>
      <c r="D2272" s="23"/>
      <c r="E2272" s="23" t="s">
        <v>3532</v>
      </c>
      <c r="F2272" s="24" t="s">
        <v>44</v>
      </c>
      <c r="G2272" s="202" t="s">
        <v>621</v>
      </c>
      <c r="H2272" s="26">
        <v>661</v>
      </c>
      <c r="I2272" s="26">
        <v>186</v>
      </c>
      <c r="J2272" s="31"/>
      <c r="K2272" s="31"/>
      <c r="L2272" s="31"/>
      <c r="M2272" s="31"/>
      <c r="N2272" s="31"/>
      <c r="O2272" s="31"/>
      <c r="P2272" s="31"/>
      <c r="Q2272" s="31"/>
      <c r="R2272" s="31"/>
      <c r="S2272" s="31"/>
      <c r="T2272" s="31"/>
      <c r="U2272" s="31"/>
      <c r="V2272" s="31"/>
      <c r="W2272" s="31"/>
      <c r="X2272" s="31"/>
      <c r="Y2272" s="31"/>
      <c r="Z2272" s="31"/>
      <c r="AA2272" s="31"/>
      <c r="AB2272" s="31"/>
      <c r="AC2272" s="31"/>
      <c r="AD2272" s="31"/>
      <c r="AE2272" s="31"/>
      <c r="AF2272" s="31"/>
      <c r="AG2272" s="31"/>
      <c r="AH2272" s="31"/>
      <c r="AI2272" s="31"/>
      <c r="AJ2272" s="31"/>
      <c r="AK2272" s="31"/>
      <c r="AL2272" s="28" t="str">
        <f>VLOOKUP($G2272,'[42]Sheet1 (2)'!$A$1:$B$1048440,2,FALSE)</f>
        <v>Sqm</v>
      </c>
      <c r="AM2272" s="32"/>
      <c r="AN2272" s="31"/>
      <c r="AO2272" s="33"/>
    </row>
    <row r="2273" spans="1:41" ht="238" x14ac:dyDescent="0.25">
      <c r="A2273" s="243">
        <v>2085</v>
      </c>
      <c r="B2273" s="25" t="s">
        <v>3528</v>
      </c>
      <c r="C2273" s="22">
        <v>52.33</v>
      </c>
      <c r="D2273" s="23"/>
      <c r="E2273" s="23" t="s">
        <v>3533</v>
      </c>
      <c r="F2273" s="24" t="s">
        <v>44</v>
      </c>
      <c r="G2273" s="25" t="s">
        <v>2916</v>
      </c>
      <c r="H2273" s="26">
        <v>2647</v>
      </c>
      <c r="I2273" s="26">
        <v>743</v>
      </c>
      <c r="J2273" s="31"/>
      <c r="K2273" s="31"/>
      <c r="L2273" s="31"/>
      <c r="M2273" s="31"/>
      <c r="N2273" s="31"/>
      <c r="O2273" s="31"/>
      <c r="P2273" s="31"/>
      <c r="Q2273" s="31"/>
      <c r="R2273" s="31"/>
      <c r="S2273" s="31"/>
      <c r="T2273" s="31"/>
      <c r="U2273" s="31"/>
      <c r="V2273" s="31"/>
      <c r="W2273" s="31"/>
      <c r="X2273" s="31"/>
      <c r="Y2273" s="31"/>
      <c r="Z2273" s="31"/>
      <c r="AA2273" s="31"/>
      <c r="AB2273" s="31"/>
      <c r="AC2273" s="31"/>
      <c r="AD2273" s="31"/>
      <c r="AE2273" s="31"/>
      <c r="AF2273" s="31"/>
      <c r="AG2273" s="31"/>
      <c r="AH2273" s="31"/>
      <c r="AI2273" s="31"/>
      <c r="AJ2273" s="31"/>
      <c r="AK2273" s="31"/>
      <c r="AL2273" s="28" t="str">
        <f>VLOOKUP($G2273,'[42]Sheet1 (2)'!$A$1:$B$1048440,2,FALSE)</f>
        <v>kg</v>
      </c>
      <c r="AM2273" s="32"/>
      <c r="AN2273" s="31"/>
      <c r="AO2273" s="33"/>
    </row>
    <row r="2274" spans="1:41" ht="364" x14ac:dyDescent="0.25">
      <c r="A2274" s="243">
        <v>2086</v>
      </c>
      <c r="B2274" s="25" t="s">
        <v>3528</v>
      </c>
      <c r="C2274" s="203">
        <v>52.34</v>
      </c>
      <c r="D2274" s="23"/>
      <c r="E2274" s="23" t="s">
        <v>3534</v>
      </c>
      <c r="F2274" s="24" t="s">
        <v>44</v>
      </c>
      <c r="G2274" s="25" t="s">
        <v>2916</v>
      </c>
      <c r="H2274" s="26">
        <v>650</v>
      </c>
      <c r="I2274" s="26">
        <v>372</v>
      </c>
      <c r="J2274" s="31"/>
      <c r="K2274" s="31"/>
      <c r="L2274" s="31"/>
      <c r="M2274" s="31"/>
      <c r="N2274" s="31"/>
      <c r="O2274" s="31"/>
      <c r="P2274" s="31"/>
      <c r="Q2274" s="31"/>
      <c r="R2274" s="31"/>
      <c r="S2274" s="31"/>
      <c r="T2274" s="31"/>
      <c r="U2274" s="31"/>
      <c r="V2274" s="31"/>
      <c r="W2274" s="31"/>
      <c r="X2274" s="31"/>
      <c r="Y2274" s="31"/>
      <c r="Z2274" s="31"/>
      <c r="AA2274" s="31"/>
      <c r="AB2274" s="31"/>
      <c r="AC2274" s="31"/>
      <c r="AD2274" s="31"/>
      <c r="AE2274" s="31"/>
      <c r="AF2274" s="31"/>
      <c r="AG2274" s="31"/>
      <c r="AH2274" s="31"/>
      <c r="AI2274" s="31"/>
      <c r="AJ2274" s="31"/>
      <c r="AK2274" s="31"/>
      <c r="AL2274" s="28" t="str">
        <f>VLOOKUP($G2274,'[42]Sheet1 (2)'!$A$1:$B$1048440,2,FALSE)</f>
        <v>kg</v>
      </c>
      <c r="AM2274" s="32"/>
      <c r="AN2274" s="31"/>
      <c r="AO2274" s="33"/>
    </row>
    <row r="2275" spans="1:41" ht="364" x14ac:dyDescent="0.25">
      <c r="A2275" s="243">
        <v>2087</v>
      </c>
      <c r="B2275" s="25" t="s">
        <v>3528</v>
      </c>
      <c r="C2275" s="203">
        <v>52.35</v>
      </c>
      <c r="D2275" s="23"/>
      <c r="E2275" s="23" t="s">
        <v>3535</v>
      </c>
      <c r="F2275" s="24" t="s">
        <v>44</v>
      </c>
      <c r="G2275" s="202" t="s">
        <v>621</v>
      </c>
      <c r="H2275" s="20">
        <v>2219</v>
      </c>
      <c r="I2275" s="26">
        <v>453</v>
      </c>
      <c r="J2275" s="31"/>
      <c r="K2275" s="31"/>
      <c r="L2275" s="31"/>
      <c r="M2275" s="31"/>
      <c r="N2275" s="31"/>
      <c r="O2275" s="31"/>
      <c r="P2275" s="31"/>
      <c r="Q2275" s="31"/>
      <c r="R2275" s="31"/>
      <c r="S2275" s="31"/>
      <c r="T2275" s="31"/>
      <c r="U2275" s="31"/>
      <c r="V2275" s="31"/>
      <c r="W2275" s="31"/>
      <c r="X2275" s="31"/>
      <c r="Y2275" s="31"/>
      <c r="Z2275" s="31"/>
      <c r="AA2275" s="31"/>
      <c r="AB2275" s="31"/>
      <c r="AC2275" s="31"/>
      <c r="AD2275" s="31"/>
      <c r="AE2275" s="31"/>
      <c r="AF2275" s="31"/>
      <c r="AG2275" s="31"/>
      <c r="AH2275" s="31"/>
      <c r="AI2275" s="31"/>
      <c r="AJ2275" s="31"/>
      <c r="AK2275" s="31"/>
      <c r="AL2275" s="28" t="str">
        <f>VLOOKUP($G2275,'[42]Sheet1 (2)'!$A$1:$B$1048440,2,FALSE)</f>
        <v>Sqm</v>
      </c>
      <c r="AM2275" s="32"/>
      <c r="AN2275" s="31"/>
      <c r="AO2275" s="33"/>
    </row>
    <row r="2276" spans="1:41" ht="378" x14ac:dyDescent="0.25">
      <c r="A2276" s="243">
        <v>2088</v>
      </c>
      <c r="B2276" s="25" t="s">
        <v>3528</v>
      </c>
      <c r="C2276" s="22">
        <v>52.36</v>
      </c>
      <c r="D2276" s="23"/>
      <c r="E2276" s="23" t="s">
        <v>3536</v>
      </c>
      <c r="F2276" s="24" t="s">
        <v>44</v>
      </c>
      <c r="G2276" s="202" t="s">
        <v>621</v>
      </c>
      <c r="H2276" s="26">
        <v>1479</v>
      </c>
      <c r="I2276" s="26">
        <v>221</v>
      </c>
      <c r="J2276" s="31"/>
      <c r="K2276" s="31"/>
      <c r="L2276" s="31"/>
      <c r="M2276" s="31"/>
      <c r="N2276" s="31"/>
      <c r="O2276" s="31"/>
      <c r="P2276" s="31"/>
      <c r="Q2276" s="31"/>
      <c r="R2276" s="31"/>
      <c r="S2276" s="31"/>
      <c r="T2276" s="31"/>
      <c r="U2276" s="31"/>
      <c r="V2276" s="31"/>
      <c r="W2276" s="31"/>
      <c r="X2276" s="31"/>
      <c r="Y2276" s="31"/>
      <c r="Z2276" s="31"/>
      <c r="AA2276" s="31"/>
      <c r="AB2276" s="31"/>
      <c r="AC2276" s="31"/>
      <c r="AD2276" s="31"/>
      <c r="AE2276" s="31"/>
      <c r="AF2276" s="31"/>
      <c r="AG2276" s="31"/>
      <c r="AH2276" s="31"/>
      <c r="AI2276" s="31"/>
      <c r="AJ2276" s="31"/>
      <c r="AK2276" s="31"/>
      <c r="AL2276" s="28" t="str">
        <f>VLOOKUP($G2276,'[42]Sheet1 (2)'!$A$1:$B$1048440,2,FALSE)</f>
        <v>Sqm</v>
      </c>
      <c r="AM2276" s="32"/>
      <c r="AN2276" s="31"/>
      <c r="AO2276" s="33"/>
    </row>
    <row r="2277" spans="1:41" ht="266" x14ac:dyDescent="0.25">
      <c r="A2277" s="243">
        <v>2089</v>
      </c>
      <c r="B2277" s="25" t="s">
        <v>3528</v>
      </c>
      <c r="C2277" s="22">
        <v>52.37</v>
      </c>
      <c r="D2277" s="23"/>
      <c r="E2277" s="23" t="s">
        <v>3537</v>
      </c>
      <c r="F2277" s="24" t="s">
        <v>44</v>
      </c>
      <c r="G2277" s="25" t="s">
        <v>2916</v>
      </c>
      <c r="H2277" s="26">
        <v>1093</v>
      </c>
      <c r="I2277" s="26">
        <v>38</v>
      </c>
      <c r="J2277" s="31"/>
      <c r="K2277" s="31"/>
      <c r="L2277" s="31"/>
      <c r="M2277" s="31"/>
      <c r="N2277" s="31"/>
      <c r="O2277" s="31"/>
      <c r="P2277" s="31"/>
      <c r="Q2277" s="31"/>
      <c r="R2277" s="31"/>
      <c r="S2277" s="31"/>
      <c r="T2277" s="31"/>
      <c r="U2277" s="31"/>
      <c r="V2277" s="31"/>
      <c r="W2277" s="31"/>
      <c r="X2277" s="31"/>
      <c r="Y2277" s="31"/>
      <c r="Z2277" s="31"/>
      <c r="AA2277" s="31"/>
      <c r="AB2277" s="31"/>
      <c r="AC2277" s="31"/>
      <c r="AD2277" s="31"/>
      <c r="AE2277" s="31"/>
      <c r="AF2277" s="31"/>
      <c r="AG2277" s="31"/>
      <c r="AH2277" s="31"/>
      <c r="AI2277" s="31"/>
      <c r="AJ2277" s="31"/>
      <c r="AK2277" s="31"/>
      <c r="AL2277" s="28" t="str">
        <f>VLOOKUP($G2277,'[42]Sheet1 (2)'!$A$1:$B$1048440,2,FALSE)</f>
        <v>kg</v>
      </c>
      <c r="AM2277" s="32"/>
      <c r="AN2277" s="31"/>
      <c r="AO2277" s="33"/>
    </row>
    <row r="2278" spans="1:41" ht="238" x14ac:dyDescent="0.25">
      <c r="A2278" s="243">
        <v>2090</v>
      </c>
      <c r="B2278" s="25" t="s">
        <v>3528</v>
      </c>
      <c r="C2278" s="22">
        <v>52.38</v>
      </c>
      <c r="D2278" s="23"/>
      <c r="E2278" s="24" t="s">
        <v>3538</v>
      </c>
      <c r="F2278" s="24" t="s">
        <v>44</v>
      </c>
      <c r="G2278" s="21" t="s">
        <v>1081</v>
      </c>
      <c r="H2278" s="26">
        <v>72</v>
      </c>
      <c r="I2278" s="26">
        <v>37</v>
      </c>
      <c r="J2278" s="31"/>
      <c r="K2278" s="31"/>
      <c r="L2278" s="31"/>
      <c r="M2278" s="31"/>
      <c r="N2278" s="31"/>
      <c r="O2278" s="31"/>
      <c r="P2278" s="31"/>
      <c r="Q2278" s="31"/>
      <c r="R2278" s="31"/>
      <c r="S2278" s="31"/>
      <c r="T2278" s="31"/>
      <c r="U2278" s="31"/>
      <c r="V2278" s="31"/>
      <c r="W2278" s="31"/>
      <c r="X2278" s="31"/>
      <c r="Y2278" s="31"/>
      <c r="Z2278" s="31"/>
      <c r="AA2278" s="31"/>
      <c r="AB2278" s="31"/>
      <c r="AC2278" s="31"/>
      <c r="AD2278" s="31"/>
      <c r="AE2278" s="31"/>
      <c r="AF2278" s="31"/>
      <c r="AG2278" s="31"/>
      <c r="AH2278" s="31"/>
      <c r="AI2278" s="31"/>
      <c r="AJ2278" s="31"/>
      <c r="AK2278" s="31"/>
      <c r="AL2278" s="28" t="e">
        <f>VLOOKUP($G2278,'[42]Sheet1 (2)'!$A$1:$B$1048440,2,FALSE)</f>
        <v>#N/A</v>
      </c>
      <c r="AM2278" s="32"/>
      <c r="AN2278" s="31"/>
      <c r="AO2278" s="33"/>
    </row>
    <row r="2279" spans="1:41" ht="266" x14ac:dyDescent="0.25">
      <c r="A2279" s="243">
        <v>2091</v>
      </c>
      <c r="B2279" s="25" t="s">
        <v>3528</v>
      </c>
      <c r="C2279" s="22">
        <v>52.39</v>
      </c>
      <c r="D2279" s="23"/>
      <c r="E2279" s="23" t="s">
        <v>3539</v>
      </c>
      <c r="F2279" s="24" t="s">
        <v>44</v>
      </c>
      <c r="G2279" s="21" t="s">
        <v>1081</v>
      </c>
      <c r="H2279" s="26">
        <v>522</v>
      </c>
      <c r="I2279" s="26">
        <v>372</v>
      </c>
      <c r="J2279" s="31"/>
      <c r="K2279" s="31"/>
      <c r="L2279" s="31"/>
      <c r="M2279" s="31"/>
      <c r="N2279" s="31"/>
      <c r="O2279" s="31"/>
      <c r="P2279" s="31"/>
      <c r="Q2279" s="31"/>
      <c r="R2279" s="31"/>
      <c r="S2279" s="31"/>
      <c r="T2279" s="31"/>
      <c r="U2279" s="31"/>
      <c r="V2279" s="31"/>
      <c r="W2279" s="31"/>
      <c r="X2279" s="31"/>
      <c r="Y2279" s="31"/>
      <c r="Z2279" s="31"/>
      <c r="AA2279" s="31"/>
      <c r="AB2279" s="31"/>
      <c r="AC2279" s="31"/>
      <c r="AD2279" s="31"/>
      <c r="AE2279" s="31"/>
      <c r="AF2279" s="31"/>
      <c r="AG2279" s="31"/>
      <c r="AH2279" s="31"/>
      <c r="AI2279" s="31"/>
      <c r="AJ2279" s="31"/>
      <c r="AK2279" s="31"/>
      <c r="AL2279" s="28" t="e">
        <f>VLOOKUP($G2279,'[42]Sheet1 (2)'!$A$1:$B$1048440,2,FALSE)</f>
        <v>#N/A</v>
      </c>
      <c r="AM2279" s="32"/>
      <c r="AN2279" s="31"/>
      <c r="AO2279" s="33"/>
    </row>
    <row r="2280" spans="1:41" ht="378" x14ac:dyDescent="0.25">
      <c r="A2280" s="243">
        <v>2092</v>
      </c>
      <c r="B2280" s="25" t="s">
        <v>3528</v>
      </c>
      <c r="C2280" s="22">
        <v>52.4</v>
      </c>
      <c r="D2280" s="23"/>
      <c r="E2280" s="23" t="s">
        <v>3540</v>
      </c>
      <c r="F2280" s="24" t="s">
        <v>44</v>
      </c>
      <c r="G2280" s="25" t="s">
        <v>3541</v>
      </c>
      <c r="H2280" s="103">
        <v>522</v>
      </c>
      <c r="I2280" s="26">
        <v>372</v>
      </c>
      <c r="J2280" s="31"/>
      <c r="K2280" s="31"/>
      <c r="L2280" s="31"/>
      <c r="M2280" s="31"/>
      <c r="N2280" s="31"/>
      <c r="O2280" s="31"/>
      <c r="P2280" s="31"/>
      <c r="Q2280" s="31"/>
      <c r="R2280" s="31"/>
      <c r="S2280" s="31"/>
      <c r="T2280" s="31"/>
      <c r="U2280" s="31"/>
      <c r="V2280" s="31"/>
      <c r="W2280" s="31"/>
      <c r="X2280" s="31"/>
      <c r="Y2280" s="31"/>
      <c r="Z2280" s="31"/>
      <c r="AA2280" s="31"/>
      <c r="AB2280" s="31"/>
      <c r="AC2280" s="31"/>
      <c r="AD2280" s="31"/>
      <c r="AE2280" s="31"/>
      <c r="AF2280" s="31"/>
      <c r="AG2280" s="31"/>
      <c r="AH2280" s="31"/>
      <c r="AI2280" s="31"/>
      <c r="AJ2280" s="31"/>
      <c r="AK2280" s="31"/>
      <c r="AL2280" s="28" t="e">
        <f>VLOOKUP($G2280,'[42]Sheet1 (2)'!$A$1:$B$1048440,2,FALSE)</f>
        <v>#N/A</v>
      </c>
      <c r="AM2280" s="32"/>
      <c r="AN2280" s="31"/>
      <c r="AO2280" s="33"/>
    </row>
    <row r="2281" spans="1:41" ht="252" x14ac:dyDescent="0.25">
      <c r="A2281" s="243">
        <v>2093</v>
      </c>
      <c r="B2281" s="25" t="s">
        <v>3528</v>
      </c>
      <c r="C2281" s="22">
        <v>52.41</v>
      </c>
      <c r="D2281" s="23"/>
      <c r="E2281" s="23" t="s">
        <v>3542</v>
      </c>
      <c r="F2281" s="24" t="s">
        <v>44</v>
      </c>
      <c r="G2281" s="25" t="s">
        <v>3541</v>
      </c>
      <c r="H2281" s="103">
        <v>834</v>
      </c>
      <c r="I2281" s="26">
        <v>372</v>
      </c>
      <c r="J2281" s="31"/>
      <c r="K2281" s="31"/>
      <c r="L2281" s="31"/>
      <c r="M2281" s="31"/>
      <c r="N2281" s="31"/>
      <c r="O2281" s="31"/>
      <c r="P2281" s="31"/>
      <c r="Q2281" s="31"/>
      <c r="R2281" s="31"/>
      <c r="S2281" s="31"/>
      <c r="T2281" s="31"/>
      <c r="U2281" s="31"/>
      <c r="V2281" s="31"/>
      <c r="W2281" s="31"/>
      <c r="X2281" s="31"/>
      <c r="Y2281" s="31"/>
      <c r="Z2281" s="31"/>
      <c r="AA2281" s="31"/>
      <c r="AB2281" s="31"/>
      <c r="AC2281" s="31"/>
      <c r="AD2281" s="31"/>
      <c r="AE2281" s="31"/>
      <c r="AF2281" s="31"/>
      <c r="AG2281" s="31"/>
      <c r="AH2281" s="31"/>
      <c r="AI2281" s="31"/>
      <c r="AJ2281" s="31"/>
      <c r="AK2281" s="31"/>
      <c r="AL2281" s="28" t="e">
        <f>VLOOKUP($G2281,'[42]Sheet1 (2)'!$A$1:$B$1048440,2,FALSE)</f>
        <v>#N/A</v>
      </c>
      <c r="AM2281" s="32"/>
      <c r="AN2281" s="31"/>
      <c r="AO2281" s="33"/>
    </row>
    <row r="2282" spans="1:41" ht="168" x14ac:dyDescent="0.25">
      <c r="A2282" s="243">
        <v>2094</v>
      </c>
      <c r="B2282" s="25" t="s">
        <v>3543</v>
      </c>
      <c r="C2282" s="22">
        <v>52.42</v>
      </c>
      <c r="D2282" s="23"/>
      <c r="E2282" s="23" t="s">
        <v>3544</v>
      </c>
      <c r="F2282" s="24" t="s">
        <v>44</v>
      </c>
      <c r="G2282" s="25" t="s">
        <v>3496</v>
      </c>
      <c r="H2282" s="26">
        <v>25000</v>
      </c>
      <c r="I2282" s="26">
        <v>0</v>
      </c>
      <c r="J2282" s="31"/>
      <c r="K2282" s="31"/>
      <c r="L2282" s="31"/>
      <c r="M2282" s="31"/>
      <c r="N2282" s="31"/>
      <c r="O2282" s="31"/>
      <c r="P2282" s="31"/>
      <c r="Q2282" s="31"/>
      <c r="R2282" s="31"/>
      <c r="S2282" s="31"/>
      <c r="T2282" s="31"/>
      <c r="U2282" s="31"/>
      <c r="V2282" s="31"/>
      <c r="W2282" s="31"/>
      <c r="X2282" s="31"/>
      <c r="Y2282" s="31"/>
      <c r="Z2282" s="31"/>
      <c r="AA2282" s="31"/>
      <c r="AB2282" s="31"/>
      <c r="AC2282" s="31"/>
      <c r="AD2282" s="31"/>
      <c r="AE2282" s="31"/>
      <c r="AF2282" s="31"/>
      <c r="AG2282" s="31"/>
      <c r="AH2282" s="31"/>
      <c r="AI2282" s="31"/>
      <c r="AJ2282" s="31"/>
      <c r="AK2282" s="31"/>
      <c r="AL2282" s="28" t="str">
        <f>VLOOKUP($G2282,'[42]Sheet1 (2)'!$A$1:$B$1048440,2,FALSE)</f>
        <v>Per Site</v>
      </c>
      <c r="AM2282" s="32"/>
      <c r="AN2282" s="31"/>
      <c r="AO2282" s="33"/>
    </row>
    <row r="2283" spans="1:41" ht="294" x14ac:dyDescent="0.25">
      <c r="A2283" s="243">
        <v>2095</v>
      </c>
      <c r="B2283" s="25" t="s">
        <v>3543</v>
      </c>
      <c r="C2283" s="22">
        <v>52.43</v>
      </c>
      <c r="D2283" s="23"/>
      <c r="E2283" s="23" t="s">
        <v>3545</v>
      </c>
      <c r="F2283" s="24" t="s">
        <v>44</v>
      </c>
      <c r="G2283" s="25" t="s">
        <v>3498</v>
      </c>
      <c r="H2283" s="26">
        <v>126012</v>
      </c>
      <c r="I2283" s="26">
        <v>0</v>
      </c>
      <c r="J2283" s="31"/>
      <c r="K2283" s="31"/>
      <c r="L2283" s="31"/>
      <c r="M2283" s="31"/>
      <c r="N2283" s="31"/>
      <c r="O2283" s="31"/>
      <c r="P2283" s="31"/>
      <c r="Q2283" s="31"/>
      <c r="R2283" s="31"/>
      <c r="S2283" s="31"/>
      <c r="T2283" s="31"/>
      <c r="U2283" s="31"/>
      <c r="V2283" s="31"/>
      <c r="W2283" s="31"/>
      <c r="X2283" s="31"/>
      <c r="Y2283" s="31"/>
      <c r="Z2283" s="31"/>
      <c r="AA2283" s="31"/>
      <c r="AB2283" s="31"/>
      <c r="AC2283" s="31"/>
      <c r="AD2283" s="31"/>
      <c r="AE2283" s="31"/>
      <c r="AF2283" s="31"/>
      <c r="AG2283" s="31"/>
      <c r="AH2283" s="31"/>
      <c r="AI2283" s="31"/>
      <c r="AJ2283" s="31"/>
      <c r="AK2283" s="31"/>
      <c r="AL2283" s="28" t="str">
        <f>VLOOKUP($G2283,'[42]Sheet1 (2)'!$A$1:$B$1048440,2,FALSE)</f>
        <v>No.</v>
      </c>
      <c r="AM2283" s="32"/>
      <c r="AN2283" s="31"/>
      <c r="AO2283" s="33"/>
    </row>
    <row r="2284" spans="1:41" ht="196" x14ac:dyDescent="0.25">
      <c r="A2284" s="243">
        <v>2096</v>
      </c>
      <c r="B2284" s="25" t="s">
        <v>3546</v>
      </c>
      <c r="C2284" s="22">
        <v>52.44</v>
      </c>
      <c r="D2284" s="23"/>
      <c r="E2284" s="23" t="s">
        <v>3547</v>
      </c>
      <c r="F2284" s="24" t="s">
        <v>44</v>
      </c>
      <c r="G2284" s="21" t="s">
        <v>3473</v>
      </c>
      <c r="H2284" s="26">
        <v>8500</v>
      </c>
      <c r="I2284" s="26">
        <v>0</v>
      </c>
      <c r="J2284" s="31"/>
      <c r="K2284" s="31"/>
      <c r="L2284" s="31"/>
      <c r="M2284" s="31"/>
      <c r="N2284" s="31"/>
      <c r="O2284" s="31"/>
      <c r="P2284" s="31"/>
      <c r="Q2284" s="31"/>
      <c r="R2284" s="31"/>
      <c r="S2284" s="31"/>
      <c r="T2284" s="31"/>
      <c r="U2284" s="31"/>
      <c r="V2284" s="31"/>
      <c r="W2284" s="31"/>
      <c r="X2284" s="31"/>
      <c r="Y2284" s="31"/>
      <c r="Z2284" s="31"/>
      <c r="AA2284" s="31"/>
      <c r="AB2284" s="31"/>
      <c r="AC2284" s="31"/>
      <c r="AD2284" s="31"/>
      <c r="AE2284" s="31"/>
      <c r="AF2284" s="31"/>
      <c r="AG2284" s="31"/>
      <c r="AH2284" s="31"/>
      <c r="AI2284" s="31"/>
      <c r="AJ2284" s="31"/>
      <c r="AK2284" s="31"/>
      <c r="AL2284" s="28" t="str">
        <f>VLOOKUP($G2284,'[42]Sheet1 (2)'!$A$1:$B$1048440,2,FALSE)</f>
        <v>Running One Km</v>
      </c>
      <c r="AM2284" s="32"/>
      <c r="AN2284" s="31"/>
      <c r="AO2284" s="33"/>
    </row>
    <row r="2285" spans="1:41" ht="196" x14ac:dyDescent="0.25">
      <c r="A2285" s="243">
        <v>2097</v>
      </c>
      <c r="B2285" s="25" t="s">
        <v>3546</v>
      </c>
      <c r="C2285" s="22">
        <v>52.45</v>
      </c>
      <c r="D2285" s="23"/>
      <c r="E2285" s="23" t="s">
        <v>3548</v>
      </c>
      <c r="F2285" s="24" t="s">
        <v>44</v>
      </c>
      <c r="G2285" s="21" t="s">
        <v>3473</v>
      </c>
      <c r="H2285" s="26">
        <v>22900</v>
      </c>
      <c r="I2285" s="26">
        <v>0</v>
      </c>
      <c r="J2285" s="31"/>
      <c r="K2285" s="31"/>
      <c r="L2285" s="31"/>
      <c r="M2285" s="31"/>
      <c r="N2285" s="31"/>
      <c r="O2285" s="31"/>
      <c r="P2285" s="31"/>
      <c r="Q2285" s="31"/>
      <c r="R2285" s="31"/>
      <c r="S2285" s="31"/>
      <c r="T2285" s="31"/>
      <c r="U2285" s="31"/>
      <c r="V2285" s="31"/>
      <c r="W2285" s="31"/>
      <c r="X2285" s="31"/>
      <c r="Y2285" s="31"/>
      <c r="Z2285" s="31"/>
      <c r="AA2285" s="31"/>
      <c r="AB2285" s="31"/>
      <c r="AC2285" s="31"/>
      <c r="AD2285" s="31"/>
      <c r="AE2285" s="31"/>
      <c r="AF2285" s="31"/>
      <c r="AG2285" s="31"/>
      <c r="AH2285" s="31"/>
      <c r="AI2285" s="31"/>
      <c r="AJ2285" s="31"/>
      <c r="AK2285" s="31"/>
      <c r="AL2285" s="28" t="str">
        <f>VLOOKUP($G2285,'[42]Sheet1 (2)'!$A$1:$B$1048440,2,FALSE)</f>
        <v>Running One Km</v>
      </c>
      <c r="AM2285" s="32"/>
      <c r="AN2285" s="31"/>
      <c r="AO2285" s="33"/>
    </row>
    <row r="2286" spans="1:41" ht="98" x14ac:dyDescent="0.25">
      <c r="A2286" s="243">
        <v>2098</v>
      </c>
      <c r="B2286" s="24" t="s">
        <v>3549</v>
      </c>
      <c r="C2286" s="22">
        <v>52.46</v>
      </c>
      <c r="D2286" s="23"/>
      <c r="E2286" s="24" t="s">
        <v>3550</v>
      </c>
      <c r="F2286" s="24" t="s">
        <v>44</v>
      </c>
      <c r="G2286" s="21" t="s">
        <v>3551</v>
      </c>
      <c r="H2286" s="26">
        <v>1401</v>
      </c>
      <c r="I2286" s="26">
        <v>174</v>
      </c>
      <c r="J2286" s="31"/>
      <c r="K2286" s="31"/>
      <c r="L2286" s="31"/>
      <c r="M2286" s="31"/>
      <c r="N2286" s="31"/>
      <c r="O2286" s="31"/>
      <c r="P2286" s="31"/>
      <c r="Q2286" s="31"/>
      <c r="R2286" s="31"/>
      <c r="S2286" s="31"/>
      <c r="T2286" s="31"/>
      <c r="U2286" s="31"/>
      <c r="V2286" s="31"/>
      <c r="W2286" s="31"/>
      <c r="X2286" s="31"/>
      <c r="Y2286" s="31"/>
      <c r="Z2286" s="31"/>
      <c r="AA2286" s="31"/>
      <c r="AB2286" s="31"/>
      <c r="AC2286" s="31"/>
      <c r="AD2286" s="31"/>
      <c r="AE2286" s="31"/>
      <c r="AF2286" s="31"/>
      <c r="AG2286" s="31"/>
      <c r="AH2286" s="31"/>
      <c r="AI2286" s="31"/>
      <c r="AJ2286" s="31"/>
      <c r="AK2286" s="31"/>
      <c r="AL2286" s="28" t="e">
        <f>VLOOKUP($G2286,'[42]Sheet1 (2)'!$A$1:$B$1048440,2,FALSE)</f>
        <v>#N/A</v>
      </c>
      <c r="AM2286" s="32"/>
      <c r="AN2286" s="31"/>
      <c r="AO2286" s="33"/>
    </row>
    <row r="2287" spans="1:41" ht="98" x14ac:dyDescent="0.25">
      <c r="A2287" s="243">
        <v>2099</v>
      </c>
      <c r="B2287" s="24" t="s">
        <v>3549</v>
      </c>
      <c r="C2287" s="22">
        <v>52.47</v>
      </c>
      <c r="D2287" s="23"/>
      <c r="E2287" s="24" t="s">
        <v>3552</v>
      </c>
      <c r="F2287" s="24" t="s">
        <v>44</v>
      </c>
      <c r="G2287" s="21" t="s">
        <v>3553</v>
      </c>
      <c r="H2287" s="26">
        <v>1241</v>
      </c>
      <c r="I2287" s="26">
        <v>174</v>
      </c>
      <c r="J2287" s="31"/>
      <c r="K2287" s="31"/>
      <c r="L2287" s="31"/>
      <c r="M2287" s="31"/>
      <c r="N2287" s="31"/>
      <c r="O2287" s="31"/>
      <c r="P2287" s="31"/>
      <c r="Q2287" s="31"/>
      <c r="R2287" s="31"/>
      <c r="S2287" s="31"/>
      <c r="T2287" s="31"/>
      <c r="U2287" s="31"/>
      <c r="V2287" s="31"/>
      <c r="W2287" s="31"/>
      <c r="X2287" s="31"/>
      <c r="Y2287" s="31"/>
      <c r="Z2287" s="31"/>
      <c r="AA2287" s="31"/>
      <c r="AB2287" s="31"/>
      <c r="AC2287" s="31"/>
      <c r="AD2287" s="31"/>
      <c r="AE2287" s="31"/>
      <c r="AF2287" s="31"/>
      <c r="AG2287" s="31"/>
      <c r="AH2287" s="31"/>
      <c r="AI2287" s="31"/>
      <c r="AJ2287" s="31"/>
      <c r="AK2287" s="31"/>
      <c r="AL2287" s="28" t="e">
        <f>VLOOKUP($G2287,'[42]Sheet1 (2)'!$A$1:$B$1048440,2,FALSE)</f>
        <v>#N/A</v>
      </c>
      <c r="AM2287" s="32"/>
      <c r="AN2287" s="31"/>
      <c r="AO2287" s="33"/>
    </row>
    <row r="2288" spans="1:41" ht="266" x14ac:dyDescent="0.25">
      <c r="A2288" s="243">
        <v>2100</v>
      </c>
      <c r="B2288" s="25" t="s">
        <v>3554</v>
      </c>
      <c r="C2288" s="22">
        <v>52.48</v>
      </c>
      <c r="D2288" s="23"/>
      <c r="E2288" s="23" t="s">
        <v>3555</v>
      </c>
      <c r="F2288" s="24" t="s">
        <v>44</v>
      </c>
      <c r="G2288" s="202" t="s">
        <v>621</v>
      </c>
      <c r="H2288" s="26">
        <v>5741</v>
      </c>
      <c r="I2288" s="26">
        <v>0</v>
      </c>
      <c r="J2288" s="31"/>
      <c r="K2288" s="31"/>
      <c r="L2288" s="31"/>
      <c r="M2288" s="31"/>
      <c r="N2288" s="31"/>
      <c r="O2288" s="31"/>
      <c r="P2288" s="31"/>
      <c r="Q2288" s="31"/>
      <c r="R2288" s="31"/>
      <c r="S2288" s="31"/>
      <c r="T2288" s="31"/>
      <c r="U2288" s="31"/>
      <c r="V2288" s="31"/>
      <c r="W2288" s="31"/>
      <c r="X2288" s="31"/>
      <c r="Y2288" s="31"/>
      <c r="Z2288" s="31"/>
      <c r="AA2288" s="31"/>
      <c r="AB2288" s="31"/>
      <c r="AC2288" s="31"/>
      <c r="AD2288" s="31"/>
      <c r="AE2288" s="31"/>
      <c r="AF2288" s="31"/>
      <c r="AG2288" s="31"/>
      <c r="AH2288" s="31"/>
      <c r="AI2288" s="31"/>
      <c r="AJ2288" s="31"/>
      <c r="AK2288" s="31"/>
      <c r="AL2288" s="28" t="str">
        <f>VLOOKUP($G2288,'[42]Sheet1 (2)'!$A$1:$B$1048440,2,FALSE)</f>
        <v>Sqm</v>
      </c>
      <c r="AM2288" s="32"/>
      <c r="AN2288" s="31"/>
      <c r="AO2288" s="33"/>
    </row>
    <row r="2289" spans="1:41" ht="182" x14ac:dyDescent="0.25">
      <c r="A2289" s="243">
        <v>2101</v>
      </c>
      <c r="B2289" s="25" t="s">
        <v>3554</v>
      </c>
      <c r="C2289" s="22">
        <v>52.49</v>
      </c>
      <c r="D2289" s="23"/>
      <c r="E2289" s="24" t="s">
        <v>3556</v>
      </c>
      <c r="F2289" s="24" t="s">
        <v>44</v>
      </c>
      <c r="G2289" s="202" t="s">
        <v>621</v>
      </c>
      <c r="H2289" s="26">
        <v>6459</v>
      </c>
      <c r="I2289" s="26">
        <v>0</v>
      </c>
      <c r="J2289" s="31"/>
      <c r="K2289" s="31"/>
      <c r="L2289" s="31"/>
      <c r="M2289" s="31"/>
      <c r="N2289" s="31"/>
      <c r="O2289" s="31"/>
      <c r="P2289" s="31"/>
      <c r="Q2289" s="31"/>
      <c r="R2289" s="31"/>
      <c r="S2289" s="31"/>
      <c r="T2289" s="31"/>
      <c r="U2289" s="31"/>
      <c r="V2289" s="31"/>
      <c r="W2289" s="31"/>
      <c r="X2289" s="31"/>
      <c r="Y2289" s="31"/>
      <c r="Z2289" s="31"/>
      <c r="AA2289" s="31"/>
      <c r="AB2289" s="31"/>
      <c r="AC2289" s="31"/>
      <c r="AD2289" s="31"/>
      <c r="AE2289" s="31"/>
      <c r="AF2289" s="31"/>
      <c r="AG2289" s="31"/>
      <c r="AH2289" s="31"/>
      <c r="AI2289" s="31"/>
      <c r="AJ2289" s="31"/>
      <c r="AK2289" s="31"/>
      <c r="AL2289" s="28" t="str">
        <f>VLOOKUP($G2289,'[42]Sheet1 (2)'!$A$1:$B$1048440,2,FALSE)</f>
        <v>Sqm</v>
      </c>
      <c r="AM2289" s="32"/>
      <c r="AN2289" s="31"/>
      <c r="AO2289" s="33"/>
    </row>
    <row r="2290" spans="1:41" ht="182" x14ac:dyDescent="0.25">
      <c r="A2290" s="243">
        <v>2102</v>
      </c>
      <c r="B2290" s="25" t="s">
        <v>3554</v>
      </c>
      <c r="C2290" s="294">
        <v>52.5</v>
      </c>
      <c r="D2290" s="23"/>
      <c r="E2290" s="24" t="s">
        <v>3557</v>
      </c>
      <c r="F2290" s="23"/>
      <c r="G2290" s="202" t="s">
        <v>621</v>
      </c>
      <c r="H2290" s="26">
        <v>7894</v>
      </c>
      <c r="I2290" s="26">
        <v>0</v>
      </c>
      <c r="J2290" s="31"/>
      <c r="K2290" s="31"/>
      <c r="L2290" s="31"/>
      <c r="M2290" s="31"/>
      <c r="N2290" s="31"/>
      <c r="O2290" s="31"/>
      <c r="P2290" s="31"/>
      <c r="Q2290" s="31"/>
      <c r="R2290" s="31"/>
      <c r="S2290" s="31"/>
      <c r="T2290" s="31"/>
      <c r="U2290" s="31"/>
      <c r="V2290" s="31"/>
      <c r="W2290" s="31"/>
      <c r="X2290" s="31"/>
      <c r="Y2290" s="31"/>
      <c r="Z2290" s="31"/>
      <c r="AA2290" s="31"/>
      <c r="AB2290" s="31"/>
      <c r="AC2290" s="31"/>
      <c r="AD2290" s="31"/>
      <c r="AE2290" s="31"/>
      <c r="AF2290" s="31"/>
      <c r="AG2290" s="31"/>
      <c r="AH2290" s="31"/>
      <c r="AI2290" s="31"/>
      <c r="AJ2290" s="31"/>
      <c r="AK2290" s="31"/>
      <c r="AL2290" s="28" t="str">
        <f>VLOOKUP($G2290,'[42]Sheet1 (2)'!$A$1:$B$1048440,2,FALSE)</f>
        <v>Sqm</v>
      </c>
      <c r="AM2290" s="32"/>
      <c r="AN2290" s="31"/>
      <c r="AO2290" s="33"/>
    </row>
    <row r="2291" spans="1:41" ht="126" x14ac:dyDescent="0.25">
      <c r="A2291" s="243">
        <v>2103</v>
      </c>
      <c r="B2291" s="25" t="s">
        <v>3558</v>
      </c>
      <c r="C2291" s="22">
        <v>52.51</v>
      </c>
      <c r="D2291" s="23"/>
      <c r="E2291" s="24" t="s">
        <v>3559</v>
      </c>
      <c r="F2291" s="26">
        <v>3627</v>
      </c>
      <c r="G2291" s="202" t="s">
        <v>621</v>
      </c>
      <c r="H2291" s="26">
        <v>3627</v>
      </c>
      <c r="I2291" s="26">
        <v>495</v>
      </c>
      <c r="J2291" s="31"/>
      <c r="K2291" s="31"/>
      <c r="L2291" s="31"/>
      <c r="M2291" s="31"/>
      <c r="N2291" s="31"/>
      <c r="O2291" s="31"/>
      <c r="P2291" s="31"/>
      <c r="Q2291" s="31"/>
      <c r="R2291" s="31"/>
      <c r="S2291" s="31"/>
      <c r="T2291" s="31"/>
      <c r="U2291" s="31"/>
      <c r="V2291" s="31"/>
      <c r="W2291" s="31"/>
      <c r="X2291" s="31"/>
      <c r="Y2291" s="31"/>
      <c r="Z2291" s="31"/>
      <c r="AA2291" s="31"/>
      <c r="AB2291" s="31"/>
      <c r="AC2291" s="31"/>
      <c r="AD2291" s="31"/>
      <c r="AE2291" s="31"/>
      <c r="AF2291" s="31"/>
      <c r="AG2291" s="31"/>
      <c r="AH2291" s="31"/>
      <c r="AI2291" s="31"/>
      <c r="AJ2291" s="31"/>
      <c r="AK2291" s="31"/>
      <c r="AL2291" s="28" t="str">
        <f>VLOOKUP($G2291,'[42]Sheet1 (2)'!$A$1:$B$1048440,2,FALSE)</f>
        <v>Sqm</v>
      </c>
      <c r="AM2291" s="32"/>
      <c r="AN2291" s="31"/>
      <c r="AO2291" s="33"/>
    </row>
    <row r="2292" spans="1:41" ht="322" x14ac:dyDescent="0.25">
      <c r="A2292" s="243">
        <v>2104</v>
      </c>
      <c r="B2292" s="25" t="s">
        <v>3560</v>
      </c>
      <c r="C2292" s="22">
        <v>52.52</v>
      </c>
      <c r="D2292" s="23"/>
      <c r="E2292" s="23" t="s">
        <v>3561</v>
      </c>
      <c r="F2292" s="24" t="s">
        <v>44</v>
      </c>
      <c r="G2292" s="202" t="s">
        <v>621</v>
      </c>
      <c r="H2292" s="26">
        <v>3933</v>
      </c>
      <c r="I2292" s="26">
        <v>798</v>
      </c>
      <c r="J2292" s="31"/>
      <c r="K2292" s="31"/>
      <c r="L2292" s="31"/>
      <c r="M2292" s="31"/>
      <c r="N2292" s="31"/>
      <c r="O2292" s="31"/>
      <c r="P2292" s="31"/>
      <c r="Q2292" s="31"/>
      <c r="R2292" s="31"/>
      <c r="S2292" s="31"/>
      <c r="T2292" s="31"/>
      <c r="U2292" s="31"/>
      <c r="V2292" s="31"/>
      <c r="W2292" s="31"/>
      <c r="X2292" s="31"/>
      <c r="Y2292" s="31"/>
      <c r="Z2292" s="31"/>
      <c r="AA2292" s="31"/>
      <c r="AB2292" s="31"/>
      <c r="AC2292" s="31"/>
      <c r="AD2292" s="31"/>
      <c r="AE2292" s="31"/>
      <c r="AF2292" s="31"/>
      <c r="AG2292" s="31"/>
      <c r="AH2292" s="31"/>
      <c r="AI2292" s="31"/>
      <c r="AJ2292" s="31"/>
      <c r="AK2292" s="31"/>
      <c r="AL2292" s="28" t="str">
        <f>VLOOKUP($G2292,'[42]Sheet1 (2)'!$A$1:$B$1048440,2,FALSE)</f>
        <v>Sqm</v>
      </c>
      <c r="AM2292" s="32"/>
      <c r="AN2292" s="31"/>
      <c r="AO2292" s="33"/>
    </row>
    <row r="2293" spans="1:41" ht="322" x14ac:dyDescent="0.25">
      <c r="A2293" s="243">
        <v>2105</v>
      </c>
      <c r="B2293" s="25" t="s">
        <v>3560</v>
      </c>
      <c r="C2293" s="22">
        <v>52.53</v>
      </c>
      <c r="D2293" s="23"/>
      <c r="E2293" s="23" t="s">
        <v>3562</v>
      </c>
      <c r="F2293" s="24" t="s">
        <v>44</v>
      </c>
      <c r="G2293" s="202" t="s">
        <v>621</v>
      </c>
      <c r="H2293" s="26">
        <v>4605</v>
      </c>
      <c r="I2293" s="26">
        <v>798</v>
      </c>
      <c r="J2293" s="31"/>
      <c r="K2293" s="31"/>
      <c r="L2293" s="31"/>
      <c r="M2293" s="31"/>
      <c r="N2293" s="31"/>
      <c r="O2293" s="31"/>
      <c r="P2293" s="31"/>
      <c r="Q2293" s="31"/>
      <c r="R2293" s="31"/>
      <c r="S2293" s="31"/>
      <c r="T2293" s="31"/>
      <c r="U2293" s="31"/>
      <c r="V2293" s="31"/>
      <c r="W2293" s="31"/>
      <c r="X2293" s="31"/>
      <c r="Y2293" s="31"/>
      <c r="Z2293" s="31"/>
      <c r="AA2293" s="31"/>
      <c r="AB2293" s="31"/>
      <c r="AC2293" s="31"/>
      <c r="AD2293" s="31"/>
      <c r="AE2293" s="31"/>
      <c r="AF2293" s="31"/>
      <c r="AG2293" s="31"/>
      <c r="AH2293" s="31"/>
      <c r="AI2293" s="31"/>
      <c r="AJ2293" s="31"/>
      <c r="AK2293" s="31"/>
      <c r="AL2293" s="28" t="str">
        <f>VLOOKUP($G2293,'[42]Sheet1 (2)'!$A$1:$B$1048440,2,FALSE)</f>
        <v>Sqm</v>
      </c>
      <c r="AM2293" s="32"/>
      <c r="AN2293" s="31"/>
      <c r="AO2293" s="33"/>
    </row>
    <row r="2294" spans="1:41" ht="17.5" x14ac:dyDescent="0.25">
      <c r="A2294" s="244"/>
      <c r="B2294" s="25"/>
      <c r="C2294" s="22"/>
      <c r="D2294" s="200"/>
      <c r="E2294" s="241" t="s">
        <v>3563</v>
      </c>
      <c r="F2294" s="166"/>
      <c r="G2294" s="206"/>
      <c r="H2294" s="167"/>
      <c r="I2294" s="167"/>
      <c r="J2294" s="31"/>
      <c r="K2294" s="31"/>
      <c r="L2294" s="31"/>
      <c r="M2294" s="31"/>
      <c r="N2294" s="31"/>
      <c r="O2294" s="31"/>
      <c r="P2294" s="31"/>
      <c r="Q2294" s="31"/>
      <c r="R2294" s="31"/>
      <c r="S2294" s="31"/>
      <c r="T2294" s="31"/>
      <c r="U2294" s="31"/>
      <c r="V2294" s="31"/>
      <c r="W2294" s="31"/>
      <c r="X2294" s="31"/>
      <c r="Y2294" s="31"/>
      <c r="Z2294" s="31"/>
      <c r="AA2294" s="31"/>
      <c r="AB2294" s="31"/>
      <c r="AC2294" s="31"/>
      <c r="AD2294" s="31"/>
      <c r="AE2294" s="31"/>
      <c r="AF2294" s="31"/>
      <c r="AG2294" s="31"/>
      <c r="AH2294" s="31"/>
      <c r="AI2294" s="31"/>
      <c r="AJ2294" s="31"/>
      <c r="AK2294" s="31"/>
      <c r="AL2294" s="28" t="e">
        <f>VLOOKUP($G2294,'[42]Sheet1 (2)'!$A$1:$B$1048440,2,FALSE)</f>
        <v>#N/A</v>
      </c>
      <c r="AM2294" s="32"/>
      <c r="AN2294" s="31"/>
      <c r="AO2294" s="33"/>
    </row>
    <row r="2295" spans="1:41" ht="238" x14ac:dyDescent="0.25">
      <c r="A2295" s="243">
        <v>2106</v>
      </c>
      <c r="B2295" s="25" t="s">
        <v>3564</v>
      </c>
      <c r="C2295" s="22">
        <v>53.01</v>
      </c>
      <c r="D2295" s="25" t="s">
        <v>1429</v>
      </c>
      <c r="E2295" s="24" t="s">
        <v>3565</v>
      </c>
      <c r="F2295" s="24" t="s">
        <v>3566</v>
      </c>
      <c r="G2295" s="25" t="s">
        <v>45</v>
      </c>
      <c r="H2295" s="103">
        <v>243</v>
      </c>
      <c r="I2295" s="103">
        <v>19</v>
      </c>
      <c r="J2295" s="31"/>
      <c r="K2295" s="31"/>
      <c r="L2295" s="31"/>
      <c r="M2295" s="31"/>
      <c r="N2295" s="31"/>
      <c r="O2295" s="31"/>
      <c r="P2295" s="31"/>
      <c r="Q2295" s="31"/>
      <c r="R2295" s="31"/>
      <c r="S2295" s="31"/>
      <c r="T2295" s="31"/>
      <c r="U2295" s="31"/>
      <c r="V2295" s="31"/>
      <c r="W2295" s="31"/>
      <c r="X2295" s="31"/>
      <c r="Y2295" s="31"/>
      <c r="Z2295" s="31"/>
      <c r="AA2295" s="31"/>
      <c r="AB2295" s="31"/>
      <c r="AC2295" s="31"/>
      <c r="AD2295" s="31"/>
      <c r="AE2295" s="31"/>
      <c r="AF2295" s="31"/>
      <c r="AG2295" s="31"/>
      <c r="AH2295" s="31"/>
      <c r="AI2295" s="31"/>
      <c r="AJ2295" s="31"/>
      <c r="AK2295" s="31"/>
      <c r="AL2295" s="28" t="str">
        <f>VLOOKUP($G2295,'[42]Sheet1 (2)'!$A$1:$B$1048440,2,FALSE)</f>
        <v>No.</v>
      </c>
      <c r="AM2295" s="32"/>
      <c r="AN2295" s="31"/>
      <c r="AO2295" s="33"/>
    </row>
    <row r="2296" spans="1:41" ht="238" x14ac:dyDescent="0.25">
      <c r="A2296" s="243">
        <v>2107</v>
      </c>
      <c r="B2296" s="25" t="s">
        <v>3564</v>
      </c>
      <c r="C2296" s="22">
        <v>53.02</v>
      </c>
      <c r="D2296" s="25" t="s">
        <v>1429</v>
      </c>
      <c r="E2296" s="24" t="s">
        <v>3567</v>
      </c>
      <c r="F2296" s="24" t="s">
        <v>3566</v>
      </c>
      <c r="G2296" s="25" t="s">
        <v>45</v>
      </c>
      <c r="H2296" s="103">
        <v>436</v>
      </c>
      <c r="I2296" s="103">
        <v>19</v>
      </c>
      <c r="J2296" s="31"/>
      <c r="K2296" s="31"/>
      <c r="L2296" s="31"/>
      <c r="M2296" s="31"/>
      <c r="N2296" s="31"/>
      <c r="O2296" s="31"/>
      <c r="P2296" s="31"/>
      <c r="Q2296" s="31"/>
      <c r="R2296" s="31"/>
      <c r="S2296" s="31"/>
      <c r="T2296" s="31"/>
      <c r="U2296" s="31"/>
      <c r="V2296" s="31"/>
      <c r="W2296" s="31"/>
      <c r="X2296" s="31"/>
      <c r="Y2296" s="31"/>
      <c r="Z2296" s="31"/>
      <c r="AA2296" s="31"/>
      <c r="AB2296" s="31"/>
      <c r="AC2296" s="31"/>
      <c r="AD2296" s="31"/>
      <c r="AE2296" s="31"/>
      <c r="AF2296" s="31"/>
      <c r="AG2296" s="31"/>
      <c r="AH2296" s="31"/>
      <c r="AI2296" s="31"/>
      <c r="AJ2296" s="31"/>
      <c r="AK2296" s="31"/>
      <c r="AL2296" s="28" t="str">
        <f>VLOOKUP($G2296,'[42]Sheet1 (2)'!$A$1:$B$1048440,2,FALSE)</f>
        <v>No.</v>
      </c>
      <c r="AM2296" s="32"/>
      <c r="AN2296" s="31"/>
      <c r="AO2296" s="33"/>
    </row>
    <row r="2297" spans="1:41" ht="238" x14ac:dyDescent="0.25">
      <c r="A2297" s="243">
        <v>2108</v>
      </c>
      <c r="B2297" s="25" t="s">
        <v>3564</v>
      </c>
      <c r="C2297" s="22">
        <v>53.03</v>
      </c>
      <c r="D2297" s="25" t="s">
        <v>1429</v>
      </c>
      <c r="E2297" s="24" t="s">
        <v>3568</v>
      </c>
      <c r="F2297" s="24" t="s">
        <v>3566</v>
      </c>
      <c r="G2297" s="25" t="s">
        <v>45</v>
      </c>
      <c r="H2297" s="103">
        <v>541</v>
      </c>
      <c r="I2297" s="103">
        <v>19</v>
      </c>
      <c r="J2297" s="31"/>
      <c r="K2297" s="31"/>
      <c r="L2297" s="31"/>
      <c r="M2297" s="31"/>
      <c r="N2297" s="31"/>
      <c r="O2297" s="31"/>
      <c r="P2297" s="31"/>
      <c r="Q2297" s="31"/>
      <c r="R2297" s="31"/>
      <c r="S2297" s="31"/>
      <c r="T2297" s="31"/>
      <c r="U2297" s="31"/>
      <c r="V2297" s="31"/>
      <c r="W2297" s="31"/>
      <c r="X2297" s="31"/>
      <c r="Y2297" s="31"/>
      <c r="Z2297" s="31"/>
      <c r="AA2297" s="31"/>
      <c r="AB2297" s="31"/>
      <c r="AC2297" s="31"/>
      <c r="AD2297" s="31"/>
      <c r="AE2297" s="31"/>
      <c r="AF2297" s="31"/>
      <c r="AG2297" s="31"/>
      <c r="AH2297" s="31"/>
      <c r="AI2297" s="31"/>
      <c r="AJ2297" s="31"/>
      <c r="AK2297" s="31"/>
      <c r="AL2297" s="28" t="str">
        <f>VLOOKUP($G2297,'[42]Sheet1 (2)'!$A$1:$B$1048440,2,FALSE)</f>
        <v>No.</v>
      </c>
      <c r="AM2297" s="32"/>
      <c r="AN2297" s="31"/>
      <c r="AO2297" s="33"/>
    </row>
    <row r="2298" spans="1:41" ht="238" x14ac:dyDescent="0.25">
      <c r="A2298" s="243">
        <v>2109</v>
      </c>
      <c r="B2298" s="25" t="s">
        <v>3564</v>
      </c>
      <c r="C2298" s="22">
        <v>53.04</v>
      </c>
      <c r="D2298" s="25" t="s">
        <v>1429</v>
      </c>
      <c r="E2298" s="24" t="s">
        <v>3569</v>
      </c>
      <c r="F2298" s="24" t="s">
        <v>3566</v>
      </c>
      <c r="G2298" s="25" t="s">
        <v>45</v>
      </c>
      <c r="H2298" s="103">
        <v>791</v>
      </c>
      <c r="I2298" s="103">
        <v>21</v>
      </c>
      <c r="J2298" s="31"/>
      <c r="K2298" s="31"/>
      <c r="L2298" s="31"/>
      <c r="M2298" s="31"/>
      <c r="N2298" s="31"/>
      <c r="O2298" s="31"/>
      <c r="P2298" s="31"/>
      <c r="Q2298" s="31"/>
      <c r="R2298" s="31"/>
      <c r="S2298" s="31"/>
      <c r="T2298" s="31"/>
      <c r="U2298" s="31"/>
      <c r="V2298" s="31"/>
      <c r="W2298" s="31"/>
      <c r="X2298" s="31"/>
      <c r="Y2298" s="31"/>
      <c r="Z2298" s="31"/>
      <c r="AA2298" s="31"/>
      <c r="AB2298" s="31"/>
      <c r="AC2298" s="31"/>
      <c r="AD2298" s="31"/>
      <c r="AE2298" s="31"/>
      <c r="AF2298" s="31"/>
      <c r="AG2298" s="31"/>
      <c r="AH2298" s="31"/>
      <c r="AI2298" s="31"/>
      <c r="AJ2298" s="31"/>
      <c r="AK2298" s="31"/>
      <c r="AL2298" s="28" t="str">
        <f>VLOOKUP($G2298,'[42]Sheet1 (2)'!$A$1:$B$1048440,2,FALSE)</f>
        <v>No.</v>
      </c>
      <c r="AM2298" s="32"/>
      <c r="AN2298" s="31"/>
      <c r="AO2298" s="33"/>
    </row>
    <row r="2299" spans="1:41" ht="238" x14ac:dyDescent="0.25">
      <c r="A2299" s="243">
        <v>2110</v>
      </c>
      <c r="B2299" s="25" t="s">
        <v>3564</v>
      </c>
      <c r="C2299" s="22">
        <v>53.05</v>
      </c>
      <c r="D2299" s="25" t="s">
        <v>1429</v>
      </c>
      <c r="E2299" s="24" t="s">
        <v>3570</v>
      </c>
      <c r="F2299" s="24" t="s">
        <v>3566</v>
      </c>
      <c r="G2299" s="25" t="s">
        <v>45</v>
      </c>
      <c r="H2299" s="26">
        <v>1179</v>
      </c>
      <c r="I2299" s="103">
        <v>23</v>
      </c>
      <c r="J2299" s="31"/>
      <c r="K2299" s="31"/>
      <c r="L2299" s="31"/>
      <c r="M2299" s="31"/>
      <c r="N2299" s="31"/>
      <c r="O2299" s="31"/>
      <c r="P2299" s="31"/>
      <c r="Q2299" s="31"/>
      <c r="R2299" s="31"/>
      <c r="S2299" s="31"/>
      <c r="T2299" s="31"/>
      <c r="U2299" s="31"/>
      <c r="V2299" s="31"/>
      <c r="W2299" s="31"/>
      <c r="X2299" s="31"/>
      <c r="Y2299" s="31"/>
      <c r="Z2299" s="31"/>
      <c r="AA2299" s="31"/>
      <c r="AB2299" s="31"/>
      <c r="AC2299" s="31"/>
      <c r="AD2299" s="31"/>
      <c r="AE2299" s="31"/>
      <c r="AF2299" s="31"/>
      <c r="AG2299" s="31"/>
      <c r="AH2299" s="31"/>
      <c r="AI2299" s="31"/>
      <c r="AJ2299" s="31"/>
      <c r="AK2299" s="31"/>
      <c r="AL2299" s="28" t="str">
        <f>VLOOKUP($G2299,'[42]Sheet1 (2)'!$A$1:$B$1048440,2,FALSE)</f>
        <v>No.</v>
      </c>
      <c r="AM2299" s="32"/>
      <c r="AN2299" s="31"/>
      <c r="AO2299" s="33"/>
    </row>
    <row r="2300" spans="1:41" ht="238" x14ac:dyDescent="0.25">
      <c r="A2300" s="243">
        <v>2111</v>
      </c>
      <c r="B2300" s="25" t="s">
        <v>3564</v>
      </c>
      <c r="C2300" s="22">
        <v>53.06</v>
      </c>
      <c r="D2300" s="25" t="s">
        <v>1429</v>
      </c>
      <c r="E2300" s="24" t="s">
        <v>3571</v>
      </c>
      <c r="F2300" s="24" t="s">
        <v>3566</v>
      </c>
      <c r="G2300" s="25" t="s">
        <v>45</v>
      </c>
      <c r="H2300" s="26">
        <v>3285</v>
      </c>
      <c r="I2300" s="103">
        <v>48</v>
      </c>
      <c r="J2300" s="31"/>
      <c r="K2300" s="31"/>
      <c r="L2300" s="31"/>
      <c r="M2300" s="31"/>
      <c r="N2300" s="31"/>
      <c r="O2300" s="31"/>
      <c r="P2300" s="31"/>
      <c r="Q2300" s="31"/>
      <c r="R2300" s="31"/>
      <c r="S2300" s="31"/>
      <c r="T2300" s="31"/>
      <c r="U2300" s="31"/>
      <c r="V2300" s="31"/>
      <c r="W2300" s="31"/>
      <c r="X2300" s="31"/>
      <c r="Y2300" s="31"/>
      <c r="Z2300" s="31"/>
      <c r="AA2300" s="31"/>
      <c r="AB2300" s="31"/>
      <c r="AC2300" s="31"/>
      <c r="AD2300" s="31"/>
      <c r="AE2300" s="31"/>
      <c r="AF2300" s="31"/>
      <c r="AG2300" s="31"/>
      <c r="AH2300" s="31"/>
      <c r="AI2300" s="31"/>
      <c r="AJ2300" s="31"/>
      <c r="AK2300" s="31"/>
      <c r="AL2300" s="28" t="str">
        <f>VLOOKUP($G2300,'[42]Sheet1 (2)'!$A$1:$B$1048440,2,FALSE)</f>
        <v>No.</v>
      </c>
      <c r="AM2300" s="32"/>
      <c r="AN2300" s="31"/>
      <c r="AO2300" s="33"/>
    </row>
    <row r="2301" spans="1:41" ht="238" x14ac:dyDescent="0.25">
      <c r="A2301" s="243">
        <v>2112</v>
      </c>
      <c r="B2301" s="25" t="s">
        <v>3564</v>
      </c>
      <c r="C2301" s="22">
        <v>53.07</v>
      </c>
      <c r="D2301" s="25" t="s">
        <v>1429</v>
      </c>
      <c r="E2301" s="24" t="s">
        <v>3572</v>
      </c>
      <c r="F2301" s="24" t="s">
        <v>3566</v>
      </c>
      <c r="G2301" s="25" t="s">
        <v>45</v>
      </c>
      <c r="H2301" s="26">
        <v>6240</v>
      </c>
      <c r="I2301" s="103">
        <v>64</v>
      </c>
      <c r="J2301" s="31"/>
      <c r="K2301" s="31"/>
      <c r="L2301" s="31"/>
      <c r="M2301" s="31"/>
      <c r="N2301" s="31"/>
      <c r="O2301" s="31"/>
      <c r="P2301" s="31"/>
      <c r="Q2301" s="31"/>
      <c r="R2301" s="31"/>
      <c r="S2301" s="31"/>
      <c r="T2301" s="31"/>
      <c r="U2301" s="31"/>
      <c r="V2301" s="31"/>
      <c r="W2301" s="31"/>
      <c r="X2301" s="31"/>
      <c r="Y2301" s="31"/>
      <c r="Z2301" s="31"/>
      <c r="AA2301" s="31"/>
      <c r="AB2301" s="31"/>
      <c r="AC2301" s="31"/>
      <c r="AD2301" s="31"/>
      <c r="AE2301" s="31"/>
      <c r="AF2301" s="31"/>
      <c r="AG2301" s="31"/>
      <c r="AH2301" s="31"/>
      <c r="AI2301" s="31"/>
      <c r="AJ2301" s="31"/>
      <c r="AK2301" s="31"/>
      <c r="AL2301" s="28" t="str">
        <f>VLOOKUP($G2301,'[42]Sheet1 (2)'!$A$1:$B$1048440,2,FALSE)</f>
        <v>No.</v>
      </c>
      <c r="AM2301" s="32"/>
      <c r="AN2301" s="31"/>
      <c r="AO2301" s="33"/>
    </row>
    <row r="2302" spans="1:41" ht="238" x14ac:dyDescent="0.25">
      <c r="A2302" s="243">
        <v>2113</v>
      </c>
      <c r="B2302" s="25" t="s">
        <v>3564</v>
      </c>
      <c r="C2302" s="22">
        <v>53.08</v>
      </c>
      <c r="D2302" s="25" t="s">
        <v>1429</v>
      </c>
      <c r="E2302" s="24" t="s">
        <v>3573</v>
      </c>
      <c r="F2302" s="24" t="s">
        <v>3566</v>
      </c>
      <c r="G2302" s="25" t="s">
        <v>45</v>
      </c>
      <c r="H2302" s="26">
        <v>218</v>
      </c>
      <c r="I2302" s="103">
        <v>19</v>
      </c>
      <c r="J2302" s="31"/>
      <c r="K2302" s="31"/>
      <c r="L2302" s="31"/>
      <c r="M2302" s="31"/>
      <c r="N2302" s="31"/>
      <c r="O2302" s="31"/>
      <c r="P2302" s="31"/>
      <c r="Q2302" s="31"/>
      <c r="R2302" s="31"/>
      <c r="S2302" s="31"/>
      <c r="T2302" s="31"/>
      <c r="U2302" s="31"/>
      <c r="V2302" s="31"/>
      <c r="W2302" s="31"/>
      <c r="X2302" s="31"/>
      <c r="Y2302" s="31"/>
      <c r="Z2302" s="31"/>
      <c r="AA2302" s="31"/>
      <c r="AB2302" s="31"/>
      <c r="AC2302" s="31"/>
      <c r="AD2302" s="31"/>
      <c r="AE2302" s="31"/>
      <c r="AF2302" s="31"/>
      <c r="AG2302" s="31"/>
      <c r="AH2302" s="31"/>
      <c r="AI2302" s="31"/>
      <c r="AJ2302" s="31"/>
      <c r="AK2302" s="31"/>
      <c r="AL2302" s="28" t="str">
        <f>VLOOKUP($G2302,'[42]Sheet1 (2)'!$A$1:$B$1048440,2,FALSE)</f>
        <v>No.</v>
      </c>
      <c r="AM2302" s="32"/>
      <c r="AN2302" s="31"/>
      <c r="AO2302" s="33"/>
    </row>
    <row r="2303" spans="1:41" ht="252" x14ac:dyDescent="0.25">
      <c r="A2303" s="243">
        <v>2114</v>
      </c>
      <c r="B2303" s="25" t="s">
        <v>3564</v>
      </c>
      <c r="C2303" s="22">
        <v>53.09</v>
      </c>
      <c r="D2303" s="25" t="s">
        <v>1429</v>
      </c>
      <c r="E2303" s="24" t="s">
        <v>3574</v>
      </c>
      <c r="F2303" s="24" t="s">
        <v>3566</v>
      </c>
      <c r="G2303" s="25" t="s">
        <v>45</v>
      </c>
      <c r="H2303" s="103">
        <v>392</v>
      </c>
      <c r="I2303" s="103">
        <v>19</v>
      </c>
      <c r="J2303" s="31"/>
      <c r="K2303" s="31"/>
      <c r="L2303" s="31"/>
      <c r="M2303" s="31"/>
      <c r="N2303" s="31"/>
      <c r="O2303" s="31"/>
      <c r="P2303" s="31"/>
      <c r="Q2303" s="31"/>
      <c r="R2303" s="31"/>
      <c r="S2303" s="31"/>
      <c r="T2303" s="31"/>
      <c r="U2303" s="31"/>
      <c r="V2303" s="31"/>
      <c r="W2303" s="31"/>
      <c r="X2303" s="31"/>
      <c r="Y2303" s="31"/>
      <c r="Z2303" s="31"/>
      <c r="AA2303" s="31"/>
      <c r="AB2303" s="31"/>
      <c r="AC2303" s="31"/>
      <c r="AD2303" s="31"/>
      <c r="AE2303" s="31"/>
      <c r="AF2303" s="31"/>
      <c r="AG2303" s="31"/>
      <c r="AH2303" s="31"/>
      <c r="AI2303" s="31"/>
      <c r="AJ2303" s="31"/>
      <c r="AK2303" s="31"/>
      <c r="AL2303" s="28" t="str">
        <f>VLOOKUP($G2303,'[42]Sheet1 (2)'!$A$1:$B$1048440,2,FALSE)</f>
        <v>No.</v>
      </c>
      <c r="AM2303" s="32"/>
      <c r="AN2303" s="31"/>
      <c r="AO2303" s="33"/>
    </row>
    <row r="2304" spans="1:41" ht="252" x14ac:dyDescent="0.25">
      <c r="A2304" s="243">
        <v>2115</v>
      </c>
      <c r="B2304" s="25" t="s">
        <v>3564</v>
      </c>
      <c r="C2304" s="22">
        <v>53.1</v>
      </c>
      <c r="D2304" s="25" t="s">
        <v>1429</v>
      </c>
      <c r="E2304" s="24" t="s">
        <v>3575</v>
      </c>
      <c r="F2304" s="24" t="s">
        <v>3566</v>
      </c>
      <c r="G2304" s="25" t="s">
        <v>45</v>
      </c>
      <c r="H2304" s="103">
        <v>480</v>
      </c>
      <c r="I2304" s="103">
        <v>19</v>
      </c>
      <c r="J2304" s="31"/>
      <c r="K2304" s="31"/>
      <c r="L2304" s="31"/>
      <c r="M2304" s="31"/>
      <c r="N2304" s="31"/>
      <c r="O2304" s="31"/>
      <c r="P2304" s="31"/>
      <c r="Q2304" s="31"/>
      <c r="R2304" s="31"/>
      <c r="S2304" s="31"/>
      <c r="T2304" s="31"/>
      <c r="U2304" s="31"/>
      <c r="V2304" s="31"/>
      <c r="W2304" s="31"/>
      <c r="X2304" s="31"/>
      <c r="Y2304" s="31"/>
      <c r="Z2304" s="31"/>
      <c r="AA2304" s="31"/>
      <c r="AB2304" s="31"/>
      <c r="AC2304" s="31"/>
      <c r="AD2304" s="31"/>
      <c r="AE2304" s="31"/>
      <c r="AF2304" s="31"/>
      <c r="AG2304" s="31"/>
      <c r="AH2304" s="31"/>
      <c r="AI2304" s="31"/>
      <c r="AJ2304" s="31"/>
      <c r="AK2304" s="31"/>
      <c r="AL2304" s="28" t="str">
        <f>VLOOKUP($G2304,'[42]Sheet1 (2)'!$A$1:$B$1048440,2,FALSE)</f>
        <v>No.</v>
      </c>
      <c r="AM2304" s="32"/>
      <c r="AN2304" s="31"/>
      <c r="AO2304" s="33"/>
    </row>
    <row r="2305" spans="1:41" ht="252" x14ac:dyDescent="0.25">
      <c r="A2305" s="243">
        <v>2116</v>
      </c>
      <c r="B2305" s="25" t="s">
        <v>3564</v>
      </c>
      <c r="C2305" s="22">
        <v>53.11</v>
      </c>
      <c r="D2305" s="25" t="s">
        <v>1429</v>
      </c>
      <c r="E2305" s="24" t="s">
        <v>3576</v>
      </c>
      <c r="F2305" s="24" t="s">
        <v>3566</v>
      </c>
      <c r="G2305" s="25" t="s">
        <v>45</v>
      </c>
      <c r="H2305" s="103">
        <v>663</v>
      </c>
      <c r="I2305" s="103">
        <v>21</v>
      </c>
      <c r="J2305" s="31"/>
      <c r="K2305" s="31"/>
      <c r="L2305" s="31"/>
      <c r="M2305" s="31"/>
      <c r="N2305" s="31"/>
      <c r="O2305" s="31"/>
      <c r="P2305" s="31"/>
      <c r="Q2305" s="31"/>
      <c r="R2305" s="31"/>
      <c r="S2305" s="31"/>
      <c r="T2305" s="31"/>
      <c r="U2305" s="31"/>
      <c r="V2305" s="31"/>
      <c r="W2305" s="31"/>
      <c r="X2305" s="31"/>
      <c r="Y2305" s="31"/>
      <c r="Z2305" s="31"/>
      <c r="AA2305" s="31"/>
      <c r="AB2305" s="31"/>
      <c r="AC2305" s="31"/>
      <c r="AD2305" s="31"/>
      <c r="AE2305" s="31"/>
      <c r="AF2305" s="31"/>
      <c r="AG2305" s="31"/>
      <c r="AH2305" s="31"/>
      <c r="AI2305" s="31"/>
      <c r="AJ2305" s="31"/>
      <c r="AK2305" s="31"/>
      <c r="AL2305" s="28" t="str">
        <f>VLOOKUP($G2305,'[42]Sheet1 (2)'!$A$1:$B$1048440,2,FALSE)</f>
        <v>No.</v>
      </c>
      <c r="AM2305" s="32"/>
      <c r="AN2305" s="31"/>
      <c r="AO2305" s="33"/>
    </row>
    <row r="2306" spans="1:41" ht="238" x14ac:dyDescent="0.25">
      <c r="A2306" s="243">
        <v>2117</v>
      </c>
      <c r="B2306" s="25" t="s">
        <v>3564</v>
      </c>
      <c r="C2306" s="22">
        <v>53.12</v>
      </c>
      <c r="D2306" s="25" t="s">
        <v>1429</v>
      </c>
      <c r="E2306" s="24" t="s">
        <v>3577</v>
      </c>
      <c r="F2306" s="24" t="s">
        <v>3566</v>
      </c>
      <c r="G2306" s="25" t="s">
        <v>45</v>
      </c>
      <c r="H2306" s="103">
        <v>892</v>
      </c>
      <c r="I2306" s="103">
        <v>23</v>
      </c>
      <c r="J2306" s="31"/>
      <c r="K2306" s="31"/>
      <c r="L2306" s="31"/>
      <c r="M2306" s="31"/>
      <c r="N2306" s="31"/>
      <c r="O2306" s="31"/>
      <c r="P2306" s="31"/>
      <c r="Q2306" s="31"/>
      <c r="R2306" s="31"/>
      <c r="S2306" s="31"/>
      <c r="T2306" s="31"/>
      <c r="U2306" s="31"/>
      <c r="V2306" s="31"/>
      <c r="W2306" s="31"/>
      <c r="X2306" s="31"/>
      <c r="Y2306" s="31"/>
      <c r="Z2306" s="31"/>
      <c r="AA2306" s="31"/>
      <c r="AB2306" s="31"/>
      <c r="AC2306" s="31"/>
      <c r="AD2306" s="31"/>
      <c r="AE2306" s="31"/>
      <c r="AF2306" s="31"/>
      <c r="AG2306" s="31"/>
      <c r="AH2306" s="31"/>
      <c r="AI2306" s="31"/>
      <c r="AJ2306" s="31"/>
      <c r="AK2306" s="31"/>
      <c r="AL2306" s="28" t="str">
        <f>VLOOKUP($G2306,'[42]Sheet1 (2)'!$A$1:$B$1048440,2,FALSE)</f>
        <v>No.</v>
      </c>
      <c r="AM2306" s="32"/>
      <c r="AN2306" s="31"/>
      <c r="AO2306" s="33"/>
    </row>
    <row r="2307" spans="1:41" ht="252" x14ac:dyDescent="0.25">
      <c r="A2307" s="243">
        <v>2118</v>
      </c>
      <c r="B2307" s="25" t="s">
        <v>3564</v>
      </c>
      <c r="C2307" s="22">
        <v>53.13</v>
      </c>
      <c r="D2307" s="25" t="s">
        <v>1429</v>
      </c>
      <c r="E2307" s="24" t="s">
        <v>3578</v>
      </c>
      <c r="F2307" s="24" t="s">
        <v>3566</v>
      </c>
      <c r="G2307" s="25" t="s">
        <v>45</v>
      </c>
      <c r="H2307" s="26">
        <v>2240</v>
      </c>
      <c r="I2307" s="26">
        <v>75</v>
      </c>
      <c r="J2307" s="31"/>
      <c r="K2307" s="31"/>
      <c r="L2307" s="31"/>
      <c r="M2307" s="31"/>
      <c r="N2307" s="31"/>
      <c r="O2307" s="31"/>
      <c r="P2307" s="31"/>
      <c r="Q2307" s="31"/>
      <c r="R2307" s="31"/>
      <c r="S2307" s="31"/>
      <c r="T2307" s="31"/>
      <c r="U2307" s="31"/>
      <c r="V2307" s="31"/>
      <c r="W2307" s="31"/>
      <c r="X2307" s="31"/>
      <c r="Y2307" s="31"/>
      <c r="Z2307" s="31"/>
      <c r="AA2307" s="31"/>
      <c r="AB2307" s="31"/>
      <c r="AC2307" s="31"/>
      <c r="AD2307" s="31"/>
      <c r="AE2307" s="31"/>
      <c r="AF2307" s="31"/>
      <c r="AG2307" s="31"/>
      <c r="AH2307" s="31"/>
      <c r="AI2307" s="31"/>
      <c r="AJ2307" s="31"/>
      <c r="AK2307" s="31"/>
      <c r="AL2307" s="28" t="str">
        <f>VLOOKUP($G2307,'[42]Sheet1 (2)'!$A$1:$B$1048440,2,FALSE)</f>
        <v>No.</v>
      </c>
      <c r="AM2307" s="32"/>
      <c r="AN2307" s="31"/>
      <c r="AO2307" s="33"/>
    </row>
    <row r="2308" spans="1:41" ht="336" x14ac:dyDescent="0.25">
      <c r="A2308" s="243">
        <v>2119</v>
      </c>
      <c r="B2308" s="25" t="s">
        <v>3564</v>
      </c>
      <c r="C2308" s="22">
        <v>53.14</v>
      </c>
      <c r="D2308" s="25" t="s">
        <v>1429</v>
      </c>
      <c r="E2308" s="24" t="s">
        <v>3579</v>
      </c>
      <c r="F2308" s="24" t="s">
        <v>3566</v>
      </c>
      <c r="G2308" s="25" t="s">
        <v>45</v>
      </c>
      <c r="H2308" s="26">
        <v>149</v>
      </c>
      <c r="I2308" s="26">
        <v>7</v>
      </c>
      <c r="J2308" s="31"/>
      <c r="K2308" s="31"/>
      <c r="L2308" s="31"/>
      <c r="M2308" s="31"/>
      <c r="N2308" s="31"/>
      <c r="O2308" s="31"/>
      <c r="P2308" s="31"/>
      <c r="Q2308" s="31"/>
      <c r="R2308" s="31"/>
      <c r="S2308" s="31"/>
      <c r="T2308" s="31"/>
      <c r="U2308" s="31"/>
      <c r="V2308" s="31"/>
      <c r="W2308" s="31"/>
      <c r="X2308" s="31"/>
      <c r="Y2308" s="31"/>
      <c r="Z2308" s="31"/>
      <c r="AA2308" s="31"/>
      <c r="AB2308" s="31"/>
      <c r="AC2308" s="31"/>
      <c r="AD2308" s="31"/>
      <c r="AE2308" s="31"/>
      <c r="AF2308" s="31"/>
      <c r="AG2308" s="31"/>
      <c r="AH2308" s="31"/>
      <c r="AI2308" s="31"/>
      <c r="AJ2308" s="31"/>
      <c r="AK2308" s="31"/>
      <c r="AL2308" s="28" t="str">
        <f>VLOOKUP($G2308,'[42]Sheet1 (2)'!$A$1:$B$1048440,2,FALSE)</f>
        <v>No.</v>
      </c>
      <c r="AM2308" s="32"/>
      <c r="AN2308" s="31"/>
      <c r="AO2308" s="33"/>
    </row>
    <row r="2309" spans="1:41" ht="336" x14ac:dyDescent="0.25">
      <c r="A2309" s="243">
        <v>2120</v>
      </c>
      <c r="B2309" s="25" t="s">
        <v>3564</v>
      </c>
      <c r="C2309" s="22">
        <v>53.15</v>
      </c>
      <c r="D2309" s="25" t="s">
        <v>1429</v>
      </c>
      <c r="E2309" s="24" t="s">
        <v>3580</v>
      </c>
      <c r="F2309" s="24" t="s">
        <v>3566</v>
      </c>
      <c r="G2309" s="25" t="s">
        <v>45</v>
      </c>
      <c r="H2309" s="103">
        <v>379</v>
      </c>
      <c r="I2309" s="26">
        <v>7</v>
      </c>
      <c r="J2309" s="31"/>
      <c r="K2309" s="31"/>
      <c r="L2309" s="31"/>
      <c r="M2309" s="31"/>
      <c r="N2309" s="31"/>
      <c r="O2309" s="31"/>
      <c r="P2309" s="31"/>
      <c r="Q2309" s="31"/>
      <c r="R2309" s="31"/>
      <c r="S2309" s="31"/>
      <c r="T2309" s="31"/>
      <c r="U2309" s="31"/>
      <c r="V2309" s="31"/>
      <c r="W2309" s="31"/>
      <c r="X2309" s="31"/>
      <c r="Y2309" s="31"/>
      <c r="Z2309" s="31"/>
      <c r="AA2309" s="31"/>
      <c r="AB2309" s="31"/>
      <c r="AC2309" s="31"/>
      <c r="AD2309" s="31"/>
      <c r="AE2309" s="31"/>
      <c r="AF2309" s="31"/>
      <c r="AG2309" s="31"/>
      <c r="AH2309" s="31"/>
      <c r="AI2309" s="31"/>
      <c r="AJ2309" s="31"/>
      <c r="AK2309" s="31"/>
      <c r="AL2309" s="28" t="str">
        <f>VLOOKUP($G2309,'[42]Sheet1 (2)'!$A$1:$B$1048440,2,FALSE)</f>
        <v>No.</v>
      </c>
      <c r="AM2309" s="32"/>
      <c r="AN2309" s="31"/>
      <c r="AO2309" s="33"/>
    </row>
    <row r="2310" spans="1:41" ht="336" x14ac:dyDescent="0.25">
      <c r="A2310" s="243">
        <v>2121</v>
      </c>
      <c r="B2310" s="25" t="s">
        <v>3564</v>
      </c>
      <c r="C2310" s="22">
        <v>53.16</v>
      </c>
      <c r="D2310" s="25" t="s">
        <v>1429</v>
      </c>
      <c r="E2310" s="24" t="s">
        <v>3581</v>
      </c>
      <c r="F2310" s="24" t="s">
        <v>3566</v>
      </c>
      <c r="G2310" s="25" t="s">
        <v>45</v>
      </c>
      <c r="H2310" s="103">
        <v>224</v>
      </c>
      <c r="I2310" s="26">
        <v>7</v>
      </c>
      <c r="J2310" s="31"/>
      <c r="K2310" s="31"/>
      <c r="L2310" s="31"/>
      <c r="M2310" s="31"/>
      <c r="N2310" s="31"/>
      <c r="O2310" s="31"/>
      <c r="P2310" s="31"/>
      <c r="Q2310" s="31"/>
      <c r="R2310" s="31"/>
      <c r="S2310" s="31"/>
      <c r="T2310" s="31"/>
      <c r="U2310" s="31"/>
      <c r="V2310" s="31"/>
      <c r="W2310" s="31"/>
      <c r="X2310" s="31"/>
      <c r="Y2310" s="31"/>
      <c r="Z2310" s="31"/>
      <c r="AA2310" s="31"/>
      <c r="AB2310" s="31"/>
      <c r="AC2310" s="31"/>
      <c r="AD2310" s="31"/>
      <c r="AE2310" s="31"/>
      <c r="AF2310" s="31"/>
      <c r="AG2310" s="31"/>
      <c r="AH2310" s="31"/>
      <c r="AI2310" s="31"/>
      <c r="AJ2310" s="31"/>
      <c r="AK2310" s="31"/>
      <c r="AL2310" s="28" t="str">
        <f>VLOOKUP($G2310,'[42]Sheet1 (2)'!$A$1:$B$1048440,2,FALSE)</f>
        <v>No.</v>
      </c>
      <c r="AM2310" s="32"/>
      <c r="AN2310" s="31"/>
      <c r="AO2310" s="33"/>
    </row>
    <row r="2311" spans="1:41" ht="336" x14ac:dyDescent="0.25">
      <c r="A2311" s="243">
        <v>2122</v>
      </c>
      <c r="B2311" s="25" t="s">
        <v>3564</v>
      </c>
      <c r="C2311" s="22">
        <v>53.17</v>
      </c>
      <c r="D2311" s="25" t="s">
        <v>1429</v>
      </c>
      <c r="E2311" s="24" t="s">
        <v>3582</v>
      </c>
      <c r="F2311" s="24" t="s">
        <v>3566</v>
      </c>
      <c r="G2311" s="25" t="s">
        <v>45</v>
      </c>
      <c r="H2311" s="103">
        <v>467</v>
      </c>
      <c r="I2311" s="26">
        <v>7</v>
      </c>
      <c r="J2311" s="31"/>
      <c r="K2311" s="31"/>
      <c r="L2311" s="31"/>
      <c r="M2311" s="31"/>
      <c r="N2311" s="31"/>
      <c r="O2311" s="31"/>
      <c r="P2311" s="31"/>
      <c r="Q2311" s="31"/>
      <c r="R2311" s="31"/>
      <c r="S2311" s="31"/>
      <c r="T2311" s="31"/>
      <c r="U2311" s="31"/>
      <c r="V2311" s="31"/>
      <c r="W2311" s="31"/>
      <c r="X2311" s="31"/>
      <c r="Y2311" s="31"/>
      <c r="Z2311" s="31"/>
      <c r="AA2311" s="31"/>
      <c r="AB2311" s="31"/>
      <c r="AC2311" s="31"/>
      <c r="AD2311" s="31"/>
      <c r="AE2311" s="31"/>
      <c r="AF2311" s="31"/>
      <c r="AG2311" s="31"/>
      <c r="AH2311" s="31"/>
      <c r="AI2311" s="31"/>
      <c r="AJ2311" s="31"/>
      <c r="AK2311" s="31"/>
      <c r="AL2311" s="28" t="str">
        <f>VLOOKUP($G2311,'[42]Sheet1 (2)'!$A$1:$B$1048440,2,FALSE)</f>
        <v>No.</v>
      </c>
      <c r="AM2311" s="32"/>
      <c r="AN2311" s="31"/>
      <c r="AO2311" s="33"/>
    </row>
    <row r="2312" spans="1:41" ht="336" x14ac:dyDescent="0.25">
      <c r="A2312" s="243">
        <v>2123</v>
      </c>
      <c r="B2312" s="25" t="s">
        <v>3564</v>
      </c>
      <c r="C2312" s="22">
        <v>53.18</v>
      </c>
      <c r="D2312" s="25" t="s">
        <v>1429</v>
      </c>
      <c r="E2312" s="24" t="s">
        <v>3583</v>
      </c>
      <c r="F2312" s="24" t="s">
        <v>3566</v>
      </c>
      <c r="G2312" s="25" t="s">
        <v>45</v>
      </c>
      <c r="H2312" s="103">
        <v>238</v>
      </c>
      <c r="I2312" s="26">
        <v>7</v>
      </c>
      <c r="J2312" s="31"/>
      <c r="K2312" s="31"/>
      <c r="L2312" s="31"/>
      <c r="M2312" s="31"/>
      <c r="N2312" s="31"/>
      <c r="O2312" s="31"/>
      <c r="P2312" s="31"/>
      <c r="Q2312" s="31"/>
      <c r="R2312" s="31"/>
      <c r="S2312" s="31"/>
      <c r="T2312" s="31"/>
      <c r="U2312" s="31"/>
      <c r="V2312" s="31"/>
      <c r="W2312" s="31"/>
      <c r="X2312" s="31"/>
      <c r="Y2312" s="31"/>
      <c r="Z2312" s="31"/>
      <c r="AA2312" s="31"/>
      <c r="AB2312" s="31"/>
      <c r="AC2312" s="31"/>
      <c r="AD2312" s="31"/>
      <c r="AE2312" s="31"/>
      <c r="AF2312" s="31"/>
      <c r="AG2312" s="31"/>
      <c r="AH2312" s="31"/>
      <c r="AI2312" s="31"/>
      <c r="AJ2312" s="31"/>
      <c r="AK2312" s="31"/>
      <c r="AL2312" s="28" t="str">
        <f>VLOOKUP($G2312,'[42]Sheet1 (2)'!$A$1:$B$1048440,2,FALSE)</f>
        <v>No.</v>
      </c>
      <c r="AM2312" s="32"/>
      <c r="AN2312" s="31"/>
      <c r="AO2312" s="33"/>
    </row>
    <row r="2313" spans="1:41" ht="336" x14ac:dyDescent="0.25">
      <c r="A2313" s="243">
        <v>2124</v>
      </c>
      <c r="B2313" s="25" t="s">
        <v>3564</v>
      </c>
      <c r="C2313" s="22">
        <v>53.19</v>
      </c>
      <c r="D2313" s="25" t="s">
        <v>1429</v>
      </c>
      <c r="E2313" s="24" t="s">
        <v>3584</v>
      </c>
      <c r="F2313" s="24" t="s">
        <v>3566</v>
      </c>
      <c r="G2313" s="25" t="s">
        <v>45</v>
      </c>
      <c r="H2313" s="103">
        <v>716</v>
      </c>
      <c r="I2313" s="26">
        <v>7</v>
      </c>
      <c r="J2313" s="31"/>
      <c r="K2313" s="31"/>
      <c r="L2313" s="31"/>
      <c r="M2313" s="31"/>
      <c r="N2313" s="31"/>
      <c r="O2313" s="31"/>
      <c r="P2313" s="31"/>
      <c r="Q2313" s="31"/>
      <c r="R2313" s="31"/>
      <c r="S2313" s="31"/>
      <c r="T2313" s="31"/>
      <c r="U2313" s="31"/>
      <c r="V2313" s="31"/>
      <c r="W2313" s="31"/>
      <c r="X2313" s="31"/>
      <c r="Y2313" s="31"/>
      <c r="Z2313" s="31"/>
      <c r="AA2313" s="31"/>
      <c r="AB2313" s="31"/>
      <c r="AC2313" s="31"/>
      <c r="AD2313" s="31"/>
      <c r="AE2313" s="31"/>
      <c r="AF2313" s="31"/>
      <c r="AG2313" s="31"/>
      <c r="AH2313" s="31"/>
      <c r="AI2313" s="31"/>
      <c r="AJ2313" s="31"/>
      <c r="AK2313" s="31"/>
      <c r="AL2313" s="28" t="str">
        <f>VLOOKUP($G2313,'[42]Sheet1 (2)'!$A$1:$B$1048440,2,FALSE)</f>
        <v>No.</v>
      </c>
      <c r="AM2313" s="32"/>
      <c r="AN2313" s="31"/>
      <c r="AO2313" s="33"/>
    </row>
    <row r="2314" spans="1:41" ht="336" x14ac:dyDescent="0.25">
      <c r="A2314" s="243">
        <v>2125</v>
      </c>
      <c r="B2314" s="25" t="s">
        <v>3564</v>
      </c>
      <c r="C2314" s="22">
        <v>53.2</v>
      </c>
      <c r="D2314" s="25" t="s">
        <v>1429</v>
      </c>
      <c r="E2314" s="24" t="s">
        <v>3585</v>
      </c>
      <c r="F2314" s="24" t="s">
        <v>3566</v>
      </c>
      <c r="G2314" s="25" t="s">
        <v>45</v>
      </c>
      <c r="H2314" s="103">
        <v>464</v>
      </c>
      <c r="I2314" s="26">
        <v>7</v>
      </c>
      <c r="J2314" s="31"/>
      <c r="K2314" s="31"/>
      <c r="L2314" s="31"/>
      <c r="M2314" s="31"/>
      <c r="N2314" s="31"/>
      <c r="O2314" s="31"/>
      <c r="P2314" s="31"/>
      <c r="Q2314" s="31"/>
      <c r="R2314" s="31"/>
      <c r="S2314" s="31"/>
      <c r="T2314" s="31"/>
      <c r="U2314" s="31"/>
      <c r="V2314" s="31"/>
      <c r="W2314" s="31"/>
      <c r="X2314" s="31"/>
      <c r="Y2314" s="31"/>
      <c r="Z2314" s="31"/>
      <c r="AA2314" s="31"/>
      <c r="AB2314" s="31"/>
      <c r="AC2314" s="31"/>
      <c r="AD2314" s="31"/>
      <c r="AE2314" s="31"/>
      <c r="AF2314" s="31"/>
      <c r="AG2314" s="31"/>
      <c r="AH2314" s="31"/>
      <c r="AI2314" s="31"/>
      <c r="AJ2314" s="31"/>
      <c r="AK2314" s="31"/>
      <c r="AL2314" s="28" t="str">
        <f>VLOOKUP($G2314,'[42]Sheet1 (2)'!$A$1:$B$1048440,2,FALSE)</f>
        <v>No.</v>
      </c>
      <c r="AM2314" s="32"/>
      <c r="AN2314" s="31"/>
      <c r="AO2314" s="33"/>
    </row>
    <row r="2315" spans="1:41" ht="336" x14ac:dyDescent="0.25">
      <c r="A2315" s="243">
        <v>2126</v>
      </c>
      <c r="B2315" s="25" t="s">
        <v>3564</v>
      </c>
      <c r="C2315" s="22">
        <v>53.21</v>
      </c>
      <c r="D2315" s="25" t="s">
        <v>1429</v>
      </c>
      <c r="E2315" s="24" t="s">
        <v>3586</v>
      </c>
      <c r="F2315" s="24" t="s">
        <v>3566</v>
      </c>
      <c r="G2315" s="25" t="s">
        <v>45</v>
      </c>
      <c r="H2315" s="26">
        <v>1112</v>
      </c>
      <c r="I2315" s="26">
        <v>9</v>
      </c>
      <c r="J2315" s="31"/>
      <c r="K2315" s="31"/>
      <c r="L2315" s="31"/>
      <c r="M2315" s="31"/>
      <c r="N2315" s="31"/>
      <c r="O2315" s="31"/>
      <c r="P2315" s="31"/>
      <c r="Q2315" s="31"/>
      <c r="R2315" s="31"/>
      <c r="S2315" s="31"/>
      <c r="T2315" s="31"/>
      <c r="U2315" s="31"/>
      <c r="V2315" s="31"/>
      <c r="W2315" s="31"/>
      <c r="X2315" s="31"/>
      <c r="Y2315" s="31"/>
      <c r="Z2315" s="31"/>
      <c r="AA2315" s="31"/>
      <c r="AB2315" s="31"/>
      <c r="AC2315" s="31"/>
      <c r="AD2315" s="31"/>
      <c r="AE2315" s="31"/>
      <c r="AF2315" s="31"/>
      <c r="AG2315" s="31"/>
      <c r="AH2315" s="31"/>
      <c r="AI2315" s="31"/>
      <c r="AJ2315" s="31"/>
      <c r="AK2315" s="31"/>
      <c r="AL2315" s="28" t="str">
        <f>VLOOKUP($G2315,'[42]Sheet1 (2)'!$A$1:$B$1048440,2,FALSE)</f>
        <v>No.</v>
      </c>
      <c r="AM2315" s="32"/>
      <c r="AN2315" s="31"/>
      <c r="AO2315" s="33"/>
    </row>
    <row r="2316" spans="1:41" ht="336" x14ac:dyDescent="0.25">
      <c r="A2316" s="243">
        <v>2127</v>
      </c>
      <c r="B2316" s="25" t="s">
        <v>3564</v>
      </c>
      <c r="C2316" s="22">
        <v>53.22</v>
      </c>
      <c r="D2316" s="25" t="s">
        <v>1429</v>
      </c>
      <c r="E2316" s="24" t="s">
        <v>3587</v>
      </c>
      <c r="F2316" s="24" t="s">
        <v>3566</v>
      </c>
      <c r="G2316" s="25" t="s">
        <v>45</v>
      </c>
      <c r="H2316" s="26">
        <v>785</v>
      </c>
      <c r="I2316" s="26">
        <v>11</v>
      </c>
      <c r="J2316" s="31"/>
      <c r="K2316" s="31"/>
      <c r="L2316" s="31"/>
      <c r="M2316" s="31"/>
      <c r="N2316" s="31"/>
      <c r="O2316" s="31"/>
      <c r="P2316" s="31"/>
      <c r="Q2316" s="31"/>
      <c r="R2316" s="31"/>
      <c r="S2316" s="31"/>
      <c r="T2316" s="31"/>
      <c r="U2316" s="31"/>
      <c r="V2316" s="31"/>
      <c r="W2316" s="31"/>
      <c r="X2316" s="31"/>
      <c r="Y2316" s="31"/>
      <c r="Z2316" s="31"/>
      <c r="AA2316" s="31"/>
      <c r="AB2316" s="31"/>
      <c r="AC2316" s="31"/>
      <c r="AD2316" s="31"/>
      <c r="AE2316" s="31"/>
      <c r="AF2316" s="31"/>
      <c r="AG2316" s="31"/>
      <c r="AH2316" s="31"/>
      <c r="AI2316" s="31"/>
      <c r="AJ2316" s="31"/>
      <c r="AK2316" s="31"/>
      <c r="AL2316" s="28" t="str">
        <f>VLOOKUP($G2316,'[42]Sheet1 (2)'!$A$1:$B$1048440,2,FALSE)</f>
        <v>No.</v>
      </c>
      <c r="AM2316" s="32"/>
      <c r="AN2316" s="31"/>
      <c r="AO2316" s="33"/>
    </row>
    <row r="2317" spans="1:41" ht="336" x14ac:dyDescent="0.25">
      <c r="A2317" s="243">
        <v>2128</v>
      </c>
      <c r="B2317" s="25" t="s">
        <v>3564</v>
      </c>
      <c r="C2317" s="22">
        <v>53.23</v>
      </c>
      <c r="D2317" s="25" t="s">
        <v>1429</v>
      </c>
      <c r="E2317" s="24" t="s">
        <v>3588</v>
      </c>
      <c r="F2317" s="24" t="s">
        <v>3566</v>
      </c>
      <c r="G2317" s="25" t="s">
        <v>45</v>
      </c>
      <c r="H2317" s="26">
        <v>2581</v>
      </c>
      <c r="I2317" s="103">
        <v>11</v>
      </c>
      <c r="J2317" s="31"/>
      <c r="K2317" s="31"/>
      <c r="L2317" s="31"/>
      <c r="M2317" s="31"/>
      <c r="N2317" s="31"/>
      <c r="O2317" s="31"/>
      <c r="P2317" s="31"/>
      <c r="Q2317" s="31"/>
      <c r="R2317" s="31"/>
      <c r="S2317" s="31"/>
      <c r="T2317" s="31"/>
      <c r="U2317" s="31"/>
      <c r="V2317" s="31"/>
      <c r="W2317" s="31"/>
      <c r="X2317" s="31"/>
      <c r="Y2317" s="31"/>
      <c r="Z2317" s="31"/>
      <c r="AA2317" s="31"/>
      <c r="AB2317" s="31"/>
      <c r="AC2317" s="31"/>
      <c r="AD2317" s="31"/>
      <c r="AE2317" s="31"/>
      <c r="AF2317" s="31"/>
      <c r="AG2317" s="31"/>
      <c r="AH2317" s="31"/>
      <c r="AI2317" s="31"/>
      <c r="AJ2317" s="31"/>
      <c r="AK2317" s="31"/>
      <c r="AL2317" s="28" t="str">
        <f>VLOOKUP($G2317,'[42]Sheet1 (2)'!$A$1:$B$1048440,2,FALSE)</f>
        <v>No.</v>
      </c>
      <c r="AM2317" s="32"/>
      <c r="AN2317" s="31"/>
      <c r="AO2317" s="33"/>
    </row>
    <row r="2318" spans="1:41" ht="336" x14ac:dyDescent="0.25">
      <c r="A2318" s="243">
        <v>2129</v>
      </c>
      <c r="B2318" s="25" t="s">
        <v>3564</v>
      </c>
      <c r="C2318" s="22">
        <v>53.24</v>
      </c>
      <c r="D2318" s="25" t="s">
        <v>1429</v>
      </c>
      <c r="E2318" s="24" t="s">
        <v>3589</v>
      </c>
      <c r="F2318" s="24" t="s">
        <v>3566</v>
      </c>
      <c r="G2318" s="25" t="s">
        <v>45</v>
      </c>
      <c r="H2318" s="26">
        <v>144</v>
      </c>
      <c r="I2318" s="103">
        <v>38</v>
      </c>
      <c r="J2318" s="31"/>
      <c r="K2318" s="31"/>
      <c r="L2318" s="31"/>
      <c r="M2318" s="31"/>
      <c r="N2318" s="31"/>
      <c r="O2318" s="31"/>
      <c r="P2318" s="31"/>
      <c r="Q2318" s="31"/>
      <c r="R2318" s="31"/>
      <c r="S2318" s="31"/>
      <c r="T2318" s="31"/>
      <c r="U2318" s="31"/>
      <c r="V2318" s="31"/>
      <c r="W2318" s="31"/>
      <c r="X2318" s="31"/>
      <c r="Y2318" s="31"/>
      <c r="Z2318" s="31"/>
      <c r="AA2318" s="31"/>
      <c r="AB2318" s="31"/>
      <c r="AC2318" s="31"/>
      <c r="AD2318" s="31"/>
      <c r="AE2318" s="31"/>
      <c r="AF2318" s="31"/>
      <c r="AG2318" s="31"/>
      <c r="AH2318" s="31"/>
      <c r="AI2318" s="31"/>
      <c r="AJ2318" s="31"/>
      <c r="AK2318" s="31"/>
      <c r="AL2318" s="28" t="str">
        <f>VLOOKUP($G2318,'[42]Sheet1 (2)'!$A$1:$B$1048440,2,FALSE)</f>
        <v>No.</v>
      </c>
      <c r="AM2318" s="32"/>
      <c r="AN2318" s="31"/>
      <c r="AO2318" s="33"/>
    </row>
    <row r="2319" spans="1:41" ht="336" x14ac:dyDescent="0.25">
      <c r="A2319" s="243">
        <v>2130</v>
      </c>
      <c r="B2319" s="25" t="s">
        <v>3564</v>
      </c>
      <c r="C2319" s="22">
        <v>53.25</v>
      </c>
      <c r="D2319" s="25" t="s">
        <v>1429</v>
      </c>
      <c r="E2319" s="24" t="s">
        <v>3590</v>
      </c>
      <c r="F2319" s="24" t="s">
        <v>3566</v>
      </c>
      <c r="G2319" s="25" t="s">
        <v>45</v>
      </c>
      <c r="H2319" s="26">
        <v>3326</v>
      </c>
      <c r="I2319" s="26">
        <v>13</v>
      </c>
      <c r="J2319" s="31"/>
      <c r="K2319" s="31"/>
      <c r="L2319" s="31"/>
      <c r="M2319" s="31"/>
      <c r="N2319" s="31"/>
      <c r="O2319" s="31"/>
      <c r="P2319" s="31"/>
      <c r="Q2319" s="31"/>
      <c r="R2319" s="31"/>
      <c r="S2319" s="31"/>
      <c r="T2319" s="31"/>
      <c r="U2319" s="31"/>
      <c r="V2319" s="31"/>
      <c r="W2319" s="31"/>
      <c r="X2319" s="31"/>
      <c r="Y2319" s="31"/>
      <c r="Z2319" s="31"/>
      <c r="AA2319" s="31"/>
      <c r="AB2319" s="31"/>
      <c r="AC2319" s="31"/>
      <c r="AD2319" s="31"/>
      <c r="AE2319" s="31"/>
      <c r="AF2319" s="31"/>
      <c r="AG2319" s="31"/>
      <c r="AH2319" s="31"/>
      <c r="AI2319" s="31"/>
      <c r="AJ2319" s="31"/>
      <c r="AK2319" s="31"/>
      <c r="AL2319" s="28" t="str">
        <f>VLOOKUP($G2319,'[42]Sheet1 (2)'!$A$1:$B$1048440,2,FALSE)</f>
        <v>No.</v>
      </c>
      <c r="AM2319" s="32"/>
      <c r="AN2319" s="31"/>
      <c r="AO2319" s="33"/>
    </row>
    <row r="2320" spans="1:41" ht="238" x14ac:dyDescent="0.25">
      <c r="A2320" s="243">
        <v>2131</v>
      </c>
      <c r="B2320" s="25" t="s">
        <v>3564</v>
      </c>
      <c r="C2320" s="22">
        <v>53.26</v>
      </c>
      <c r="D2320" s="25" t="s">
        <v>1429</v>
      </c>
      <c r="E2320" s="24" t="s">
        <v>3591</v>
      </c>
      <c r="F2320" s="24" t="s">
        <v>3566</v>
      </c>
      <c r="G2320" s="25" t="s">
        <v>45</v>
      </c>
      <c r="H2320" s="26">
        <v>390</v>
      </c>
      <c r="I2320" s="26">
        <v>8</v>
      </c>
      <c r="J2320" s="31"/>
      <c r="K2320" s="31"/>
      <c r="L2320" s="31"/>
      <c r="M2320" s="31"/>
      <c r="N2320" s="31"/>
      <c r="O2320" s="31"/>
      <c r="P2320" s="31"/>
      <c r="Q2320" s="31"/>
      <c r="R2320" s="31"/>
      <c r="S2320" s="31"/>
      <c r="T2320" s="31"/>
      <c r="U2320" s="31"/>
      <c r="V2320" s="31"/>
      <c r="W2320" s="31"/>
      <c r="X2320" s="31"/>
      <c r="Y2320" s="31"/>
      <c r="Z2320" s="31"/>
      <c r="AA2320" s="31"/>
      <c r="AB2320" s="31"/>
      <c r="AC2320" s="31"/>
      <c r="AD2320" s="31"/>
      <c r="AE2320" s="31"/>
      <c r="AF2320" s="31"/>
      <c r="AG2320" s="31"/>
      <c r="AH2320" s="31"/>
      <c r="AI2320" s="31"/>
      <c r="AJ2320" s="31"/>
      <c r="AK2320" s="31"/>
      <c r="AL2320" s="28" t="str">
        <f>VLOOKUP($G2320,'[42]Sheet1 (2)'!$A$1:$B$1048440,2,FALSE)</f>
        <v>No.</v>
      </c>
      <c r="AM2320" s="32"/>
      <c r="AN2320" s="31"/>
      <c r="AO2320" s="33"/>
    </row>
    <row r="2321" spans="1:41" ht="238" x14ac:dyDescent="0.25">
      <c r="A2321" s="243">
        <v>2132</v>
      </c>
      <c r="B2321" s="25" t="s">
        <v>3564</v>
      </c>
      <c r="C2321" s="22">
        <v>53.27</v>
      </c>
      <c r="D2321" s="25" t="s">
        <v>1429</v>
      </c>
      <c r="E2321" s="24" t="s">
        <v>3592</v>
      </c>
      <c r="F2321" s="24" t="s">
        <v>3566</v>
      </c>
      <c r="G2321" s="25" t="s">
        <v>45</v>
      </c>
      <c r="H2321" s="26">
        <v>584</v>
      </c>
      <c r="I2321" s="26">
        <v>8</v>
      </c>
      <c r="J2321" s="31"/>
      <c r="K2321" s="31"/>
      <c r="L2321" s="31"/>
      <c r="M2321" s="31"/>
      <c r="N2321" s="31"/>
      <c r="O2321" s="31"/>
      <c r="P2321" s="31"/>
      <c r="Q2321" s="31"/>
      <c r="R2321" s="31"/>
      <c r="S2321" s="31"/>
      <c r="T2321" s="31"/>
      <c r="U2321" s="31"/>
      <c r="V2321" s="31"/>
      <c r="W2321" s="31"/>
      <c r="X2321" s="31"/>
      <c r="Y2321" s="31"/>
      <c r="Z2321" s="31"/>
      <c r="AA2321" s="31"/>
      <c r="AB2321" s="31"/>
      <c r="AC2321" s="31"/>
      <c r="AD2321" s="31"/>
      <c r="AE2321" s="31"/>
      <c r="AF2321" s="31"/>
      <c r="AG2321" s="31"/>
      <c r="AH2321" s="31"/>
      <c r="AI2321" s="31"/>
      <c r="AJ2321" s="31"/>
      <c r="AK2321" s="31"/>
      <c r="AL2321" s="28" t="str">
        <f>VLOOKUP($G2321,'[42]Sheet1 (2)'!$A$1:$B$1048440,2,FALSE)</f>
        <v>No.</v>
      </c>
      <c r="AM2321" s="32"/>
      <c r="AN2321" s="31"/>
      <c r="AO2321" s="33"/>
    </row>
    <row r="2322" spans="1:41" ht="224" x14ac:dyDescent="0.25">
      <c r="A2322" s="243">
        <v>2133</v>
      </c>
      <c r="B2322" s="25" t="s">
        <v>3564</v>
      </c>
      <c r="C2322" s="22">
        <v>53.28</v>
      </c>
      <c r="D2322" s="25" t="s">
        <v>1429</v>
      </c>
      <c r="E2322" s="24" t="s">
        <v>3593</v>
      </c>
      <c r="F2322" s="24" t="s">
        <v>3566</v>
      </c>
      <c r="G2322" s="25" t="s">
        <v>45</v>
      </c>
      <c r="H2322" s="26">
        <v>926</v>
      </c>
      <c r="I2322" s="26">
        <v>9</v>
      </c>
      <c r="J2322" s="31"/>
      <c r="K2322" s="31"/>
      <c r="L2322" s="31"/>
      <c r="M2322" s="31"/>
      <c r="N2322" s="31"/>
      <c r="O2322" s="31"/>
      <c r="P2322" s="31"/>
      <c r="Q2322" s="31"/>
      <c r="R2322" s="31"/>
      <c r="S2322" s="31"/>
      <c r="T2322" s="31"/>
      <c r="U2322" s="31"/>
      <c r="V2322" s="31"/>
      <c r="W2322" s="31"/>
      <c r="X2322" s="31"/>
      <c r="Y2322" s="31"/>
      <c r="Z2322" s="31"/>
      <c r="AA2322" s="31"/>
      <c r="AB2322" s="31"/>
      <c r="AC2322" s="31"/>
      <c r="AD2322" s="31"/>
      <c r="AE2322" s="31"/>
      <c r="AF2322" s="31"/>
      <c r="AG2322" s="31"/>
      <c r="AH2322" s="31"/>
      <c r="AI2322" s="31"/>
      <c r="AJ2322" s="31"/>
      <c r="AK2322" s="31"/>
      <c r="AL2322" s="28" t="str">
        <f>VLOOKUP($G2322,'[42]Sheet1 (2)'!$A$1:$B$1048440,2,FALSE)</f>
        <v>No.</v>
      </c>
      <c r="AM2322" s="32"/>
      <c r="AN2322" s="31"/>
      <c r="AO2322" s="33"/>
    </row>
    <row r="2323" spans="1:41" ht="224" x14ac:dyDescent="0.25">
      <c r="A2323" s="243">
        <v>2134</v>
      </c>
      <c r="B2323" s="25" t="s">
        <v>3564</v>
      </c>
      <c r="C2323" s="22">
        <v>53.29</v>
      </c>
      <c r="D2323" s="25" t="s">
        <v>1429</v>
      </c>
      <c r="E2323" s="24" t="s">
        <v>3594</v>
      </c>
      <c r="F2323" s="24" t="s">
        <v>3566</v>
      </c>
      <c r="G2323" s="25" t="s">
        <v>45</v>
      </c>
      <c r="H2323" s="26">
        <v>1561</v>
      </c>
      <c r="I2323" s="26">
        <v>11</v>
      </c>
      <c r="J2323" s="31"/>
      <c r="K2323" s="31"/>
      <c r="L2323" s="31"/>
      <c r="M2323" s="31"/>
      <c r="N2323" s="31"/>
      <c r="O2323" s="31"/>
      <c r="P2323" s="31"/>
      <c r="Q2323" s="31"/>
      <c r="R2323" s="31"/>
      <c r="S2323" s="31"/>
      <c r="T2323" s="31"/>
      <c r="U2323" s="31"/>
      <c r="V2323" s="31"/>
      <c r="W2323" s="31"/>
      <c r="X2323" s="31"/>
      <c r="Y2323" s="31"/>
      <c r="Z2323" s="31"/>
      <c r="AA2323" s="31"/>
      <c r="AB2323" s="31"/>
      <c r="AC2323" s="31"/>
      <c r="AD2323" s="31"/>
      <c r="AE2323" s="31"/>
      <c r="AF2323" s="31"/>
      <c r="AG2323" s="31"/>
      <c r="AH2323" s="31"/>
      <c r="AI2323" s="31"/>
      <c r="AJ2323" s="31"/>
      <c r="AK2323" s="31"/>
      <c r="AL2323" s="28" t="str">
        <f>VLOOKUP($G2323,'[42]Sheet1 (2)'!$A$1:$B$1048440,2,FALSE)</f>
        <v>No.</v>
      </c>
      <c r="AM2323" s="32"/>
      <c r="AN2323" s="31"/>
      <c r="AO2323" s="33"/>
    </row>
    <row r="2324" spans="1:41" ht="224" x14ac:dyDescent="0.25">
      <c r="A2324" s="243">
        <v>2135</v>
      </c>
      <c r="B2324" s="25" t="s">
        <v>3564</v>
      </c>
      <c r="C2324" s="22">
        <v>53.3</v>
      </c>
      <c r="D2324" s="25" t="s">
        <v>1429</v>
      </c>
      <c r="E2324" s="24" t="s">
        <v>3595</v>
      </c>
      <c r="F2324" s="24" t="s">
        <v>3566</v>
      </c>
      <c r="G2324" s="25" t="s">
        <v>45</v>
      </c>
      <c r="H2324" s="26">
        <v>2132</v>
      </c>
      <c r="I2324" s="103">
        <v>14</v>
      </c>
      <c r="J2324" s="31"/>
      <c r="K2324" s="31"/>
      <c r="L2324" s="31"/>
      <c r="M2324" s="31"/>
      <c r="N2324" s="31"/>
      <c r="O2324" s="31"/>
      <c r="P2324" s="31"/>
      <c r="Q2324" s="31"/>
      <c r="R2324" s="31"/>
      <c r="S2324" s="31"/>
      <c r="T2324" s="31"/>
      <c r="U2324" s="31"/>
      <c r="V2324" s="31"/>
      <c r="W2324" s="31"/>
      <c r="X2324" s="31"/>
      <c r="Y2324" s="31"/>
      <c r="Z2324" s="31"/>
      <c r="AA2324" s="31"/>
      <c r="AB2324" s="31"/>
      <c r="AC2324" s="31"/>
      <c r="AD2324" s="31"/>
      <c r="AE2324" s="31"/>
      <c r="AF2324" s="31"/>
      <c r="AG2324" s="31"/>
      <c r="AH2324" s="31"/>
      <c r="AI2324" s="31"/>
      <c r="AJ2324" s="31"/>
      <c r="AK2324" s="31"/>
      <c r="AL2324" s="28" t="str">
        <f>VLOOKUP($G2324,'[42]Sheet1 (2)'!$A$1:$B$1048440,2,FALSE)</f>
        <v>No.</v>
      </c>
      <c r="AM2324" s="32"/>
      <c r="AN2324" s="31"/>
      <c r="AO2324" s="33"/>
    </row>
    <row r="2325" spans="1:41" ht="224" x14ac:dyDescent="0.25">
      <c r="A2325" s="243">
        <v>2136</v>
      </c>
      <c r="B2325" s="25" t="s">
        <v>3564</v>
      </c>
      <c r="C2325" s="22">
        <v>53.31</v>
      </c>
      <c r="D2325" s="25" t="s">
        <v>1429</v>
      </c>
      <c r="E2325" s="24" t="s">
        <v>3596</v>
      </c>
      <c r="F2325" s="24" t="s">
        <v>3566</v>
      </c>
      <c r="G2325" s="25" t="s">
        <v>45</v>
      </c>
      <c r="H2325" s="26">
        <v>6300</v>
      </c>
      <c r="I2325" s="103">
        <v>19</v>
      </c>
      <c r="J2325" s="31"/>
      <c r="K2325" s="31"/>
      <c r="L2325" s="31"/>
      <c r="M2325" s="31"/>
      <c r="N2325" s="31"/>
      <c r="O2325" s="31"/>
      <c r="P2325" s="31"/>
      <c r="Q2325" s="31"/>
      <c r="R2325" s="31"/>
      <c r="S2325" s="31"/>
      <c r="T2325" s="31"/>
      <c r="U2325" s="31"/>
      <c r="V2325" s="31"/>
      <c r="W2325" s="31"/>
      <c r="X2325" s="31"/>
      <c r="Y2325" s="31"/>
      <c r="Z2325" s="31"/>
      <c r="AA2325" s="31"/>
      <c r="AB2325" s="31"/>
      <c r="AC2325" s="31"/>
      <c r="AD2325" s="31"/>
      <c r="AE2325" s="31"/>
      <c r="AF2325" s="31"/>
      <c r="AG2325" s="31"/>
      <c r="AH2325" s="31"/>
      <c r="AI2325" s="31"/>
      <c r="AJ2325" s="31"/>
      <c r="AK2325" s="31"/>
      <c r="AL2325" s="28" t="str">
        <f>VLOOKUP($G2325,'[42]Sheet1 (2)'!$A$1:$B$1048440,2,FALSE)</f>
        <v>No.</v>
      </c>
      <c r="AM2325" s="32"/>
      <c r="AN2325" s="31"/>
      <c r="AO2325" s="33"/>
    </row>
    <row r="2326" spans="1:41" ht="409.5" x14ac:dyDescent="0.25">
      <c r="A2326" s="243">
        <v>2137</v>
      </c>
      <c r="B2326" s="25" t="s">
        <v>3597</v>
      </c>
      <c r="C2326" s="203">
        <v>53.32</v>
      </c>
      <c r="D2326" s="24" t="s">
        <v>44</v>
      </c>
      <c r="E2326" s="24" t="s">
        <v>3598</v>
      </c>
      <c r="F2326" s="24" t="s">
        <v>44</v>
      </c>
      <c r="G2326" s="202" t="s">
        <v>621</v>
      </c>
      <c r="H2326" s="20">
        <v>6585</v>
      </c>
      <c r="I2326" s="26">
        <v>301</v>
      </c>
      <c r="J2326" s="31"/>
      <c r="K2326" s="31"/>
      <c r="L2326" s="31"/>
      <c r="M2326" s="31"/>
      <c r="N2326" s="31"/>
      <c r="O2326" s="31"/>
      <c r="P2326" s="31"/>
      <c r="Q2326" s="31"/>
      <c r="R2326" s="31"/>
      <c r="S2326" s="31"/>
      <c r="T2326" s="31"/>
      <c r="U2326" s="31"/>
      <c r="V2326" s="31"/>
      <c r="W2326" s="31"/>
      <c r="X2326" s="31"/>
      <c r="Y2326" s="31"/>
      <c r="Z2326" s="31"/>
      <c r="AA2326" s="31"/>
      <c r="AB2326" s="31"/>
      <c r="AC2326" s="31"/>
      <c r="AD2326" s="31"/>
      <c r="AE2326" s="31"/>
      <c r="AF2326" s="31"/>
      <c r="AG2326" s="31"/>
      <c r="AH2326" s="31"/>
      <c r="AI2326" s="31"/>
      <c r="AJ2326" s="31"/>
      <c r="AK2326" s="31"/>
      <c r="AL2326" s="28" t="str">
        <f>VLOOKUP($G2326,'[42]Sheet1 (2)'!$A$1:$B$1048440,2,FALSE)</f>
        <v>Sqm</v>
      </c>
      <c r="AM2326" s="32"/>
      <c r="AN2326" s="31"/>
      <c r="AO2326" s="33"/>
    </row>
    <row r="2327" spans="1:41" ht="409.5" x14ac:dyDescent="0.25">
      <c r="A2327" s="243">
        <v>2138</v>
      </c>
      <c r="B2327" s="25" t="s">
        <v>3597</v>
      </c>
      <c r="C2327" s="203">
        <v>53.33</v>
      </c>
      <c r="D2327" s="24" t="s">
        <v>44</v>
      </c>
      <c r="E2327" s="24" t="s">
        <v>3599</v>
      </c>
      <c r="F2327" s="24" t="s">
        <v>44</v>
      </c>
      <c r="G2327" s="202" t="s">
        <v>621</v>
      </c>
      <c r="H2327" s="20">
        <v>7632</v>
      </c>
      <c r="I2327" s="26">
        <v>301</v>
      </c>
      <c r="J2327" s="31"/>
      <c r="K2327" s="31"/>
      <c r="L2327" s="31"/>
      <c r="M2327" s="31"/>
      <c r="N2327" s="31"/>
      <c r="O2327" s="31"/>
      <c r="P2327" s="31"/>
      <c r="Q2327" s="31"/>
      <c r="R2327" s="31"/>
      <c r="S2327" s="31"/>
      <c r="T2327" s="31"/>
      <c r="U2327" s="31"/>
      <c r="V2327" s="31"/>
      <c r="W2327" s="31"/>
      <c r="X2327" s="31"/>
      <c r="Y2327" s="31"/>
      <c r="Z2327" s="31"/>
      <c r="AA2327" s="31"/>
      <c r="AB2327" s="31"/>
      <c r="AC2327" s="31"/>
      <c r="AD2327" s="31"/>
      <c r="AE2327" s="31"/>
      <c r="AF2327" s="31"/>
      <c r="AG2327" s="31"/>
      <c r="AH2327" s="31"/>
      <c r="AI2327" s="31"/>
      <c r="AJ2327" s="31"/>
      <c r="AK2327" s="31"/>
      <c r="AL2327" s="28" t="str">
        <f>VLOOKUP($G2327,'[42]Sheet1 (2)'!$A$1:$B$1048440,2,FALSE)</f>
        <v>Sqm</v>
      </c>
      <c r="AM2327" s="32"/>
      <c r="AN2327" s="31"/>
      <c r="AO2327" s="33"/>
    </row>
    <row r="2328" spans="1:41" ht="409.5" x14ac:dyDescent="0.25">
      <c r="A2328" s="243">
        <v>2139</v>
      </c>
      <c r="B2328" s="25" t="s">
        <v>3597</v>
      </c>
      <c r="C2328" s="203">
        <v>53.34</v>
      </c>
      <c r="D2328" s="24" t="s">
        <v>44</v>
      </c>
      <c r="E2328" s="23" t="s">
        <v>3600</v>
      </c>
      <c r="F2328" s="24" t="s">
        <v>44</v>
      </c>
      <c r="G2328" s="202" t="s">
        <v>621</v>
      </c>
      <c r="H2328" s="20">
        <v>6511</v>
      </c>
      <c r="I2328" s="26">
        <v>376</v>
      </c>
      <c r="J2328" s="31"/>
      <c r="K2328" s="31"/>
      <c r="L2328" s="31"/>
      <c r="M2328" s="31"/>
      <c r="N2328" s="31"/>
      <c r="O2328" s="31"/>
      <c r="P2328" s="31"/>
      <c r="Q2328" s="31"/>
      <c r="R2328" s="31"/>
      <c r="S2328" s="31"/>
      <c r="T2328" s="31"/>
      <c r="U2328" s="31"/>
      <c r="V2328" s="31"/>
      <c r="W2328" s="31"/>
      <c r="X2328" s="31"/>
      <c r="Y2328" s="31"/>
      <c r="Z2328" s="31"/>
      <c r="AA2328" s="31"/>
      <c r="AB2328" s="31"/>
      <c r="AC2328" s="31"/>
      <c r="AD2328" s="31"/>
      <c r="AE2328" s="31"/>
      <c r="AF2328" s="31"/>
      <c r="AG2328" s="31"/>
      <c r="AH2328" s="31"/>
      <c r="AI2328" s="31"/>
      <c r="AJ2328" s="31"/>
      <c r="AK2328" s="31"/>
      <c r="AL2328" s="28" t="str">
        <f>VLOOKUP($G2328,'[42]Sheet1 (2)'!$A$1:$B$1048440,2,FALSE)</f>
        <v>Sqm</v>
      </c>
      <c r="AM2328" s="32"/>
      <c r="AN2328" s="31"/>
      <c r="AO2328" s="33"/>
    </row>
    <row r="2329" spans="1:41" ht="409.5" x14ac:dyDescent="0.25">
      <c r="A2329" s="23"/>
      <c r="B2329" s="23"/>
      <c r="C2329" s="23"/>
      <c r="D2329" s="23"/>
      <c r="E2329" s="24" t="s">
        <v>3601</v>
      </c>
      <c r="F2329" s="23"/>
      <c r="G2329" s="202" t="s">
        <v>621</v>
      </c>
      <c r="H2329" s="23"/>
      <c r="I2329" s="23"/>
      <c r="J2329" s="31"/>
      <c r="K2329" s="31"/>
      <c r="L2329" s="31"/>
      <c r="M2329" s="31"/>
      <c r="N2329" s="31"/>
      <c r="O2329" s="31"/>
      <c r="P2329" s="31"/>
      <c r="Q2329" s="31"/>
      <c r="R2329" s="31"/>
      <c r="S2329" s="31"/>
      <c r="T2329" s="31"/>
      <c r="U2329" s="31"/>
      <c r="V2329" s="31"/>
      <c r="W2329" s="31"/>
      <c r="X2329" s="31"/>
      <c r="Y2329" s="31"/>
      <c r="Z2329" s="31"/>
      <c r="AA2329" s="31"/>
      <c r="AB2329" s="31"/>
      <c r="AC2329" s="31"/>
      <c r="AD2329" s="31"/>
      <c r="AE2329" s="31"/>
      <c r="AF2329" s="31"/>
      <c r="AG2329" s="31"/>
      <c r="AH2329" s="31"/>
      <c r="AI2329" s="31"/>
      <c r="AJ2329" s="31"/>
      <c r="AK2329" s="31"/>
      <c r="AL2329" s="28" t="str">
        <f>VLOOKUP($G2329,'[42]Sheet1 (2)'!$A$1:$B$1048440,2,FALSE)</f>
        <v>Sqm</v>
      </c>
      <c r="AM2329" s="32"/>
      <c r="AN2329" s="31"/>
      <c r="AO2329" s="33"/>
    </row>
    <row r="2330" spans="1:41" ht="409.5" x14ac:dyDescent="0.25">
      <c r="A2330" s="243">
        <v>2140</v>
      </c>
      <c r="B2330" s="25" t="s">
        <v>3597</v>
      </c>
      <c r="C2330" s="203">
        <v>52.35</v>
      </c>
      <c r="D2330" s="24" t="s">
        <v>44</v>
      </c>
      <c r="E2330" s="23" t="s">
        <v>3602</v>
      </c>
      <c r="F2330" s="24" t="s">
        <v>44</v>
      </c>
      <c r="G2330" s="202" t="s">
        <v>621</v>
      </c>
      <c r="H2330" s="20">
        <v>13131</v>
      </c>
      <c r="I2330" s="26">
        <v>301</v>
      </c>
      <c r="J2330" s="31"/>
      <c r="K2330" s="31"/>
      <c r="L2330" s="31"/>
      <c r="M2330" s="31"/>
      <c r="N2330" s="31"/>
      <c r="O2330" s="31"/>
      <c r="P2330" s="31"/>
      <c r="Q2330" s="31"/>
      <c r="R2330" s="31"/>
      <c r="S2330" s="31"/>
      <c r="T2330" s="31"/>
      <c r="U2330" s="31"/>
      <c r="V2330" s="31"/>
      <c r="W2330" s="31"/>
      <c r="X2330" s="31"/>
      <c r="Y2330" s="31"/>
      <c r="Z2330" s="31"/>
      <c r="AA2330" s="31"/>
      <c r="AB2330" s="31"/>
      <c r="AC2330" s="31"/>
      <c r="AD2330" s="31"/>
      <c r="AE2330" s="31"/>
      <c r="AF2330" s="31"/>
      <c r="AG2330" s="31"/>
      <c r="AH2330" s="31"/>
      <c r="AI2330" s="31"/>
      <c r="AJ2330" s="31"/>
      <c r="AK2330" s="31"/>
      <c r="AL2330" s="28" t="str">
        <f>VLOOKUP($G2330,'[42]Sheet1 (2)'!$A$1:$B$1048440,2,FALSE)</f>
        <v>Sqm</v>
      </c>
      <c r="AM2330" s="32"/>
      <c r="AN2330" s="31"/>
      <c r="AO2330" s="33"/>
    </row>
    <row r="2331" spans="1:41" ht="308" x14ac:dyDescent="0.25">
      <c r="A2331" s="23"/>
      <c r="B2331" s="23"/>
      <c r="C2331" s="23"/>
      <c r="D2331" s="23"/>
      <c r="E2331" s="24" t="s">
        <v>3603</v>
      </c>
      <c r="F2331" s="23"/>
      <c r="G2331" s="202" t="s">
        <v>621</v>
      </c>
      <c r="H2331" s="23"/>
      <c r="I2331" s="23"/>
      <c r="J2331" s="31"/>
      <c r="K2331" s="31"/>
      <c r="L2331" s="31"/>
      <c r="M2331" s="31"/>
      <c r="N2331" s="31"/>
      <c r="O2331" s="31"/>
      <c r="P2331" s="31"/>
      <c r="Q2331" s="31"/>
      <c r="R2331" s="31"/>
      <c r="S2331" s="31"/>
      <c r="T2331" s="31"/>
      <c r="U2331" s="31"/>
      <c r="V2331" s="31"/>
      <c r="W2331" s="31"/>
      <c r="X2331" s="31"/>
      <c r="Y2331" s="31"/>
      <c r="Z2331" s="31"/>
      <c r="AA2331" s="31"/>
      <c r="AB2331" s="31"/>
      <c r="AC2331" s="31"/>
      <c r="AD2331" s="31"/>
      <c r="AE2331" s="31"/>
      <c r="AF2331" s="31"/>
      <c r="AG2331" s="31"/>
      <c r="AH2331" s="31"/>
      <c r="AI2331" s="31"/>
      <c r="AJ2331" s="31"/>
      <c r="AK2331" s="31"/>
      <c r="AL2331" s="28" t="str">
        <f>VLOOKUP($G2331,'[42]Sheet1 (2)'!$A$1:$B$1048440,2,FALSE)</f>
        <v>Sqm</v>
      </c>
      <c r="AM2331" s="32"/>
      <c r="AN2331" s="31"/>
      <c r="AO2331" s="33"/>
    </row>
    <row r="2332" spans="1:41" ht="409.5" x14ac:dyDescent="0.25">
      <c r="A2332" s="243">
        <v>2141</v>
      </c>
      <c r="B2332" s="25" t="s">
        <v>3597</v>
      </c>
      <c r="C2332" s="203">
        <v>53.36</v>
      </c>
      <c r="D2332" s="24" t="s">
        <v>44</v>
      </c>
      <c r="E2332" s="24" t="s">
        <v>3604</v>
      </c>
      <c r="F2332" s="24" t="s">
        <v>44</v>
      </c>
      <c r="G2332" s="202" t="s">
        <v>621</v>
      </c>
      <c r="H2332" s="20">
        <v>3530</v>
      </c>
      <c r="I2332" s="26">
        <v>301</v>
      </c>
      <c r="J2332" s="31"/>
      <c r="K2332" s="31"/>
      <c r="L2332" s="31"/>
      <c r="M2332" s="31"/>
      <c r="N2332" s="31"/>
      <c r="O2332" s="31"/>
      <c r="P2332" s="31"/>
      <c r="Q2332" s="31"/>
      <c r="R2332" s="31"/>
      <c r="S2332" s="31"/>
      <c r="T2332" s="31"/>
      <c r="U2332" s="31"/>
      <c r="V2332" s="31"/>
      <c r="W2332" s="31"/>
      <c r="X2332" s="31"/>
      <c r="Y2332" s="31"/>
      <c r="Z2332" s="31"/>
      <c r="AA2332" s="31"/>
      <c r="AB2332" s="31"/>
      <c r="AC2332" s="31"/>
      <c r="AD2332" s="31"/>
      <c r="AE2332" s="31"/>
      <c r="AF2332" s="31"/>
      <c r="AG2332" s="31"/>
      <c r="AH2332" s="31"/>
      <c r="AI2332" s="31"/>
      <c r="AJ2332" s="31"/>
      <c r="AK2332" s="31"/>
      <c r="AL2332" s="28" t="str">
        <f>VLOOKUP($G2332,'[42]Sheet1 (2)'!$A$1:$B$1048440,2,FALSE)</f>
        <v>Sqm</v>
      </c>
      <c r="AM2332" s="32"/>
      <c r="AN2332" s="31"/>
      <c r="AO2332" s="33"/>
    </row>
    <row r="2333" spans="1:41" ht="378" x14ac:dyDescent="0.25">
      <c r="A2333" s="353">
        <v>2142</v>
      </c>
      <c r="B2333" s="338" t="s">
        <v>3597</v>
      </c>
      <c r="C2333" s="356">
        <v>53.37</v>
      </c>
      <c r="D2333" s="358" t="s">
        <v>44</v>
      </c>
      <c r="E2333" s="249" t="s">
        <v>3605</v>
      </c>
      <c r="F2333" s="358" t="s">
        <v>44</v>
      </c>
      <c r="G2333" s="202" t="s">
        <v>621</v>
      </c>
      <c r="H2333" s="360">
        <v>17457</v>
      </c>
      <c r="I2333" s="362">
        <v>301</v>
      </c>
      <c r="J2333" s="31"/>
      <c r="K2333" s="31"/>
      <c r="L2333" s="31"/>
      <c r="M2333" s="31"/>
      <c r="N2333" s="31"/>
      <c r="O2333" s="31"/>
      <c r="P2333" s="31"/>
      <c r="Q2333" s="31"/>
      <c r="R2333" s="31"/>
      <c r="S2333" s="31"/>
      <c r="T2333" s="31"/>
      <c r="U2333" s="31"/>
      <c r="V2333" s="31"/>
      <c r="W2333" s="31"/>
      <c r="X2333" s="31"/>
      <c r="Y2333" s="31"/>
      <c r="Z2333" s="31"/>
      <c r="AA2333" s="31"/>
      <c r="AB2333" s="31"/>
      <c r="AC2333" s="31"/>
      <c r="AD2333" s="31"/>
      <c r="AE2333" s="31"/>
      <c r="AF2333" s="31"/>
      <c r="AG2333" s="31"/>
      <c r="AH2333" s="31"/>
      <c r="AI2333" s="31"/>
      <c r="AJ2333" s="31"/>
      <c r="AK2333" s="31"/>
      <c r="AL2333" s="28" t="str">
        <f>VLOOKUP($G2333,'[42]Sheet1 (2)'!$A$1:$B$1048440,2,FALSE)</f>
        <v>Sqm</v>
      </c>
      <c r="AM2333" s="32"/>
      <c r="AN2333" s="31"/>
      <c r="AO2333" s="33"/>
    </row>
    <row r="2334" spans="1:41" ht="294" x14ac:dyDescent="0.25">
      <c r="A2334" s="354"/>
      <c r="B2334" s="355"/>
      <c r="C2334" s="357"/>
      <c r="D2334" s="359"/>
      <c r="E2334" s="255" t="s">
        <v>3606</v>
      </c>
      <c r="F2334" s="359"/>
      <c r="G2334" s="202" t="s">
        <v>621</v>
      </c>
      <c r="H2334" s="361"/>
      <c r="I2334" s="363"/>
      <c r="J2334" s="31"/>
      <c r="K2334" s="31"/>
      <c r="L2334" s="31"/>
      <c r="M2334" s="31"/>
      <c r="N2334" s="31"/>
      <c r="O2334" s="31"/>
      <c r="P2334" s="31"/>
      <c r="Q2334" s="31"/>
      <c r="R2334" s="31"/>
      <c r="S2334" s="31"/>
      <c r="T2334" s="31"/>
      <c r="U2334" s="31"/>
      <c r="V2334" s="31"/>
      <c r="W2334" s="31"/>
      <c r="X2334" s="31"/>
      <c r="Y2334" s="31"/>
      <c r="Z2334" s="31"/>
      <c r="AA2334" s="31"/>
      <c r="AB2334" s="31"/>
      <c r="AC2334" s="31"/>
      <c r="AD2334" s="31"/>
      <c r="AE2334" s="31"/>
      <c r="AF2334" s="31"/>
      <c r="AG2334" s="31"/>
      <c r="AH2334" s="31"/>
      <c r="AI2334" s="31"/>
      <c r="AJ2334" s="31"/>
      <c r="AK2334" s="31"/>
      <c r="AL2334" s="28" t="str">
        <f>VLOOKUP($G2334,'[42]Sheet1 (2)'!$A$1:$B$1048440,2,FALSE)</f>
        <v>Sqm</v>
      </c>
      <c r="AM2334" s="32"/>
      <c r="AN2334" s="31"/>
      <c r="AO2334" s="33"/>
    </row>
    <row r="2335" spans="1:41" ht="409.5" x14ac:dyDescent="0.25">
      <c r="A2335" s="243">
        <v>2143</v>
      </c>
      <c r="B2335" s="25" t="s">
        <v>3597</v>
      </c>
      <c r="C2335" s="203">
        <v>53.38</v>
      </c>
      <c r="D2335" s="24" t="s">
        <v>44</v>
      </c>
      <c r="E2335" s="23" t="s">
        <v>3607</v>
      </c>
      <c r="F2335" s="24" t="s">
        <v>44</v>
      </c>
      <c r="G2335" s="202" t="s">
        <v>621</v>
      </c>
      <c r="H2335" s="20">
        <v>17751</v>
      </c>
      <c r="I2335" s="26">
        <v>226</v>
      </c>
      <c r="J2335" s="31"/>
      <c r="K2335" s="31"/>
      <c r="L2335" s="31"/>
      <c r="M2335" s="31"/>
      <c r="N2335" s="31"/>
      <c r="O2335" s="31"/>
      <c r="P2335" s="31"/>
      <c r="Q2335" s="31"/>
      <c r="R2335" s="31"/>
      <c r="S2335" s="31"/>
      <c r="T2335" s="31"/>
      <c r="U2335" s="31"/>
      <c r="V2335" s="31"/>
      <c r="W2335" s="31"/>
      <c r="X2335" s="31"/>
      <c r="Y2335" s="31"/>
      <c r="Z2335" s="31"/>
      <c r="AA2335" s="31"/>
      <c r="AB2335" s="31"/>
      <c r="AC2335" s="31"/>
      <c r="AD2335" s="31"/>
      <c r="AE2335" s="31"/>
      <c r="AF2335" s="31"/>
      <c r="AG2335" s="31"/>
      <c r="AH2335" s="31"/>
      <c r="AI2335" s="31"/>
      <c r="AJ2335" s="31"/>
      <c r="AK2335" s="31"/>
      <c r="AL2335" s="28" t="str">
        <f>VLOOKUP($G2335,'[42]Sheet1 (2)'!$A$1:$B$1048440,2,FALSE)</f>
        <v>Sqm</v>
      </c>
      <c r="AM2335" s="32"/>
      <c r="AN2335" s="31"/>
      <c r="AO2335" s="33"/>
    </row>
    <row r="2336" spans="1:41" ht="364" x14ac:dyDescent="0.25">
      <c r="A2336" s="23"/>
      <c r="B2336" s="23"/>
      <c r="C2336" s="23"/>
      <c r="D2336" s="23"/>
      <c r="E2336" s="24" t="s">
        <v>3608</v>
      </c>
      <c r="F2336" s="23"/>
      <c r="G2336" s="202" t="s">
        <v>621</v>
      </c>
      <c r="H2336" s="23"/>
      <c r="I2336" s="23"/>
      <c r="J2336" s="31"/>
      <c r="K2336" s="31"/>
      <c r="L2336" s="31"/>
      <c r="M2336" s="31"/>
      <c r="N2336" s="31"/>
      <c r="O2336" s="31"/>
      <c r="P2336" s="31"/>
      <c r="Q2336" s="31"/>
      <c r="R2336" s="31"/>
      <c r="S2336" s="31"/>
      <c r="T2336" s="31"/>
      <c r="U2336" s="31"/>
      <c r="V2336" s="31"/>
      <c r="W2336" s="31"/>
      <c r="X2336" s="31"/>
      <c r="Y2336" s="31"/>
      <c r="Z2336" s="31"/>
      <c r="AA2336" s="31"/>
      <c r="AB2336" s="31"/>
      <c r="AC2336" s="31"/>
      <c r="AD2336" s="31"/>
      <c r="AE2336" s="31"/>
      <c r="AF2336" s="31"/>
      <c r="AG2336" s="31"/>
      <c r="AH2336" s="31"/>
      <c r="AI2336" s="31"/>
      <c r="AJ2336" s="31"/>
      <c r="AK2336" s="31"/>
      <c r="AL2336" s="28" t="str">
        <f>VLOOKUP($G2336,'[42]Sheet1 (2)'!$A$1:$B$1048440,2,FALSE)</f>
        <v>Sqm</v>
      </c>
      <c r="AM2336" s="32"/>
      <c r="AN2336" s="31"/>
      <c r="AO2336" s="33"/>
    </row>
    <row r="2337" spans="1:41" ht="409.5" x14ac:dyDescent="0.25">
      <c r="A2337" s="243">
        <v>2144</v>
      </c>
      <c r="B2337" s="25" t="s">
        <v>3597</v>
      </c>
      <c r="C2337" s="203">
        <v>53.39</v>
      </c>
      <c r="D2337" s="24" t="s">
        <v>44</v>
      </c>
      <c r="E2337" s="23" t="s">
        <v>3609</v>
      </c>
      <c r="F2337" s="24" t="s">
        <v>44</v>
      </c>
      <c r="G2337" s="202" t="s">
        <v>621</v>
      </c>
      <c r="H2337" s="20">
        <v>7410</v>
      </c>
      <c r="I2337" s="26">
        <v>226</v>
      </c>
      <c r="J2337" s="31"/>
      <c r="K2337" s="31"/>
      <c r="L2337" s="31"/>
      <c r="M2337" s="31"/>
      <c r="N2337" s="31"/>
      <c r="O2337" s="31"/>
      <c r="P2337" s="31"/>
      <c r="Q2337" s="31"/>
      <c r="R2337" s="31"/>
      <c r="S2337" s="31"/>
      <c r="T2337" s="31"/>
      <c r="U2337" s="31"/>
      <c r="V2337" s="31"/>
      <c r="W2337" s="31"/>
      <c r="X2337" s="31"/>
      <c r="Y2337" s="31"/>
      <c r="Z2337" s="31"/>
      <c r="AA2337" s="31"/>
      <c r="AB2337" s="31"/>
      <c r="AC2337" s="31"/>
      <c r="AD2337" s="31"/>
      <c r="AE2337" s="31"/>
      <c r="AF2337" s="31"/>
      <c r="AG2337" s="31"/>
      <c r="AH2337" s="31"/>
      <c r="AI2337" s="31"/>
      <c r="AJ2337" s="31"/>
      <c r="AK2337" s="31"/>
      <c r="AL2337" s="28" t="str">
        <f>VLOOKUP($G2337,'[42]Sheet1 (2)'!$A$1:$B$1048440,2,FALSE)</f>
        <v>Sqm</v>
      </c>
      <c r="AM2337" s="32"/>
      <c r="AN2337" s="31"/>
      <c r="AO2337" s="33"/>
    </row>
    <row r="2338" spans="1:41" ht="336" x14ac:dyDescent="0.25">
      <c r="A2338" s="23"/>
      <c r="B2338" s="23"/>
      <c r="C2338" s="23"/>
      <c r="D2338" s="23"/>
      <c r="E2338" s="23" t="s">
        <v>3610</v>
      </c>
      <c r="F2338" s="23"/>
      <c r="G2338" s="202" t="s">
        <v>621</v>
      </c>
      <c r="H2338" s="23"/>
      <c r="I2338" s="23"/>
      <c r="J2338" s="31"/>
      <c r="K2338" s="31"/>
      <c r="L2338" s="31"/>
      <c r="M2338" s="31"/>
      <c r="N2338" s="31"/>
      <c r="O2338" s="31"/>
      <c r="P2338" s="31"/>
      <c r="Q2338" s="31"/>
      <c r="R2338" s="31"/>
      <c r="S2338" s="31"/>
      <c r="T2338" s="31"/>
      <c r="U2338" s="31"/>
      <c r="V2338" s="31"/>
      <c r="W2338" s="31"/>
      <c r="X2338" s="31"/>
      <c r="Y2338" s="31"/>
      <c r="Z2338" s="31"/>
      <c r="AA2338" s="31"/>
      <c r="AB2338" s="31"/>
      <c r="AC2338" s="31"/>
      <c r="AD2338" s="31"/>
      <c r="AE2338" s="31"/>
      <c r="AF2338" s="31"/>
      <c r="AG2338" s="31"/>
      <c r="AH2338" s="31"/>
      <c r="AI2338" s="31"/>
      <c r="AJ2338" s="31"/>
      <c r="AK2338" s="31"/>
      <c r="AL2338" s="28" t="str">
        <f>VLOOKUP($G2338,'[42]Sheet1 (2)'!$A$1:$B$1048440,2,FALSE)</f>
        <v>Sqm</v>
      </c>
      <c r="AM2338" s="32"/>
      <c r="AN2338" s="31"/>
      <c r="AO2338" s="33"/>
    </row>
    <row r="2339" spans="1:41" ht="409.5" x14ac:dyDescent="0.25">
      <c r="A2339" s="243">
        <v>2145</v>
      </c>
      <c r="B2339" s="25" t="s">
        <v>3597</v>
      </c>
      <c r="C2339" s="203">
        <v>53.4</v>
      </c>
      <c r="D2339" s="24" t="s">
        <v>44</v>
      </c>
      <c r="E2339" s="23" t="s">
        <v>3611</v>
      </c>
      <c r="F2339" s="24" t="s">
        <v>44</v>
      </c>
      <c r="G2339" s="202" t="s">
        <v>621</v>
      </c>
      <c r="H2339" s="20">
        <v>12770</v>
      </c>
      <c r="I2339" s="26">
        <v>301</v>
      </c>
      <c r="J2339" s="31"/>
      <c r="K2339" s="31"/>
      <c r="L2339" s="31"/>
      <c r="M2339" s="31"/>
      <c r="N2339" s="31"/>
      <c r="O2339" s="31"/>
      <c r="P2339" s="31"/>
      <c r="Q2339" s="31"/>
      <c r="R2339" s="31"/>
      <c r="S2339" s="31"/>
      <c r="T2339" s="31"/>
      <c r="U2339" s="31"/>
      <c r="V2339" s="31"/>
      <c r="W2339" s="31"/>
      <c r="X2339" s="31"/>
      <c r="Y2339" s="31"/>
      <c r="Z2339" s="31"/>
      <c r="AA2339" s="31"/>
      <c r="AB2339" s="31"/>
      <c r="AC2339" s="31"/>
      <c r="AD2339" s="31"/>
      <c r="AE2339" s="31"/>
      <c r="AF2339" s="31"/>
      <c r="AG2339" s="31"/>
      <c r="AH2339" s="31"/>
      <c r="AI2339" s="31"/>
      <c r="AJ2339" s="31"/>
      <c r="AK2339" s="31"/>
      <c r="AL2339" s="28" t="str">
        <f>VLOOKUP($G2339,'[42]Sheet1 (2)'!$A$1:$B$1048440,2,FALSE)</f>
        <v>Sqm</v>
      </c>
      <c r="AM2339" s="32"/>
      <c r="AN2339" s="31"/>
      <c r="AO2339" s="33"/>
    </row>
    <row r="2340" spans="1:41" ht="409.5" x14ac:dyDescent="0.25">
      <c r="A2340" s="243">
        <v>2146</v>
      </c>
      <c r="B2340" s="25" t="s">
        <v>3597</v>
      </c>
      <c r="C2340" s="203">
        <v>53.41</v>
      </c>
      <c r="D2340" s="24" t="s">
        <v>44</v>
      </c>
      <c r="E2340" s="23" t="s">
        <v>3612</v>
      </c>
      <c r="F2340" s="24" t="s">
        <v>44</v>
      </c>
      <c r="G2340" s="202" t="s">
        <v>621</v>
      </c>
      <c r="H2340" s="20">
        <v>10884</v>
      </c>
      <c r="I2340" s="26">
        <v>301</v>
      </c>
      <c r="J2340" s="31"/>
      <c r="K2340" s="31"/>
      <c r="L2340" s="31"/>
      <c r="M2340" s="31"/>
      <c r="N2340" s="31"/>
      <c r="O2340" s="31"/>
      <c r="P2340" s="31"/>
      <c r="Q2340" s="31"/>
      <c r="R2340" s="31"/>
      <c r="S2340" s="31"/>
      <c r="T2340" s="31"/>
      <c r="U2340" s="31"/>
      <c r="V2340" s="31"/>
      <c r="W2340" s="31"/>
      <c r="X2340" s="31"/>
      <c r="Y2340" s="31"/>
      <c r="Z2340" s="31"/>
      <c r="AA2340" s="31"/>
      <c r="AB2340" s="31"/>
      <c r="AC2340" s="31"/>
      <c r="AD2340" s="31"/>
      <c r="AE2340" s="31"/>
      <c r="AF2340" s="31"/>
      <c r="AG2340" s="31"/>
      <c r="AH2340" s="31"/>
      <c r="AI2340" s="31"/>
      <c r="AJ2340" s="31"/>
      <c r="AK2340" s="31"/>
      <c r="AL2340" s="28" t="str">
        <f>VLOOKUP($G2340,'[42]Sheet1 (2)'!$A$1:$B$1048440,2,FALSE)</f>
        <v>Sqm</v>
      </c>
      <c r="AM2340" s="32"/>
      <c r="AN2340" s="31"/>
      <c r="AO2340" s="33"/>
    </row>
    <row r="2341" spans="1:41" ht="322" x14ac:dyDescent="0.25">
      <c r="A2341" s="23"/>
      <c r="B2341" s="23"/>
      <c r="C2341" s="23"/>
      <c r="D2341" s="23"/>
      <c r="E2341" s="23" t="s">
        <v>3613</v>
      </c>
      <c r="F2341" s="23"/>
      <c r="G2341" s="202" t="s">
        <v>621</v>
      </c>
      <c r="H2341" s="23"/>
      <c r="I2341" s="23"/>
      <c r="J2341" s="31"/>
      <c r="K2341" s="31"/>
      <c r="L2341" s="31"/>
      <c r="M2341" s="31"/>
      <c r="N2341" s="31"/>
      <c r="O2341" s="31"/>
      <c r="P2341" s="31"/>
      <c r="Q2341" s="31"/>
      <c r="R2341" s="31"/>
      <c r="S2341" s="31"/>
      <c r="T2341" s="31"/>
      <c r="U2341" s="31"/>
      <c r="V2341" s="31"/>
      <c r="W2341" s="31"/>
      <c r="X2341" s="31"/>
      <c r="Y2341" s="31"/>
      <c r="Z2341" s="31"/>
      <c r="AA2341" s="31"/>
      <c r="AB2341" s="31"/>
      <c r="AC2341" s="31"/>
      <c r="AD2341" s="31"/>
      <c r="AE2341" s="31"/>
      <c r="AF2341" s="31"/>
      <c r="AG2341" s="31"/>
      <c r="AH2341" s="31"/>
      <c r="AI2341" s="31"/>
      <c r="AJ2341" s="31"/>
      <c r="AK2341" s="31"/>
      <c r="AL2341" s="28" t="str">
        <f>VLOOKUP($G2341,'[42]Sheet1 (2)'!$A$1:$B$1048440,2,FALSE)</f>
        <v>Sqm</v>
      </c>
      <c r="AM2341" s="32"/>
      <c r="AN2341" s="31"/>
      <c r="AO2341" s="33"/>
    </row>
    <row r="2342" spans="1:41" ht="409.5" x14ac:dyDescent="0.25">
      <c r="A2342" s="23"/>
      <c r="B2342" s="23"/>
      <c r="C2342" s="23"/>
      <c r="D2342" s="23"/>
      <c r="E2342" s="23" t="s">
        <v>3614</v>
      </c>
      <c r="F2342" s="23"/>
      <c r="G2342" s="202" t="s">
        <v>621</v>
      </c>
      <c r="H2342" s="23"/>
      <c r="I2342" s="23"/>
      <c r="J2342" s="31"/>
      <c r="K2342" s="31"/>
      <c r="L2342" s="31"/>
      <c r="M2342" s="31"/>
      <c r="N2342" s="31"/>
      <c r="O2342" s="31"/>
      <c r="P2342" s="31"/>
      <c r="Q2342" s="31"/>
      <c r="R2342" s="31"/>
      <c r="S2342" s="31"/>
      <c r="T2342" s="31"/>
      <c r="U2342" s="31"/>
      <c r="V2342" s="31"/>
      <c r="W2342" s="31"/>
      <c r="X2342" s="31"/>
      <c r="Y2342" s="31"/>
      <c r="Z2342" s="31"/>
      <c r="AA2342" s="31"/>
      <c r="AB2342" s="31"/>
      <c r="AC2342" s="31"/>
      <c r="AD2342" s="31"/>
      <c r="AE2342" s="31"/>
      <c r="AF2342" s="31"/>
      <c r="AG2342" s="31"/>
      <c r="AH2342" s="31"/>
      <c r="AI2342" s="31"/>
      <c r="AJ2342" s="31"/>
      <c r="AK2342" s="31"/>
      <c r="AL2342" s="28" t="str">
        <f>VLOOKUP($G2342,'[42]Sheet1 (2)'!$A$1:$B$1048440,2,FALSE)</f>
        <v>Sqm</v>
      </c>
      <c r="AM2342" s="32"/>
      <c r="AN2342" s="31"/>
      <c r="AO2342" s="33"/>
    </row>
    <row r="2343" spans="1:41" ht="409.5" x14ac:dyDescent="0.25">
      <c r="A2343" s="23"/>
      <c r="B2343" s="23"/>
      <c r="C2343" s="23"/>
      <c r="D2343" s="23"/>
      <c r="E2343" s="24" t="s">
        <v>3615</v>
      </c>
      <c r="F2343" s="23"/>
      <c r="G2343" s="202" t="s">
        <v>621</v>
      </c>
      <c r="H2343" s="23"/>
      <c r="I2343" s="23"/>
      <c r="J2343" s="31"/>
      <c r="K2343" s="31"/>
      <c r="L2343" s="31"/>
      <c r="M2343" s="31"/>
      <c r="N2343" s="31"/>
      <c r="O2343" s="31"/>
      <c r="P2343" s="31"/>
      <c r="Q2343" s="31"/>
      <c r="R2343" s="31"/>
      <c r="S2343" s="31"/>
      <c r="T2343" s="31"/>
      <c r="U2343" s="31"/>
      <c r="V2343" s="31"/>
      <c r="W2343" s="31"/>
      <c r="X2343" s="31"/>
      <c r="Y2343" s="31"/>
      <c r="Z2343" s="31"/>
      <c r="AA2343" s="31"/>
      <c r="AB2343" s="31"/>
      <c r="AC2343" s="31"/>
      <c r="AD2343" s="31"/>
      <c r="AE2343" s="31"/>
      <c r="AF2343" s="31"/>
      <c r="AG2343" s="31"/>
      <c r="AH2343" s="31"/>
      <c r="AI2343" s="31"/>
      <c r="AJ2343" s="31"/>
      <c r="AK2343" s="31"/>
      <c r="AL2343" s="28" t="str">
        <f>VLOOKUP($G2343,'[42]Sheet1 (2)'!$A$1:$B$1048440,2,FALSE)</f>
        <v>Sqm</v>
      </c>
      <c r="AM2343" s="32"/>
      <c r="AN2343" s="31"/>
      <c r="AO2343" s="33"/>
    </row>
    <row r="2344" spans="1:41" ht="409.5" x14ac:dyDescent="0.25">
      <c r="A2344" s="243">
        <v>2147</v>
      </c>
      <c r="B2344" s="25" t="s">
        <v>3597</v>
      </c>
      <c r="C2344" s="203">
        <v>53.42</v>
      </c>
      <c r="D2344" s="24" t="s">
        <v>44</v>
      </c>
      <c r="E2344" s="23" t="s">
        <v>3616</v>
      </c>
      <c r="F2344" s="24" t="s">
        <v>44</v>
      </c>
      <c r="G2344" s="202" t="s">
        <v>621</v>
      </c>
      <c r="H2344" s="20">
        <v>2998</v>
      </c>
      <c r="I2344" s="26">
        <v>301</v>
      </c>
      <c r="J2344" s="31"/>
      <c r="K2344" s="31"/>
      <c r="L2344" s="31"/>
      <c r="M2344" s="31"/>
      <c r="N2344" s="31"/>
      <c r="O2344" s="31"/>
      <c r="P2344" s="31"/>
      <c r="Q2344" s="31"/>
      <c r="R2344" s="31"/>
      <c r="S2344" s="31"/>
      <c r="T2344" s="31"/>
      <c r="U2344" s="31"/>
      <c r="V2344" s="31"/>
      <c r="W2344" s="31"/>
      <c r="X2344" s="31"/>
      <c r="Y2344" s="31"/>
      <c r="Z2344" s="31"/>
      <c r="AA2344" s="31"/>
      <c r="AB2344" s="31"/>
      <c r="AC2344" s="31"/>
      <c r="AD2344" s="31"/>
      <c r="AE2344" s="31"/>
      <c r="AF2344" s="31"/>
      <c r="AG2344" s="31"/>
      <c r="AH2344" s="31"/>
      <c r="AI2344" s="31"/>
      <c r="AJ2344" s="31"/>
      <c r="AK2344" s="31"/>
      <c r="AL2344" s="28" t="str">
        <f>VLOOKUP($G2344,'[42]Sheet1 (2)'!$A$1:$B$1048440,2,FALSE)</f>
        <v>Sqm</v>
      </c>
      <c r="AM2344" s="32"/>
      <c r="AN2344" s="31"/>
      <c r="AO2344" s="33"/>
    </row>
    <row r="2345" spans="1:41" ht="409.5" x14ac:dyDescent="0.25">
      <c r="A2345" s="23"/>
      <c r="B2345" s="23"/>
      <c r="C2345" s="23"/>
      <c r="D2345" s="23"/>
      <c r="E2345" s="23" t="s">
        <v>3617</v>
      </c>
      <c r="F2345" s="23"/>
      <c r="G2345" s="202" t="s">
        <v>621</v>
      </c>
      <c r="H2345" s="23"/>
      <c r="I2345" s="23"/>
      <c r="J2345" s="31"/>
      <c r="K2345" s="31"/>
      <c r="L2345" s="31"/>
      <c r="M2345" s="31"/>
      <c r="N2345" s="31"/>
      <c r="O2345" s="31"/>
      <c r="P2345" s="31"/>
      <c r="Q2345" s="31"/>
      <c r="R2345" s="31"/>
      <c r="S2345" s="31"/>
      <c r="T2345" s="31"/>
      <c r="U2345" s="31"/>
      <c r="V2345" s="31"/>
      <c r="W2345" s="31"/>
      <c r="X2345" s="31"/>
      <c r="Y2345" s="31"/>
      <c r="Z2345" s="31"/>
      <c r="AA2345" s="31"/>
      <c r="AB2345" s="31"/>
      <c r="AC2345" s="31"/>
      <c r="AD2345" s="31"/>
      <c r="AE2345" s="31"/>
      <c r="AF2345" s="31"/>
      <c r="AG2345" s="31"/>
      <c r="AH2345" s="31"/>
      <c r="AI2345" s="31"/>
      <c r="AJ2345" s="31"/>
      <c r="AK2345" s="31"/>
      <c r="AL2345" s="28" t="str">
        <f>VLOOKUP($G2345,'[42]Sheet1 (2)'!$A$1:$B$1048440,2,FALSE)</f>
        <v>Sqm</v>
      </c>
      <c r="AM2345" s="32"/>
      <c r="AN2345" s="31"/>
      <c r="AO2345" s="33"/>
    </row>
    <row r="2346" spans="1:41" ht="409.5" x14ac:dyDescent="0.25">
      <c r="A2346" s="243">
        <v>2148</v>
      </c>
      <c r="B2346" s="25" t="s">
        <v>3597</v>
      </c>
      <c r="C2346" s="203">
        <v>53.43</v>
      </c>
      <c r="D2346" s="24" t="s">
        <v>44</v>
      </c>
      <c r="E2346" s="23" t="s">
        <v>3618</v>
      </c>
      <c r="F2346" s="24" t="s">
        <v>44</v>
      </c>
      <c r="G2346" s="202" t="s">
        <v>621</v>
      </c>
      <c r="H2346" s="20">
        <v>2077</v>
      </c>
      <c r="I2346" s="26">
        <v>301</v>
      </c>
      <c r="J2346" s="31"/>
      <c r="K2346" s="31"/>
      <c r="L2346" s="31"/>
      <c r="M2346" s="31"/>
      <c r="N2346" s="31"/>
      <c r="O2346" s="31"/>
      <c r="P2346" s="31"/>
      <c r="Q2346" s="31"/>
      <c r="R2346" s="31"/>
      <c r="S2346" s="31"/>
      <c r="T2346" s="31"/>
      <c r="U2346" s="31"/>
      <c r="V2346" s="31"/>
      <c r="W2346" s="31"/>
      <c r="X2346" s="31"/>
      <c r="Y2346" s="31"/>
      <c r="Z2346" s="31"/>
      <c r="AA2346" s="31"/>
      <c r="AB2346" s="31"/>
      <c r="AC2346" s="31"/>
      <c r="AD2346" s="31"/>
      <c r="AE2346" s="31"/>
      <c r="AF2346" s="31"/>
      <c r="AG2346" s="31"/>
      <c r="AH2346" s="31"/>
      <c r="AI2346" s="31"/>
      <c r="AJ2346" s="31"/>
      <c r="AK2346" s="31"/>
      <c r="AL2346" s="28" t="str">
        <f>VLOOKUP($G2346,'[42]Sheet1 (2)'!$A$1:$B$1048440,2,FALSE)</f>
        <v>Sqm</v>
      </c>
      <c r="AM2346" s="32"/>
      <c r="AN2346" s="31"/>
      <c r="AO2346" s="33"/>
    </row>
    <row r="2347" spans="1:41" ht="336" x14ac:dyDescent="0.25">
      <c r="A2347" s="23"/>
      <c r="B2347" s="23"/>
      <c r="C2347" s="23"/>
      <c r="D2347" s="23"/>
      <c r="E2347" s="23" t="s">
        <v>3619</v>
      </c>
      <c r="F2347" s="23"/>
      <c r="G2347" s="202" t="s">
        <v>621</v>
      </c>
      <c r="H2347" s="23"/>
      <c r="I2347" s="23"/>
      <c r="J2347" s="31"/>
      <c r="K2347" s="31"/>
      <c r="L2347" s="31"/>
      <c r="M2347" s="31"/>
      <c r="N2347" s="31"/>
      <c r="O2347" s="31"/>
      <c r="P2347" s="31"/>
      <c r="Q2347" s="31"/>
      <c r="R2347" s="31"/>
      <c r="S2347" s="31"/>
      <c r="T2347" s="31"/>
      <c r="U2347" s="31"/>
      <c r="V2347" s="31"/>
      <c r="W2347" s="31"/>
      <c r="X2347" s="31"/>
      <c r="Y2347" s="31"/>
      <c r="Z2347" s="31"/>
      <c r="AA2347" s="31"/>
      <c r="AB2347" s="31"/>
      <c r="AC2347" s="31"/>
      <c r="AD2347" s="31"/>
      <c r="AE2347" s="31"/>
      <c r="AF2347" s="31"/>
      <c r="AG2347" s="31"/>
      <c r="AH2347" s="31"/>
      <c r="AI2347" s="31"/>
      <c r="AJ2347" s="31"/>
      <c r="AK2347" s="31"/>
      <c r="AL2347" s="28" t="str">
        <f>VLOOKUP($G2347,'[42]Sheet1 (2)'!$A$1:$B$1048440,2,FALSE)</f>
        <v>Sqm</v>
      </c>
      <c r="AM2347" s="32"/>
      <c r="AN2347" s="31"/>
      <c r="AO2347" s="33"/>
    </row>
    <row r="2348" spans="1:41" ht="409.5" x14ac:dyDescent="0.25">
      <c r="A2348" s="243">
        <v>2149</v>
      </c>
      <c r="B2348" s="25" t="s">
        <v>3597</v>
      </c>
      <c r="C2348" s="203">
        <v>53.44</v>
      </c>
      <c r="D2348" s="24" t="s">
        <v>44</v>
      </c>
      <c r="E2348" s="23" t="s">
        <v>3620</v>
      </c>
      <c r="F2348" s="24" t="s">
        <v>44</v>
      </c>
      <c r="G2348" s="202" t="s">
        <v>621</v>
      </c>
      <c r="H2348" s="20">
        <v>2380</v>
      </c>
      <c r="I2348" s="26">
        <v>301</v>
      </c>
      <c r="J2348" s="31"/>
      <c r="K2348" s="31"/>
      <c r="L2348" s="31"/>
      <c r="M2348" s="31"/>
      <c r="N2348" s="31"/>
      <c r="O2348" s="31"/>
      <c r="P2348" s="31"/>
      <c r="Q2348" s="31"/>
      <c r="R2348" s="31"/>
      <c r="S2348" s="31"/>
      <c r="T2348" s="31"/>
      <c r="U2348" s="31"/>
      <c r="V2348" s="31"/>
      <c r="W2348" s="31"/>
      <c r="X2348" s="31"/>
      <c r="Y2348" s="31"/>
      <c r="Z2348" s="31"/>
      <c r="AA2348" s="31"/>
      <c r="AB2348" s="31"/>
      <c r="AC2348" s="31"/>
      <c r="AD2348" s="31"/>
      <c r="AE2348" s="31"/>
      <c r="AF2348" s="31"/>
      <c r="AG2348" s="31"/>
      <c r="AH2348" s="31"/>
      <c r="AI2348" s="31"/>
      <c r="AJ2348" s="31"/>
      <c r="AK2348" s="31"/>
      <c r="AL2348" s="28" t="str">
        <f>VLOOKUP($G2348,'[42]Sheet1 (2)'!$A$1:$B$1048440,2,FALSE)</f>
        <v>Sqm</v>
      </c>
      <c r="AM2348" s="32"/>
      <c r="AN2348" s="31"/>
      <c r="AO2348" s="33"/>
    </row>
    <row r="2349" spans="1:41" ht="392" x14ac:dyDescent="0.25">
      <c r="A2349" s="23"/>
      <c r="B2349" s="23"/>
      <c r="C2349" s="23"/>
      <c r="D2349" s="23"/>
      <c r="E2349" s="24" t="s">
        <v>3621</v>
      </c>
      <c r="F2349" s="23"/>
      <c r="G2349" s="202" t="s">
        <v>621</v>
      </c>
      <c r="H2349" s="23"/>
      <c r="I2349" s="23"/>
      <c r="J2349" s="31"/>
      <c r="K2349" s="31"/>
      <c r="L2349" s="31"/>
      <c r="M2349" s="31"/>
      <c r="N2349" s="31"/>
      <c r="O2349" s="31"/>
      <c r="P2349" s="31"/>
      <c r="Q2349" s="31"/>
      <c r="R2349" s="31"/>
      <c r="S2349" s="31"/>
      <c r="T2349" s="31"/>
      <c r="U2349" s="31"/>
      <c r="V2349" s="31"/>
      <c r="W2349" s="31"/>
      <c r="X2349" s="31"/>
      <c r="Y2349" s="31"/>
      <c r="Z2349" s="31"/>
      <c r="AA2349" s="31"/>
      <c r="AB2349" s="31"/>
      <c r="AC2349" s="31"/>
      <c r="AD2349" s="31"/>
      <c r="AE2349" s="31"/>
      <c r="AF2349" s="31"/>
      <c r="AG2349" s="31"/>
      <c r="AH2349" s="31"/>
      <c r="AI2349" s="31"/>
      <c r="AJ2349" s="31"/>
      <c r="AK2349" s="31"/>
      <c r="AL2349" s="28" t="str">
        <f>VLOOKUP($G2349,'[42]Sheet1 (2)'!$A$1:$B$1048440,2,FALSE)</f>
        <v>Sqm</v>
      </c>
      <c r="AM2349" s="32"/>
      <c r="AN2349" s="31"/>
      <c r="AO2349" s="33"/>
    </row>
    <row r="2350" spans="1:41" ht="238" x14ac:dyDescent="0.25">
      <c r="A2350" s="243">
        <v>2150</v>
      </c>
      <c r="B2350" s="25" t="s">
        <v>3597</v>
      </c>
      <c r="C2350" s="203">
        <v>53.45</v>
      </c>
      <c r="D2350" s="24" t="s">
        <v>44</v>
      </c>
      <c r="E2350" s="24" t="s">
        <v>3622</v>
      </c>
      <c r="F2350" s="24" t="s">
        <v>44</v>
      </c>
      <c r="G2350" s="202" t="s">
        <v>621</v>
      </c>
      <c r="H2350" s="20">
        <v>18751</v>
      </c>
      <c r="I2350" s="26">
        <v>226</v>
      </c>
      <c r="J2350" s="31"/>
      <c r="K2350" s="31"/>
      <c r="L2350" s="31"/>
      <c r="M2350" s="31"/>
      <c r="N2350" s="31"/>
      <c r="O2350" s="31"/>
      <c r="P2350" s="31"/>
      <c r="Q2350" s="31"/>
      <c r="R2350" s="31"/>
      <c r="S2350" s="31"/>
      <c r="T2350" s="31"/>
      <c r="U2350" s="31"/>
      <c r="V2350" s="31"/>
      <c r="W2350" s="31"/>
      <c r="X2350" s="31"/>
      <c r="Y2350" s="31"/>
      <c r="Z2350" s="31"/>
      <c r="AA2350" s="31"/>
      <c r="AB2350" s="31"/>
      <c r="AC2350" s="31"/>
      <c r="AD2350" s="31"/>
      <c r="AE2350" s="31"/>
      <c r="AF2350" s="31"/>
      <c r="AG2350" s="31"/>
      <c r="AH2350" s="31"/>
      <c r="AI2350" s="31"/>
      <c r="AJ2350" s="31"/>
      <c r="AK2350" s="31"/>
      <c r="AL2350" s="28" t="str">
        <f>VLOOKUP($G2350,'[42]Sheet1 (2)'!$A$1:$B$1048440,2,FALSE)</f>
        <v>Sqm</v>
      </c>
      <c r="AM2350" s="32"/>
      <c r="AN2350" s="31"/>
      <c r="AO2350" s="33"/>
    </row>
    <row r="2351" spans="1:41" ht="409.5" x14ac:dyDescent="0.25">
      <c r="A2351" s="243">
        <v>2151</v>
      </c>
      <c r="B2351" s="25" t="s">
        <v>3597</v>
      </c>
      <c r="C2351" s="203">
        <v>53.46</v>
      </c>
      <c r="D2351" s="24" t="s">
        <v>44</v>
      </c>
      <c r="E2351" s="24" t="s">
        <v>3623</v>
      </c>
      <c r="F2351" s="24" t="s">
        <v>44</v>
      </c>
      <c r="G2351" s="202" t="s">
        <v>621</v>
      </c>
      <c r="H2351" s="20">
        <v>20953</v>
      </c>
      <c r="I2351" s="26">
        <v>301</v>
      </c>
      <c r="J2351" s="31"/>
      <c r="K2351" s="31"/>
      <c r="L2351" s="31"/>
      <c r="M2351" s="31"/>
      <c r="N2351" s="31"/>
      <c r="O2351" s="31"/>
      <c r="P2351" s="31"/>
      <c r="Q2351" s="31"/>
      <c r="R2351" s="31"/>
      <c r="S2351" s="31"/>
      <c r="T2351" s="31"/>
      <c r="U2351" s="31"/>
      <c r="V2351" s="31"/>
      <c r="W2351" s="31"/>
      <c r="X2351" s="31"/>
      <c r="Y2351" s="31"/>
      <c r="Z2351" s="31"/>
      <c r="AA2351" s="31"/>
      <c r="AB2351" s="31"/>
      <c r="AC2351" s="31"/>
      <c r="AD2351" s="31"/>
      <c r="AE2351" s="31"/>
      <c r="AF2351" s="31"/>
      <c r="AG2351" s="31"/>
      <c r="AH2351" s="31"/>
      <c r="AI2351" s="31"/>
      <c r="AJ2351" s="31"/>
      <c r="AK2351" s="31"/>
      <c r="AL2351" s="28" t="str">
        <f>VLOOKUP($G2351,'[42]Sheet1 (2)'!$A$1:$B$1048440,2,FALSE)</f>
        <v>Sqm</v>
      </c>
      <c r="AM2351" s="32"/>
      <c r="AN2351" s="31"/>
      <c r="AO2351" s="33"/>
    </row>
    <row r="2352" spans="1:41" ht="409.5" x14ac:dyDescent="0.25">
      <c r="A2352" s="23"/>
      <c r="B2352" s="23"/>
      <c r="C2352" s="23"/>
      <c r="D2352" s="23"/>
      <c r="E2352" s="23" t="s">
        <v>3624</v>
      </c>
      <c r="F2352" s="23"/>
      <c r="G2352" s="23"/>
      <c r="H2352" s="23"/>
      <c r="I2352" s="23"/>
      <c r="J2352" s="31"/>
      <c r="K2352" s="31"/>
      <c r="L2352" s="31"/>
      <c r="M2352" s="31"/>
      <c r="N2352" s="31"/>
      <c r="O2352" s="31"/>
      <c r="P2352" s="31"/>
      <c r="Q2352" s="31"/>
      <c r="R2352" s="31"/>
      <c r="S2352" s="31"/>
      <c r="T2352" s="31"/>
      <c r="U2352" s="31"/>
      <c r="V2352" s="31"/>
      <c r="W2352" s="31"/>
      <c r="X2352" s="31"/>
      <c r="Y2352" s="31"/>
      <c r="Z2352" s="31"/>
      <c r="AA2352" s="31"/>
      <c r="AB2352" s="31"/>
      <c r="AC2352" s="31"/>
      <c r="AD2352" s="31"/>
      <c r="AE2352" s="31"/>
      <c r="AF2352" s="31"/>
      <c r="AG2352" s="31"/>
      <c r="AH2352" s="31"/>
      <c r="AI2352" s="31"/>
      <c r="AJ2352" s="31"/>
      <c r="AK2352" s="31"/>
      <c r="AL2352" s="28" t="e">
        <f>VLOOKUP($G2352,'[42]Sheet1 (2)'!$A$1:$B$1048440,2,FALSE)</f>
        <v>#N/A</v>
      </c>
      <c r="AM2352" s="32"/>
      <c r="AN2352" s="31"/>
      <c r="AO2352" s="33"/>
    </row>
    <row r="2353" spans="1:41" ht="98" x14ac:dyDescent="0.25">
      <c r="A2353" s="243">
        <v>2152</v>
      </c>
      <c r="B2353" s="24" t="s">
        <v>3625</v>
      </c>
      <c r="C2353" s="22">
        <v>53.47</v>
      </c>
      <c r="D2353" s="24" t="s">
        <v>44</v>
      </c>
      <c r="E2353" s="23" t="s">
        <v>3626</v>
      </c>
      <c r="F2353" s="24" t="s">
        <v>44</v>
      </c>
      <c r="G2353" s="238" t="s">
        <v>80</v>
      </c>
      <c r="H2353" s="26">
        <v>2329</v>
      </c>
      <c r="I2353" s="121">
        <v>1008</v>
      </c>
      <c r="J2353" s="31"/>
      <c r="K2353" s="31"/>
      <c r="L2353" s="31"/>
      <c r="M2353" s="31"/>
      <c r="N2353" s="31"/>
      <c r="O2353" s="31"/>
      <c r="P2353" s="31"/>
      <c r="Q2353" s="31"/>
      <c r="R2353" s="31"/>
      <c r="S2353" s="31"/>
      <c r="T2353" s="31"/>
      <c r="U2353" s="31"/>
      <c r="V2353" s="31"/>
      <c r="W2353" s="31"/>
      <c r="X2353" s="31"/>
      <c r="Y2353" s="31"/>
      <c r="Z2353" s="31"/>
      <c r="AA2353" s="31"/>
      <c r="AB2353" s="31"/>
      <c r="AC2353" s="31"/>
      <c r="AD2353" s="31"/>
      <c r="AE2353" s="31"/>
      <c r="AF2353" s="31"/>
      <c r="AG2353" s="31"/>
      <c r="AH2353" s="31"/>
      <c r="AI2353" s="31"/>
      <c r="AJ2353" s="31"/>
      <c r="AK2353" s="31"/>
      <c r="AL2353" s="28" t="str">
        <f>VLOOKUP($G2353,'[42]Sheet1 (2)'!$A$1:$B$1048440,2,FALSE)</f>
        <v>Rmt.</v>
      </c>
      <c r="AM2353" s="32"/>
      <c r="AN2353" s="31"/>
      <c r="AO2353" s="33"/>
    </row>
    <row r="2354" spans="1:41" ht="182" x14ac:dyDescent="0.25">
      <c r="A2354" s="243">
        <v>2153</v>
      </c>
      <c r="B2354" s="24" t="s">
        <v>3625</v>
      </c>
      <c r="C2354" s="22">
        <v>53.48</v>
      </c>
      <c r="D2354" s="24" t="s">
        <v>44</v>
      </c>
      <c r="E2354" s="24" t="s">
        <v>3627</v>
      </c>
      <c r="F2354" s="24" t="s">
        <v>44</v>
      </c>
      <c r="G2354" s="238" t="s">
        <v>80</v>
      </c>
      <c r="H2354" s="26">
        <v>2689</v>
      </c>
      <c r="I2354" s="121">
        <v>1008</v>
      </c>
      <c r="J2354" s="31"/>
      <c r="K2354" s="31"/>
      <c r="L2354" s="31"/>
      <c r="M2354" s="31"/>
      <c r="N2354" s="31"/>
      <c r="O2354" s="31"/>
      <c r="P2354" s="31"/>
      <c r="Q2354" s="31"/>
      <c r="R2354" s="31"/>
      <c r="S2354" s="31"/>
      <c r="T2354" s="31"/>
      <c r="U2354" s="31"/>
      <c r="V2354" s="31"/>
      <c r="W2354" s="31"/>
      <c r="X2354" s="31"/>
      <c r="Y2354" s="31"/>
      <c r="Z2354" s="31"/>
      <c r="AA2354" s="31"/>
      <c r="AB2354" s="31"/>
      <c r="AC2354" s="31"/>
      <c r="AD2354" s="31"/>
      <c r="AE2354" s="31"/>
      <c r="AF2354" s="31"/>
      <c r="AG2354" s="31"/>
      <c r="AH2354" s="31"/>
      <c r="AI2354" s="31"/>
      <c r="AJ2354" s="31"/>
      <c r="AK2354" s="31"/>
      <c r="AL2354" s="28" t="str">
        <f>VLOOKUP($G2354,'[42]Sheet1 (2)'!$A$1:$B$1048440,2,FALSE)</f>
        <v>Rmt.</v>
      </c>
      <c r="AM2354" s="32"/>
      <c r="AN2354" s="31"/>
      <c r="AO2354" s="33"/>
    </row>
    <row r="2355" spans="1:41" ht="196" x14ac:dyDescent="0.25">
      <c r="A2355" s="243">
        <v>2154</v>
      </c>
      <c r="B2355" s="24" t="s">
        <v>3625</v>
      </c>
      <c r="C2355" s="22">
        <v>53.49</v>
      </c>
      <c r="D2355" s="24" t="s">
        <v>44</v>
      </c>
      <c r="E2355" s="24" t="s">
        <v>3628</v>
      </c>
      <c r="F2355" s="24" t="s">
        <v>44</v>
      </c>
      <c r="G2355" s="238" t="s">
        <v>80</v>
      </c>
      <c r="H2355" s="26">
        <v>2987</v>
      </c>
      <c r="I2355" s="121">
        <v>1008</v>
      </c>
      <c r="J2355" s="31"/>
      <c r="K2355" s="31"/>
      <c r="L2355" s="31"/>
      <c r="M2355" s="31"/>
      <c r="N2355" s="31"/>
      <c r="O2355" s="31"/>
      <c r="P2355" s="31"/>
      <c r="Q2355" s="31"/>
      <c r="R2355" s="31"/>
      <c r="S2355" s="31"/>
      <c r="T2355" s="31"/>
      <c r="U2355" s="31"/>
      <c r="V2355" s="31"/>
      <c r="W2355" s="31"/>
      <c r="X2355" s="31"/>
      <c r="Y2355" s="31"/>
      <c r="Z2355" s="31"/>
      <c r="AA2355" s="31"/>
      <c r="AB2355" s="31"/>
      <c r="AC2355" s="31"/>
      <c r="AD2355" s="31"/>
      <c r="AE2355" s="31"/>
      <c r="AF2355" s="31"/>
      <c r="AG2355" s="31"/>
      <c r="AH2355" s="31"/>
      <c r="AI2355" s="31"/>
      <c r="AJ2355" s="31"/>
      <c r="AK2355" s="31"/>
      <c r="AL2355" s="28" t="str">
        <f>VLOOKUP($G2355,'[42]Sheet1 (2)'!$A$1:$B$1048440,2,FALSE)</f>
        <v>Rmt.</v>
      </c>
      <c r="AM2355" s="32"/>
      <c r="AN2355" s="31"/>
      <c r="AO2355" s="33"/>
    </row>
    <row r="2356" spans="1:41" ht="140" x14ac:dyDescent="0.25">
      <c r="A2356" s="243">
        <v>2155</v>
      </c>
      <c r="B2356" s="24" t="s">
        <v>3625</v>
      </c>
      <c r="C2356" s="22">
        <v>53.5</v>
      </c>
      <c r="D2356" s="24" t="s">
        <v>44</v>
      </c>
      <c r="E2356" s="24" t="s">
        <v>3629</v>
      </c>
      <c r="F2356" s="24" t="s">
        <v>44</v>
      </c>
      <c r="G2356" s="238" t="s">
        <v>80</v>
      </c>
      <c r="H2356" s="26">
        <v>6242</v>
      </c>
      <c r="I2356" s="121">
        <v>1008</v>
      </c>
      <c r="J2356" s="31"/>
      <c r="K2356" s="31"/>
      <c r="L2356" s="31"/>
      <c r="M2356" s="31"/>
      <c r="N2356" s="31"/>
      <c r="O2356" s="31"/>
      <c r="P2356" s="31"/>
      <c r="Q2356" s="31"/>
      <c r="R2356" s="31"/>
      <c r="S2356" s="31"/>
      <c r="T2356" s="31"/>
      <c r="U2356" s="31"/>
      <c r="V2356" s="31"/>
      <c r="W2356" s="31"/>
      <c r="X2356" s="31"/>
      <c r="Y2356" s="31"/>
      <c r="Z2356" s="31"/>
      <c r="AA2356" s="31"/>
      <c r="AB2356" s="31"/>
      <c r="AC2356" s="31"/>
      <c r="AD2356" s="31"/>
      <c r="AE2356" s="31"/>
      <c r="AF2356" s="31"/>
      <c r="AG2356" s="31"/>
      <c r="AH2356" s="31"/>
      <c r="AI2356" s="31"/>
      <c r="AJ2356" s="31"/>
      <c r="AK2356" s="31"/>
      <c r="AL2356" s="28" t="str">
        <f>VLOOKUP($G2356,'[42]Sheet1 (2)'!$A$1:$B$1048440,2,FALSE)</f>
        <v>Rmt.</v>
      </c>
      <c r="AM2356" s="32"/>
      <c r="AN2356" s="31"/>
      <c r="AO2356" s="33"/>
    </row>
    <row r="2357" spans="1:41" ht="112" x14ac:dyDescent="0.25">
      <c r="A2357" s="243">
        <v>2156</v>
      </c>
      <c r="B2357" s="24" t="s">
        <v>3630</v>
      </c>
      <c r="C2357" s="22">
        <v>53.51</v>
      </c>
      <c r="D2357" s="24" t="s">
        <v>44</v>
      </c>
      <c r="E2357" s="24" t="s">
        <v>3631</v>
      </c>
      <c r="F2357" s="24" t="s">
        <v>44</v>
      </c>
      <c r="G2357" s="209" t="s">
        <v>47</v>
      </c>
      <c r="H2357" s="26">
        <v>15319</v>
      </c>
      <c r="I2357" s="121">
        <v>2565</v>
      </c>
      <c r="J2357" s="31"/>
      <c r="K2357" s="31"/>
      <c r="L2357" s="31"/>
      <c r="M2357" s="31"/>
      <c r="N2357" s="31"/>
      <c r="O2357" s="31"/>
      <c r="P2357" s="31"/>
      <c r="Q2357" s="31"/>
      <c r="R2357" s="31"/>
      <c r="S2357" s="31"/>
      <c r="T2357" s="31"/>
      <c r="U2357" s="31"/>
      <c r="V2357" s="31"/>
      <c r="W2357" s="31"/>
      <c r="X2357" s="31"/>
      <c r="Y2357" s="31"/>
      <c r="Z2357" s="31"/>
      <c r="AA2357" s="31"/>
      <c r="AB2357" s="31"/>
      <c r="AC2357" s="31"/>
      <c r="AD2357" s="31"/>
      <c r="AE2357" s="31"/>
      <c r="AF2357" s="31"/>
      <c r="AG2357" s="31"/>
      <c r="AH2357" s="31"/>
      <c r="AI2357" s="31"/>
      <c r="AJ2357" s="31"/>
      <c r="AK2357" s="31"/>
      <c r="AL2357" s="28" t="str">
        <f>VLOOKUP($G2357,'[42]Sheet1 (2)'!$A$1:$B$1048440,2,FALSE)</f>
        <v>Cum</v>
      </c>
      <c r="AM2357" s="32"/>
      <c r="AN2357" s="31"/>
      <c r="AO2357" s="33"/>
    </row>
    <row r="2358" spans="1:41" ht="336" x14ac:dyDescent="0.25">
      <c r="A2358" s="243">
        <v>2157</v>
      </c>
      <c r="B2358" s="21" t="s">
        <v>3632</v>
      </c>
      <c r="C2358" s="22">
        <v>53.52</v>
      </c>
      <c r="D2358" s="24" t="s">
        <v>44</v>
      </c>
      <c r="E2358" s="23" t="s">
        <v>3633</v>
      </c>
      <c r="F2358" s="24" t="s">
        <v>44</v>
      </c>
      <c r="G2358" s="202" t="s">
        <v>621</v>
      </c>
      <c r="H2358" s="26">
        <v>2553</v>
      </c>
      <c r="I2358" s="26">
        <v>0</v>
      </c>
      <c r="J2358" s="31"/>
      <c r="K2358" s="31"/>
      <c r="L2358" s="31"/>
      <c r="M2358" s="31"/>
      <c r="N2358" s="31"/>
      <c r="O2358" s="31"/>
      <c r="P2358" s="31"/>
      <c r="Q2358" s="31"/>
      <c r="R2358" s="31"/>
      <c r="S2358" s="31"/>
      <c r="T2358" s="31"/>
      <c r="U2358" s="31"/>
      <c r="V2358" s="31"/>
      <c r="W2358" s="31"/>
      <c r="X2358" s="31"/>
      <c r="Y2358" s="31"/>
      <c r="Z2358" s="31"/>
      <c r="AA2358" s="31"/>
      <c r="AB2358" s="31"/>
      <c r="AC2358" s="31"/>
      <c r="AD2358" s="31"/>
      <c r="AE2358" s="31"/>
      <c r="AF2358" s="31"/>
      <c r="AG2358" s="31"/>
      <c r="AH2358" s="31"/>
      <c r="AI2358" s="31"/>
      <c r="AJ2358" s="31"/>
      <c r="AK2358" s="31"/>
      <c r="AL2358" s="28" t="str">
        <f>VLOOKUP($G2358,'[42]Sheet1 (2)'!$A$1:$B$1048440,2,FALSE)</f>
        <v>Sqm</v>
      </c>
      <c r="AM2358" s="32"/>
      <c r="AN2358" s="31"/>
      <c r="AO2358" s="33"/>
    </row>
    <row r="2359" spans="1:41" ht="336" x14ac:dyDescent="0.25">
      <c r="A2359" s="243">
        <v>2158</v>
      </c>
      <c r="B2359" s="21" t="s">
        <v>3632</v>
      </c>
      <c r="C2359" s="22">
        <v>53.53</v>
      </c>
      <c r="D2359" s="24" t="s">
        <v>44</v>
      </c>
      <c r="E2359" s="23" t="s">
        <v>3634</v>
      </c>
      <c r="F2359" s="24" t="s">
        <v>44</v>
      </c>
      <c r="G2359" s="202" t="s">
        <v>621</v>
      </c>
      <c r="H2359" s="26">
        <v>2861</v>
      </c>
      <c r="I2359" s="26">
        <v>0</v>
      </c>
      <c r="J2359" s="31"/>
      <c r="K2359" s="31"/>
      <c r="L2359" s="31"/>
      <c r="M2359" s="31"/>
      <c r="N2359" s="31"/>
      <c r="O2359" s="31"/>
      <c r="P2359" s="31"/>
      <c r="Q2359" s="31"/>
      <c r="R2359" s="31"/>
      <c r="S2359" s="31"/>
      <c r="T2359" s="31"/>
      <c r="U2359" s="31"/>
      <c r="V2359" s="31"/>
      <c r="W2359" s="31"/>
      <c r="X2359" s="31"/>
      <c r="Y2359" s="31"/>
      <c r="Z2359" s="31"/>
      <c r="AA2359" s="31"/>
      <c r="AB2359" s="31"/>
      <c r="AC2359" s="31"/>
      <c r="AD2359" s="31"/>
      <c r="AE2359" s="31"/>
      <c r="AF2359" s="31"/>
      <c r="AG2359" s="31"/>
      <c r="AH2359" s="31"/>
      <c r="AI2359" s="31"/>
      <c r="AJ2359" s="31"/>
      <c r="AK2359" s="31"/>
      <c r="AL2359" s="28" t="str">
        <f>VLOOKUP($G2359,'[42]Sheet1 (2)'!$A$1:$B$1048440,2,FALSE)</f>
        <v>Sqm</v>
      </c>
      <c r="AM2359" s="32"/>
      <c r="AN2359" s="31"/>
      <c r="AO2359" s="33"/>
    </row>
    <row r="2360" spans="1:41" ht="336" x14ac:dyDescent="0.25">
      <c r="A2360" s="243">
        <v>2159</v>
      </c>
      <c r="B2360" s="21" t="s">
        <v>3632</v>
      </c>
      <c r="C2360" s="22">
        <v>53.54</v>
      </c>
      <c r="D2360" s="24" t="s">
        <v>44</v>
      </c>
      <c r="E2360" s="23" t="s">
        <v>3635</v>
      </c>
      <c r="F2360" s="24" t="s">
        <v>44</v>
      </c>
      <c r="G2360" s="202" t="s">
        <v>621</v>
      </c>
      <c r="H2360" s="26">
        <v>3314</v>
      </c>
      <c r="I2360" s="26">
        <v>0</v>
      </c>
      <c r="J2360" s="31"/>
      <c r="K2360" s="31"/>
      <c r="L2360" s="31"/>
      <c r="M2360" s="31"/>
      <c r="N2360" s="31"/>
      <c r="O2360" s="31"/>
      <c r="P2360" s="31"/>
      <c r="Q2360" s="31"/>
      <c r="R2360" s="31"/>
      <c r="S2360" s="31"/>
      <c r="T2360" s="31"/>
      <c r="U2360" s="31"/>
      <c r="V2360" s="31"/>
      <c r="W2360" s="31"/>
      <c r="X2360" s="31"/>
      <c r="Y2360" s="31"/>
      <c r="Z2360" s="31"/>
      <c r="AA2360" s="31"/>
      <c r="AB2360" s="31"/>
      <c r="AC2360" s="31"/>
      <c r="AD2360" s="31"/>
      <c r="AE2360" s="31"/>
      <c r="AF2360" s="31"/>
      <c r="AG2360" s="31"/>
      <c r="AH2360" s="31"/>
      <c r="AI2360" s="31"/>
      <c r="AJ2360" s="31"/>
      <c r="AK2360" s="31"/>
      <c r="AL2360" s="28" t="str">
        <f>VLOOKUP($G2360,'[42]Sheet1 (2)'!$A$1:$B$1048440,2,FALSE)</f>
        <v>Sqm</v>
      </c>
      <c r="AM2360" s="32"/>
      <c r="AN2360" s="31"/>
      <c r="AO2360" s="33"/>
    </row>
    <row r="2361" spans="1:41" ht="336" x14ac:dyDescent="0.25">
      <c r="A2361" s="243">
        <v>2160</v>
      </c>
      <c r="B2361" s="21" t="s">
        <v>3632</v>
      </c>
      <c r="C2361" s="22">
        <v>53.55</v>
      </c>
      <c r="D2361" s="24" t="s">
        <v>44</v>
      </c>
      <c r="E2361" s="23" t="s">
        <v>3636</v>
      </c>
      <c r="F2361" s="24" t="s">
        <v>44</v>
      </c>
      <c r="G2361" s="202" t="s">
        <v>621</v>
      </c>
      <c r="H2361" s="26">
        <v>3767</v>
      </c>
      <c r="I2361" s="26">
        <v>0</v>
      </c>
      <c r="J2361" s="31"/>
      <c r="K2361" s="31"/>
      <c r="L2361" s="31"/>
      <c r="M2361" s="31"/>
      <c r="N2361" s="31"/>
      <c r="O2361" s="31"/>
      <c r="P2361" s="31"/>
      <c r="Q2361" s="31"/>
      <c r="R2361" s="31"/>
      <c r="S2361" s="31"/>
      <c r="T2361" s="31"/>
      <c r="U2361" s="31"/>
      <c r="V2361" s="31"/>
      <c r="W2361" s="31"/>
      <c r="X2361" s="31"/>
      <c r="Y2361" s="31"/>
      <c r="Z2361" s="31"/>
      <c r="AA2361" s="31"/>
      <c r="AB2361" s="31"/>
      <c r="AC2361" s="31"/>
      <c r="AD2361" s="31"/>
      <c r="AE2361" s="31"/>
      <c r="AF2361" s="31"/>
      <c r="AG2361" s="31"/>
      <c r="AH2361" s="31"/>
      <c r="AI2361" s="31"/>
      <c r="AJ2361" s="31"/>
      <c r="AK2361" s="31"/>
      <c r="AL2361" s="28" t="str">
        <f>VLOOKUP($G2361,'[42]Sheet1 (2)'!$A$1:$B$1048440,2,FALSE)</f>
        <v>Sqm</v>
      </c>
      <c r="AM2361" s="32"/>
      <c r="AN2361" s="31"/>
      <c r="AO2361" s="33"/>
    </row>
    <row r="2362" spans="1:41" ht="350" x14ac:dyDescent="0.25">
      <c r="A2362" s="243">
        <v>2161</v>
      </c>
      <c r="B2362" s="25" t="s">
        <v>362</v>
      </c>
      <c r="C2362" s="22">
        <v>53.56</v>
      </c>
      <c r="D2362" s="67" t="s">
        <v>408</v>
      </c>
      <c r="E2362" s="23" t="s">
        <v>3637</v>
      </c>
      <c r="F2362" s="21" t="s">
        <v>408</v>
      </c>
      <c r="G2362" s="202" t="s">
        <v>621</v>
      </c>
      <c r="H2362" s="26">
        <v>7494</v>
      </c>
      <c r="I2362" s="103">
        <v>27</v>
      </c>
      <c r="J2362" s="31"/>
      <c r="K2362" s="31"/>
      <c r="L2362" s="31"/>
      <c r="M2362" s="31"/>
      <c r="N2362" s="31"/>
      <c r="O2362" s="31"/>
      <c r="P2362" s="31"/>
      <c r="Q2362" s="31"/>
      <c r="R2362" s="31"/>
      <c r="S2362" s="31"/>
      <c r="T2362" s="31"/>
      <c r="U2362" s="31"/>
      <c r="V2362" s="31"/>
      <c r="W2362" s="31"/>
      <c r="X2362" s="31"/>
      <c r="Y2362" s="31"/>
      <c r="Z2362" s="31"/>
      <c r="AA2362" s="31"/>
      <c r="AB2362" s="31"/>
      <c r="AC2362" s="31"/>
      <c r="AD2362" s="31"/>
      <c r="AE2362" s="31"/>
      <c r="AF2362" s="31"/>
      <c r="AG2362" s="31"/>
      <c r="AH2362" s="31"/>
      <c r="AI2362" s="31"/>
      <c r="AJ2362" s="31"/>
      <c r="AK2362" s="31"/>
      <c r="AL2362" s="28" t="str">
        <f>VLOOKUP($G2362,'[42]Sheet1 (2)'!$A$1:$B$1048440,2,FALSE)</f>
        <v>Sqm</v>
      </c>
      <c r="AM2362" s="32"/>
      <c r="AN2362" s="31"/>
      <c r="AO2362" s="33"/>
    </row>
    <row r="2363" spans="1:41" ht="378" x14ac:dyDescent="0.25">
      <c r="A2363" s="243">
        <v>2162</v>
      </c>
      <c r="B2363" s="25" t="s">
        <v>362</v>
      </c>
      <c r="C2363" s="22">
        <v>53.57</v>
      </c>
      <c r="D2363" s="67" t="s">
        <v>408</v>
      </c>
      <c r="E2363" s="24" t="s">
        <v>3638</v>
      </c>
      <c r="F2363" s="21" t="s">
        <v>408</v>
      </c>
      <c r="G2363" s="202" t="s">
        <v>621</v>
      </c>
      <c r="H2363" s="26">
        <v>9345</v>
      </c>
      <c r="I2363" s="103">
        <v>27</v>
      </c>
      <c r="J2363" s="31"/>
      <c r="K2363" s="31"/>
      <c r="L2363" s="31"/>
      <c r="M2363" s="31"/>
      <c r="N2363" s="31"/>
      <c r="O2363" s="31"/>
      <c r="P2363" s="31"/>
      <c r="Q2363" s="31"/>
      <c r="R2363" s="31"/>
      <c r="S2363" s="31"/>
      <c r="T2363" s="31"/>
      <c r="U2363" s="31"/>
      <c r="V2363" s="31"/>
      <c r="W2363" s="31"/>
      <c r="X2363" s="31"/>
      <c r="Y2363" s="31"/>
      <c r="Z2363" s="31"/>
      <c r="AA2363" s="31"/>
      <c r="AB2363" s="31"/>
      <c r="AC2363" s="31"/>
      <c r="AD2363" s="31"/>
      <c r="AE2363" s="31"/>
      <c r="AF2363" s="31"/>
      <c r="AG2363" s="31"/>
      <c r="AH2363" s="31"/>
      <c r="AI2363" s="31"/>
      <c r="AJ2363" s="31"/>
      <c r="AK2363" s="31"/>
      <c r="AL2363" s="28" t="str">
        <f>VLOOKUP($G2363,'[42]Sheet1 (2)'!$A$1:$B$1048440,2,FALSE)</f>
        <v>Sqm</v>
      </c>
      <c r="AM2363" s="32"/>
      <c r="AN2363" s="31"/>
      <c r="AO2363" s="33"/>
    </row>
    <row r="2364" spans="1:41" ht="350" x14ac:dyDescent="0.25">
      <c r="A2364" s="243">
        <v>2163</v>
      </c>
      <c r="B2364" s="25" t="s">
        <v>362</v>
      </c>
      <c r="C2364" s="22">
        <v>53.58</v>
      </c>
      <c r="D2364" s="25" t="s">
        <v>388</v>
      </c>
      <c r="E2364" s="23" t="s">
        <v>3639</v>
      </c>
      <c r="F2364" s="39" t="s">
        <v>388</v>
      </c>
      <c r="G2364" s="25" t="s">
        <v>45</v>
      </c>
      <c r="H2364" s="26">
        <v>5895</v>
      </c>
      <c r="I2364" s="26">
        <v>351</v>
      </c>
      <c r="J2364" s="31"/>
      <c r="K2364" s="31"/>
      <c r="L2364" s="31"/>
      <c r="M2364" s="31"/>
      <c r="N2364" s="31"/>
      <c r="O2364" s="31"/>
      <c r="P2364" s="31"/>
      <c r="Q2364" s="31"/>
      <c r="R2364" s="31"/>
      <c r="S2364" s="31"/>
      <c r="T2364" s="31"/>
      <c r="U2364" s="31"/>
      <c r="V2364" s="31"/>
      <c r="W2364" s="31"/>
      <c r="X2364" s="31"/>
      <c r="Y2364" s="31"/>
      <c r="Z2364" s="31"/>
      <c r="AA2364" s="31"/>
      <c r="AB2364" s="31"/>
      <c r="AC2364" s="31"/>
      <c r="AD2364" s="31"/>
      <c r="AE2364" s="31"/>
      <c r="AF2364" s="31"/>
      <c r="AG2364" s="31"/>
      <c r="AH2364" s="31"/>
      <c r="AI2364" s="31"/>
      <c r="AJ2364" s="31"/>
      <c r="AK2364" s="31"/>
      <c r="AL2364" s="28" t="str">
        <f>VLOOKUP($G2364,'[42]Sheet1 (2)'!$A$1:$B$1048440,2,FALSE)</f>
        <v>No.</v>
      </c>
      <c r="AM2364" s="32"/>
      <c r="AN2364" s="31"/>
      <c r="AO2364" s="33"/>
    </row>
    <row r="2365" spans="1:41" ht="350" x14ac:dyDescent="0.25">
      <c r="A2365" s="243">
        <v>2164</v>
      </c>
      <c r="B2365" s="25" t="s">
        <v>362</v>
      </c>
      <c r="C2365" s="22">
        <v>53.59</v>
      </c>
      <c r="D2365" s="25" t="s">
        <v>388</v>
      </c>
      <c r="E2365" s="23" t="s">
        <v>3640</v>
      </c>
      <c r="F2365" s="39" t="s">
        <v>388</v>
      </c>
      <c r="G2365" s="25" t="s">
        <v>45</v>
      </c>
      <c r="H2365" s="26">
        <v>7928</v>
      </c>
      <c r="I2365" s="26">
        <v>351</v>
      </c>
      <c r="J2365" s="31"/>
      <c r="K2365" s="31"/>
      <c r="L2365" s="31"/>
      <c r="M2365" s="31"/>
      <c r="N2365" s="31"/>
      <c r="O2365" s="31"/>
      <c r="P2365" s="31"/>
      <c r="Q2365" s="31"/>
      <c r="R2365" s="31"/>
      <c r="S2365" s="31"/>
      <c r="T2365" s="31"/>
      <c r="U2365" s="31"/>
      <c r="V2365" s="31"/>
      <c r="W2365" s="31"/>
      <c r="X2365" s="31"/>
      <c r="Y2365" s="31"/>
      <c r="Z2365" s="31"/>
      <c r="AA2365" s="31"/>
      <c r="AB2365" s="31"/>
      <c r="AC2365" s="31"/>
      <c r="AD2365" s="31"/>
      <c r="AE2365" s="31"/>
      <c r="AF2365" s="31"/>
      <c r="AG2365" s="31"/>
      <c r="AH2365" s="31"/>
      <c r="AI2365" s="31"/>
      <c r="AJ2365" s="31"/>
      <c r="AK2365" s="31"/>
      <c r="AL2365" s="28" t="str">
        <f>VLOOKUP($G2365,'[42]Sheet1 (2)'!$A$1:$B$1048440,2,FALSE)</f>
        <v>No.</v>
      </c>
      <c r="AM2365" s="32"/>
      <c r="AN2365" s="31"/>
      <c r="AO2365" s="33"/>
    </row>
    <row r="2366" spans="1:41" ht="350" x14ac:dyDescent="0.25">
      <c r="A2366" s="243">
        <v>2165</v>
      </c>
      <c r="B2366" s="25" t="s">
        <v>362</v>
      </c>
      <c r="C2366" s="22">
        <v>53.6</v>
      </c>
      <c r="D2366" s="25" t="s">
        <v>388</v>
      </c>
      <c r="E2366" s="23" t="s">
        <v>3641</v>
      </c>
      <c r="F2366" s="39" t="s">
        <v>388</v>
      </c>
      <c r="G2366" s="25" t="s">
        <v>45</v>
      </c>
      <c r="H2366" s="121">
        <v>10157</v>
      </c>
      <c r="I2366" s="26">
        <v>351</v>
      </c>
      <c r="J2366" s="31"/>
      <c r="K2366" s="31"/>
      <c r="L2366" s="31"/>
      <c r="M2366" s="31"/>
      <c r="N2366" s="31"/>
      <c r="O2366" s="31"/>
      <c r="P2366" s="31"/>
      <c r="Q2366" s="31"/>
      <c r="R2366" s="31"/>
      <c r="S2366" s="31"/>
      <c r="T2366" s="31"/>
      <c r="U2366" s="31"/>
      <c r="V2366" s="31"/>
      <c r="W2366" s="31"/>
      <c r="X2366" s="31"/>
      <c r="Y2366" s="31"/>
      <c r="Z2366" s="31"/>
      <c r="AA2366" s="31"/>
      <c r="AB2366" s="31"/>
      <c r="AC2366" s="31"/>
      <c r="AD2366" s="31"/>
      <c r="AE2366" s="31"/>
      <c r="AF2366" s="31"/>
      <c r="AG2366" s="31"/>
      <c r="AH2366" s="31"/>
      <c r="AI2366" s="31"/>
      <c r="AJ2366" s="31"/>
      <c r="AK2366" s="31"/>
      <c r="AL2366" s="28" t="str">
        <f>VLOOKUP($G2366,'[42]Sheet1 (2)'!$A$1:$B$1048440,2,FALSE)</f>
        <v>No.</v>
      </c>
      <c r="AM2366" s="32"/>
      <c r="AN2366" s="31"/>
      <c r="AO2366" s="33"/>
    </row>
    <row r="2367" spans="1:41" ht="350" x14ac:dyDescent="0.25">
      <c r="A2367" s="243">
        <v>2166</v>
      </c>
      <c r="B2367" s="25" t="s">
        <v>362</v>
      </c>
      <c r="C2367" s="22">
        <v>53.61</v>
      </c>
      <c r="D2367" s="25" t="s">
        <v>388</v>
      </c>
      <c r="E2367" s="23" t="s">
        <v>3642</v>
      </c>
      <c r="F2367" s="39" t="s">
        <v>388</v>
      </c>
      <c r="G2367" s="25" t="s">
        <v>45</v>
      </c>
      <c r="H2367" s="121">
        <v>15581</v>
      </c>
      <c r="I2367" s="26">
        <v>351</v>
      </c>
      <c r="J2367" s="31"/>
      <c r="K2367" s="31"/>
      <c r="L2367" s="31"/>
      <c r="M2367" s="31"/>
      <c r="N2367" s="31"/>
      <c r="O2367" s="31"/>
      <c r="P2367" s="31"/>
      <c r="Q2367" s="31"/>
      <c r="R2367" s="31"/>
      <c r="S2367" s="31"/>
      <c r="T2367" s="31"/>
      <c r="U2367" s="31"/>
      <c r="V2367" s="31"/>
      <c r="W2367" s="31"/>
      <c r="X2367" s="31"/>
      <c r="Y2367" s="31"/>
      <c r="Z2367" s="31"/>
      <c r="AA2367" s="31"/>
      <c r="AB2367" s="31"/>
      <c r="AC2367" s="31"/>
      <c r="AD2367" s="31"/>
      <c r="AE2367" s="31"/>
      <c r="AF2367" s="31"/>
      <c r="AG2367" s="31"/>
      <c r="AH2367" s="31"/>
      <c r="AI2367" s="31"/>
      <c r="AJ2367" s="31"/>
      <c r="AK2367" s="31"/>
      <c r="AL2367" s="28" t="str">
        <f>VLOOKUP($G2367,'[42]Sheet1 (2)'!$A$1:$B$1048440,2,FALSE)</f>
        <v>No.</v>
      </c>
      <c r="AM2367" s="32"/>
      <c r="AN2367" s="31"/>
      <c r="AO2367" s="33"/>
    </row>
    <row r="2368" spans="1:41" ht="322" x14ac:dyDescent="0.25">
      <c r="A2368" s="243">
        <v>2167</v>
      </c>
      <c r="B2368" s="25" t="s">
        <v>362</v>
      </c>
      <c r="C2368" s="22">
        <v>53.62</v>
      </c>
      <c r="D2368" s="25" t="s">
        <v>388</v>
      </c>
      <c r="E2368" s="23" t="s">
        <v>3643</v>
      </c>
      <c r="F2368" s="39" t="s">
        <v>388</v>
      </c>
      <c r="G2368" s="25" t="s">
        <v>45</v>
      </c>
      <c r="H2368" s="26">
        <v>6428</v>
      </c>
      <c r="I2368" s="26">
        <v>351</v>
      </c>
      <c r="J2368" s="31"/>
      <c r="K2368" s="31"/>
      <c r="L2368" s="31"/>
      <c r="M2368" s="31"/>
      <c r="N2368" s="31"/>
      <c r="O2368" s="31"/>
      <c r="P2368" s="31"/>
      <c r="Q2368" s="31"/>
      <c r="R2368" s="31"/>
      <c r="S2368" s="31"/>
      <c r="T2368" s="31"/>
      <c r="U2368" s="31"/>
      <c r="V2368" s="31"/>
      <c r="W2368" s="31"/>
      <c r="X2368" s="31"/>
      <c r="Y2368" s="31"/>
      <c r="Z2368" s="31"/>
      <c r="AA2368" s="31"/>
      <c r="AB2368" s="31"/>
      <c r="AC2368" s="31"/>
      <c r="AD2368" s="31"/>
      <c r="AE2368" s="31"/>
      <c r="AF2368" s="31"/>
      <c r="AG2368" s="31"/>
      <c r="AH2368" s="31"/>
      <c r="AI2368" s="31"/>
      <c r="AJ2368" s="31"/>
      <c r="AK2368" s="31"/>
      <c r="AL2368" s="28" t="str">
        <f>VLOOKUP($G2368,'[42]Sheet1 (2)'!$A$1:$B$1048440,2,FALSE)</f>
        <v>No.</v>
      </c>
      <c r="AM2368" s="32"/>
      <c r="AN2368" s="31"/>
      <c r="AO2368" s="33"/>
    </row>
    <row r="2369" spans="1:41" ht="350" x14ac:dyDescent="0.25">
      <c r="A2369" s="243">
        <v>2168</v>
      </c>
      <c r="B2369" s="25" t="s">
        <v>362</v>
      </c>
      <c r="C2369" s="22">
        <v>53.63</v>
      </c>
      <c r="D2369" s="25" t="s">
        <v>388</v>
      </c>
      <c r="E2369" s="23" t="s">
        <v>3644</v>
      </c>
      <c r="F2369" s="39" t="s">
        <v>388</v>
      </c>
      <c r="G2369" s="25" t="s">
        <v>45</v>
      </c>
      <c r="H2369" s="26">
        <v>8765</v>
      </c>
      <c r="I2369" s="26">
        <v>351</v>
      </c>
      <c r="J2369" s="31"/>
      <c r="K2369" s="31"/>
      <c r="L2369" s="31"/>
      <c r="M2369" s="31"/>
      <c r="N2369" s="31"/>
      <c r="O2369" s="31"/>
      <c r="P2369" s="31"/>
      <c r="Q2369" s="31"/>
      <c r="R2369" s="31"/>
      <c r="S2369" s="31"/>
      <c r="T2369" s="31"/>
      <c r="U2369" s="31"/>
      <c r="V2369" s="31"/>
      <c r="W2369" s="31"/>
      <c r="X2369" s="31"/>
      <c r="Y2369" s="31"/>
      <c r="Z2369" s="31"/>
      <c r="AA2369" s="31"/>
      <c r="AB2369" s="31"/>
      <c r="AC2369" s="31"/>
      <c r="AD2369" s="31"/>
      <c r="AE2369" s="31"/>
      <c r="AF2369" s="31"/>
      <c r="AG2369" s="31"/>
      <c r="AH2369" s="31"/>
      <c r="AI2369" s="31"/>
      <c r="AJ2369" s="31"/>
      <c r="AK2369" s="31"/>
      <c r="AL2369" s="28" t="str">
        <f>VLOOKUP($G2369,'[42]Sheet1 (2)'!$A$1:$B$1048440,2,FALSE)</f>
        <v>No.</v>
      </c>
      <c r="AM2369" s="32"/>
      <c r="AN2369" s="31"/>
      <c r="AO2369" s="33"/>
    </row>
    <row r="2370" spans="1:41" ht="350" x14ac:dyDescent="0.25">
      <c r="A2370" s="243">
        <v>2169</v>
      </c>
      <c r="B2370" s="25" t="s">
        <v>362</v>
      </c>
      <c r="C2370" s="203">
        <v>53.64</v>
      </c>
      <c r="D2370" s="25" t="s">
        <v>388</v>
      </c>
      <c r="E2370" s="23" t="s">
        <v>3645</v>
      </c>
      <c r="F2370" s="39" t="s">
        <v>388</v>
      </c>
      <c r="G2370" s="25" t="s">
        <v>45</v>
      </c>
      <c r="H2370" s="20">
        <v>12147</v>
      </c>
      <c r="I2370" s="26">
        <v>351</v>
      </c>
      <c r="J2370" s="31"/>
      <c r="K2370" s="31"/>
      <c r="L2370" s="31"/>
      <c r="M2370" s="31"/>
      <c r="N2370" s="31"/>
      <c r="O2370" s="31"/>
      <c r="P2370" s="31"/>
      <c r="Q2370" s="31"/>
      <c r="R2370" s="31"/>
      <c r="S2370" s="31"/>
      <c r="T2370" s="31"/>
      <c r="U2370" s="31"/>
      <c r="V2370" s="31"/>
      <c r="W2370" s="31"/>
      <c r="X2370" s="31"/>
      <c r="Y2370" s="31"/>
      <c r="Z2370" s="31"/>
      <c r="AA2370" s="31"/>
      <c r="AB2370" s="31"/>
      <c r="AC2370" s="31"/>
      <c r="AD2370" s="31"/>
      <c r="AE2370" s="31"/>
      <c r="AF2370" s="31"/>
      <c r="AG2370" s="31"/>
      <c r="AH2370" s="31"/>
      <c r="AI2370" s="31"/>
      <c r="AJ2370" s="31"/>
      <c r="AK2370" s="31"/>
      <c r="AL2370" s="28" t="str">
        <f>VLOOKUP($G2370,'[42]Sheet1 (2)'!$A$1:$B$1048440,2,FALSE)</f>
        <v>No.</v>
      </c>
      <c r="AM2370" s="32"/>
      <c r="AN2370" s="31"/>
      <c r="AO2370" s="33"/>
    </row>
    <row r="2371" spans="1:41" ht="350" x14ac:dyDescent="0.25">
      <c r="A2371" s="243">
        <v>2170</v>
      </c>
      <c r="B2371" s="25" t="s">
        <v>362</v>
      </c>
      <c r="C2371" s="22">
        <v>53.65</v>
      </c>
      <c r="D2371" s="25" t="s">
        <v>388</v>
      </c>
      <c r="E2371" s="23" t="s">
        <v>3646</v>
      </c>
      <c r="F2371" s="39" t="s">
        <v>388</v>
      </c>
      <c r="G2371" s="25" t="s">
        <v>45</v>
      </c>
      <c r="H2371" s="26">
        <v>17730</v>
      </c>
      <c r="I2371" s="26">
        <v>351</v>
      </c>
      <c r="J2371" s="31"/>
      <c r="K2371" s="31"/>
      <c r="L2371" s="31"/>
      <c r="M2371" s="31"/>
      <c r="N2371" s="31"/>
      <c r="O2371" s="31"/>
      <c r="P2371" s="31"/>
      <c r="Q2371" s="31"/>
      <c r="R2371" s="31"/>
      <c r="S2371" s="31"/>
      <c r="T2371" s="31"/>
      <c r="U2371" s="31"/>
      <c r="V2371" s="31"/>
      <c r="W2371" s="31"/>
      <c r="X2371" s="31"/>
      <c r="Y2371" s="31"/>
      <c r="Z2371" s="31"/>
      <c r="AA2371" s="31"/>
      <c r="AB2371" s="31"/>
      <c r="AC2371" s="31"/>
      <c r="AD2371" s="31"/>
      <c r="AE2371" s="31"/>
      <c r="AF2371" s="31"/>
      <c r="AG2371" s="31"/>
      <c r="AH2371" s="31"/>
      <c r="AI2371" s="31"/>
      <c r="AJ2371" s="31"/>
      <c r="AK2371" s="31"/>
      <c r="AL2371" s="28" t="str">
        <f>VLOOKUP($G2371,'[42]Sheet1 (2)'!$A$1:$B$1048440,2,FALSE)</f>
        <v>No.</v>
      </c>
      <c r="AM2371" s="32"/>
      <c r="AN2371" s="31"/>
      <c r="AO2371" s="33"/>
    </row>
    <row r="2372" spans="1:41" ht="350" x14ac:dyDescent="0.25">
      <c r="A2372" s="243">
        <v>2171</v>
      </c>
      <c r="B2372" s="25" t="s">
        <v>362</v>
      </c>
      <c r="C2372" s="22">
        <v>53.66</v>
      </c>
      <c r="D2372" s="25" t="s">
        <v>388</v>
      </c>
      <c r="E2372" s="23" t="s">
        <v>3647</v>
      </c>
      <c r="F2372" s="39" t="s">
        <v>388</v>
      </c>
      <c r="G2372" s="25" t="s">
        <v>45</v>
      </c>
      <c r="H2372" s="26">
        <v>4668</v>
      </c>
      <c r="I2372" s="26">
        <v>351</v>
      </c>
      <c r="J2372" s="31"/>
      <c r="K2372" s="31"/>
      <c r="L2372" s="31"/>
      <c r="M2372" s="31"/>
      <c r="N2372" s="31"/>
      <c r="O2372" s="31"/>
      <c r="P2372" s="31"/>
      <c r="Q2372" s="31"/>
      <c r="R2372" s="31"/>
      <c r="S2372" s="31"/>
      <c r="T2372" s="31"/>
      <c r="U2372" s="31"/>
      <c r="V2372" s="31"/>
      <c r="W2372" s="31"/>
      <c r="X2372" s="31"/>
      <c r="Y2372" s="31"/>
      <c r="Z2372" s="31"/>
      <c r="AA2372" s="31"/>
      <c r="AB2372" s="31"/>
      <c r="AC2372" s="31"/>
      <c r="AD2372" s="31"/>
      <c r="AE2372" s="31"/>
      <c r="AF2372" s="31"/>
      <c r="AG2372" s="31"/>
      <c r="AH2372" s="31"/>
      <c r="AI2372" s="31"/>
      <c r="AJ2372" s="31"/>
      <c r="AK2372" s="31"/>
      <c r="AL2372" s="28" t="str">
        <f>VLOOKUP($G2372,'[42]Sheet1 (2)'!$A$1:$B$1048440,2,FALSE)</f>
        <v>No.</v>
      </c>
      <c r="AM2372" s="32"/>
      <c r="AN2372" s="31"/>
      <c r="AO2372" s="33"/>
    </row>
    <row r="2373" spans="1:41" ht="350" x14ac:dyDescent="0.25">
      <c r="A2373" s="243">
        <v>2172</v>
      </c>
      <c r="B2373" s="25" t="s">
        <v>362</v>
      </c>
      <c r="C2373" s="22">
        <v>53.67</v>
      </c>
      <c r="D2373" s="25" t="s">
        <v>388</v>
      </c>
      <c r="E2373" s="23" t="s">
        <v>3648</v>
      </c>
      <c r="F2373" s="39" t="s">
        <v>388</v>
      </c>
      <c r="G2373" s="25" t="s">
        <v>45</v>
      </c>
      <c r="H2373" s="26">
        <v>5456</v>
      </c>
      <c r="I2373" s="26">
        <v>351</v>
      </c>
      <c r="J2373" s="31"/>
      <c r="K2373" s="31"/>
      <c r="L2373" s="31"/>
      <c r="M2373" s="31"/>
      <c r="N2373" s="31"/>
      <c r="O2373" s="31"/>
      <c r="P2373" s="31"/>
      <c r="Q2373" s="31"/>
      <c r="R2373" s="31"/>
      <c r="S2373" s="31"/>
      <c r="T2373" s="31"/>
      <c r="U2373" s="31"/>
      <c r="V2373" s="31"/>
      <c r="W2373" s="31"/>
      <c r="X2373" s="31"/>
      <c r="Y2373" s="31"/>
      <c r="Z2373" s="31"/>
      <c r="AA2373" s="31"/>
      <c r="AB2373" s="31"/>
      <c r="AC2373" s="31"/>
      <c r="AD2373" s="31"/>
      <c r="AE2373" s="31"/>
      <c r="AF2373" s="31"/>
      <c r="AG2373" s="31"/>
      <c r="AH2373" s="31"/>
      <c r="AI2373" s="31"/>
      <c r="AJ2373" s="31"/>
      <c r="AK2373" s="31"/>
      <c r="AL2373" s="28" t="str">
        <f>VLOOKUP($G2373,'[42]Sheet1 (2)'!$A$1:$B$1048440,2,FALSE)</f>
        <v>No.</v>
      </c>
      <c r="AM2373" s="32"/>
      <c r="AN2373" s="31"/>
      <c r="AO2373" s="33"/>
    </row>
    <row r="2374" spans="1:41" ht="350" x14ac:dyDescent="0.25">
      <c r="A2374" s="243">
        <v>2173</v>
      </c>
      <c r="B2374" s="25" t="s">
        <v>362</v>
      </c>
      <c r="C2374" s="22">
        <v>53.68</v>
      </c>
      <c r="D2374" s="25" t="s">
        <v>388</v>
      </c>
      <c r="E2374" s="23" t="s">
        <v>3649</v>
      </c>
      <c r="F2374" s="39" t="s">
        <v>388</v>
      </c>
      <c r="G2374" s="25" t="s">
        <v>45</v>
      </c>
      <c r="H2374" s="26">
        <v>7017</v>
      </c>
      <c r="I2374" s="26">
        <v>351</v>
      </c>
      <c r="J2374" s="31"/>
      <c r="K2374" s="31"/>
      <c r="L2374" s="31"/>
      <c r="M2374" s="31"/>
      <c r="N2374" s="31"/>
      <c r="O2374" s="31"/>
      <c r="P2374" s="31"/>
      <c r="Q2374" s="31"/>
      <c r="R2374" s="31"/>
      <c r="S2374" s="31"/>
      <c r="T2374" s="31"/>
      <c r="U2374" s="31"/>
      <c r="V2374" s="31"/>
      <c r="W2374" s="31"/>
      <c r="X2374" s="31"/>
      <c r="Y2374" s="31"/>
      <c r="Z2374" s="31"/>
      <c r="AA2374" s="31"/>
      <c r="AB2374" s="31"/>
      <c r="AC2374" s="31"/>
      <c r="AD2374" s="31"/>
      <c r="AE2374" s="31"/>
      <c r="AF2374" s="31"/>
      <c r="AG2374" s="31"/>
      <c r="AH2374" s="31"/>
      <c r="AI2374" s="31"/>
      <c r="AJ2374" s="31"/>
      <c r="AK2374" s="31"/>
      <c r="AL2374" s="28" t="str">
        <f>VLOOKUP($G2374,'[42]Sheet1 (2)'!$A$1:$B$1048440,2,FALSE)</f>
        <v>No.</v>
      </c>
      <c r="AM2374" s="32"/>
      <c r="AN2374" s="31"/>
      <c r="AO2374" s="33"/>
    </row>
    <row r="2375" spans="1:41" ht="350" x14ac:dyDescent="0.25">
      <c r="A2375" s="243">
        <v>2174</v>
      </c>
      <c r="B2375" s="25" t="s">
        <v>362</v>
      </c>
      <c r="C2375" s="22">
        <v>53.69</v>
      </c>
      <c r="D2375" s="25" t="s">
        <v>388</v>
      </c>
      <c r="E2375" s="23" t="s">
        <v>3650</v>
      </c>
      <c r="F2375" s="39" t="s">
        <v>388</v>
      </c>
      <c r="G2375" s="25" t="s">
        <v>45</v>
      </c>
      <c r="H2375" s="26">
        <v>10084</v>
      </c>
      <c r="I2375" s="26">
        <v>351</v>
      </c>
      <c r="J2375" s="31"/>
      <c r="K2375" s="31"/>
      <c r="L2375" s="31"/>
      <c r="M2375" s="31"/>
      <c r="N2375" s="31"/>
      <c r="O2375" s="31"/>
      <c r="P2375" s="31"/>
      <c r="Q2375" s="31"/>
      <c r="R2375" s="31"/>
      <c r="S2375" s="31"/>
      <c r="T2375" s="31"/>
      <c r="U2375" s="31"/>
      <c r="V2375" s="31"/>
      <c r="W2375" s="31"/>
      <c r="X2375" s="31"/>
      <c r="Y2375" s="31"/>
      <c r="Z2375" s="31"/>
      <c r="AA2375" s="31"/>
      <c r="AB2375" s="31"/>
      <c r="AC2375" s="31"/>
      <c r="AD2375" s="31"/>
      <c r="AE2375" s="31"/>
      <c r="AF2375" s="31"/>
      <c r="AG2375" s="31"/>
      <c r="AH2375" s="31"/>
      <c r="AI2375" s="31"/>
      <c r="AJ2375" s="31"/>
      <c r="AK2375" s="31"/>
      <c r="AL2375" s="28" t="str">
        <f>VLOOKUP($G2375,'[42]Sheet1 (2)'!$A$1:$B$1048440,2,FALSE)</f>
        <v>No.</v>
      </c>
      <c r="AM2375" s="32"/>
      <c r="AN2375" s="31"/>
      <c r="AO2375" s="33"/>
    </row>
    <row r="2376" spans="1:41" ht="350" x14ac:dyDescent="0.25">
      <c r="A2376" s="243">
        <v>2175</v>
      </c>
      <c r="B2376" s="25" t="s">
        <v>362</v>
      </c>
      <c r="C2376" s="22">
        <v>53.7</v>
      </c>
      <c r="D2376" s="25" t="s">
        <v>388</v>
      </c>
      <c r="E2376" s="23" t="s">
        <v>3651</v>
      </c>
      <c r="F2376" s="39" t="s">
        <v>388</v>
      </c>
      <c r="G2376" s="25" t="s">
        <v>45</v>
      </c>
      <c r="H2376" s="26">
        <v>4965</v>
      </c>
      <c r="I2376" s="26">
        <v>351</v>
      </c>
      <c r="J2376" s="31"/>
      <c r="K2376" s="31"/>
      <c r="L2376" s="31"/>
      <c r="M2376" s="31"/>
      <c r="N2376" s="31"/>
      <c r="O2376" s="31"/>
      <c r="P2376" s="31"/>
      <c r="Q2376" s="31"/>
      <c r="R2376" s="31"/>
      <c r="S2376" s="31"/>
      <c r="T2376" s="31"/>
      <c r="U2376" s="31"/>
      <c r="V2376" s="31"/>
      <c r="W2376" s="31"/>
      <c r="X2376" s="31"/>
      <c r="Y2376" s="31"/>
      <c r="Z2376" s="31"/>
      <c r="AA2376" s="31"/>
      <c r="AB2376" s="31"/>
      <c r="AC2376" s="31"/>
      <c r="AD2376" s="31"/>
      <c r="AE2376" s="31"/>
      <c r="AF2376" s="31"/>
      <c r="AG2376" s="31"/>
      <c r="AH2376" s="31"/>
      <c r="AI2376" s="31"/>
      <c r="AJ2376" s="31"/>
      <c r="AK2376" s="31"/>
      <c r="AL2376" s="28" t="str">
        <f>VLOOKUP($G2376,'[42]Sheet1 (2)'!$A$1:$B$1048440,2,FALSE)</f>
        <v>No.</v>
      </c>
      <c r="AM2376" s="32"/>
      <c r="AN2376" s="31"/>
      <c r="AO2376" s="33"/>
    </row>
    <row r="2377" spans="1:41" ht="336" x14ac:dyDescent="0.25">
      <c r="A2377" s="243">
        <v>2176</v>
      </c>
      <c r="B2377" s="25" t="s">
        <v>362</v>
      </c>
      <c r="C2377" s="22">
        <v>53.71</v>
      </c>
      <c r="D2377" s="25" t="s">
        <v>388</v>
      </c>
      <c r="E2377" s="23" t="s">
        <v>3652</v>
      </c>
      <c r="F2377" s="39" t="s">
        <v>388</v>
      </c>
      <c r="G2377" s="25" t="s">
        <v>45</v>
      </c>
      <c r="H2377" s="26">
        <v>5859</v>
      </c>
      <c r="I2377" s="26">
        <v>351</v>
      </c>
      <c r="J2377" s="31"/>
      <c r="K2377" s="31"/>
      <c r="L2377" s="31"/>
      <c r="M2377" s="31"/>
      <c r="N2377" s="31"/>
      <c r="O2377" s="31"/>
      <c r="P2377" s="31"/>
      <c r="Q2377" s="31"/>
      <c r="R2377" s="31"/>
      <c r="S2377" s="31"/>
      <c r="T2377" s="31"/>
      <c r="U2377" s="31"/>
      <c r="V2377" s="31"/>
      <c r="W2377" s="31"/>
      <c r="X2377" s="31"/>
      <c r="Y2377" s="31"/>
      <c r="Z2377" s="31"/>
      <c r="AA2377" s="31"/>
      <c r="AB2377" s="31"/>
      <c r="AC2377" s="31"/>
      <c r="AD2377" s="31"/>
      <c r="AE2377" s="31"/>
      <c r="AF2377" s="31"/>
      <c r="AG2377" s="31"/>
      <c r="AH2377" s="31"/>
      <c r="AI2377" s="31"/>
      <c r="AJ2377" s="31"/>
      <c r="AK2377" s="31"/>
      <c r="AL2377" s="28" t="str">
        <f>VLOOKUP($G2377,'[42]Sheet1 (2)'!$A$1:$B$1048440,2,FALSE)</f>
        <v>No.</v>
      </c>
      <c r="AM2377" s="32"/>
      <c r="AN2377" s="31"/>
      <c r="AO2377" s="33"/>
    </row>
    <row r="2378" spans="1:41" ht="336" x14ac:dyDescent="0.25">
      <c r="A2378" s="243">
        <v>2177</v>
      </c>
      <c r="B2378" s="25" t="s">
        <v>362</v>
      </c>
      <c r="C2378" s="22">
        <v>53.72</v>
      </c>
      <c r="D2378" s="25" t="s">
        <v>388</v>
      </c>
      <c r="E2378" s="23" t="s">
        <v>3653</v>
      </c>
      <c r="F2378" s="39" t="s">
        <v>388</v>
      </c>
      <c r="G2378" s="25" t="s">
        <v>45</v>
      </c>
      <c r="H2378" s="26">
        <v>7684</v>
      </c>
      <c r="I2378" s="26">
        <v>351</v>
      </c>
      <c r="J2378" s="31"/>
      <c r="K2378" s="31"/>
      <c r="L2378" s="31"/>
      <c r="M2378" s="31"/>
      <c r="N2378" s="31"/>
      <c r="O2378" s="31"/>
      <c r="P2378" s="31"/>
      <c r="Q2378" s="31"/>
      <c r="R2378" s="31"/>
      <c r="S2378" s="31"/>
      <c r="T2378" s="31"/>
      <c r="U2378" s="31"/>
      <c r="V2378" s="31"/>
      <c r="W2378" s="31"/>
      <c r="X2378" s="31"/>
      <c r="Y2378" s="31"/>
      <c r="Z2378" s="31"/>
      <c r="AA2378" s="31"/>
      <c r="AB2378" s="31"/>
      <c r="AC2378" s="31"/>
      <c r="AD2378" s="31"/>
      <c r="AE2378" s="31"/>
      <c r="AF2378" s="31"/>
      <c r="AG2378" s="31"/>
      <c r="AH2378" s="31"/>
      <c r="AI2378" s="31"/>
      <c r="AJ2378" s="31"/>
      <c r="AK2378" s="31"/>
      <c r="AL2378" s="28" t="str">
        <f>VLOOKUP($G2378,'[42]Sheet1 (2)'!$A$1:$B$1048440,2,FALSE)</f>
        <v>No.</v>
      </c>
      <c r="AM2378" s="32"/>
      <c r="AN2378" s="31"/>
      <c r="AO2378" s="33"/>
    </row>
    <row r="2379" spans="1:41" ht="336" x14ac:dyDescent="0.25">
      <c r="A2379" s="243">
        <v>2178</v>
      </c>
      <c r="B2379" s="25" t="s">
        <v>362</v>
      </c>
      <c r="C2379" s="22">
        <v>53.73</v>
      </c>
      <c r="D2379" s="25" t="s">
        <v>388</v>
      </c>
      <c r="E2379" s="23" t="s">
        <v>3654</v>
      </c>
      <c r="F2379" s="39" t="s">
        <v>388</v>
      </c>
      <c r="G2379" s="25" t="s">
        <v>45</v>
      </c>
      <c r="H2379" s="26">
        <v>11271</v>
      </c>
      <c r="I2379" s="26">
        <v>351</v>
      </c>
      <c r="J2379" s="31"/>
      <c r="K2379" s="31"/>
      <c r="L2379" s="31"/>
      <c r="M2379" s="31"/>
      <c r="N2379" s="31"/>
      <c r="O2379" s="31"/>
      <c r="P2379" s="31"/>
      <c r="Q2379" s="31"/>
      <c r="R2379" s="31"/>
      <c r="S2379" s="31"/>
      <c r="T2379" s="31"/>
      <c r="U2379" s="31"/>
      <c r="V2379" s="31"/>
      <c r="W2379" s="31"/>
      <c r="X2379" s="31"/>
      <c r="Y2379" s="31"/>
      <c r="Z2379" s="31"/>
      <c r="AA2379" s="31"/>
      <c r="AB2379" s="31"/>
      <c r="AC2379" s="31"/>
      <c r="AD2379" s="31"/>
      <c r="AE2379" s="31"/>
      <c r="AF2379" s="31"/>
      <c r="AG2379" s="31"/>
      <c r="AH2379" s="31"/>
      <c r="AI2379" s="31"/>
      <c r="AJ2379" s="31"/>
      <c r="AK2379" s="31"/>
      <c r="AL2379" s="28" t="str">
        <f>VLOOKUP($G2379,'[42]Sheet1 (2)'!$A$1:$B$1048440,2,FALSE)</f>
        <v>No.</v>
      </c>
      <c r="AM2379" s="32"/>
      <c r="AN2379" s="31"/>
      <c r="AO2379" s="33"/>
    </row>
    <row r="2380" spans="1:41" ht="336" x14ac:dyDescent="0.25">
      <c r="A2380" s="243">
        <v>2179</v>
      </c>
      <c r="B2380" s="25" t="s">
        <v>362</v>
      </c>
      <c r="C2380" s="22">
        <v>53.74</v>
      </c>
      <c r="D2380" s="25" t="s">
        <v>388</v>
      </c>
      <c r="E2380" s="23" t="s">
        <v>3655</v>
      </c>
      <c r="F2380" s="39" t="s">
        <v>388</v>
      </c>
      <c r="G2380" s="25" t="s">
        <v>45</v>
      </c>
      <c r="H2380" s="26">
        <v>9269</v>
      </c>
      <c r="I2380" s="26">
        <v>351</v>
      </c>
      <c r="J2380" s="18"/>
      <c r="K2380" s="18"/>
      <c r="L2380" s="18"/>
      <c r="M2380" s="18"/>
      <c r="N2380" s="18"/>
      <c r="O2380" s="18"/>
      <c r="P2380" s="18"/>
      <c r="Q2380" s="18"/>
      <c r="R2380" s="18"/>
      <c r="S2380" s="18"/>
      <c r="T2380" s="18"/>
      <c r="U2380" s="18"/>
      <c r="V2380" s="18"/>
      <c r="W2380" s="18"/>
      <c r="X2380" s="18"/>
      <c r="Y2380" s="18"/>
      <c r="Z2380" s="18"/>
      <c r="AA2380" s="18"/>
      <c r="AB2380" s="18"/>
      <c r="AC2380" s="18"/>
      <c r="AD2380" s="18"/>
      <c r="AE2380" s="18"/>
      <c r="AF2380" s="18"/>
      <c r="AG2380" s="18"/>
      <c r="AH2380" s="18"/>
      <c r="AI2380" s="18"/>
      <c r="AJ2380" s="18"/>
      <c r="AK2380" s="18"/>
      <c r="AL2380" s="28" t="str">
        <f>VLOOKUP($G2380,'[42]Sheet1 (2)'!$A$1:$B$1048440,2,FALSE)</f>
        <v>No.</v>
      </c>
      <c r="AM2380" s="71"/>
      <c r="AN2380" s="18"/>
      <c r="AO2380" s="18"/>
    </row>
    <row r="2381" spans="1:41" ht="336" x14ac:dyDescent="0.25">
      <c r="A2381" s="243">
        <v>2180</v>
      </c>
      <c r="B2381" s="25" t="s">
        <v>362</v>
      </c>
      <c r="C2381" s="22">
        <v>53.75</v>
      </c>
      <c r="D2381" s="25" t="s">
        <v>388</v>
      </c>
      <c r="E2381" s="23" t="s">
        <v>3656</v>
      </c>
      <c r="F2381" s="39" t="s">
        <v>388</v>
      </c>
      <c r="G2381" s="25" t="s">
        <v>45</v>
      </c>
      <c r="H2381" s="121">
        <v>12011</v>
      </c>
      <c r="I2381" s="26">
        <v>351</v>
      </c>
      <c r="J2381" s="18"/>
      <c r="K2381" s="18"/>
      <c r="L2381" s="18"/>
      <c r="M2381" s="18"/>
      <c r="N2381" s="18"/>
      <c r="O2381" s="18"/>
      <c r="P2381" s="18"/>
      <c r="Q2381" s="18"/>
      <c r="R2381" s="18"/>
      <c r="S2381" s="18"/>
      <c r="T2381" s="18"/>
      <c r="U2381" s="18"/>
      <c r="V2381" s="18"/>
      <c r="W2381" s="18"/>
      <c r="X2381" s="18"/>
      <c r="Y2381" s="18"/>
      <c r="Z2381" s="18"/>
      <c r="AA2381" s="18"/>
      <c r="AB2381" s="18"/>
      <c r="AC2381" s="18"/>
      <c r="AD2381" s="18"/>
      <c r="AE2381" s="18"/>
      <c r="AF2381" s="18"/>
      <c r="AG2381" s="18"/>
      <c r="AH2381" s="18"/>
      <c r="AI2381" s="18"/>
      <c r="AJ2381" s="18"/>
      <c r="AK2381" s="18"/>
      <c r="AL2381" s="28" t="str">
        <f>VLOOKUP($G2381,'[42]Sheet1 (2)'!$A$1:$B$1048440,2,FALSE)</f>
        <v>No.</v>
      </c>
      <c r="AM2381" s="71"/>
      <c r="AN2381" s="18"/>
      <c r="AO2381" s="18"/>
    </row>
    <row r="2382" spans="1:41" ht="322" x14ac:dyDescent="0.25">
      <c r="A2382" s="243">
        <v>2181</v>
      </c>
      <c r="B2382" s="25" t="s">
        <v>362</v>
      </c>
      <c r="C2382" s="22">
        <v>53.76</v>
      </c>
      <c r="D2382" s="25" t="s">
        <v>388</v>
      </c>
      <c r="E2382" s="23" t="s">
        <v>3657</v>
      </c>
      <c r="F2382" s="39" t="s">
        <v>388</v>
      </c>
      <c r="G2382" s="25" t="s">
        <v>45</v>
      </c>
      <c r="H2382" s="121">
        <v>10340</v>
      </c>
      <c r="I2382" s="26">
        <v>351</v>
      </c>
      <c r="J2382" s="18"/>
      <c r="K2382" s="18"/>
      <c r="L2382" s="18"/>
      <c r="M2382" s="18"/>
      <c r="N2382" s="18"/>
      <c r="O2382" s="18"/>
      <c r="P2382" s="18"/>
      <c r="Q2382" s="18"/>
      <c r="R2382" s="18"/>
      <c r="S2382" s="18"/>
      <c r="T2382" s="18"/>
      <c r="U2382" s="18"/>
      <c r="V2382" s="18"/>
      <c r="W2382" s="18"/>
      <c r="X2382" s="18"/>
      <c r="Y2382" s="18"/>
      <c r="Z2382" s="18"/>
      <c r="AA2382" s="18"/>
      <c r="AB2382" s="18"/>
      <c r="AC2382" s="18"/>
      <c r="AD2382" s="18"/>
      <c r="AE2382" s="18"/>
      <c r="AF2382" s="18"/>
      <c r="AG2382" s="18"/>
      <c r="AH2382" s="18"/>
      <c r="AI2382" s="18"/>
      <c r="AJ2382" s="18"/>
      <c r="AK2382" s="18"/>
      <c r="AL2382" s="28" t="str">
        <f>VLOOKUP($G2382,'[42]Sheet1 (2)'!$A$1:$B$1048440,2,FALSE)</f>
        <v>No.</v>
      </c>
      <c r="AM2382" s="71"/>
      <c r="AN2382" s="18"/>
      <c r="AO2382" s="18"/>
    </row>
    <row r="2383" spans="1:41" ht="322" x14ac:dyDescent="0.25">
      <c r="A2383" s="243">
        <v>2182</v>
      </c>
      <c r="B2383" s="25" t="s">
        <v>362</v>
      </c>
      <c r="C2383" s="203">
        <v>53.77</v>
      </c>
      <c r="D2383" s="25" t="s">
        <v>388</v>
      </c>
      <c r="E2383" s="23" t="s">
        <v>3658</v>
      </c>
      <c r="F2383" s="39" t="s">
        <v>388</v>
      </c>
      <c r="G2383" s="25" t="s">
        <v>45</v>
      </c>
      <c r="H2383" s="20">
        <v>13551</v>
      </c>
      <c r="I2383" s="26">
        <v>351</v>
      </c>
      <c r="J2383" s="18"/>
      <c r="K2383" s="18"/>
      <c r="L2383" s="18"/>
      <c r="M2383" s="18"/>
      <c r="N2383" s="18"/>
      <c r="O2383" s="18"/>
      <c r="P2383" s="18"/>
      <c r="Q2383" s="18"/>
      <c r="R2383" s="18"/>
      <c r="S2383" s="18"/>
      <c r="T2383" s="18"/>
      <c r="U2383" s="18"/>
      <c r="V2383" s="18"/>
      <c r="W2383" s="18"/>
      <c r="X2383" s="18"/>
      <c r="Y2383" s="18"/>
      <c r="Z2383" s="18"/>
      <c r="AA2383" s="18"/>
      <c r="AB2383" s="18"/>
      <c r="AC2383" s="18"/>
      <c r="AD2383" s="18"/>
      <c r="AE2383" s="18"/>
      <c r="AF2383" s="18"/>
      <c r="AG2383" s="18"/>
      <c r="AH2383" s="18"/>
      <c r="AI2383" s="18"/>
      <c r="AJ2383" s="18"/>
      <c r="AK2383" s="18"/>
      <c r="AL2383" s="28" t="str">
        <f>VLOOKUP($G2383,'[42]Sheet1 (2)'!$A$1:$B$1048440,2,FALSE)</f>
        <v>No.</v>
      </c>
      <c r="AM2383" s="71"/>
      <c r="AN2383" s="18"/>
      <c r="AO2383" s="18"/>
    </row>
    <row r="2384" spans="1:41" ht="409.5" x14ac:dyDescent="0.25">
      <c r="A2384" s="243">
        <v>2183</v>
      </c>
      <c r="B2384" s="25" t="s">
        <v>362</v>
      </c>
      <c r="C2384" s="203">
        <v>53.78</v>
      </c>
      <c r="D2384" s="25" t="s">
        <v>388</v>
      </c>
      <c r="E2384" s="24" t="s">
        <v>3659</v>
      </c>
      <c r="F2384" s="39" t="s">
        <v>388</v>
      </c>
      <c r="G2384" s="202" t="s">
        <v>621</v>
      </c>
      <c r="H2384" s="20">
        <v>14187</v>
      </c>
      <c r="I2384" s="26">
        <v>312</v>
      </c>
      <c r="J2384" s="18"/>
      <c r="K2384" s="18"/>
      <c r="L2384" s="18"/>
      <c r="M2384" s="18"/>
      <c r="N2384" s="18"/>
      <c r="O2384" s="18"/>
      <c r="P2384" s="18"/>
      <c r="Q2384" s="18"/>
      <c r="R2384" s="18"/>
      <c r="S2384" s="18"/>
      <c r="T2384" s="18"/>
      <c r="U2384" s="18"/>
      <c r="V2384" s="18"/>
      <c r="W2384" s="18"/>
      <c r="X2384" s="18"/>
      <c r="Y2384" s="18"/>
      <c r="Z2384" s="18"/>
      <c r="AA2384" s="18"/>
      <c r="AB2384" s="18"/>
      <c r="AC2384" s="18"/>
      <c r="AD2384" s="18"/>
      <c r="AE2384" s="18"/>
      <c r="AF2384" s="18"/>
      <c r="AG2384" s="18"/>
      <c r="AH2384" s="18"/>
      <c r="AI2384" s="18"/>
      <c r="AJ2384" s="18"/>
      <c r="AK2384" s="18"/>
      <c r="AL2384" s="28" t="str">
        <f>VLOOKUP($G2384,'[42]Sheet1 (2)'!$A$1:$B$1048440,2,FALSE)</f>
        <v>Sqm</v>
      </c>
      <c r="AM2384" s="71"/>
      <c r="AN2384" s="18"/>
      <c r="AO2384" s="18"/>
    </row>
    <row r="2385" spans="1:41" ht="406" x14ac:dyDescent="0.25">
      <c r="A2385" s="243">
        <v>2184</v>
      </c>
      <c r="B2385" s="25" t="s">
        <v>362</v>
      </c>
      <c r="C2385" s="203">
        <v>53.79</v>
      </c>
      <c r="D2385" s="25" t="s">
        <v>388</v>
      </c>
      <c r="E2385" s="24" t="s">
        <v>3660</v>
      </c>
      <c r="F2385" s="39" t="s">
        <v>388</v>
      </c>
      <c r="G2385" s="202" t="s">
        <v>621</v>
      </c>
      <c r="H2385" s="20">
        <v>16983</v>
      </c>
      <c r="I2385" s="26">
        <v>312</v>
      </c>
      <c r="J2385" s="18"/>
      <c r="K2385" s="18"/>
      <c r="L2385" s="18"/>
      <c r="M2385" s="18"/>
      <c r="N2385" s="18"/>
      <c r="O2385" s="18"/>
      <c r="P2385" s="18"/>
      <c r="Q2385" s="18"/>
      <c r="R2385" s="18"/>
      <c r="S2385" s="18"/>
      <c r="T2385" s="18"/>
      <c r="U2385" s="18"/>
      <c r="V2385" s="18"/>
      <c r="W2385" s="18"/>
      <c r="X2385" s="18"/>
      <c r="Y2385" s="18"/>
      <c r="Z2385" s="18"/>
      <c r="AA2385" s="18"/>
      <c r="AB2385" s="18"/>
      <c r="AC2385" s="18"/>
      <c r="AD2385" s="18"/>
      <c r="AE2385" s="18"/>
      <c r="AF2385" s="18"/>
      <c r="AG2385" s="18"/>
      <c r="AH2385" s="18"/>
      <c r="AI2385" s="18"/>
      <c r="AJ2385" s="18"/>
      <c r="AK2385" s="18"/>
      <c r="AL2385" s="28" t="str">
        <f>VLOOKUP($G2385,'[42]Sheet1 (2)'!$A$1:$B$1048440,2,FALSE)</f>
        <v>Sqm</v>
      </c>
      <c r="AM2385" s="71"/>
      <c r="AN2385" s="18"/>
      <c r="AO2385" s="18"/>
    </row>
    <row r="2386" spans="1:41" ht="409.5" x14ac:dyDescent="0.25">
      <c r="A2386" s="243">
        <v>2185</v>
      </c>
      <c r="B2386" s="25" t="s">
        <v>362</v>
      </c>
      <c r="C2386" s="203">
        <v>53.8</v>
      </c>
      <c r="D2386" s="25" t="s">
        <v>388</v>
      </c>
      <c r="E2386" s="24" t="s">
        <v>3661</v>
      </c>
      <c r="F2386" s="39" t="s">
        <v>388</v>
      </c>
      <c r="G2386" s="202" t="s">
        <v>621</v>
      </c>
      <c r="H2386" s="20">
        <v>16089</v>
      </c>
      <c r="I2386" s="26">
        <v>128</v>
      </c>
      <c r="J2386" s="18"/>
      <c r="K2386" s="18"/>
      <c r="L2386" s="18"/>
      <c r="M2386" s="18"/>
      <c r="N2386" s="18"/>
      <c r="O2386" s="18"/>
      <c r="P2386" s="18"/>
      <c r="Q2386" s="18"/>
      <c r="R2386" s="18"/>
      <c r="S2386" s="18"/>
      <c r="T2386" s="18"/>
      <c r="U2386" s="18"/>
      <c r="V2386" s="18"/>
      <c r="W2386" s="18"/>
      <c r="X2386" s="18"/>
      <c r="Y2386" s="18"/>
      <c r="Z2386" s="18"/>
      <c r="AA2386" s="18"/>
      <c r="AB2386" s="18"/>
      <c r="AC2386" s="18"/>
      <c r="AD2386" s="18"/>
      <c r="AE2386" s="18"/>
      <c r="AF2386" s="18"/>
      <c r="AG2386" s="18"/>
      <c r="AH2386" s="18"/>
      <c r="AI2386" s="18"/>
      <c r="AJ2386" s="18"/>
      <c r="AK2386" s="18"/>
      <c r="AL2386" s="28" t="str">
        <f>VLOOKUP($G2386,'[42]Sheet1 (2)'!$A$1:$B$1048440,2,FALSE)</f>
        <v>Sqm</v>
      </c>
      <c r="AM2386" s="71"/>
      <c r="AN2386" s="18"/>
      <c r="AO2386" s="18"/>
    </row>
    <row r="2387" spans="1:41" ht="406" x14ac:dyDescent="0.25">
      <c r="A2387" s="243">
        <v>2186</v>
      </c>
      <c r="B2387" s="25" t="s">
        <v>362</v>
      </c>
      <c r="C2387" s="203">
        <v>53.81</v>
      </c>
      <c r="D2387" s="25" t="s">
        <v>388</v>
      </c>
      <c r="E2387" s="24" t="s">
        <v>3662</v>
      </c>
      <c r="F2387" s="39" t="s">
        <v>388</v>
      </c>
      <c r="G2387" s="202" t="s">
        <v>621</v>
      </c>
      <c r="H2387" s="20">
        <v>18885</v>
      </c>
      <c r="I2387" s="26">
        <v>380</v>
      </c>
      <c r="J2387" s="18"/>
      <c r="K2387" s="18"/>
      <c r="L2387" s="18"/>
      <c r="M2387" s="18"/>
      <c r="N2387" s="18"/>
      <c r="O2387" s="18"/>
      <c r="P2387" s="18"/>
      <c r="Q2387" s="18"/>
      <c r="R2387" s="18"/>
      <c r="S2387" s="18"/>
      <c r="T2387" s="18"/>
      <c r="U2387" s="18"/>
      <c r="V2387" s="18"/>
      <c r="W2387" s="18"/>
      <c r="X2387" s="18"/>
      <c r="Y2387" s="18"/>
      <c r="Z2387" s="18"/>
      <c r="AA2387" s="18"/>
      <c r="AB2387" s="18"/>
      <c r="AC2387" s="18"/>
      <c r="AD2387" s="18"/>
      <c r="AE2387" s="18"/>
      <c r="AF2387" s="18"/>
      <c r="AG2387" s="18"/>
      <c r="AH2387" s="18"/>
      <c r="AI2387" s="18"/>
      <c r="AJ2387" s="18"/>
      <c r="AK2387" s="18"/>
      <c r="AL2387" s="28" t="str">
        <f>VLOOKUP($G2387,'[42]Sheet1 (2)'!$A$1:$B$1048440,2,FALSE)</f>
        <v>Sqm</v>
      </c>
      <c r="AM2387" s="71"/>
      <c r="AN2387" s="18"/>
      <c r="AO2387" s="18"/>
    </row>
    <row r="2388" spans="1:41" ht="364" x14ac:dyDescent="0.25">
      <c r="A2388" s="243">
        <v>2187</v>
      </c>
      <c r="B2388" s="25" t="s">
        <v>362</v>
      </c>
      <c r="C2388" s="203">
        <v>53.82</v>
      </c>
      <c r="D2388" s="25" t="s">
        <v>388</v>
      </c>
      <c r="E2388" s="23" t="s">
        <v>3663</v>
      </c>
      <c r="F2388" s="39" t="s">
        <v>388</v>
      </c>
      <c r="G2388" s="202" t="s">
        <v>621</v>
      </c>
      <c r="H2388" s="20">
        <v>11111</v>
      </c>
      <c r="I2388" s="26">
        <v>171</v>
      </c>
      <c r="J2388" s="18"/>
      <c r="K2388" s="18"/>
      <c r="L2388" s="18"/>
      <c r="M2388" s="18"/>
      <c r="N2388" s="18"/>
      <c r="O2388" s="18"/>
      <c r="P2388" s="18"/>
      <c r="Q2388" s="18"/>
      <c r="R2388" s="18"/>
      <c r="S2388" s="18"/>
      <c r="T2388" s="18"/>
      <c r="U2388" s="18"/>
      <c r="V2388" s="18"/>
      <c r="W2388" s="18"/>
      <c r="X2388" s="18"/>
      <c r="Y2388" s="18"/>
      <c r="Z2388" s="18"/>
      <c r="AA2388" s="18"/>
      <c r="AB2388" s="18"/>
      <c r="AC2388" s="18"/>
      <c r="AD2388" s="18"/>
      <c r="AE2388" s="18"/>
      <c r="AF2388" s="18"/>
      <c r="AG2388" s="18"/>
      <c r="AH2388" s="18"/>
      <c r="AI2388" s="18"/>
      <c r="AJ2388" s="18"/>
      <c r="AK2388" s="18"/>
      <c r="AL2388" s="28" t="str">
        <f>VLOOKUP($G2388,'[42]Sheet1 (2)'!$A$1:$B$1048440,2,FALSE)</f>
        <v>Sqm</v>
      </c>
      <c r="AM2388" s="71"/>
      <c r="AN2388" s="18"/>
      <c r="AO2388" s="18"/>
    </row>
    <row r="2389" spans="1:41" ht="378" x14ac:dyDescent="0.25">
      <c r="A2389" s="243">
        <v>2188</v>
      </c>
      <c r="B2389" s="25" t="s">
        <v>362</v>
      </c>
      <c r="C2389" s="203">
        <v>53.83</v>
      </c>
      <c r="D2389" s="25" t="s">
        <v>388</v>
      </c>
      <c r="E2389" s="24" t="s">
        <v>3664</v>
      </c>
      <c r="F2389" s="39" t="s">
        <v>388</v>
      </c>
      <c r="G2389" s="202" t="s">
        <v>621</v>
      </c>
      <c r="H2389" s="20">
        <v>13013</v>
      </c>
      <c r="I2389" s="26">
        <v>171</v>
      </c>
      <c r="J2389" s="18"/>
      <c r="K2389" s="18"/>
      <c r="L2389" s="18"/>
      <c r="M2389" s="18"/>
      <c r="N2389" s="18"/>
      <c r="O2389" s="18"/>
      <c r="P2389" s="18"/>
      <c r="Q2389" s="18"/>
      <c r="R2389" s="18"/>
      <c r="S2389" s="18"/>
      <c r="T2389" s="18"/>
      <c r="U2389" s="18"/>
      <c r="V2389" s="18"/>
      <c r="W2389" s="18"/>
      <c r="X2389" s="18"/>
      <c r="Y2389" s="18"/>
      <c r="Z2389" s="18"/>
      <c r="AA2389" s="18"/>
      <c r="AB2389" s="18"/>
      <c r="AC2389" s="18"/>
      <c r="AD2389" s="18"/>
      <c r="AE2389" s="18"/>
      <c r="AF2389" s="18"/>
      <c r="AG2389" s="18"/>
      <c r="AH2389" s="18"/>
      <c r="AI2389" s="18"/>
      <c r="AJ2389" s="18"/>
      <c r="AK2389" s="18"/>
      <c r="AL2389" s="28" t="str">
        <f>VLOOKUP($G2389,'[42]Sheet1 (2)'!$A$1:$B$1048440,2,FALSE)</f>
        <v>Sqm</v>
      </c>
      <c r="AM2389" s="71"/>
      <c r="AN2389" s="18"/>
      <c r="AO2389" s="18"/>
    </row>
    <row r="2390" spans="1:41" ht="336" x14ac:dyDescent="0.25">
      <c r="A2390" s="243">
        <v>2189</v>
      </c>
      <c r="B2390" s="25" t="s">
        <v>362</v>
      </c>
      <c r="C2390" s="203">
        <v>53.84</v>
      </c>
      <c r="D2390" s="25" t="s">
        <v>388</v>
      </c>
      <c r="E2390" s="24" t="s">
        <v>3665</v>
      </c>
      <c r="F2390" s="39" t="s">
        <v>388</v>
      </c>
      <c r="G2390" s="202" t="s">
        <v>621</v>
      </c>
      <c r="H2390" s="20">
        <v>12934</v>
      </c>
      <c r="I2390" s="20">
        <v>2574</v>
      </c>
      <c r="J2390" s="18"/>
      <c r="K2390" s="18"/>
      <c r="L2390" s="18"/>
      <c r="M2390" s="18"/>
      <c r="N2390" s="18"/>
      <c r="O2390" s="18"/>
      <c r="P2390" s="18"/>
      <c r="Q2390" s="18"/>
      <c r="R2390" s="18"/>
      <c r="S2390" s="18"/>
      <c r="T2390" s="18"/>
      <c r="U2390" s="18"/>
      <c r="V2390" s="18"/>
      <c r="W2390" s="18"/>
      <c r="X2390" s="18"/>
      <c r="Y2390" s="18"/>
      <c r="Z2390" s="18"/>
      <c r="AA2390" s="18"/>
      <c r="AB2390" s="18"/>
      <c r="AC2390" s="18"/>
      <c r="AD2390" s="18"/>
      <c r="AE2390" s="18"/>
      <c r="AF2390" s="18"/>
      <c r="AG2390" s="18"/>
      <c r="AH2390" s="18"/>
      <c r="AI2390" s="18"/>
      <c r="AJ2390" s="18"/>
      <c r="AK2390" s="18"/>
      <c r="AL2390" s="28" t="str">
        <f>VLOOKUP($G2390,'[42]Sheet1 (2)'!$A$1:$B$1048440,2,FALSE)</f>
        <v>Sqm</v>
      </c>
      <c r="AM2390" s="71"/>
      <c r="AN2390" s="18"/>
      <c r="AO2390" s="18"/>
    </row>
    <row r="2391" spans="1:41" ht="322" x14ac:dyDescent="0.25">
      <c r="A2391" s="243">
        <v>2190</v>
      </c>
      <c r="B2391" s="25" t="s">
        <v>362</v>
      </c>
      <c r="C2391" s="22">
        <v>53.85</v>
      </c>
      <c r="D2391" s="25" t="s">
        <v>388</v>
      </c>
      <c r="E2391" s="24" t="s">
        <v>3666</v>
      </c>
      <c r="F2391" s="39" t="s">
        <v>388</v>
      </c>
      <c r="G2391" s="202" t="s">
        <v>621</v>
      </c>
      <c r="H2391" s="121">
        <v>14972</v>
      </c>
      <c r="I2391" s="121">
        <v>2574</v>
      </c>
      <c r="J2391" s="18"/>
      <c r="K2391" s="18"/>
      <c r="L2391" s="18"/>
      <c r="M2391" s="18"/>
      <c r="N2391" s="18"/>
      <c r="O2391" s="18"/>
      <c r="P2391" s="18"/>
      <c r="Q2391" s="18"/>
      <c r="R2391" s="18"/>
      <c r="S2391" s="18"/>
      <c r="T2391" s="18"/>
      <c r="U2391" s="18"/>
      <c r="V2391" s="18"/>
      <c r="W2391" s="18"/>
      <c r="X2391" s="18"/>
      <c r="Y2391" s="18"/>
      <c r="Z2391" s="18"/>
      <c r="AA2391" s="18"/>
      <c r="AB2391" s="18"/>
      <c r="AC2391" s="18"/>
      <c r="AD2391" s="18"/>
      <c r="AE2391" s="18"/>
      <c r="AF2391" s="18"/>
      <c r="AG2391" s="18"/>
      <c r="AH2391" s="18"/>
      <c r="AI2391" s="18"/>
      <c r="AJ2391" s="18"/>
      <c r="AK2391" s="18"/>
      <c r="AL2391" s="28" t="str">
        <f>VLOOKUP($G2391,'[42]Sheet1 (2)'!$A$1:$B$1048440,2,FALSE)</f>
        <v>Sqm</v>
      </c>
      <c r="AM2391" s="71"/>
      <c r="AN2391" s="18"/>
      <c r="AO2391" s="18"/>
    </row>
    <row r="2392" spans="1:41" ht="336" x14ac:dyDescent="0.25">
      <c r="A2392" s="243">
        <v>2191</v>
      </c>
      <c r="B2392" s="25" t="s">
        <v>362</v>
      </c>
      <c r="C2392" s="22">
        <v>53.86</v>
      </c>
      <c r="D2392" s="25" t="s">
        <v>388</v>
      </c>
      <c r="E2392" s="24" t="s">
        <v>3667</v>
      </c>
      <c r="F2392" s="39" t="s">
        <v>388</v>
      </c>
      <c r="G2392" s="202" t="s">
        <v>621</v>
      </c>
      <c r="H2392" s="121">
        <v>24611</v>
      </c>
      <c r="I2392" s="121">
        <v>2574</v>
      </c>
      <c r="J2392" s="18"/>
      <c r="K2392" s="18"/>
      <c r="L2392" s="18"/>
      <c r="M2392" s="18"/>
      <c r="N2392" s="18"/>
      <c r="O2392" s="18"/>
      <c r="P2392" s="18"/>
      <c r="Q2392" s="18"/>
      <c r="R2392" s="18"/>
      <c r="S2392" s="18"/>
      <c r="T2392" s="18"/>
      <c r="U2392" s="18"/>
      <c r="V2392" s="18"/>
      <c r="W2392" s="18"/>
      <c r="X2392" s="18"/>
      <c r="Y2392" s="18"/>
      <c r="Z2392" s="18"/>
      <c r="AA2392" s="18"/>
      <c r="AB2392" s="18"/>
      <c r="AC2392" s="18"/>
      <c r="AD2392" s="18"/>
      <c r="AE2392" s="18"/>
      <c r="AF2392" s="18"/>
      <c r="AG2392" s="18"/>
      <c r="AH2392" s="18"/>
      <c r="AI2392" s="18"/>
      <c r="AJ2392" s="18"/>
      <c r="AK2392" s="18"/>
      <c r="AL2392" s="28" t="str">
        <f>VLOOKUP($G2392,'[42]Sheet1 (2)'!$A$1:$B$1048440,2,FALSE)</f>
        <v>Sqm</v>
      </c>
      <c r="AM2392" s="71"/>
      <c r="AN2392" s="18"/>
      <c r="AO2392" s="18"/>
    </row>
    <row r="2393" spans="1:41" ht="322" x14ac:dyDescent="0.25">
      <c r="A2393" s="243">
        <v>2192</v>
      </c>
      <c r="B2393" s="25" t="s">
        <v>362</v>
      </c>
      <c r="C2393" s="203">
        <v>53.87</v>
      </c>
      <c r="D2393" s="25" t="s">
        <v>388</v>
      </c>
      <c r="E2393" s="24" t="s">
        <v>3668</v>
      </c>
      <c r="F2393" s="39" t="s">
        <v>388</v>
      </c>
      <c r="G2393" s="202" t="s">
        <v>621</v>
      </c>
      <c r="H2393" s="20">
        <v>28686</v>
      </c>
      <c r="I2393" s="20">
        <v>2574</v>
      </c>
      <c r="J2393" s="18"/>
      <c r="K2393" s="18"/>
      <c r="L2393" s="18"/>
      <c r="M2393" s="18"/>
      <c r="N2393" s="18"/>
      <c r="O2393" s="18"/>
      <c r="P2393" s="18"/>
      <c r="Q2393" s="18"/>
      <c r="R2393" s="18"/>
      <c r="S2393" s="18"/>
      <c r="T2393" s="18"/>
      <c r="U2393" s="18"/>
      <c r="V2393" s="18"/>
      <c r="W2393" s="18"/>
      <c r="X2393" s="18"/>
      <c r="Y2393" s="18"/>
      <c r="Z2393" s="18"/>
      <c r="AA2393" s="18"/>
      <c r="AB2393" s="18"/>
      <c r="AC2393" s="18"/>
      <c r="AD2393" s="18"/>
      <c r="AE2393" s="18"/>
      <c r="AF2393" s="18"/>
      <c r="AG2393" s="18"/>
      <c r="AH2393" s="18"/>
      <c r="AI2393" s="18"/>
      <c r="AJ2393" s="18"/>
      <c r="AK2393" s="18"/>
      <c r="AL2393" s="28" t="str">
        <f>VLOOKUP($G2393,'[42]Sheet1 (2)'!$A$1:$B$1048440,2,FALSE)</f>
        <v>Sqm</v>
      </c>
      <c r="AM2393" s="71"/>
      <c r="AN2393" s="18"/>
      <c r="AO2393" s="18"/>
    </row>
    <row r="2394" spans="1:41" ht="17.5" x14ac:dyDescent="0.25">
      <c r="A2394" s="348" t="s">
        <v>3669</v>
      </c>
      <c r="B2394" s="349"/>
      <c r="C2394" s="349"/>
      <c r="D2394" s="349"/>
      <c r="E2394" s="349"/>
      <c r="F2394" s="349"/>
      <c r="G2394" s="349"/>
      <c r="H2394" s="349"/>
      <c r="I2394" s="350"/>
      <c r="J2394" s="18"/>
      <c r="K2394" s="18"/>
      <c r="L2394" s="18"/>
      <c r="M2394" s="18"/>
      <c r="N2394" s="18"/>
      <c r="O2394" s="18"/>
      <c r="P2394" s="18"/>
      <c r="Q2394" s="18"/>
      <c r="R2394" s="18"/>
      <c r="S2394" s="18"/>
      <c r="T2394" s="18"/>
      <c r="U2394" s="18"/>
      <c r="V2394" s="18"/>
      <c r="W2394" s="18"/>
      <c r="X2394" s="18"/>
      <c r="Y2394" s="18"/>
      <c r="Z2394" s="18"/>
      <c r="AA2394" s="18"/>
      <c r="AB2394" s="18"/>
      <c r="AC2394" s="18"/>
      <c r="AD2394" s="18"/>
      <c r="AE2394" s="18"/>
      <c r="AF2394" s="18"/>
      <c r="AG2394" s="18"/>
      <c r="AH2394" s="18"/>
      <c r="AI2394" s="18"/>
      <c r="AJ2394" s="18"/>
      <c r="AK2394" s="18"/>
      <c r="AL2394" s="28" t="e">
        <f>VLOOKUP($G2394,'[42]Sheet1 (2)'!$A$1:$B$1048440,2,FALSE)</f>
        <v>#N/A</v>
      </c>
      <c r="AM2394" s="71"/>
      <c r="AN2394" s="18"/>
      <c r="AO2394" s="18"/>
    </row>
    <row r="2395" spans="1:41" ht="364" x14ac:dyDescent="0.25">
      <c r="A2395" s="243">
        <v>2193</v>
      </c>
      <c r="B2395" s="25" t="s">
        <v>3670</v>
      </c>
      <c r="C2395" s="127">
        <v>54.01</v>
      </c>
      <c r="D2395" s="23"/>
      <c r="E2395" s="23" t="s">
        <v>3671</v>
      </c>
      <c r="F2395" s="21" t="s">
        <v>3672</v>
      </c>
      <c r="G2395" s="202" t="s">
        <v>621</v>
      </c>
      <c r="H2395" s="26">
        <v>1649</v>
      </c>
      <c r="I2395" s="26">
        <v>495</v>
      </c>
      <c r="J2395" s="18"/>
      <c r="K2395" s="18"/>
      <c r="L2395" s="18"/>
      <c r="M2395" s="18"/>
      <c r="N2395" s="18"/>
      <c r="O2395" s="18"/>
      <c r="P2395" s="18"/>
      <c r="Q2395" s="18"/>
      <c r="R2395" s="18"/>
      <c r="S2395" s="18"/>
      <c r="T2395" s="18"/>
      <c r="U2395" s="18"/>
      <c r="V2395" s="18"/>
      <c r="W2395" s="18"/>
      <c r="X2395" s="18"/>
      <c r="Y2395" s="18"/>
      <c r="Z2395" s="18"/>
      <c r="AA2395" s="18"/>
      <c r="AB2395" s="18"/>
      <c r="AC2395" s="18"/>
      <c r="AD2395" s="18"/>
      <c r="AE2395" s="18"/>
      <c r="AF2395" s="18"/>
      <c r="AG2395" s="18"/>
      <c r="AH2395" s="18"/>
      <c r="AI2395" s="18"/>
      <c r="AJ2395" s="18"/>
      <c r="AK2395" s="18"/>
      <c r="AL2395" s="28" t="str">
        <f>VLOOKUP($G2395,'[42]Sheet1 (2)'!$A$1:$B$1048440,2,FALSE)</f>
        <v>Sqm</v>
      </c>
      <c r="AM2395" s="71"/>
      <c r="AN2395" s="18"/>
      <c r="AO2395" s="18"/>
    </row>
    <row r="2396" spans="1:41" ht="196" x14ac:dyDescent="0.25">
      <c r="A2396" s="23"/>
      <c r="B2396" s="23"/>
      <c r="C2396" s="127">
        <v>54.02</v>
      </c>
      <c r="D2396" s="23"/>
      <c r="E2396" s="24" t="s">
        <v>3673</v>
      </c>
      <c r="F2396" s="24" t="s">
        <v>44</v>
      </c>
      <c r="G2396" s="21" t="s">
        <v>3674</v>
      </c>
      <c r="H2396" s="23"/>
      <c r="I2396" s="23"/>
      <c r="J2396" s="18"/>
      <c r="K2396" s="18"/>
      <c r="L2396" s="18"/>
      <c r="M2396" s="18"/>
      <c r="N2396" s="18"/>
      <c r="O2396" s="18"/>
      <c r="P2396" s="18"/>
      <c r="Q2396" s="18"/>
      <c r="R2396" s="18"/>
      <c r="S2396" s="18"/>
      <c r="T2396" s="18"/>
      <c r="U2396" s="18"/>
      <c r="V2396" s="18"/>
      <c r="W2396" s="18"/>
      <c r="X2396" s="18"/>
      <c r="Y2396" s="18"/>
      <c r="Z2396" s="18"/>
      <c r="AA2396" s="18"/>
      <c r="AB2396" s="18"/>
      <c r="AC2396" s="18"/>
      <c r="AD2396" s="18"/>
      <c r="AE2396" s="18"/>
      <c r="AF2396" s="18"/>
      <c r="AG2396" s="18"/>
      <c r="AH2396" s="18"/>
      <c r="AI2396" s="18"/>
      <c r="AJ2396" s="18"/>
      <c r="AK2396" s="18"/>
      <c r="AL2396" s="28" t="str">
        <f>VLOOKUP($G2396,'[42]Sheet1 (2)'!$A$1:$B$1048440,2,FALSE)</f>
        <v>Rmt.</v>
      </c>
      <c r="AM2396" s="71"/>
      <c r="AN2396" s="18"/>
      <c r="AO2396" s="18"/>
    </row>
    <row r="2397" spans="1:41" ht="42" x14ac:dyDescent="0.25">
      <c r="A2397" s="243">
        <v>2194</v>
      </c>
      <c r="B2397" s="23"/>
      <c r="C2397" s="25" t="s">
        <v>373</v>
      </c>
      <c r="D2397" s="24" t="s">
        <v>44</v>
      </c>
      <c r="E2397" s="24" t="s">
        <v>3675</v>
      </c>
      <c r="F2397" s="24" t="s">
        <v>44</v>
      </c>
      <c r="G2397" s="21" t="s">
        <v>3674</v>
      </c>
      <c r="H2397" s="26">
        <v>3705</v>
      </c>
      <c r="I2397" s="26">
        <v>88</v>
      </c>
      <c r="J2397" s="18"/>
      <c r="K2397" s="18"/>
      <c r="L2397" s="18"/>
      <c r="M2397" s="18"/>
      <c r="N2397" s="18"/>
      <c r="O2397" s="18"/>
      <c r="P2397" s="18"/>
      <c r="Q2397" s="18"/>
      <c r="R2397" s="18"/>
      <c r="S2397" s="18"/>
      <c r="T2397" s="18"/>
      <c r="U2397" s="18"/>
      <c r="V2397" s="18"/>
      <c r="W2397" s="18"/>
      <c r="X2397" s="18"/>
      <c r="Y2397" s="18"/>
      <c r="Z2397" s="18"/>
      <c r="AA2397" s="18"/>
      <c r="AB2397" s="18"/>
      <c r="AC2397" s="18"/>
      <c r="AD2397" s="18"/>
      <c r="AE2397" s="18"/>
      <c r="AF2397" s="18"/>
      <c r="AG2397" s="18"/>
      <c r="AH2397" s="18"/>
      <c r="AI2397" s="18"/>
      <c r="AJ2397" s="18"/>
      <c r="AK2397" s="18"/>
      <c r="AL2397" s="28" t="str">
        <f>VLOOKUP($G2397,'[42]Sheet1 (2)'!$A$1:$B$1048440,2,FALSE)</f>
        <v>Rmt.</v>
      </c>
      <c r="AM2397" s="71"/>
      <c r="AN2397" s="18"/>
      <c r="AO2397" s="18"/>
    </row>
    <row r="2398" spans="1:41" ht="42" x14ac:dyDescent="0.25">
      <c r="A2398" s="243">
        <v>2195</v>
      </c>
      <c r="B2398" s="23"/>
      <c r="C2398" s="25" t="s">
        <v>375</v>
      </c>
      <c r="D2398" s="24" t="s">
        <v>44</v>
      </c>
      <c r="E2398" s="24" t="s">
        <v>3676</v>
      </c>
      <c r="F2398" s="24" t="s">
        <v>44</v>
      </c>
      <c r="G2398" s="21" t="s">
        <v>3674</v>
      </c>
      <c r="H2398" s="26">
        <v>3855</v>
      </c>
      <c r="I2398" s="26">
        <v>88</v>
      </c>
      <c r="J2398" s="18"/>
      <c r="K2398" s="18"/>
      <c r="L2398" s="18"/>
      <c r="M2398" s="18"/>
      <c r="N2398" s="18"/>
      <c r="O2398" s="18"/>
      <c r="P2398" s="18"/>
      <c r="Q2398" s="18"/>
      <c r="R2398" s="18"/>
      <c r="S2398" s="18"/>
      <c r="T2398" s="18"/>
      <c r="U2398" s="18"/>
      <c r="V2398" s="18"/>
      <c r="W2398" s="18"/>
      <c r="X2398" s="18"/>
      <c r="Y2398" s="18"/>
      <c r="Z2398" s="18"/>
      <c r="AA2398" s="18"/>
      <c r="AB2398" s="18"/>
      <c r="AC2398" s="18"/>
      <c r="AD2398" s="18"/>
      <c r="AE2398" s="18"/>
      <c r="AF2398" s="18"/>
      <c r="AG2398" s="18"/>
      <c r="AH2398" s="18"/>
      <c r="AI2398" s="18"/>
      <c r="AJ2398" s="18"/>
      <c r="AK2398" s="18"/>
      <c r="AL2398" s="28" t="str">
        <f>VLOOKUP($G2398,'[42]Sheet1 (2)'!$A$1:$B$1048440,2,FALSE)</f>
        <v>Rmt.</v>
      </c>
      <c r="AM2398" s="71"/>
      <c r="AN2398" s="18"/>
      <c r="AO2398" s="18"/>
    </row>
    <row r="2399" spans="1:41" ht="42" x14ac:dyDescent="0.25">
      <c r="A2399" s="243">
        <v>2196</v>
      </c>
      <c r="B2399" s="23"/>
      <c r="C2399" s="25" t="s">
        <v>377</v>
      </c>
      <c r="D2399" s="24" t="s">
        <v>44</v>
      </c>
      <c r="E2399" s="24" t="s">
        <v>3677</v>
      </c>
      <c r="F2399" s="24" t="s">
        <v>44</v>
      </c>
      <c r="G2399" s="21" t="s">
        <v>3674</v>
      </c>
      <c r="H2399" s="26">
        <v>3915</v>
      </c>
      <c r="I2399" s="26">
        <v>88</v>
      </c>
      <c r="J2399" s="18"/>
      <c r="K2399" s="18"/>
      <c r="L2399" s="18"/>
      <c r="M2399" s="18"/>
      <c r="N2399" s="18"/>
      <c r="O2399" s="18"/>
      <c r="P2399" s="18"/>
      <c r="Q2399" s="18"/>
      <c r="R2399" s="18"/>
      <c r="S2399" s="18"/>
      <c r="T2399" s="18"/>
      <c r="U2399" s="18"/>
      <c r="V2399" s="18"/>
      <c r="W2399" s="18"/>
      <c r="X2399" s="18"/>
      <c r="Y2399" s="18"/>
      <c r="Z2399" s="18"/>
      <c r="AA2399" s="18"/>
      <c r="AB2399" s="18"/>
      <c r="AC2399" s="18"/>
      <c r="AD2399" s="18"/>
      <c r="AE2399" s="18"/>
      <c r="AF2399" s="18"/>
      <c r="AG2399" s="18"/>
      <c r="AH2399" s="18"/>
      <c r="AI2399" s="18"/>
      <c r="AJ2399" s="18"/>
      <c r="AK2399" s="18"/>
      <c r="AL2399" s="28" t="str">
        <f>VLOOKUP($G2399,'[42]Sheet1 (2)'!$A$1:$B$1048440,2,FALSE)</f>
        <v>Rmt.</v>
      </c>
      <c r="AM2399" s="71"/>
      <c r="AN2399" s="18"/>
      <c r="AO2399" s="18"/>
    </row>
    <row r="2400" spans="1:41" ht="42" x14ac:dyDescent="0.25">
      <c r="A2400" s="243">
        <v>2197</v>
      </c>
      <c r="B2400" s="23"/>
      <c r="C2400" s="25" t="s">
        <v>384</v>
      </c>
      <c r="D2400" s="24" t="s">
        <v>44</v>
      </c>
      <c r="E2400" s="24" t="s">
        <v>3678</v>
      </c>
      <c r="F2400" s="24" t="s">
        <v>44</v>
      </c>
      <c r="G2400" s="21" t="s">
        <v>3674</v>
      </c>
      <c r="H2400" s="26">
        <v>4310</v>
      </c>
      <c r="I2400" s="26">
        <v>88</v>
      </c>
      <c r="J2400" s="18"/>
      <c r="K2400" s="18"/>
      <c r="L2400" s="18"/>
      <c r="M2400" s="18"/>
      <c r="N2400" s="18"/>
      <c r="O2400" s="18"/>
      <c r="P2400" s="18"/>
      <c r="Q2400" s="18"/>
      <c r="R2400" s="18"/>
      <c r="S2400" s="18"/>
      <c r="T2400" s="18"/>
      <c r="U2400" s="18"/>
      <c r="V2400" s="18"/>
      <c r="W2400" s="18"/>
      <c r="X2400" s="18"/>
      <c r="Y2400" s="18"/>
      <c r="Z2400" s="18"/>
      <c r="AA2400" s="18"/>
      <c r="AB2400" s="18"/>
      <c r="AC2400" s="18"/>
      <c r="AD2400" s="18"/>
      <c r="AE2400" s="18"/>
      <c r="AF2400" s="18"/>
      <c r="AG2400" s="18"/>
      <c r="AH2400" s="18"/>
      <c r="AI2400" s="18"/>
      <c r="AJ2400" s="18"/>
      <c r="AK2400" s="18"/>
      <c r="AL2400" s="28" t="str">
        <f>VLOOKUP($G2400,'[42]Sheet1 (2)'!$A$1:$B$1048440,2,FALSE)</f>
        <v>Rmt.</v>
      </c>
      <c r="AM2400" s="71"/>
      <c r="AN2400" s="18"/>
      <c r="AO2400" s="18"/>
    </row>
    <row r="2401" spans="1:41" ht="42" x14ac:dyDescent="0.25">
      <c r="A2401" s="243">
        <v>2198</v>
      </c>
      <c r="B2401" s="23"/>
      <c r="C2401" s="25" t="s">
        <v>387</v>
      </c>
      <c r="D2401" s="24" t="s">
        <v>44</v>
      </c>
      <c r="E2401" s="24" t="s">
        <v>3679</v>
      </c>
      <c r="F2401" s="24" t="s">
        <v>44</v>
      </c>
      <c r="G2401" s="21" t="s">
        <v>3674</v>
      </c>
      <c r="H2401" s="26">
        <v>4815</v>
      </c>
      <c r="I2401" s="26">
        <v>88</v>
      </c>
      <c r="J2401" s="18"/>
      <c r="K2401" s="18"/>
      <c r="L2401" s="18"/>
      <c r="M2401" s="18"/>
      <c r="N2401" s="18"/>
      <c r="O2401" s="18"/>
      <c r="P2401" s="18"/>
      <c r="Q2401" s="18"/>
      <c r="R2401" s="18"/>
      <c r="S2401" s="18"/>
      <c r="T2401" s="18"/>
      <c r="U2401" s="18"/>
      <c r="V2401" s="18"/>
      <c r="W2401" s="18"/>
      <c r="X2401" s="18"/>
      <c r="Y2401" s="18"/>
      <c r="Z2401" s="18"/>
      <c r="AA2401" s="18"/>
      <c r="AB2401" s="18"/>
      <c r="AC2401" s="18"/>
      <c r="AD2401" s="18"/>
      <c r="AE2401" s="18"/>
      <c r="AF2401" s="18"/>
      <c r="AG2401" s="18"/>
      <c r="AH2401" s="18"/>
      <c r="AI2401" s="18"/>
      <c r="AJ2401" s="18"/>
      <c r="AK2401" s="18"/>
      <c r="AL2401" s="28" t="str">
        <f>VLOOKUP($G2401,'[42]Sheet1 (2)'!$A$1:$B$1048440,2,FALSE)</f>
        <v>Rmt.</v>
      </c>
      <c r="AM2401" s="71"/>
      <c r="AN2401" s="18"/>
      <c r="AO2401" s="18"/>
    </row>
    <row r="2402" spans="1:41" ht="126" x14ac:dyDescent="0.25">
      <c r="A2402" s="243">
        <v>2199</v>
      </c>
      <c r="B2402" s="23"/>
      <c r="C2402" s="127">
        <v>54.03</v>
      </c>
      <c r="D2402" s="24" t="s">
        <v>44</v>
      </c>
      <c r="E2402" s="23" t="s">
        <v>3680</v>
      </c>
      <c r="F2402" s="24" t="s">
        <v>44</v>
      </c>
      <c r="G2402" s="21" t="s">
        <v>3674</v>
      </c>
      <c r="H2402" s="26">
        <v>112</v>
      </c>
      <c r="I2402" s="26">
        <v>5</v>
      </c>
      <c r="J2402" s="18"/>
      <c r="K2402" s="18"/>
      <c r="L2402" s="18"/>
      <c r="M2402" s="18"/>
      <c r="N2402" s="18"/>
      <c r="O2402" s="18"/>
      <c r="P2402" s="18"/>
      <c r="Q2402" s="18"/>
      <c r="R2402" s="18"/>
      <c r="S2402" s="18"/>
      <c r="T2402" s="18"/>
      <c r="U2402" s="18"/>
      <c r="V2402" s="18"/>
      <c r="W2402" s="18"/>
      <c r="X2402" s="18"/>
      <c r="Y2402" s="18"/>
      <c r="Z2402" s="18"/>
      <c r="AA2402" s="18"/>
      <c r="AB2402" s="18"/>
      <c r="AC2402" s="18"/>
      <c r="AD2402" s="18"/>
      <c r="AE2402" s="18"/>
      <c r="AF2402" s="18"/>
      <c r="AG2402" s="18"/>
      <c r="AH2402" s="18"/>
      <c r="AI2402" s="18"/>
      <c r="AJ2402" s="18"/>
      <c r="AK2402" s="18"/>
      <c r="AL2402" s="28" t="str">
        <f>VLOOKUP($G2402,'[42]Sheet1 (2)'!$A$1:$B$1048440,2,FALSE)</f>
        <v>Rmt.</v>
      </c>
      <c r="AM2402" s="71"/>
      <c r="AN2402" s="18"/>
      <c r="AO2402" s="18"/>
    </row>
    <row r="2403" spans="1:41" ht="140" x14ac:dyDescent="0.25">
      <c r="A2403" s="243">
        <v>2200</v>
      </c>
      <c r="B2403" s="23"/>
      <c r="C2403" s="127">
        <v>54.04</v>
      </c>
      <c r="D2403" s="24" t="s">
        <v>44</v>
      </c>
      <c r="E2403" s="24" t="s">
        <v>3681</v>
      </c>
      <c r="F2403" s="24" t="s">
        <v>44</v>
      </c>
      <c r="G2403" s="21" t="s">
        <v>3674</v>
      </c>
      <c r="H2403" s="26">
        <v>281</v>
      </c>
      <c r="I2403" s="26">
        <v>5</v>
      </c>
      <c r="J2403" s="18"/>
      <c r="K2403" s="18"/>
      <c r="L2403" s="18"/>
      <c r="M2403" s="18"/>
      <c r="N2403" s="18"/>
      <c r="O2403" s="18"/>
      <c r="P2403" s="18"/>
      <c r="Q2403" s="18"/>
      <c r="R2403" s="18"/>
      <c r="S2403" s="18"/>
      <c r="T2403" s="18"/>
      <c r="U2403" s="18"/>
      <c r="V2403" s="18"/>
      <c r="W2403" s="18"/>
      <c r="X2403" s="18"/>
      <c r="Y2403" s="18"/>
      <c r="Z2403" s="18"/>
      <c r="AA2403" s="18"/>
      <c r="AB2403" s="18"/>
      <c r="AC2403" s="18"/>
      <c r="AD2403" s="18"/>
      <c r="AE2403" s="18"/>
      <c r="AF2403" s="18"/>
      <c r="AG2403" s="18"/>
      <c r="AH2403" s="18"/>
      <c r="AI2403" s="18"/>
      <c r="AJ2403" s="18"/>
      <c r="AK2403" s="18"/>
      <c r="AL2403" s="28" t="str">
        <f>VLOOKUP($G2403,'[42]Sheet1 (2)'!$A$1:$B$1048440,2,FALSE)</f>
        <v>Rmt.</v>
      </c>
      <c r="AM2403" s="71"/>
      <c r="AN2403" s="18"/>
      <c r="AO2403" s="18"/>
    </row>
    <row r="2404" spans="1:41" ht="336" x14ac:dyDescent="0.25">
      <c r="A2404" s="243">
        <v>2201</v>
      </c>
      <c r="B2404" s="25" t="s">
        <v>362</v>
      </c>
      <c r="C2404" s="22">
        <v>54.05</v>
      </c>
      <c r="D2404" s="24" t="s">
        <v>44</v>
      </c>
      <c r="E2404" s="23" t="s">
        <v>3682</v>
      </c>
      <c r="F2404" s="24" t="s">
        <v>44</v>
      </c>
      <c r="G2404" s="21" t="s">
        <v>3674</v>
      </c>
      <c r="H2404" s="26">
        <v>7411</v>
      </c>
      <c r="I2404" s="103">
        <v>62</v>
      </c>
      <c r="J2404" s="18"/>
      <c r="K2404" s="18"/>
      <c r="L2404" s="18"/>
      <c r="M2404" s="18"/>
      <c r="N2404" s="18"/>
      <c r="O2404" s="18"/>
      <c r="P2404" s="18"/>
      <c r="Q2404" s="18"/>
      <c r="R2404" s="18"/>
      <c r="S2404" s="18"/>
      <c r="T2404" s="18"/>
      <c r="U2404" s="18"/>
      <c r="V2404" s="18"/>
      <c r="W2404" s="18"/>
      <c r="X2404" s="18"/>
      <c r="Y2404" s="18"/>
      <c r="Z2404" s="18"/>
      <c r="AA2404" s="18"/>
      <c r="AB2404" s="18"/>
      <c r="AC2404" s="18"/>
      <c r="AD2404" s="18"/>
      <c r="AE2404" s="18"/>
      <c r="AF2404" s="18"/>
      <c r="AG2404" s="18"/>
      <c r="AH2404" s="18"/>
      <c r="AI2404" s="18"/>
      <c r="AJ2404" s="18"/>
      <c r="AK2404" s="18"/>
      <c r="AL2404" s="28" t="str">
        <f>VLOOKUP($G2404,'[42]Sheet1 (2)'!$A$1:$B$1048440,2,FALSE)</f>
        <v>Rmt.</v>
      </c>
      <c r="AM2404" s="71"/>
      <c r="AN2404" s="18"/>
      <c r="AO2404" s="18"/>
    </row>
    <row r="2405" spans="1:41" ht="126" x14ac:dyDescent="0.25">
      <c r="A2405" s="243">
        <v>2202</v>
      </c>
      <c r="B2405" s="25" t="s">
        <v>3670</v>
      </c>
      <c r="C2405" s="22">
        <v>54.06</v>
      </c>
      <c r="D2405" s="24" t="s">
        <v>44</v>
      </c>
      <c r="E2405" s="23" t="s">
        <v>3683</v>
      </c>
      <c r="F2405" s="24" t="s">
        <v>44</v>
      </c>
      <c r="G2405" s="21" t="s">
        <v>3674</v>
      </c>
      <c r="H2405" s="26">
        <v>757</v>
      </c>
      <c r="I2405" s="103">
        <v>68</v>
      </c>
      <c r="J2405" s="18"/>
      <c r="K2405" s="18"/>
      <c r="L2405" s="18"/>
      <c r="M2405" s="18"/>
      <c r="N2405" s="18"/>
      <c r="O2405" s="18"/>
      <c r="P2405" s="18"/>
      <c r="Q2405" s="18"/>
      <c r="R2405" s="18"/>
      <c r="S2405" s="18"/>
      <c r="T2405" s="18"/>
      <c r="U2405" s="18"/>
      <c r="V2405" s="18"/>
      <c r="W2405" s="18"/>
      <c r="X2405" s="18"/>
      <c r="Y2405" s="18"/>
      <c r="Z2405" s="18"/>
      <c r="AA2405" s="18"/>
      <c r="AB2405" s="18"/>
      <c r="AC2405" s="18"/>
      <c r="AD2405" s="18"/>
      <c r="AE2405" s="18"/>
      <c r="AF2405" s="18"/>
      <c r="AG2405" s="18"/>
      <c r="AH2405" s="18"/>
      <c r="AI2405" s="18"/>
      <c r="AJ2405" s="18"/>
      <c r="AK2405" s="18"/>
      <c r="AL2405" s="28" t="str">
        <f>VLOOKUP($G2405,'[42]Sheet1 (2)'!$A$1:$B$1048440,2,FALSE)</f>
        <v>Rmt.</v>
      </c>
      <c r="AM2405" s="71"/>
      <c r="AN2405" s="18"/>
      <c r="AO2405" s="18"/>
    </row>
    <row r="2406" spans="1:41" ht="126" x14ac:dyDescent="0.25">
      <c r="A2406" s="243">
        <v>2203</v>
      </c>
      <c r="B2406" s="25" t="s">
        <v>3670</v>
      </c>
      <c r="C2406" s="22">
        <v>54.07</v>
      </c>
      <c r="D2406" s="24" t="s">
        <v>44</v>
      </c>
      <c r="E2406" s="23" t="s">
        <v>3684</v>
      </c>
      <c r="F2406" s="24" t="s">
        <v>44</v>
      </c>
      <c r="G2406" s="21" t="s">
        <v>3674</v>
      </c>
      <c r="H2406" s="26">
        <v>7411</v>
      </c>
      <c r="I2406" s="103">
        <v>63</v>
      </c>
      <c r="J2406" s="18"/>
      <c r="K2406" s="18"/>
      <c r="L2406" s="18"/>
      <c r="M2406" s="18"/>
      <c r="N2406" s="18"/>
      <c r="O2406" s="18"/>
      <c r="P2406" s="18"/>
      <c r="Q2406" s="18"/>
      <c r="R2406" s="18"/>
      <c r="S2406" s="18"/>
      <c r="T2406" s="18"/>
      <c r="U2406" s="18"/>
      <c r="V2406" s="18"/>
      <c r="W2406" s="18"/>
      <c r="X2406" s="18"/>
      <c r="Y2406" s="18"/>
      <c r="Z2406" s="18"/>
      <c r="AA2406" s="18"/>
      <c r="AB2406" s="18"/>
      <c r="AC2406" s="18"/>
      <c r="AD2406" s="18"/>
      <c r="AE2406" s="18"/>
      <c r="AF2406" s="18"/>
      <c r="AG2406" s="18"/>
      <c r="AH2406" s="18"/>
      <c r="AI2406" s="18"/>
      <c r="AJ2406" s="18"/>
      <c r="AK2406" s="18"/>
      <c r="AL2406" s="28" t="str">
        <f>VLOOKUP($G2406,'[42]Sheet1 (2)'!$A$1:$B$1048440,2,FALSE)</f>
        <v>Rmt.</v>
      </c>
      <c r="AM2406" s="71"/>
      <c r="AN2406" s="18"/>
      <c r="AO2406" s="18"/>
    </row>
    <row r="2407" spans="1:41" ht="409.5" x14ac:dyDescent="0.25">
      <c r="A2407" s="23"/>
      <c r="B2407" s="21" t="s">
        <v>2308</v>
      </c>
      <c r="C2407" s="127">
        <v>54.08</v>
      </c>
      <c r="D2407" s="23"/>
      <c r="E2407" s="23" t="s">
        <v>3685</v>
      </c>
      <c r="F2407" s="23"/>
      <c r="G2407" s="25" t="s">
        <v>3686</v>
      </c>
      <c r="H2407" s="23"/>
      <c r="I2407" s="23"/>
      <c r="J2407" s="18"/>
      <c r="K2407" s="18"/>
      <c r="L2407" s="18"/>
      <c r="M2407" s="18"/>
      <c r="N2407" s="18"/>
      <c r="O2407" s="18"/>
      <c r="P2407" s="18"/>
      <c r="Q2407" s="18"/>
      <c r="R2407" s="18"/>
      <c r="S2407" s="18"/>
      <c r="T2407" s="18"/>
      <c r="U2407" s="18"/>
      <c r="V2407" s="18"/>
      <c r="W2407" s="18"/>
      <c r="X2407" s="18"/>
      <c r="Y2407" s="18"/>
      <c r="Z2407" s="18"/>
      <c r="AA2407" s="18"/>
      <c r="AB2407" s="18"/>
      <c r="AC2407" s="18"/>
      <c r="AD2407" s="18"/>
      <c r="AE2407" s="18"/>
      <c r="AF2407" s="18"/>
      <c r="AG2407" s="18"/>
      <c r="AH2407" s="18"/>
      <c r="AI2407" s="18"/>
      <c r="AJ2407" s="18"/>
      <c r="AK2407" s="18"/>
      <c r="AL2407" s="28" t="str">
        <f>VLOOKUP($G2407,'[42]Sheet1 (2)'!$A$1:$B$1048440,2,FALSE)</f>
        <v>Sqm</v>
      </c>
      <c r="AM2407" s="71"/>
      <c r="AN2407" s="18"/>
      <c r="AO2407" s="18"/>
    </row>
    <row r="2408" spans="1:41" ht="56" x14ac:dyDescent="0.25">
      <c r="A2408" s="243">
        <v>2204</v>
      </c>
      <c r="B2408" s="34"/>
      <c r="C2408" s="25" t="s">
        <v>373</v>
      </c>
      <c r="D2408" s="35" t="s">
        <v>64</v>
      </c>
      <c r="E2408" s="23" t="s">
        <v>3687</v>
      </c>
      <c r="F2408" s="35" t="s">
        <v>64</v>
      </c>
      <c r="G2408" s="25" t="s">
        <v>3686</v>
      </c>
      <c r="H2408" s="26">
        <v>7320</v>
      </c>
      <c r="I2408" s="26">
        <v>0</v>
      </c>
      <c r="J2408" s="18"/>
      <c r="K2408" s="18"/>
      <c r="L2408" s="18"/>
      <c r="M2408" s="18"/>
      <c r="N2408" s="18"/>
      <c r="O2408" s="18"/>
      <c r="P2408" s="18"/>
      <c r="Q2408" s="18"/>
      <c r="R2408" s="18"/>
      <c r="S2408" s="18"/>
      <c r="T2408" s="18"/>
      <c r="U2408" s="18"/>
      <c r="V2408" s="18"/>
      <c r="W2408" s="18"/>
      <c r="X2408" s="18"/>
      <c r="Y2408" s="18"/>
      <c r="Z2408" s="18"/>
      <c r="AA2408" s="18"/>
      <c r="AB2408" s="18"/>
      <c r="AC2408" s="18"/>
      <c r="AD2408" s="18"/>
      <c r="AE2408" s="18"/>
      <c r="AF2408" s="18"/>
      <c r="AG2408" s="18"/>
      <c r="AH2408" s="18"/>
      <c r="AI2408" s="18"/>
      <c r="AJ2408" s="18"/>
      <c r="AK2408" s="18"/>
      <c r="AL2408" s="28" t="str">
        <f>VLOOKUP($G2408,'[42]Sheet1 (2)'!$A$1:$B$1048440,2,FALSE)</f>
        <v>Sqm</v>
      </c>
      <c r="AM2408" s="71"/>
      <c r="AN2408" s="18"/>
      <c r="AO2408" s="18"/>
    </row>
    <row r="2409" spans="1:41" ht="56" x14ac:dyDescent="0.25">
      <c r="A2409" s="243">
        <v>2205</v>
      </c>
      <c r="B2409" s="34"/>
      <c r="C2409" s="25" t="s">
        <v>375</v>
      </c>
      <c r="D2409" s="35" t="s">
        <v>64</v>
      </c>
      <c r="E2409" s="23" t="s">
        <v>3688</v>
      </c>
      <c r="F2409" s="35" t="s">
        <v>64</v>
      </c>
      <c r="G2409" s="25" t="s">
        <v>3686</v>
      </c>
      <c r="H2409" s="26">
        <v>8526</v>
      </c>
      <c r="I2409" s="26">
        <v>0</v>
      </c>
      <c r="J2409" s="18"/>
      <c r="K2409" s="18"/>
      <c r="L2409" s="18"/>
      <c r="M2409" s="18"/>
      <c r="N2409" s="18"/>
      <c r="O2409" s="18"/>
      <c r="P2409" s="18"/>
      <c r="Q2409" s="18"/>
      <c r="R2409" s="18"/>
      <c r="S2409" s="18"/>
      <c r="T2409" s="18"/>
      <c r="U2409" s="18"/>
      <c r="V2409" s="18"/>
      <c r="W2409" s="18"/>
      <c r="X2409" s="18"/>
      <c r="Y2409" s="18"/>
      <c r="Z2409" s="18"/>
      <c r="AA2409" s="18"/>
      <c r="AB2409" s="18"/>
      <c r="AC2409" s="18"/>
      <c r="AD2409" s="18"/>
      <c r="AE2409" s="18"/>
      <c r="AF2409" s="18"/>
      <c r="AG2409" s="18"/>
      <c r="AH2409" s="18"/>
      <c r="AI2409" s="18"/>
      <c r="AJ2409" s="18"/>
      <c r="AK2409" s="18"/>
      <c r="AL2409" s="28" t="str">
        <f>VLOOKUP($G2409,'[42]Sheet1 (2)'!$A$1:$B$1048440,2,FALSE)</f>
        <v>Sqm</v>
      </c>
      <c r="AM2409" s="71"/>
      <c r="AN2409" s="18"/>
      <c r="AO2409" s="18"/>
    </row>
    <row r="2410" spans="1:41" ht="42" x14ac:dyDescent="0.25">
      <c r="A2410" s="243">
        <v>2206</v>
      </c>
      <c r="B2410" s="23"/>
      <c r="C2410" s="25" t="s">
        <v>377</v>
      </c>
      <c r="D2410" s="24" t="s">
        <v>44</v>
      </c>
      <c r="E2410" s="24" t="s">
        <v>3689</v>
      </c>
      <c r="F2410" s="24" t="s">
        <v>44</v>
      </c>
      <c r="G2410" s="25" t="s">
        <v>3686</v>
      </c>
      <c r="H2410" s="26">
        <v>9760</v>
      </c>
      <c r="I2410" s="26">
        <v>0</v>
      </c>
      <c r="J2410" s="18"/>
      <c r="K2410" s="18"/>
      <c r="L2410" s="18"/>
      <c r="M2410" s="18"/>
      <c r="N2410" s="18"/>
      <c r="O2410" s="18"/>
      <c r="P2410" s="18"/>
      <c r="Q2410" s="18"/>
      <c r="R2410" s="18"/>
      <c r="S2410" s="18"/>
      <c r="T2410" s="18"/>
      <c r="U2410" s="18"/>
      <c r="V2410" s="18"/>
      <c r="W2410" s="18"/>
      <c r="X2410" s="18"/>
      <c r="Y2410" s="18"/>
      <c r="Z2410" s="18"/>
      <c r="AA2410" s="18"/>
      <c r="AB2410" s="18"/>
      <c r="AC2410" s="18"/>
      <c r="AD2410" s="18"/>
      <c r="AE2410" s="18"/>
      <c r="AF2410" s="18"/>
      <c r="AG2410" s="18"/>
      <c r="AH2410" s="18"/>
      <c r="AI2410" s="18"/>
      <c r="AJ2410" s="18"/>
      <c r="AK2410" s="18"/>
      <c r="AL2410" s="28" t="str">
        <f>VLOOKUP($G2410,'[42]Sheet1 (2)'!$A$1:$B$1048440,2,FALSE)</f>
        <v>Sqm</v>
      </c>
      <c r="AM2410" s="71"/>
      <c r="AN2410" s="18"/>
      <c r="AO2410" s="18"/>
    </row>
    <row r="2411" spans="1:41" ht="42" x14ac:dyDescent="0.25">
      <c r="A2411" s="243">
        <v>2207</v>
      </c>
      <c r="B2411" s="34"/>
      <c r="C2411" s="25" t="s">
        <v>384</v>
      </c>
      <c r="D2411" s="24" t="s">
        <v>44</v>
      </c>
      <c r="E2411" s="24" t="s">
        <v>3690</v>
      </c>
      <c r="F2411" s="24" t="s">
        <v>44</v>
      </c>
      <c r="G2411" s="25" t="s">
        <v>3686</v>
      </c>
      <c r="H2411" s="26">
        <v>6558</v>
      </c>
      <c r="I2411" s="26">
        <v>0</v>
      </c>
      <c r="J2411" s="18"/>
      <c r="K2411" s="18"/>
      <c r="L2411" s="18"/>
      <c r="M2411" s="18"/>
      <c r="N2411" s="18"/>
      <c r="O2411" s="18"/>
      <c r="P2411" s="18"/>
      <c r="Q2411" s="18"/>
      <c r="R2411" s="18"/>
      <c r="S2411" s="18"/>
      <c r="T2411" s="18"/>
      <c r="U2411" s="18"/>
      <c r="V2411" s="18"/>
      <c r="W2411" s="18"/>
      <c r="X2411" s="18"/>
      <c r="Y2411" s="18"/>
      <c r="Z2411" s="18"/>
      <c r="AA2411" s="18"/>
      <c r="AB2411" s="18"/>
      <c r="AC2411" s="18"/>
      <c r="AD2411" s="18"/>
      <c r="AE2411" s="18"/>
      <c r="AF2411" s="18"/>
      <c r="AG2411" s="18"/>
      <c r="AH2411" s="18"/>
      <c r="AI2411" s="18"/>
      <c r="AJ2411" s="18"/>
      <c r="AK2411" s="18"/>
      <c r="AL2411" s="28" t="str">
        <f>VLOOKUP($G2411,'[42]Sheet1 (2)'!$A$1:$B$1048440,2,FALSE)</f>
        <v>Sqm</v>
      </c>
      <c r="AM2411" s="71"/>
      <c r="AN2411" s="18"/>
      <c r="AO2411" s="18"/>
    </row>
    <row r="2412" spans="1:41" ht="56" x14ac:dyDescent="0.25">
      <c r="A2412" s="243">
        <v>2208</v>
      </c>
      <c r="B2412" s="34"/>
      <c r="C2412" s="25" t="s">
        <v>387</v>
      </c>
      <c r="D2412" s="35" t="s">
        <v>64</v>
      </c>
      <c r="E2412" s="23" t="s">
        <v>3691</v>
      </c>
      <c r="F2412" s="35" t="s">
        <v>64</v>
      </c>
      <c r="G2412" s="25" t="s">
        <v>3686</v>
      </c>
      <c r="H2412" s="26">
        <v>6267</v>
      </c>
      <c r="I2412" s="26">
        <v>0</v>
      </c>
      <c r="J2412" s="18"/>
      <c r="K2412" s="18"/>
      <c r="L2412" s="18"/>
      <c r="M2412" s="18"/>
      <c r="N2412" s="18"/>
      <c r="O2412" s="18"/>
      <c r="P2412" s="18"/>
      <c r="Q2412" s="18"/>
      <c r="R2412" s="18"/>
      <c r="S2412" s="18"/>
      <c r="T2412" s="18"/>
      <c r="U2412" s="18"/>
      <c r="V2412" s="18"/>
      <c r="W2412" s="18"/>
      <c r="X2412" s="18"/>
      <c r="Y2412" s="18"/>
      <c r="Z2412" s="18"/>
      <c r="AA2412" s="18"/>
      <c r="AB2412" s="18"/>
      <c r="AC2412" s="18"/>
      <c r="AD2412" s="18"/>
      <c r="AE2412" s="18"/>
      <c r="AF2412" s="18"/>
      <c r="AG2412" s="18"/>
      <c r="AH2412" s="18"/>
      <c r="AI2412" s="18"/>
      <c r="AJ2412" s="18"/>
      <c r="AK2412" s="18"/>
      <c r="AL2412" s="28" t="str">
        <f>VLOOKUP($G2412,'[42]Sheet1 (2)'!$A$1:$B$1048440,2,FALSE)</f>
        <v>Sqm</v>
      </c>
      <c r="AM2412" s="71"/>
      <c r="AN2412" s="18"/>
      <c r="AO2412" s="18"/>
    </row>
    <row r="2413" spans="1:41" ht="56" x14ac:dyDescent="0.25">
      <c r="A2413" s="243">
        <v>2209</v>
      </c>
      <c r="B2413" s="23"/>
      <c r="C2413" s="25" t="s">
        <v>390</v>
      </c>
      <c r="D2413" s="24" t="s">
        <v>44</v>
      </c>
      <c r="E2413" s="23" t="s">
        <v>3692</v>
      </c>
      <c r="F2413" s="24" t="s">
        <v>44</v>
      </c>
      <c r="G2413" s="25" t="s">
        <v>3686</v>
      </c>
      <c r="H2413" s="26">
        <v>8273</v>
      </c>
      <c r="I2413" s="26">
        <v>0</v>
      </c>
      <c r="J2413" s="18"/>
      <c r="K2413" s="18"/>
      <c r="L2413" s="18"/>
      <c r="M2413" s="18"/>
      <c r="N2413" s="18"/>
      <c r="O2413" s="18"/>
      <c r="P2413" s="18"/>
      <c r="Q2413" s="18"/>
      <c r="R2413" s="18"/>
      <c r="S2413" s="18"/>
      <c r="T2413" s="18"/>
      <c r="U2413" s="18"/>
      <c r="V2413" s="18"/>
      <c r="W2413" s="18"/>
      <c r="X2413" s="18"/>
      <c r="Y2413" s="18"/>
      <c r="Z2413" s="18"/>
      <c r="AA2413" s="18"/>
      <c r="AB2413" s="18"/>
      <c r="AC2413" s="18"/>
      <c r="AD2413" s="18"/>
      <c r="AE2413" s="18"/>
      <c r="AF2413" s="18"/>
      <c r="AG2413" s="18"/>
      <c r="AH2413" s="18"/>
      <c r="AI2413" s="18"/>
      <c r="AJ2413" s="18"/>
      <c r="AK2413" s="18"/>
      <c r="AL2413" s="28" t="str">
        <f>VLOOKUP($G2413,'[42]Sheet1 (2)'!$A$1:$B$1048440,2,FALSE)</f>
        <v>Sqm</v>
      </c>
      <c r="AM2413" s="71"/>
      <c r="AN2413" s="18"/>
      <c r="AO2413" s="18"/>
    </row>
    <row r="2414" spans="1:41" ht="409.5" x14ac:dyDescent="0.25">
      <c r="A2414" s="23"/>
      <c r="B2414" s="21" t="s">
        <v>2308</v>
      </c>
      <c r="C2414" s="127">
        <v>54.09</v>
      </c>
      <c r="D2414" s="23"/>
      <c r="E2414" s="23" t="s">
        <v>3693</v>
      </c>
      <c r="F2414" s="23"/>
      <c r="G2414" s="25" t="s">
        <v>3686</v>
      </c>
      <c r="H2414" s="23"/>
      <c r="I2414" s="23"/>
      <c r="J2414" s="18"/>
      <c r="K2414" s="18"/>
      <c r="L2414" s="18"/>
      <c r="M2414" s="18"/>
      <c r="N2414" s="18"/>
      <c r="O2414" s="18"/>
      <c r="P2414" s="18"/>
      <c r="Q2414" s="18"/>
      <c r="R2414" s="18"/>
      <c r="S2414" s="18"/>
      <c r="T2414" s="18"/>
      <c r="U2414" s="18"/>
      <c r="V2414" s="18"/>
      <c r="W2414" s="18"/>
      <c r="X2414" s="18"/>
      <c r="Y2414" s="18"/>
      <c r="Z2414" s="18"/>
      <c r="AA2414" s="18"/>
      <c r="AB2414" s="18"/>
      <c r="AC2414" s="18"/>
      <c r="AD2414" s="18"/>
      <c r="AE2414" s="18"/>
      <c r="AF2414" s="18"/>
      <c r="AG2414" s="18"/>
      <c r="AH2414" s="18"/>
      <c r="AI2414" s="18"/>
      <c r="AJ2414" s="18"/>
      <c r="AK2414" s="18"/>
      <c r="AL2414" s="28" t="str">
        <f>VLOOKUP($G2414,'[42]Sheet1 (2)'!$A$1:$B$1048440,2,FALSE)</f>
        <v>Sqm</v>
      </c>
      <c r="AM2414" s="71"/>
      <c r="AN2414" s="18"/>
      <c r="AO2414" s="18"/>
    </row>
    <row r="2415" spans="1:41" ht="56" x14ac:dyDescent="0.25">
      <c r="A2415" s="243">
        <v>2210</v>
      </c>
      <c r="B2415" s="34"/>
      <c r="C2415" s="25" t="s">
        <v>373</v>
      </c>
      <c r="D2415" s="35" t="s">
        <v>64</v>
      </c>
      <c r="E2415" s="23" t="s">
        <v>3694</v>
      </c>
      <c r="F2415" s="35" t="s">
        <v>64</v>
      </c>
      <c r="G2415" s="25" t="s">
        <v>3686</v>
      </c>
      <c r="H2415" s="26">
        <v>10495</v>
      </c>
      <c r="I2415" s="26">
        <v>0</v>
      </c>
      <c r="J2415" s="18"/>
      <c r="K2415" s="18"/>
      <c r="L2415" s="18"/>
      <c r="M2415" s="18"/>
      <c r="N2415" s="18"/>
      <c r="O2415" s="18"/>
      <c r="P2415" s="18"/>
      <c r="Q2415" s="18"/>
      <c r="R2415" s="18"/>
      <c r="S2415" s="18"/>
      <c r="T2415" s="18"/>
      <c r="U2415" s="18"/>
      <c r="V2415" s="18"/>
      <c r="W2415" s="18"/>
      <c r="X2415" s="18"/>
      <c r="Y2415" s="18"/>
      <c r="Z2415" s="18"/>
      <c r="AA2415" s="18"/>
      <c r="AB2415" s="18"/>
      <c r="AC2415" s="18"/>
      <c r="AD2415" s="18"/>
      <c r="AE2415" s="18"/>
      <c r="AF2415" s="18"/>
      <c r="AG2415" s="18"/>
      <c r="AH2415" s="18"/>
      <c r="AI2415" s="18"/>
      <c r="AJ2415" s="18"/>
      <c r="AK2415" s="18"/>
      <c r="AL2415" s="28" t="str">
        <f>VLOOKUP($G2415,'[42]Sheet1 (2)'!$A$1:$B$1048440,2,FALSE)</f>
        <v>Sqm</v>
      </c>
      <c r="AM2415" s="71"/>
      <c r="AN2415" s="18"/>
      <c r="AO2415" s="18"/>
    </row>
    <row r="2416" spans="1:41" ht="56" x14ac:dyDescent="0.25">
      <c r="A2416" s="20">
        <v>2211</v>
      </c>
      <c r="B2416" s="34"/>
      <c r="C2416" s="25" t="s">
        <v>375</v>
      </c>
      <c r="D2416" s="35" t="s">
        <v>64</v>
      </c>
      <c r="E2416" s="23" t="s">
        <v>3695</v>
      </c>
      <c r="F2416" s="35" t="s">
        <v>64</v>
      </c>
      <c r="G2416" s="25" t="s">
        <v>3686</v>
      </c>
      <c r="H2416" s="26">
        <v>9581</v>
      </c>
      <c r="I2416" s="26">
        <v>0</v>
      </c>
      <c r="J2416" s="18"/>
      <c r="K2416" s="18"/>
      <c r="L2416" s="18"/>
      <c r="M2416" s="18"/>
      <c r="N2416" s="18"/>
      <c r="O2416" s="18"/>
      <c r="P2416" s="18"/>
      <c r="Q2416" s="18"/>
      <c r="R2416" s="18"/>
      <c r="S2416" s="18"/>
      <c r="T2416" s="18"/>
      <c r="U2416" s="18"/>
      <c r="V2416" s="18"/>
      <c r="W2416" s="18"/>
      <c r="X2416" s="18"/>
      <c r="Y2416" s="18"/>
      <c r="Z2416" s="18"/>
      <c r="AA2416" s="18"/>
      <c r="AB2416" s="18"/>
      <c r="AC2416" s="18"/>
      <c r="AD2416" s="18"/>
      <c r="AE2416" s="18"/>
      <c r="AF2416" s="18"/>
      <c r="AG2416" s="18"/>
      <c r="AH2416" s="18"/>
      <c r="AI2416" s="18"/>
      <c r="AJ2416" s="18"/>
      <c r="AK2416" s="18"/>
      <c r="AL2416" s="28" t="str">
        <f>VLOOKUP($G2416,'[42]Sheet1 (2)'!$A$1:$B$1048440,2,FALSE)</f>
        <v>Sqm</v>
      </c>
      <c r="AM2416" s="71"/>
      <c r="AN2416" s="18"/>
      <c r="AO2416" s="18"/>
    </row>
    <row r="2417" spans="1:41" ht="56" x14ac:dyDescent="0.25">
      <c r="A2417" s="20">
        <v>2212</v>
      </c>
      <c r="B2417" s="34"/>
      <c r="C2417" s="25" t="s">
        <v>377</v>
      </c>
      <c r="D2417" s="35" t="s">
        <v>64</v>
      </c>
      <c r="E2417" s="23" t="s">
        <v>3696</v>
      </c>
      <c r="F2417" s="35" t="s">
        <v>64</v>
      </c>
      <c r="G2417" s="25" t="s">
        <v>3686</v>
      </c>
      <c r="H2417" s="26">
        <v>8342</v>
      </c>
      <c r="I2417" s="26">
        <v>0</v>
      </c>
      <c r="J2417" s="18"/>
      <c r="K2417" s="18"/>
      <c r="L2417" s="18"/>
      <c r="M2417" s="18"/>
      <c r="N2417" s="18"/>
      <c r="O2417" s="18"/>
      <c r="P2417" s="18"/>
      <c r="Q2417" s="18"/>
      <c r="R2417" s="18"/>
      <c r="S2417" s="18"/>
      <c r="T2417" s="18"/>
      <c r="U2417" s="18"/>
      <c r="V2417" s="18"/>
      <c r="W2417" s="18"/>
      <c r="X2417" s="18"/>
      <c r="Y2417" s="18"/>
      <c r="Z2417" s="18"/>
      <c r="AA2417" s="18"/>
      <c r="AB2417" s="18"/>
      <c r="AC2417" s="18"/>
      <c r="AD2417" s="18"/>
      <c r="AE2417" s="18"/>
      <c r="AF2417" s="18"/>
      <c r="AG2417" s="18"/>
      <c r="AH2417" s="18"/>
      <c r="AI2417" s="18"/>
      <c r="AJ2417" s="18"/>
      <c r="AK2417" s="18"/>
      <c r="AL2417" s="28" t="str">
        <f>VLOOKUP($G2417,'[42]Sheet1 (2)'!$A$1:$B$1048440,2,FALSE)</f>
        <v>Sqm</v>
      </c>
      <c r="AM2417" s="71"/>
      <c r="AN2417" s="18"/>
      <c r="AO2417" s="18"/>
    </row>
    <row r="2418" spans="1:41" ht="409.5" x14ac:dyDescent="0.25">
      <c r="A2418" s="23"/>
      <c r="B2418" s="21" t="s">
        <v>2308</v>
      </c>
      <c r="C2418" s="127">
        <v>54.1</v>
      </c>
      <c r="D2418" s="23"/>
      <c r="E2418" s="23" t="s">
        <v>3697</v>
      </c>
      <c r="F2418" s="23"/>
      <c r="G2418" s="23"/>
      <c r="H2418" s="23"/>
      <c r="I2418" s="23"/>
      <c r="J2418" s="18"/>
      <c r="K2418" s="18"/>
      <c r="L2418" s="18"/>
      <c r="M2418" s="18"/>
      <c r="N2418" s="18"/>
      <c r="O2418" s="18"/>
      <c r="P2418" s="18"/>
      <c r="Q2418" s="18"/>
      <c r="R2418" s="18"/>
      <c r="S2418" s="18"/>
      <c r="T2418" s="18"/>
      <c r="U2418" s="18"/>
      <c r="V2418" s="18"/>
      <c r="W2418" s="18"/>
      <c r="X2418" s="18"/>
      <c r="Y2418" s="18"/>
      <c r="Z2418" s="18"/>
      <c r="AA2418" s="18"/>
      <c r="AB2418" s="18"/>
      <c r="AC2418" s="18"/>
      <c r="AD2418" s="18"/>
      <c r="AE2418" s="18"/>
      <c r="AF2418" s="18"/>
      <c r="AG2418" s="18"/>
      <c r="AH2418" s="18"/>
      <c r="AI2418" s="18"/>
      <c r="AJ2418" s="18"/>
      <c r="AK2418" s="18"/>
      <c r="AL2418" s="28" t="e">
        <f>VLOOKUP($G2418,'[42]Sheet1 (2)'!$A$1:$B$1048440,2,FALSE)</f>
        <v>#N/A</v>
      </c>
      <c r="AM2418" s="71"/>
      <c r="AN2418" s="18"/>
      <c r="AO2418" s="18"/>
    </row>
    <row r="2419" spans="1:41" ht="42" x14ac:dyDescent="0.25">
      <c r="A2419" s="20">
        <v>2213</v>
      </c>
      <c r="B2419" s="34"/>
      <c r="C2419" s="25" t="s">
        <v>373</v>
      </c>
      <c r="D2419" s="24" t="s">
        <v>44</v>
      </c>
      <c r="E2419" s="24" t="s">
        <v>3698</v>
      </c>
      <c r="F2419" s="24" t="s">
        <v>44</v>
      </c>
      <c r="G2419" s="25" t="s">
        <v>3686</v>
      </c>
      <c r="H2419" s="121">
        <v>18783</v>
      </c>
      <c r="I2419" s="26">
        <v>0</v>
      </c>
      <c r="J2419" s="18"/>
      <c r="K2419" s="18"/>
      <c r="L2419" s="18"/>
      <c r="M2419" s="18"/>
      <c r="N2419" s="18"/>
      <c r="O2419" s="18"/>
      <c r="P2419" s="18"/>
      <c r="Q2419" s="18"/>
      <c r="R2419" s="18"/>
      <c r="S2419" s="18"/>
      <c r="T2419" s="18"/>
      <c r="U2419" s="18"/>
      <c r="V2419" s="18"/>
      <c r="W2419" s="18"/>
      <c r="X2419" s="18"/>
      <c r="Y2419" s="18"/>
      <c r="Z2419" s="18"/>
      <c r="AA2419" s="18"/>
      <c r="AB2419" s="18"/>
      <c r="AC2419" s="18"/>
      <c r="AD2419" s="18"/>
      <c r="AE2419" s="18"/>
      <c r="AF2419" s="18"/>
      <c r="AG2419" s="18"/>
      <c r="AH2419" s="18"/>
      <c r="AI2419" s="18"/>
      <c r="AJ2419" s="18"/>
      <c r="AK2419" s="18"/>
      <c r="AL2419" s="28" t="str">
        <f>VLOOKUP($G2419,'[42]Sheet1 (2)'!$A$1:$B$1048440,2,FALSE)</f>
        <v>Sqm</v>
      </c>
      <c r="AM2419" s="71"/>
      <c r="AN2419" s="18"/>
      <c r="AO2419" s="18"/>
    </row>
    <row r="2420" spans="1:41" ht="42" x14ac:dyDescent="0.25">
      <c r="A2420" s="20">
        <v>2214</v>
      </c>
      <c r="B2420" s="34"/>
      <c r="C2420" s="25" t="s">
        <v>375</v>
      </c>
      <c r="D2420" s="24" t="s">
        <v>44</v>
      </c>
      <c r="E2420" s="24" t="s">
        <v>3699</v>
      </c>
      <c r="F2420" s="24" t="s">
        <v>44</v>
      </c>
      <c r="G2420" s="25" t="s">
        <v>3686</v>
      </c>
      <c r="H2420" s="121">
        <v>13744</v>
      </c>
      <c r="I2420" s="26">
        <v>0</v>
      </c>
      <c r="J2420" s="18"/>
      <c r="K2420" s="18"/>
      <c r="L2420" s="18"/>
      <c r="M2420" s="18"/>
      <c r="N2420" s="18"/>
      <c r="O2420" s="18"/>
      <c r="P2420" s="18"/>
      <c r="Q2420" s="18"/>
      <c r="R2420" s="18"/>
      <c r="S2420" s="18"/>
      <c r="T2420" s="18"/>
      <c r="U2420" s="18"/>
      <c r="V2420" s="18"/>
      <c r="W2420" s="18"/>
      <c r="X2420" s="18"/>
      <c r="Y2420" s="18"/>
      <c r="Z2420" s="18"/>
      <c r="AA2420" s="18"/>
      <c r="AB2420" s="18"/>
      <c r="AC2420" s="18"/>
      <c r="AD2420" s="18"/>
      <c r="AE2420" s="18"/>
      <c r="AF2420" s="18"/>
      <c r="AG2420" s="18"/>
      <c r="AH2420" s="18"/>
      <c r="AI2420" s="18"/>
      <c r="AJ2420" s="18"/>
      <c r="AK2420" s="18"/>
      <c r="AL2420" s="28" t="str">
        <f>VLOOKUP($G2420,'[42]Sheet1 (2)'!$A$1:$B$1048440,2,FALSE)</f>
        <v>Sqm</v>
      </c>
      <c r="AM2420" s="71"/>
      <c r="AN2420" s="18"/>
      <c r="AO2420" s="18"/>
    </row>
    <row r="2421" spans="1:41" ht="409.5" x14ac:dyDescent="0.25">
      <c r="A2421" s="20">
        <v>2215</v>
      </c>
      <c r="B2421" s="21" t="s">
        <v>2308</v>
      </c>
      <c r="C2421" s="22">
        <v>54.11</v>
      </c>
      <c r="D2421" s="24" t="s">
        <v>44</v>
      </c>
      <c r="E2421" s="23" t="s">
        <v>3700</v>
      </c>
      <c r="F2421" s="24" t="s">
        <v>44</v>
      </c>
      <c r="G2421" s="25" t="s">
        <v>3686</v>
      </c>
      <c r="H2421" s="26">
        <v>9232</v>
      </c>
      <c r="I2421" s="26">
        <v>0</v>
      </c>
      <c r="J2421" s="18"/>
      <c r="K2421" s="18"/>
      <c r="L2421" s="18"/>
      <c r="M2421" s="18"/>
      <c r="N2421" s="18"/>
      <c r="O2421" s="18"/>
      <c r="P2421" s="18"/>
      <c r="Q2421" s="18"/>
      <c r="R2421" s="18"/>
      <c r="S2421" s="18"/>
      <c r="T2421" s="18"/>
      <c r="U2421" s="18"/>
      <c r="V2421" s="18"/>
      <c r="W2421" s="18"/>
      <c r="X2421" s="18"/>
      <c r="Y2421" s="18"/>
      <c r="Z2421" s="18"/>
      <c r="AA2421" s="18"/>
      <c r="AB2421" s="18"/>
      <c r="AC2421" s="18"/>
      <c r="AD2421" s="18"/>
      <c r="AE2421" s="18"/>
      <c r="AF2421" s="18"/>
      <c r="AG2421" s="18"/>
      <c r="AH2421" s="18"/>
      <c r="AI2421" s="18"/>
      <c r="AJ2421" s="18"/>
      <c r="AK2421" s="18"/>
      <c r="AL2421" s="28" t="str">
        <f>VLOOKUP($G2421,'[42]Sheet1 (2)'!$A$1:$B$1048440,2,FALSE)</f>
        <v>Sqm</v>
      </c>
      <c r="AM2421" s="71"/>
      <c r="AN2421" s="18"/>
      <c r="AO2421" s="18"/>
    </row>
    <row r="2422" spans="1:41" ht="168" x14ac:dyDescent="0.25">
      <c r="A2422" s="20">
        <v>2216</v>
      </c>
      <c r="B2422" s="21" t="s">
        <v>2308</v>
      </c>
      <c r="C2422" s="22">
        <v>54.12</v>
      </c>
      <c r="D2422" s="24" t="s">
        <v>44</v>
      </c>
      <c r="E2422" s="23" t="s">
        <v>3701</v>
      </c>
      <c r="F2422" s="24" t="s">
        <v>44</v>
      </c>
      <c r="G2422" s="25" t="s">
        <v>3686</v>
      </c>
      <c r="H2422" s="26">
        <v>555</v>
      </c>
      <c r="I2422" s="26">
        <v>0</v>
      </c>
      <c r="J2422" s="18"/>
      <c r="K2422" s="18"/>
      <c r="L2422" s="18"/>
      <c r="M2422" s="18"/>
      <c r="N2422" s="18"/>
      <c r="O2422" s="18"/>
      <c r="P2422" s="18"/>
      <c r="Q2422" s="18"/>
      <c r="R2422" s="18"/>
      <c r="S2422" s="18"/>
      <c r="T2422" s="18"/>
      <c r="U2422" s="18"/>
      <c r="V2422" s="18"/>
      <c r="W2422" s="18"/>
      <c r="X2422" s="18"/>
      <c r="Y2422" s="18"/>
      <c r="Z2422" s="18"/>
      <c r="AA2422" s="18"/>
      <c r="AB2422" s="18"/>
      <c r="AC2422" s="18"/>
      <c r="AD2422" s="18"/>
      <c r="AE2422" s="18"/>
      <c r="AF2422" s="18"/>
      <c r="AG2422" s="18"/>
      <c r="AH2422" s="18"/>
      <c r="AI2422" s="18"/>
      <c r="AJ2422" s="18"/>
      <c r="AK2422" s="18"/>
      <c r="AL2422" s="28" t="str">
        <f>VLOOKUP($G2422,'[42]Sheet1 (2)'!$A$1:$B$1048440,2,FALSE)</f>
        <v>Sqm</v>
      </c>
      <c r="AM2422" s="71"/>
      <c r="AN2422" s="18"/>
      <c r="AO2422" s="18"/>
    </row>
    <row r="2423" spans="1:41" ht="266" x14ac:dyDescent="0.25">
      <c r="A2423" s="20">
        <v>2217</v>
      </c>
      <c r="B2423" s="21" t="s">
        <v>2308</v>
      </c>
      <c r="C2423" s="22">
        <v>54.13</v>
      </c>
      <c r="D2423" s="24" t="s">
        <v>44</v>
      </c>
      <c r="E2423" s="23" t="s">
        <v>3702</v>
      </c>
      <c r="F2423" s="24" t="s">
        <v>44</v>
      </c>
      <c r="G2423" s="25" t="s">
        <v>3686</v>
      </c>
      <c r="H2423" s="26">
        <v>3801</v>
      </c>
      <c r="I2423" s="26">
        <v>0</v>
      </c>
      <c r="J2423" s="18"/>
      <c r="K2423" s="18"/>
      <c r="L2423" s="18"/>
      <c r="M2423" s="18"/>
      <c r="N2423" s="18"/>
      <c r="O2423" s="18"/>
      <c r="P2423" s="18"/>
      <c r="Q2423" s="18"/>
      <c r="R2423" s="18"/>
      <c r="S2423" s="18"/>
      <c r="T2423" s="18"/>
      <c r="U2423" s="18"/>
      <c r="V2423" s="18"/>
      <c r="W2423" s="18"/>
      <c r="X2423" s="18"/>
      <c r="Y2423" s="18"/>
      <c r="Z2423" s="18"/>
      <c r="AA2423" s="18"/>
      <c r="AB2423" s="18"/>
      <c r="AC2423" s="18"/>
      <c r="AD2423" s="18"/>
      <c r="AE2423" s="18"/>
      <c r="AF2423" s="18"/>
      <c r="AG2423" s="18"/>
      <c r="AH2423" s="18"/>
      <c r="AI2423" s="18"/>
      <c r="AJ2423" s="18"/>
      <c r="AK2423" s="18"/>
      <c r="AL2423" s="28" t="str">
        <f>VLOOKUP($G2423,'[42]Sheet1 (2)'!$A$1:$B$1048440,2,FALSE)</f>
        <v>Sqm</v>
      </c>
      <c r="AM2423" s="71"/>
      <c r="AN2423" s="18"/>
      <c r="AO2423" s="18"/>
    </row>
    <row r="2424" spans="1:41" ht="84" x14ac:dyDescent="0.25">
      <c r="A2424" s="243">
        <v>2218</v>
      </c>
      <c r="B2424" s="25" t="s">
        <v>3670</v>
      </c>
      <c r="C2424" s="22">
        <v>54.15</v>
      </c>
      <c r="D2424" s="25" t="s">
        <v>44</v>
      </c>
      <c r="E2424" s="24" t="s">
        <v>3703</v>
      </c>
      <c r="F2424" s="25" t="s">
        <v>44</v>
      </c>
      <c r="G2424" s="202" t="s">
        <v>621</v>
      </c>
      <c r="H2424" s="26">
        <v>126</v>
      </c>
      <c r="I2424" s="26">
        <v>95</v>
      </c>
      <c r="J2424" s="18"/>
      <c r="K2424" s="18"/>
      <c r="L2424" s="18"/>
      <c r="M2424" s="18"/>
      <c r="N2424" s="18"/>
      <c r="O2424" s="18"/>
      <c r="P2424" s="18"/>
      <c r="Q2424" s="18"/>
      <c r="R2424" s="18"/>
      <c r="S2424" s="18"/>
      <c r="T2424" s="18"/>
      <c r="U2424" s="18"/>
      <c r="V2424" s="18"/>
      <c r="W2424" s="18"/>
      <c r="X2424" s="18"/>
      <c r="Y2424" s="18"/>
      <c r="Z2424" s="18"/>
      <c r="AA2424" s="18"/>
      <c r="AB2424" s="18"/>
      <c r="AC2424" s="18"/>
      <c r="AD2424" s="18"/>
      <c r="AE2424" s="18"/>
      <c r="AF2424" s="18"/>
      <c r="AG2424" s="18"/>
      <c r="AH2424" s="18"/>
      <c r="AI2424" s="18"/>
      <c r="AJ2424" s="18"/>
      <c r="AK2424" s="18"/>
      <c r="AL2424" s="28" t="str">
        <f>VLOOKUP($G2424,'[42]Sheet1 (2)'!$A$1:$B$1048440,2,FALSE)</f>
        <v>Sqm</v>
      </c>
      <c r="AM2424" s="71"/>
      <c r="AN2424" s="18"/>
      <c r="AO2424" s="18"/>
    </row>
    <row r="2425" spans="1:41" ht="126" x14ac:dyDescent="0.25">
      <c r="A2425" s="243">
        <v>2219</v>
      </c>
      <c r="B2425" s="25" t="s">
        <v>3670</v>
      </c>
      <c r="C2425" s="22">
        <v>54.16</v>
      </c>
      <c r="D2425" s="25" t="s">
        <v>44</v>
      </c>
      <c r="E2425" s="24" t="s">
        <v>3704</v>
      </c>
      <c r="F2425" s="25" t="s">
        <v>44</v>
      </c>
      <c r="G2425" s="25" t="s">
        <v>45</v>
      </c>
      <c r="H2425" s="26">
        <v>15222</v>
      </c>
      <c r="I2425" s="26">
        <v>3111</v>
      </c>
      <c r="J2425" s="18"/>
      <c r="K2425" s="18"/>
      <c r="L2425" s="18"/>
      <c r="M2425" s="18"/>
      <c r="N2425" s="18"/>
      <c r="O2425" s="18"/>
      <c r="P2425" s="18"/>
      <c r="Q2425" s="18"/>
      <c r="R2425" s="18"/>
      <c r="S2425" s="18"/>
      <c r="T2425" s="18"/>
      <c r="U2425" s="18"/>
      <c r="V2425" s="18"/>
      <c r="W2425" s="18"/>
      <c r="X2425" s="18"/>
      <c r="Y2425" s="18"/>
      <c r="Z2425" s="18"/>
      <c r="AA2425" s="18"/>
      <c r="AB2425" s="18"/>
      <c r="AC2425" s="18"/>
      <c r="AD2425" s="18"/>
      <c r="AE2425" s="18"/>
      <c r="AF2425" s="18"/>
      <c r="AG2425" s="18"/>
      <c r="AH2425" s="18"/>
      <c r="AI2425" s="18"/>
      <c r="AJ2425" s="18"/>
      <c r="AK2425" s="18"/>
      <c r="AL2425" s="28" t="str">
        <f>VLOOKUP($G2425,'[42]Sheet1 (2)'!$A$1:$B$1048440,2,FALSE)</f>
        <v>No.</v>
      </c>
      <c r="AM2425" s="71"/>
      <c r="AN2425" s="18"/>
      <c r="AO2425" s="18"/>
    </row>
    <row r="2426" spans="1:41" ht="126" x14ac:dyDescent="0.25">
      <c r="A2426" s="243">
        <v>2220</v>
      </c>
      <c r="B2426" s="25" t="s">
        <v>3670</v>
      </c>
      <c r="C2426" s="22">
        <v>54.17</v>
      </c>
      <c r="D2426" s="25" t="s">
        <v>44</v>
      </c>
      <c r="E2426" s="24" t="s">
        <v>3705</v>
      </c>
      <c r="F2426" s="25" t="s">
        <v>44</v>
      </c>
      <c r="G2426" s="25" t="s">
        <v>45</v>
      </c>
      <c r="H2426" s="26">
        <v>14152</v>
      </c>
      <c r="I2426" s="26">
        <v>3051</v>
      </c>
      <c r="J2426" s="18"/>
      <c r="K2426" s="18"/>
      <c r="L2426" s="18"/>
      <c r="M2426" s="18"/>
      <c r="N2426" s="18"/>
      <c r="O2426" s="18"/>
      <c r="P2426" s="18"/>
      <c r="Q2426" s="18"/>
      <c r="R2426" s="18"/>
      <c r="S2426" s="18"/>
      <c r="T2426" s="18"/>
      <c r="U2426" s="18"/>
      <c r="V2426" s="18"/>
      <c r="W2426" s="18"/>
      <c r="X2426" s="18"/>
      <c r="Y2426" s="18"/>
      <c r="Z2426" s="18"/>
      <c r="AA2426" s="18"/>
      <c r="AB2426" s="18"/>
      <c r="AC2426" s="18"/>
      <c r="AD2426" s="18"/>
      <c r="AE2426" s="18"/>
      <c r="AF2426" s="18"/>
      <c r="AG2426" s="18"/>
      <c r="AH2426" s="18"/>
      <c r="AI2426" s="18"/>
      <c r="AJ2426" s="18"/>
      <c r="AK2426" s="18"/>
      <c r="AL2426" s="28" t="str">
        <f>VLOOKUP($G2426,'[42]Sheet1 (2)'!$A$1:$B$1048440,2,FALSE)</f>
        <v>No.</v>
      </c>
      <c r="AM2426" s="71"/>
      <c r="AN2426" s="18"/>
      <c r="AO2426" s="18"/>
    </row>
    <row r="2427" spans="1:41" ht="126" x14ac:dyDescent="0.25">
      <c r="A2427" s="243">
        <v>2221</v>
      </c>
      <c r="B2427" s="25" t="s">
        <v>3670</v>
      </c>
      <c r="C2427" s="22">
        <v>54.18</v>
      </c>
      <c r="D2427" s="25" t="s">
        <v>44</v>
      </c>
      <c r="E2427" s="24" t="s">
        <v>3706</v>
      </c>
      <c r="F2427" s="25" t="s">
        <v>44</v>
      </c>
      <c r="G2427" s="25" t="s">
        <v>45</v>
      </c>
      <c r="H2427" s="121">
        <v>16103</v>
      </c>
      <c r="I2427" s="121">
        <v>3122</v>
      </c>
      <c r="J2427" s="18"/>
      <c r="K2427" s="18"/>
      <c r="L2427" s="18"/>
      <c r="M2427" s="18"/>
      <c r="N2427" s="18"/>
      <c r="O2427" s="18"/>
      <c r="P2427" s="18"/>
      <c r="Q2427" s="18"/>
      <c r="R2427" s="18"/>
      <c r="S2427" s="18"/>
      <c r="T2427" s="18"/>
      <c r="U2427" s="18"/>
      <c r="V2427" s="18"/>
      <c r="W2427" s="18"/>
      <c r="X2427" s="18"/>
      <c r="Y2427" s="18"/>
      <c r="Z2427" s="18"/>
      <c r="AA2427" s="18"/>
      <c r="AB2427" s="18"/>
      <c r="AC2427" s="18"/>
      <c r="AD2427" s="18"/>
      <c r="AE2427" s="18"/>
      <c r="AF2427" s="18"/>
      <c r="AG2427" s="18"/>
      <c r="AH2427" s="18"/>
      <c r="AI2427" s="18"/>
      <c r="AJ2427" s="18"/>
      <c r="AK2427" s="18"/>
      <c r="AL2427" s="28" t="str">
        <f>VLOOKUP($G2427,'[42]Sheet1 (2)'!$A$1:$B$1048440,2,FALSE)</f>
        <v>No.</v>
      </c>
      <c r="AM2427" s="71"/>
      <c r="AN2427" s="18"/>
      <c r="AO2427" s="18"/>
    </row>
    <row r="2428" spans="1:41" ht="126" x14ac:dyDescent="0.25">
      <c r="A2428" s="243">
        <v>2222</v>
      </c>
      <c r="B2428" s="25" t="s">
        <v>3670</v>
      </c>
      <c r="C2428" s="22">
        <v>54.19</v>
      </c>
      <c r="D2428" s="25" t="s">
        <v>44</v>
      </c>
      <c r="E2428" s="24" t="s">
        <v>3707</v>
      </c>
      <c r="F2428" s="25" t="s">
        <v>44</v>
      </c>
      <c r="G2428" s="25" t="s">
        <v>45</v>
      </c>
      <c r="H2428" s="121">
        <v>13972</v>
      </c>
      <c r="I2428" s="121">
        <v>2796</v>
      </c>
      <c r="J2428" s="18"/>
      <c r="K2428" s="18"/>
      <c r="L2428" s="18"/>
      <c r="M2428" s="18"/>
      <c r="N2428" s="18"/>
      <c r="O2428" s="18"/>
      <c r="P2428" s="18"/>
      <c r="Q2428" s="18"/>
      <c r="R2428" s="18"/>
      <c r="S2428" s="18"/>
      <c r="T2428" s="18"/>
      <c r="U2428" s="18"/>
      <c r="V2428" s="18"/>
      <c r="W2428" s="18"/>
      <c r="X2428" s="18"/>
      <c r="Y2428" s="18"/>
      <c r="Z2428" s="18"/>
      <c r="AA2428" s="18"/>
      <c r="AB2428" s="18"/>
      <c r="AC2428" s="18"/>
      <c r="AD2428" s="18"/>
      <c r="AE2428" s="18"/>
      <c r="AF2428" s="18"/>
      <c r="AG2428" s="18"/>
      <c r="AH2428" s="18"/>
      <c r="AI2428" s="18"/>
      <c r="AJ2428" s="18"/>
      <c r="AK2428" s="18"/>
      <c r="AL2428" s="28" t="str">
        <f>VLOOKUP($G2428,'[42]Sheet1 (2)'!$A$1:$B$1048440,2,FALSE)</f>
        <v>No.</v>
      </c>
      <c r="AM2428" s="71"/>
      <c r="AN2428" s="18"/>
      <c r="AO2428" s="18"/>
    </row>
    <row r="2429" spans="1:41" ht="140" x14ac:dyDescent="0.25">
      <c r="A2429" s="243">
        <v>2223</v>
      </c>
      <c r="B2429" s="25" t="s">
        <v>3670</v>
      </c>
      <c r="C2429" s="22">
        <v>54.2</v>
      </c>
      <c r="D2429" s="25" t="s">
        <v>44</v>
      </c>
      <c r="E2429" s="24" t="s">
        <v>3708</v>
      </c>
      <c r="F2429" s="25" t="s">
        <v>44</v>
      </c>
      <c r="G2429" s="25" t="s">
        <v>45</v>
      </c>
      <c r="H2429" s="121">
        <v>12903</v>
      </c>
      <c r="I2429" s="121">
        <v>2736</v>
      </c>
      <c r="J2429" s="18"/>
      <c r="K2429" s="18"/>
      <c r="L2429" s="18"/>
      <c r="M2429" s="18"/>
      <c r="N2429" s="18"/>
      <c r="O2429" s="18"/>
      <c r="P2429" s="18"/>
      <c r="Q2429" s="18"/>
      <c r="R2429" s="18"/>
      <c r="S2429" s="18"/>
      <c r="T2429" s="18"/>
      <c r="U2429" s="18"/>
      <c r="V2429" s="18"/>
      <c r="W2429" s="18"/>
      <c r="X2429" s="18"/>
      <c r="Y2429" s="18"/>
      <c r="Z2429" s="18"/>
      <c r="AA2429" s="18"/>
      <c r="AB2429" s="18"/>
      <c r="AC2429" s="18"/>
      <c r="AD2429" s="18"/>
      <c r="AE2429" s="18"/>
      <c r="AF2429" s="18"/>
      <c r="AG2429" s="18"/>
      <c r="AH2429" s="18"/>
      <c r="AI2429" s="18"/>
      <c r="AJ2429" s="18"/>
      <c r="AK2429" s="18"/>
      <c r="AL2429" s="28" t="str">
        <f>VLOOKUP($G2429,'[42]Sheet1 (2)'!$A$1:$B$1048440,2,FALSE)</f>
        <v>No.</v>
      </c>
      <c r="AM2429" s="71"/>
      <c r="AN2429" s="18"/>
      <c r="AO2429" s="18"/>
    </row>
    <row r="2430" spans="1:41" ht="140" x14ac:dyDescent="0.25">
      <c r="A2430" s="243">
        <v>2224</v>
      </c>
      <c r="B2430" s="25" t="s">
        <v>3670</v>
      </c>
      <c r="C2430" s="22">
        <v>54.21</v>
      </c>
      <c r="D2430" s="25" t="s">
        <v>44</v>
      </c>
      <c r="E2430" s="24" t="s">
        <v>3709</v>
      </c>
      <c r="F2430" s="25" t="s">
        <v>44</v>
      </c>
      <c r="G2430" s="25" t="s">
        <v>45</v>
      </c>
      <c r="H2430" s="121">
        <v>14854</v>
      </c>
      <c r="I2430" s="121">
        <v>2807</v>
      </c>
      <c r="J2430" s="18"/>
      <c r="K2430" s="18"/>
      <c r="L2430" s="18"/>
      <c r="M2430" s="18"/>
      <c r="N2430" s="18"/>
      <c r="O2430" s="18"/>
      <c r="P2430" s="18"/>
      <c r="Q2430" s="18"/>
      <c r="R2430" s="18"/>
      <c r="S2430" s="18"/>
      <c r="T2430" s="18"/>
      <c r="U2430" s="18"/>
      <c r="V2430" s="18"/>
      <c r="W2430" s="18"/>
      <c r="X2430" s="18"/>
      <c r="Y2430" s="18"/>
      <c r="Z2430" s="18"/>
      <c r="AA2430" s="18"/>
      <c r="AB2430" s="18"/>
      <c r="AC2430" s="18"/>
      <c r="AD2430" s="18"/>
      <c r="AE2430" s="18"/>
      <c r="AF2430" s="18"/>
      <c r="AG2430" s="18"/>
      <c r="AH2430" s="18"/>
      <c r="AI2430" s="18"/>
      <c r="AJ2430" s="18"/>
      <c r="AK2430" s="18"/>
      <c r="AL2430" s="28" t="str">
        <f>VLOOKUP($G2430,'[42]Sheet1 (2)'!$A$1:$B$1048440,2,FALSE)</f>
        <v>No.</v>
      </c>
      <c r="AM2430" s="71"/>
      <c r="AN2430" s="18"/>
      <c r="AO2430" s="18"/>
    </row>
    <row r="2431" spans="1:41" ht="140" x14ac:dyDescent="0.25">
      <c r="A2431" s="243">
        <v>2225</v>
      </c>
      <c r="B2431" s="25" t="s">
        <v>3670</v>
      </c>
      <c r="C2431" s="22">
        <v>54.22</v>
      </c>
      <c r="D2431" s="25" t="s">
        <v>44</v>
      </c>
      <c r="E2431" s="24" t="s">
        <v>3710</v>
      </c>
      <c r="F2431" s="25" t="s">
        <v>44</v>
      </c>
      <c r="G2431" s="25" t="s">
        <v>45</v>
      </c>
      <c r="H2431" s="121">
        <v>12746</v>
      </c>
      <c r="I2431" s="121">
        <v>2481</v>
      </c>
      <c r="J2431" s="18"/>
      <c r="K2431" s="18"/>
      <c r="L2431" s="18"/>
      <c r="M2431" s="18"/>
      <c r="N2431" s="18"/>
      <c r="O2431" s="18"/>
      <c r="P2431" s="18"/>
      <c r="Q2431" s="18"/>
      <c r="R2431" s="18"/>
      <c r="S2431" s="18"/>
      <c r="T2431" s="18"/>
      <c r="U2431" s="18"/>
      <c r="V2431" s="18"/>
      <c r="W2431" s="18"/>
      <c r="X2431" s="18"/>
      <c r="Y2431" s="18"/>
      <c r="Z2431" s="18"/>
      <c r="AA2431" s="18"/>
      <c r="AB2431" s="18"/>
      <c r="AC2431" s="18"/>
      <c r="AD2431" s="18"/>
      <c r="AE2431" s="18"/>
      <c r="AF2431" s="18"/>
      <c r="AG2431" s="18"/>
      <c r="AH2431" s="18"/>
      <c r="AI2431" s="18"/>
      <c r="AJ2431" s="18"/>
      <c r="AK2431" s="18"/>
      <c r="AL2431" s="28" t="str">
        <f>VLOOKUP($G2431,'[42]Sheet1 (2)'!$A$1:$B$1048440,2,FALSE)</f>
        <v>No.</v>
      </c>
      <c r="AM2431" s="71"/>
      <c r="AN2431" s="18"/>
      <c r="AO2431" s="18"/>
    </row>
    <row r="2432" spans="1:41" ht="140" x14ac:dyDescent="0.25">
      <c r="A2432" s="243">
        <v>2226</v>
      </c>
      <c r="B2432" s="25" t="s">
        <v>3670</v>
      </c>
      <c r="C2432" s="22">
        <v>54.23</v>
      </c>
      <c r="D2432" s="25" t="s">
        <v>44</v>
      </c>
      <c r="E2432" s="24" t="s">
        <v>3711</v>
      </c>
      <c r="F2432" s="25" t="s">
        <v>44</v>
      </c>
      <c r="G2432" s="25" t="s">
        <v>45</v>
      </c>
      <c r="H2432" s="121">
        <v>11677</v>
      </c>
      <c r="I2432" s="26">
        <v>2421</v>
      </c>
      <c r="J2432" s="18"/>
      <c r="K2432" s="18"/>
      <c r="L2432" s="18"/>
      <c r="M2432" s="18"/>
      <c r="N2432" s="18"/>
      <c r="O2432" s="18"/>
      <c r="P2432" s="18"/>
      <c r="Q2432" s="18"/>
      <c r="R2432" s="18"/>
      <c r="S2432" s="18"/>
      <c r="T2432" s="18"/>
      <c r="U2432" s="18"/>
      <c r="V2432" s="18"/>
      <c r="W2432" s="18"/>
      <c r="X2432" s="18"/>
      <c r="Y2432" s="18"/>
      <c r="Z2432" s="18"/>
      <c r="AA2432" s="18"/>
      <c r="AB2432" s="18"/>
      <c r="AC2432" s="18"/>
      <c r="AD2432" s="18"/>
      <c r="AE2432" s="18"/>
      <c r="AF2432" s="18"/>
      <c r="AG2432" s="18"/>
      <c r="AH2432" s="18"/>
      <c r="AI2432" s="18"/>
      <c r="AJ2432" s="18"/>
      <c r="AK2432" s="18"/>
      <c r="AL2432" s="28" t="str">
        <f>VLOOKUP($G2432,'[42]Sheet1 (2)'!$A$1:$B$1048440,2,FALSE)</f>
        <v>No.</v>
      </c>
      <c r="AM2432" s="71"/>
      <c r="AN2432" s="18"/>
      <c r="AO2432" s="18"/>
    </row>
    <row r="2433" spans="1:41" ht="140" x14ac:dyDescent="0.25">
      <c r="A2433" s="243">
        <v>2227</v>
      </c>
      <c r="B2433" s="25" t="s">
        <v>3670</v>
      </c>
      <c r="C2433" s="22">
        <v>54.24</v>
      </c>
      <c r="D2433" s="25" t="s">
        <v>44</v>
      </c>
      <c r="E2433" s="24" t="s">
        <v>3709</v>
      </c>
      <c r="F2433" s="25" t="s">
        <v>44</v>
      </c>
      <c r="G2433" s="25" t="s">
        <v>45</v>
      </c>
      <c r="H2433" s="121">
        <v>13628</v>
      </c>
      <c r="I2433" s="26">
        <v>2492</v>
      </c>
      <c r="J2433" s="18"/>
      <c r="K2433" s="18"/>
      <c r="L2433" s="18"/>
      <c r="M2433" s="18"/>
      <c r="N2433" s="18"/>
      <c r="O2433" s="18"/>
      <c r="P2433" s="18"/>
      <c r="Q2433" s="18"/>
      <c r="R2433" s="18"/>
      <c r="S2433" s="18"/>
      <c r="T2433" s="18"/>
      <c r="U2433" s="18"/>
      <c r="V2433" s="18"/>
      <c r="W2433" s="18"/>
      <c r="X2433" s="18"/>
      <c r="Y2433" s="18"/>
      <c r="Z2433" s="18"/>
      <c r="AA2433" s="18"/>
      <c r="AB2433" s="18"/>
      <c r="AC2433" s="18"/>
      <c r="AD2433" s="18"/>
      <c r="AE2433" s="18"/>
      <c r="AF2433" s="18"/>
      <c r="AG2433" s="18"/>
      <c r="AH2433" s="18"/>
      <c r="AI2433" s="18"/>
      <c r="AJ2433" s="18"/>
      <c r="AK2433" s="18"/>
      <c r="AL2433" s="28" t="str">
        <f>VLOOKUP($G2433,'[42]Sheet1 (2)'!$A$1:$B$1048440,2,FALSE)</f>
        <v>No.</v>
      </c>
      <c r="AM2433" s="71"/>
      <c r="AN2433" s="18"/>
      <c r="AO2433" s="18"/>
    </row>
    <row r="2434" spans="1:41" ht="98" x14ac:dyDescent="0.25">
      <c r="A2434" s="243">
        <v>2228</v>
      </c>
      <c r="B2434" s="25" t="s">
        <v>3670</v>
      </c>
      <c r="C2434" s="22">
        <v>54.25</v>
      </c>
      <c r="D2434" s="25" t="s">
        <v>44</v>
      </c>
      <c r="E2434" s="23" t="s">
        <v>3712</v>
      </c>
      <c r="F2434" s="25" t="s">
        <v>44</v>
      </c>
      <c r="G2434" s="25" t="s">
        <v>45</v>
      </c>
      <c r="H2434" s="121">
        <v>11731</v>
      </c>
      <c r="I2434" s="26">
        <v>824</v>
      </c>
      <c r="J2434" s="18"/>
      <c r="K2434" s="18"/>
      <c r="L2434" s="18"/>
      <c r="M2434" s="18"/>
      <c r="N2434" s="18"/>
      <c r="O2434" s="18"/>
      <c r="P2434" s="18"/>
      <c r="Q2434" s="18"/>
      <c r="R2434" s="18"/>
      <c r="S2434" s="18"/>
      <c r="T2434" s="18"/>
      <c r="U2434" s="18"/>
      <c r="V2434" s="18"/>
      <c r="W2434" s="18"/>
      <c r="X2434" s="18"/>
      <c r="Y2434" s="18"/>
      <c r="Z2434" s="18"/>
      <c r="AA2434" s="18"/>
      <c r="AB2434" s="18"/>
      <c r="AC2434" s="18"/>
      <c r="AD2434" s="18"/>
      <c r="AE2434" s="18"/>
      <c r="AF2434" s="18"/>
      <c r="AG2434" s="18"/>
      <c r="AH2434" s="18"/>
      <c r="AI2434" s="18"/>
      <c r="AJ2434" s="18"/>
      <c r="AK2434" s="18"/>
      <c r="AL2434" s="28" t="str">
        <f>VLOOKUP($G2434,'[42]Sheet1 (2)'!$A$1:$B$1048440,2,FALSE)</f>
        <v>No.</v>
      </c>
      <c r="AM2434" s="71"/>
      <c r="AN2434" s="18"/>
      <c r="AO2434" s="18"/>
    </row>
    <row r="2435" spans="1:41" ht="98" x14ac:dyDescent="0.25">
      <c r="A2435" s="243">
        <v>2229</v>
      </c>
      <c r="B2435" s="25" t="s">
        <v>3670</v>
      </c>
      <c r="C2435" s="22">
        <v>54.26</v>
      </c>
      <c r="D2435" s="25" t="s">
        <v>44</v>
      </c>
      <c r="E2435" s="23" t="s">
        <v>3713</v>
      </c>
      <c r="F2435" s="25" t="s">
        <v>44</v>
      </c>
      <c r="G2435" s="25" t="s">
        <v>45</v>
      </c>
      <c r="H2435" s="121">
        <v>10891</v>
      </c>
      <c r="I2435" s="26">
        <v>824</v>
      </c>
      <c r="J2435" s="18"/>
      <c r="K2435" s="18"/>
      <c r="L2435" s="18"/>
      <c r="M2435" s="18"/>
      <c r="N2435" s="18"/>
      <c r="O2435" s="18"/>
      <c r="P2435" s="18"/>
      <c r="Q2435" s="18"/>
      <c r="R2435" s="18"/>
      <c r="S2435" s="18"/>
      <c r="T2435" s="18"/>
      <c r="U2435" s="18"/>
      <c r="V2435" s="18"/>
      <c r="W2435" s="18"/>
      <c r="X2435" s="18"/>
      <c r="Y2435" s="18"/>
      <c r="Z2435" s="18"/>
      <c r="AA2435" s="18"/>
      <c r="AB2435" s="18"/>
      <c r="AC2435" s="18"/>
      <c r="AD2435" s="18"/>
      <c r="AE2435" s="18"/>
      <c r="AF2435" s="18"/>
      <c r="AG2435" s="18"/>
      <c r="AH2435" s="18"/>
      <c r="AI2435" s="18"/>
      <c r="AJ2435" s="18"/>
      <c r="AK2435" s="18"/>
      <c r="AL2435" s="28" t="str">
        <f>VLOOKUP($G2435,'[42]Sheet1 (2)'!$A$1:$B$1048440,2,FALSE)</f>
        <v>No.</v>
      </c>
      <c r="AM2435" s="71"/>
      <c r="AN2435" s="18"/>
      <c r="AO2435" s="18"/>
    </row>
    <row r="2436" spans="1:41" ht="98" x14ac:dyDescent="0.25">
      <c r="A2436" s="243">
        <v>2230</v>
      </c>
      <c r="B2436" s="25" t="s">
        <v>3670</v>
      </c>
      <c r="C2436" s="22">
        <v>54.27</v>
      </c>
      <c r="D2436" s="25" t="s">
        <v>44</v>
      </c>
      <c r="E2436" s="23" t="s">
        <v>3714</v>
      </c>
      <c r="F2436" s="25" t="s">
        <v>44</v>
      </c>
      <c r="G2436" s="25" t="s">
        <v>45</v>
      </c>
      <c r="H2436" s="121">
        <v>12572</v>
      </c>
      <c r="I2436" s="26">
        <v>824</v>
      </c>
      <c r="J2436" s="18"/>
      <c r="K2436" s="18"/>
      <c r="L2436" s="18"/>
      <c r="M2436" s="18"/>
      <c r="N2436" s="18"/>
      <c r="O2436" s="18"/>
      <c r="P2436" s="18"/>
      <c r="Q2436" s="18"/>
      <c r="R2436" s="18"/>
      <c r="S2436" s="18"/>
      <c r="T2436" s="18"/>
      <c r="U2436" s="18"/>
      <c r="V2436" s="18"/>
      <c r="W2436" s="18"/>
      <c r="X2436" s="18"/>
      <c r="Y2436" s="18"/>
      <c r="Z2436" s="18"/>
      <c r="AA2436" s="18"/>
      <c r="AB2436" s="18"/>
      <c r="AC2436" s="18"/>
      <c r="AD2436" s="18"/>
      <c r="AE2436" s="18"/>
      <c r="AF2436" s="18"/>
      <c r="AG2436" s="18"/>
      <c r="AH2436" s="18"/>
      <c r="AI2436" s="18"/>
      <c r="AJ2436" s="18"/>
      <c r="AK2436" s="18"/>
      <c r="AL2436" s="28" t="str">
        <f>VLOOKUP($G2436,'[42]Sheet1 (2)'!$A$1:$B$1048440,2,FALSE)</f>
        <v>No.</v>
      </c>
      <c r="AM2436" s="71"/>
      <c r="AN2436" s="18"/>
      <c r="AO2436" s="18"/>
    </row>
    <row r="2437" spans="1:41" ht="98" x14ac:dyDescent="0.25">
      <c r="A2437" s="243">
        <v>2231</v>
      </c>
      <c r="B2437" s="25" t="s">
        <v>3670</v>
      </c>
      <c r="C2437" s="22">
        <v>54.28</v>
      </c>
      <c r="D2437" s="25" t="s">
        <v>44</v>
      </c>
      <c r="E2437" s="23" t="s">
        <v>3714</v>
      </c>
      <c r="F2437" s="25" t="s">
        <v>44</v>
      </c>
      <c r="G2437" s="25" t="s">
        <v>45</v>
      </c>
      <c r="H2437" s="121">
        <v>10892</v>
      </c>
      <c r="I2437" s="26">
        <v>824</v>
      </c>
      <c r="J2437" s="18"/>
      <c r="K2437" s="18"/>
      <c r="L2437" s="18"/>
      <c r="M2437" s="18"/>
      <c r="N2437" s="18"/>
      <c r="O2437" s="18"/>
      <c r="P2437" s="18"/>
      <c r="Q2437" s="18"/>
      <c r="R2437" s="18"/>
      <c r="S2437" s="18"/>
      <c r="T2437" s="18"/>
      <c r="U2437" s="18"/>
      <c r="V2437" s="18"/>
      <c r="W2437" s="18"/>
      <c r="X2437" s="18"/>
      <c r="Y2437" s="18"/>
      <c r="Z2437" s="18"/>
      <c r="AA2437" s="18"/>
      <c r="AB2437" s="18"/>
      <c r="AC2437" s="18"/>
      <c r="AD2437" s="18"/>
      <c r="AE2437" s="18"/>
      <c r="AF2437" s="18"/>
      <c r="AG2437" s="18"/>
      <c r="AH2437" s="18"/>
      <c r="AI2437" s="18"/>
      <c r="AJ2437" s="18"/>
      <c r="AK2437" s="18"/>
      <c r="AL2437" s="28" t="str">
        <f>VLOOKUP($G2437,'[42]Sheet1 (2)'!$A$1:$B$1048440,2,FALSE)</f>
        <v>No.</v>
      </c>
      <c r="AM2437" s="71"/>
      <c r="AN2437" s="18"/>
      <c r="AO2437" s="18"/>
    </row>
    <row r="2438" spans="1:41" ht="98" x14ac:dyDescent="0.25">
      <c r="A2438" s="243">
        <v>2232</v>
      </c>
      <c r="B2438" s="25" t="s">
        <v>3670</v>
      </c>
      <c r="C2438" s="22">
        <v>54.29</v>
      </c>
      <c r="D2438" s="25" t="s">
        <v>44</v>
      </c>
      <c r="E2438" s="23" t="s">
        <v>3715</v>
      </c>
      <c r="F2438" s="25" t="s">
        <v>44</v>
      </c>
      <c r="G2438" s="25" t="s">
        <v>45</v>
      </c>
      <c r="H2438" s="26">
        <v>10052</v>
      </c>
      <c r="I2438" s="26">
        <v>824</v>
      </c>
      <c r="J2438" s="18"/>
      <c r="K2438" s="18"/>
      <c r="L2438" s="18"/>
      <c r="M2438" s="18"/>
      <c r="N2438" s="18"/>
      <c r="O2438" s="18"/>
      <c r="P2438" s="18"/>
      <c r="Q2438" s="18"/>
      <c r="R2438" s="18"/>
      <c r="S2438" s="18"/>
      <c r="T2438" s="18"/>
      <c r="U2438" s="18"/>
      <c r="V2438" s="18"/>
      <c r="W2438" s="18"/>
      <c r="X2438" s="18"/>
      <c r="Y2438" s="18"/>
      <c r="Z2438" s="18"/>
      <c r="AA2438" s="18"/>
      <c r="AB2438" s="18"/>
      <c r="AC2438" s="18"/>
      <c r="AD2438" s="18"/>
      <c r="AE2438" s="18"/>
      <c r="AF2438" s="18"/>
      <c r="AG2438" s="18"/>
      <c r="AH2438" s="18"/>
      <c r="AI2438" s="18"/>
      <c r="AJ2438" s="18"/>
      <c r="AK2438" s="18"/>
      <c r="AL2438" s="28" t="str">
        <f>VLOOKUP($G2438,'[42]Sheet1 (2)'!$A$1:$B$1048440,2,FALSE)</f>
        <v>No.</v>
      </c>
      <c r="AM2438" s="71"/>
      <c r="AN2438" s="18"/>
      <c r="AO2438" s="18"/>
    </row>
    <row r="2439" spans="1:41" ht="98" x14ac:dyDescent="0.25">
      <c r="A2439" s="243">
        <v>2233</v>
      </c>
      <c r="B2439" s="25" t="s">
        <v>3670</v>
      </c>
      <c r="C2439" s="22">
        <v>54.3</v>
      </c>
      <c r="D2439" s="25" t="s">
        <v>44</v>
      </c>
      <c r="E2439" s="23" t="s">
        <v>3716</v>
      </c>
      <c r="F2439" s="25" t="s">
        <v>44</v>
      </c>
      <c r="G2439" s="25" t="s">
        <v>45</v>
      </c>
      <c r="H2439" s="26">
        <v>11732</v>
      </c>
      <c r="I2439" s="26">
        <v>824</v>
      </c>
      <c r="J2439" s="18"/>
      <c r="K2439" s="18"/>
      <c r="L2439" s="18"/>
      <c r="M2439" s="18"/>
      <c r="N2439" s="18"/>
      <c r="O2439" s="18"/>
      <c r="P2439" s="18"/>
      <c r="Q2439" s="18"/>
      <c r="R2439" s="18"/>
      <c r="S2439" s="18"/>
      <c r="T2439" s="18"/>
      <c r="U2439" s="18"/>
      <c r="V2439" s="18"/>
      <c r="W2439" s="18"/>
      <c r="X2439" s="18"/>
      <c r="Y2439" s="18"/>
      <c r="Z2439" s="18"/>
      <c r="AA2439" s="18"/>
      <c r="AB2439" s="18"/>
      <c r="AC2439" s="18"/>
      <c r="AD2439" s="18"/>
      <c r="AE2439" s="18"/>
      <c r="AF2439" s="18"/>
      <c r="AG2439" s="18"/>
      <c r="AH2439" s="18"/>
      <c r="AI2439" s="18"/>
      <c r="AJ2439" s="18"/>
      <c r="AK2439" s="18"/>
      <c r="AL2439" s="28" t="str">
        <f>VLOOKUP($G2439,'[42]Sheet1 (2)'!$A$1:$B$1048440,2,FALSE)</f>
        <v>No.</v>
      </c>
      <c r="AM2439" s="71"/>
      <c r="AN2439" s="18"/>
      <c r="AO2439" s="18"/>
    </row>
    <row r="2440" spans="1:41" ht="98" x14ac:dyDescent="0.25">
      <c r="A2440" s="243">
        <v>2234</v>
      </c>
      <c r="B2440" s="25" t="s">
        <v>3670</v>
      </c>
      <c r="C2440" s="22">
        <v>54.31</v>
      </c>
      <c r="D2440" s="25" t="s">
        <v>44</v>
      </c>
      <c r="E2440" s="23" t="s">
        <v>3717</v>
      </c>
      <c r="F2440" s="25" t="s">
        <v>44</v>
      </c>
      <c r="G2440" s="25" t="s">
        <v>45</v>
      </c>
      <c r="H2440" s="26">
        <v>10052</v>
      </c>
      <c r="I2440" s="26">
        <v>824</v>
      </c>
      <c r="J2440" s="18"/>
      <c r="K2440" s="18"/>
      <c r="L2440" s="18"/>
      <c r="M2440" s="18"/>
      <c r="N2440" s="18"/>
      <c r="O2440" s="18"/>
      <c r="P2440" s="18"/>
      <c r="Q2440" s="18"/>
      <c r="R2440" s="18"/>
      <c r="S2440" s="18"/>
      <c r="T2440" s="18"/>
      <c r="U2440" s="18"/>
      <c r="V2440" s="18"/>
      <c r="W2440" s="18"/>
      <c r="X2440" s="18"/>
      <c r="Y2440" s="18"/>
      <c r="Z2440" s="18"/>
      <c r="AA2440" s="18"/>
      <c r="AB2440" s="18"/>
      <c r="AC2440" s="18"/>
      <c r="AD2440" s="18"/>
      <c r="AE2440" s="18"/>
      <c r="AF2440" s="18"/>
      <c r="AG2440" s="18"/>
      <c r="AH2440" s="18"/>
      <c r="AI2440" s="18"/>
      <c r="AJ2440" s="18"/>
      <c r="AK2440" s="18"/>
      <c r="AL2440" s="28" t="str">
        <f>VLOOKUP($G2440,'[42]Sheet1 (2)'!$A$1:$B$1048440,2,FALSE)</f>
        <v>No.</v>
      </c>
      <c r="AM2440" s="71"/>
      <c r="AN2440" s="18"/>
      <c r="AO2440" s="18"/>
    </row>
    <row r="2441" spans="1:41" ht="98" x14ac:dyDescent="0.25">
      <c r="A2441" s="243">
        <v>2235</v>
      </c>
      <c r="B2441" s="25" t="s">
        <v>3670</v>
      </c>
      <c r="C2441" s="22">
        <v>54.32</v>
      </c>
      <c r="D2441" s="25" t="s">
        <v>44</v>
      </c>
      <c r="E2441" s="23" t="s">
        <v>3718</v>
      </c>
      <c r="F2441" s="25" t="s">
        <v>44</v>
      </c>
      <c r="G2441" s="25" t="s">
        <v>45</v>
      </c>
      <c r="H2441" s="26">
        <v>9212</v>
      </c>
      <c r="I2441" s="26">
        <v>824</v>
      </c>
      <c r="J2441" s="18"/>
      <c r="K2441" s="18"/>
      <c r="L2441" s="18"/>
      <c r="M2441" s="18"/>
      <c r="N2441" s="18"/>
      <c r="O2441" s="18"/>
      <c r="P2441" s="18"/>
      <c r="Q2441" s="18"/>
      <c r="R2441" s="18"/>
      <c r="S2441" s="18"/>
      <c r="T2441" s="18"/>
      <c r="U2441" s="18"/>
      <c r="V2441" s="18"/>
      <c r="W2441" s="18"/>
      <c r="X2441" s="18"/>
      <c r="Y2441" s="18"/>
      <c r="Z2441" s="18"/>
      <c r="AA2441" s="18"/>
      <c r="AB2441" s="18"/>
      <c r="AC2441" s="18"/>
      <c r="AD2441" s="18"/>
      <c r="AE2441" s="18"/>
      <c r="AF2441" s="18"/>
      <c r="AG2441" s="18"/>
      <c r="AH2441" s="18"/>
      <c r="AI2441" s="18"/>
      <c r="AJ2441" s="18"/>
      <c r="AK2441" s="18"/>
      <c r="AL2441" s="28" t="str">
        <f>VLOOKUP($G2441,'[42]Sheet1 (2)'!$A$1:$B$1048440,2,FALSE)</f>
        <v>No.</v>
      </c>
      <c r="AM2441" s="71"/>
      <c r="AN2441" s="18"/>
      <c r="AO2441" s="18"/>
    </row>
    <row r="2442" spans="1:41" ht="98" x14ac:dyDescent="0.25">
      <c r="A2442" s="243">
        <v>2236</v>
      </c>
      <c r="B2442" s="25" t="s">
        <v>3670</v>
      </c>
      <c r="C2442" s="22">
        <v>54.33</v>
      </c>
      <c r="D2442" s="25" t="s">
        <v>44</v>
      </c>
      <c r="E2442" s="23" t="s">
        <v>3719</v>
      </c>
      <c r="F2442" s="25" t="s">
        <v>44</v>
      </c>
      <c r="G2442" s="25" t="s">
        <v>45</v>
      </c>
      <c r="H2442" s="26">
        <v>10892</v>
      </c>
      <c r="I2442" s="26">
        <v>824</v>
      </c>
      <c r="J2442" s="18"/>
      <c r="K2442" s="18"/>
      <c r="L2442" s="18"/>
      <c r="M2442" s="18"/>
      <c r="N2442" s="18"/>
      <c r="O2442" s="18"/>
      <c r="P2442" s="18"/>
      <c r="Q2442" s="18"/>
      <c r="R2442" s="18"/>
      <c r="S2442" s="18"/>
      <c r="T2442" s="18"/>
      <c r="U2442" s="18"/>
      <c r="V2442" s="18"/>
      <c r="W2442" s="18"/>
      <c r="X2442" s="18"/>
      <c r="Y2442" s="18"/>
      <c r="Z2442" s="18"/>
      <c r="AA2442" s="18"/>
      <c r="AB2442" s="18"/>
      <c r="AC2442" s="18"/>
      <c r="AD2442" s="18"/>
      <c r="AE2442" s="18"/>
      <c r="AF2442" s="18"/>
      <c r="AG2442" s="18"/>
      <c r="AH2442" s="18"/>
      <c r="AI2442" s="18"/>
      <c r="AJ2442" s="18"/>
      <c r="AK2442" s="18"/>
      <c r="AL2442" s="28" t="str">
        <f>VLOOKUP($G2442,'[42]Sheet1 (2)'!$A$1:$B$1048440,2,FALSE)</f>
        <v>No.</v>
      </c>
      <c r="AM2442" s="71"/>
      <c r="AN2442" s="18"/>
      <c r="AO2442" s="18"/>
    </row>
    <row r="2443" spans="1:41" ht="34.5" x14ac:dyDescent="0.25">
      <c r="A2443" s="243">
        <v>2237</v>
      </c>
      <c r="B2443" s="165"/>
      <c r="C2443" s="295">
        <v>54.34</v>
      </c>
      <c r="D2443" s="296" t="s">
        <v>3720</v>
      </c>
      <c r="E2443" s="297" t="s">
        <v>3721</v>
      </c>
      <c r="F2443" s="298" t="s">
        <v>44</v>
      </c>
      <c r="G2443" s="299" t="s">
        <v>3722</v>
      </c>
      <c r="H2443" s="2">
        <v>750</v>
      </c>
      <c r="V2443" s="2">
        <v>1</v>
      </c>
      <c r="AL2443" s="28" t="str">
        <f>VLOOKUP($G2443,'[42]Sheet1 (2)'!$A$1:$B$1048440,2,FALSE)</f>
        <v>Cum</v>
      </c>
      <c r="AM2443" s="3" t="s">
        <v>3723</v>
      </c>
    </row>
    <row r="2444" spans="1:41" x14ac:dyDescent="0.25">
      <c r="A2444" s="243"/>
      <c r="B2444" s="165"/>
      <c r="C2444" s="295"/>
      <c r="E2444" s="296" t="s">
        <v>3720</v>
      </c>
      <c r="G2444" s="299"/>
      <c r="AL2444" s="28" t="e">
        <f>VLOOKUP($G2444,'[42]Sheet1 (2)'!$A$1:$B$1048440,2,FALSE)</f>
        <v>#N/A</v>
      </c>
    </row>
    <row r="2445" spans="1:41" x14ac:dyDescent="0.25">
      <c r="A2445" s="243"/>
      <c r="B2445" s="165"/>
      <c r="C2445" s="295"/>
      <c r="D2445" s="165"/>
      <c r="E2445" s="301" t="s">
        <v>3724</v>
      </c>
      <c r="F2445" s="25"/>
      <c r="G2445" s="165"/>
      <c r="H2445" s="167"/>
      <c r="I2445" s="167"/>
      <c r="J2445" s="18"/>
      <c r="K2445" s="18"/>
      <c r="L2445" s="18"/>
      <c r="M2445" s="18"/>
      <c r="N2445" s="18"/>
      <c r="O2445" s="18"/>
      <c r="P2445" s="18"/>
      <c r="Q2445" s="18"/>
      <c r="R2445" s="18"/>
      <c r="S2445" s="18"/>
      <c r="T2445" s="18"/>
      <c r="U2445" s="18"/>
      <c r="V2445" s="18"/>
      <c r="W2445" s="18"/>
      <c r="X2445" s="18"/>
      <c r="Y2445" s="18"/>
      <c r="Z2445" s="18"/>
      <c r="AA2445" s="18"/>
      <c r="AB2445" s="18"/>
      <c r="AC2445" s="18"/>
      <c r="AD2445" s="18"/>
      <c r="AE2445" s="18"/>
      <c r="AF2445" s="18"/>
      <c r="AG2445" s="18"/>
      <c r="AH2445" s="18"/>
      <c r="AI2445" s="18"/>
      <c r="AJ2445" s="18"/>
      <c r="AK2445" s="18"/>
      <c r="AL2445" s="28" t="e">
        <f>VLOOKUP($G2445,'[42]Sheet1 (2)'!$A$1:$B$1048440,2,FALSE)</f>
        <v>#N/A</v>
      </c>
      <c r="AM2445" s="71"/>
      <c r="AN2445" s="18"/>
      <c r="AO2445" s="18"/>
    </row>
    <row r="2446" spans="1:41" ht="52" x14ac:dyDescent="0.25">
      <c r="A2446" s="243">
        <v>2238</v>
      </c>
      <c r="C2446" s="302">
        <v>54.35</v>
      </c>
      <c r="D2446" s="303" t="s">
        <v>3725</v>
      </c>
      <c r="E2446" s="304" t="s">
        <v>3726</v>
      </c>
      <c r="F2446" s="25" t="s">
        <v>44</v>
      </c>
      <c r="G2446" s="305" t="s">
        <v>3727</v>
      </c>
      <c r="H2446" s="306">
        <v>1295</v>
      </c>
      <c r="AL2446" s="28" t="str">
        <f>VLOOKUP($G2446,'[42]Sheet1 (2)'!$A$1:$B$1048440,2,FALSE)</f>
        <v>Rmt.</v>
      </c>
    </row>
    <row r="2447" spans="1:41" ht="52" x14ac:dyDescent="0.25">
      <c r="A2447" s="243">
        <v>2239</v>
      </c>
      <c r="C2447" s="302">
        <v>54.36</v>
      </c>
      <c r="D2447" s="303" t="s">
        <v>3725</v>
      </c>
      <c r="E2447" s="304" t="s">
        <v>3728</v>
      </c>
      <c r="F2447" s="25" t="s">
        <v>44</v>
      </c>
      <c r="G2447" s="305" t="s">
        <v>3729</v>
      </c>
      <c r="H2447" s="306">
        <v>2500</v>
      </c>
      <c r="AL2447" s="28" t="str">
        <f>VLOOKUP($G2447,'[42]Sheet1 (2)'!$A$1:$B$1048440,2,FALSE)</f>
        <v>Job</v>
      </c>
    </row>
    <row r="2448" spans="1:41" ht="52" x14ac:dyDescent="0.25">
      <c r="A2448" s="243">
        <v>2240</v>
      </c>
      <c r="C2448" s="302">
        <v>54.37</v>
      </c>
      <c r="D2448" s="303" t="s">
        <v>3725</v>
      </c>
      <c r="E2448" s="304" t="s">
        <v>3730</v>
      </c>
      <c r="F2448" s="25" t="s">
        <v>44</v>
      </c>
      <c r="G2448" s="305" t="s">
        <v>3729</v>
      </c>
      <c r="H2448" s="306">
        <v>1000</v>
      </c>
      <c r="AL2448" s="28" t="str">
        <f>VLOOKUP($G2448,'[42]Sheet1 (2)'!$A$1:$B$1048440,2,FALSE)</f>
        <v>Job</v>
      </c>
    </row>
    <row r="2449" spans="1:39" ht="52" x14ac:dyDescent="0.25">
      <c r="A2449" s="243">
        <v>2241</v>
      </c>
      <c r="C2449" s="302">
        <v>54.38</v>
      </c>
      <c r="D2449" s="303" t="s">
        <v>3725</v>
      </c>
      <c r="E2449" s="304" t="s">
        <v>3731</v>
      </c>
      <c r="F2449" s="25" t="s">
        <v>44</v>
      </c>
      <c r="G2449" s="305" t="s">
        <v>3732</v>
      </c>
      <c r="H2449" s="306">
        <v>180</v>
      </c>
      <c r="AL2449" s="28" t="str">
        <f>VLOOKUP($G2449,'[42]Sheet1 (2)'!$A$1:$B$1048440,2,FALSE)</f>
        <v>Nos.</v>
      </c>
    </row>
    <row r="2450" spans="1:39" ht="52" x14ac:dyDescent="0.25">
      <c r="A2450" s="243">
        <v>2242</v>
      </c>
      <c r="C2450" s="302">
        <v>54.39</v>
      </c>
      <c r="D2450" s="303" t="s">
        <v>3725</v>
      </c>
      <c r="E2450" s="304" t="s">
        <v>3733</v>
      </c>
      <c r="F2450" s="25" t="s">
        <v>44</v>
      </c>
      <c r="G2450" s="305" t="s">
        <v>3732</v>
      </c>
      <c r="H2450" s="306">
        <v>180</v>
      </c>
      <c r="AL2450" s="28" t="str">
        <f>VLOOKUP($G2450,'[42]Sheet1 (2)'!$A$1:$B$1048440,2,FALSE)</f>
        <v>Nos.</v>
      </c>
    </row>
    <row r="2451" spans="1:39" x14ac:dyDescent="0.25">
      <c r="A2451" s="243">
        <v>2243</v>
      </c>
      <c r="C2451" s="307"/>
      <c r="D2451" s="303"/>
      <c r="E2451" s="304"/>
      <c r="H2451" s="306"/>
      <c r="AL2451" s="28" t="e">
        <f>VLOOKUP($G2451,'[42]Sheet1 (2)'!$A$1:$B$1048440,2,FALSE)</f>
        <v>#N/A</v>
      </c>
    </row>
    <row r="2452" spans="1:39" ht="14.5" x14ac:dyDescent="0.25">
      <c r="A2452" s="243">
        <v>2244</v>
      </c>
      <c r="C2452" s="307"/>
      <c r="D2452" s="303"/>
      <c r="E2452" s="308" t="s">
        <v>3734</v>
      </c>
      <c r="H2452" s="306"/>
      <c r="AL2452" s="28" t="e">
        <f>VLOOKUP($G2452,'[42]Sheet1 (2)'!$A$1:$B$1048440,2,FALSE)</f>
        <v>#N/A</v>
      </c>
    </row>
    <row r="2453" spans="1:39" x14ac:dyDescent="0.25">
      <c r="A2453" s="243">
        <v>2245</v>
      </c>
      <c r="C2453" s="307"/>
      <c r="D2453" s="303"/>
      <c r="E2453" s="304"/>
      <c r="H2453" s="306"/>
      <c r="AL2453" s="28" t="e">
        <f>VLOOKUP($G2453,'[42]Sheet1 (2)'!$A$1:$B$1048440,2,FALSE)</f>
        <v>#N/A</v>
      </c>
    </row>
    <row r="2454" spans="1:39" ht="130" x14ac:dyDescent="0.25">
      <c r="A2454" s="243">
        <v>2246</v>
      </c>
      <c r="C2454" s="309">
        <v>54.4</v>
      </c>
      <c r="D2454" s="303" t="s">
        <v>3735</v>
      </c>
      <c r="E2454" s="304" t="s">
        <v>3736</v>
      </c>
      <c r="F2454" s="25" t="s">
        <v>44</v>
      </c>
      <c r="G2454" s="305" t="s">
        <v>3737</v>
      </c>
      <c r="H2454" s="306">
        <v>521</v>
      </c>
      <c r="R2454" s="2">
        <f>1*0.3</f>
        <v>0.3</v>
      </c>
      <c r="AL2454" s="28" t="str">
        <f>VLOOKUP($G2454,'[42]Sheet1 (2)'!$A$1:$B$1048440,2,FALSE)</f>
        <v>Sqm</v>
      </c>
    </row>
    <row r="2455" spans="1:39" ht="52" x14ac:dyDescent="0.25">
      <c r="A2455" s="243">
        <v>2247</v>
      </c>
      <c r="C2455" s="309">
        <v>54.41</v>
      </c>
      <c r="D2455" s="303" t="s">
        <v>3738</v>
      </c>
      <c r="E2455" s="304" t="s">
        <v>3739</v>
      </c>
      <c r="F2455" s="25" t="s">
        <v>44</v>
      </c>
      <c r="G2455" s="305" t="s">
        <v>3732</v>
      </c>
      <c r="H2455" s="306">
        <v>15</v>
      </c>
      <c r="AL2455" s="28" t="str">
        <f>VLOOKUP($G2455,'[42]Sheet1 (2)'!$A$1:$B$1048440,2,FALSE)</f>
        <v>Nos.</v>
      </c>
    </row>
    <row r="2456" spans="1:39" ht="135" customHeight="1" x14ac:dyDescent="0.25">
      <c r="A2456" s="243">
        <v>2248</v>
      </c>
      <c r="C2456" s="309">
        <v>54.42</v>
      </c>
      <c r="D2456" s="303" t="s">
        <v>3740</v>
      </c>
      <c r="E2456" s="304" t="s">
        <v>3741</v>
      </c>
      <c r="F2456" s="25" t="s">
        <v>44</v>
      </c>
      <c r="G2456" s="305" t="s">
        <v>3732</v>
      </c>
      <c r="H2456" s="306">
        <v>358</v>
      </c>
      <c r="R2456" s="310">
        <f>0.6*0.6*0.6</f>
        <v>0.216</v>
      </c>
      <c r="AL2456" s="28" t="str">
        <f>VLOOKUP($G2456,'[42]Sheet1 (2)'!$A$1:$B$1048440,2,FALSE)</f>
        <v>Nos.</v>
      </c>
    </row>
    <row r="2457" spans="1:39" ht="117" x14ac:dyDescent="0.25">
      <c r="A2457" s="243">
        <v>2249</v>
      </c>
      <c r="C2457" s="309">
        <v>54.43</v>
      </c>
      <c r="D2457" s="303" t="s">
        <v>3740</v>
      </c>
      <c r="E2457" s="304" t="s">
        <v>3742</v>
      </c>
      <c r="F2457" s="25" t="s">
        <v>44</v>
      </c>
      <c r="G2457" s="305" t="s">
        <v>3737</v>
      </c>
      <c r="H2457" s="306">
        <v>476</v>
      </c>
      <c r="R2457" s="2">
        <v>0.3</v>
      </c>
      <c r="AL2457" s="28" t="str">
        <f>VLOOKUP($G2457,'[42]Sheet1 (2)'!$A$1:$B$1048440,2,FALSE)</f>
        <v>Sqm</v>
      </c>
    </row>
    <row r="2458" spans="1:39" ht="125" x14ac:dyDescent="0.25">
      <c r="A2458" s="243">
        <v>2250</v>
      </c>
      <c r="C2458" s="309">
        <v>54.44</v>
      </c>
      <c r="D2458" s="303" t="s">
        <v>3740</v>
      </c>
      <c r="E2458" s="311" t="s">
        <v>3743</v>
      </c>
      <c r="F2458" s="25" t="s">
        <v>44</v>
      </c>
      <c r="G2458" s="305" t="s">
        <v>3732</v>
      </c>
      <c r="H2458" s="312">
        <v>713</v>
      </c>
      <c r="R2458" s="310">
        <f>0.9*0.9*0.9</f>
        <v>0.72900000000000009</v>
      </c>
      <c r="AL2458" s="28" t="str">
        <f>VLOOKUP($G2458,'[42]Sheet1 (2)'!$A$1:$B$1048440,2,FALSE)</f>
        <v>Nos.</v>
      </c>
    </row>
    <row r="2459" spans="1:39" s="321" customFormat="1" ht="12" x14ac:dyDescent="0.25">
      <c r="A2459" s="313"/>
      <c r="B2459" s="314"/>
      <c r="C2459" s="315"/>
      <c r="D2459" s="316"/>
      <c r="E2459" s="317" t="s">
        <v>3744</v>
      </c>
      <c r="F2459" s="318"/>
      <c r="G2459" s="319"/>
      <c r="H2459" s="320"/>
      <c r="I2459" s="314"/>
      <c r="AL2459" s="322">
        <f t="shared" ref="AL2459:AL2479" si="12">G2459</f>
        <v>0</v>
      </c>
      <c r="AM2459" s="323"/>
    </row>
    <row r="2460" spans="1:39" s="321" customFormat="1" ht="84" x14ac:dyDescent="0.25">
      <c r="A2460" s="313"/>
      <c r="B2460" s="314"/>
      <c r="C2460" s="315" t="s">
        <v>3745</v>
      </c>
      <c r="D2460" s="316" t="str">
        <f>E2459</f>
        <v>KITCHEN NON SSR ITEM</v>
      </c>
      <c r="E2460" s="324" t="s">
        <v>3746</v>
      </c>
      <c r="F2460" s="318"/>
      <c r="G2460" s="319" t="s">
        <v>3747</v>
      </c>
      <c r="H2460" s="320">
        <v>24300</v>
      </c>
      <c r="I2460" s="314"/>
      <c r="AL2460" s="322" t="str">
        <f t="shared" si="12"/>
        <v>Nos</v>
      </c>
      <c r="AM2460" s="323"/>
    </row>
    <row r="2461" spans="1:39" s="321" customFormat="1" ht="36" x14ac:dyDescent="0.25">
      <c r="A2461" s="313"/>
      <c r="B2461" s="314"/>
      <c r="C2461" s="315" t="s">
        <v>3748</v>
      </c>
      <c r="D2461" s="316"/>
      <c r="E2461" s="324" t="s">
        <v>3749</v>
      </c>
      <c r="F2461" s="318"/>
      <c r="G2461" s="319" t="s">
        <v>3747</v>
      </c>
      <c r="H2461" s="320">
        <v>13700</v>
      </c>
      <c r="I2461" s="314"/>
      <c r="AL2461" s="322" t="str">
        <f t="shared" si="12"/>
        <v>Nos</v>
      </c>
      <c r="AM2461" s="323"/>
    </row>
    <row r="2462" spans="1:39" s="321" customFormat="1" ht="156" x14ac:dyDescent="0.25">
      <c r="A2462" s="313"/>
      <c r="B2462" s="314"/>
      <c r="C2462" s="315" t="s">
        <v>3750</v>
      </c>
      <c r="D2462" s="316"/>
      <c r="E2462" s="324" t="s">
        <v>3751</v>
      </c>
      <c r="F2462" s="318"/>
      <c r="G2462" s="319" t="s">
        <v>3747</v>
      </c>
      <c r="H2462" s="320">
        <v>53750</v>
      </c>
      <c r="I2462" s="314"/>
      <c r="AL2462" s="322" t="str">
        <f t="shared" si="12"/>
        <v>Nos</v>
      </c>
      <c r="AM2462" s="323"/>
    </row>
    <row r="2463" spans="1:39" s="321" customFormat="1" ht="96" x14ac:dyDescent="0.25">
      <c r="A2463" s="313"/>
      <c r="B2463" s="314"/>
      <c r="C2463" s="315" t="s">
        <v>3752</v>
      </c>
      <c r="D2463" s="316"/>
      <c r="E2463" s="324" t="s">
        <v>3753</v>
      </c>
      <c r="F2463" s="318"/>
      <c r="G2463" s="319" t="s">
        <v>3747</v>
      </c>
      <c r="H2463" s="320">
        <v>9250</v>
      </c>
      <c r="I2463" s="314"/>
      <c r="AL2463" s="322" t="str">
        <f t="shared" si="12"/>
        <v>Nos</v>
      </c>
      <c r="AM2463" s="323"/>
    </row>
    <row r="2464" spans="1:39" s="321" customFormat="1" ht="156" x14ac:dyDescent="0.25">
      <c r="A2464" s="313"/>
      <c r="B2464" s="314"/>
      <c r="C2464" s="315" t="s">
        <v>3754</v>
      </c>
      <c r="D2464" s="316"/>
      <c r="E2464" s="324" t="s">
        <v>3755</v>
      </c>
      <c r="F2464" s="318"/>
      <c r="G2464" s="319" t="s">
        <v>3747</v>
      </c>
      <c r="H2464" s="320">
        <v>172000</v>
      </c>
      <c r="I2464" s="314"/>
      <c r="AL2464" s="322" t="str">
        <f t="shared" si="12"/>
        <v>Nos</v>
      </c>
      <c r="AM2464" s="323"/>
    </row>
    <row r="2465" spans="1:39" s="321" customFormat="1" ht="120" x14ac:dyDescent="0.25">
      <c r="A2465" s="313"/>
      <c r="B2465" s="314"/>
      <c r="C2465" s="315" t="s">
        <v>3756</v>
      </c>
      <c r="D2465" s="316"/>
      <c r="E2465" s="324" t="s">
        <v>3757</v>
      </c>
      <c r="F2465" s="318"/>
      <c r="G2465" s="319" t="s">
        <v>3747</v>
      </c>
      <c r="H2465" s="320">
        <v>51600</v>
      </c>
      <c r="I2465" s="314"/>
      <c r="AL2465" s="322" t="str">
        <f t="shared" si="12"/>
        <v>Nos</v>
      </c>
      <c r="AM2465" s="323"/>
    </row>
    <row r="2466" spans="1:39" s="321" customFormat="1" ht="156" x14ac:dyDescent="0.25">
      <c r="A2466" s="313"/>
      <c r="B2466" s="314"/>
      <c r="C2466" s="315" t="s">
        <v>3758</v>
      </c>
      <c r="D2466" s="316"/>
      <c r="E2466" s="324" t="s">
        <v>3759</v>
      </c>
      <c r="F2466" s="318"/>
      <c r="G2466" s="319" t="s">
        <v>3747</v>
      </c>
      <c r="H2466" s="320">
        <v>103200</v>
      </c>
      <c r="I2466" s="314"/>
      <c r="AL2466" s="322" t="str">
        <f t="shared" si="12"/>
        <v>Nos</v>
      </c>
      <c r="AM2466" s="323"/>
    </row>
    <row r="2467" spans="1:39" s="321" customFormat="1" ht="120" x14ac:dyDescent="0.25">
      <c r="A2467" s="313"/>
      <c r="B2467" s="314"/>
      <c r="C2467" s="315" t="s">
        <v>3760</v>
      </c>
      <c r="D2467" s="316"/>
      <c r="E2467" s="324" t="s">
        <v>3761</v>
      </c>
      <c r="F2467" s="318"/>
      <c r="G2467" s="319" t="s">
        <v>3747</v>
      </c>
      <c r="H2467" s="320">
        <v>40850</v>
      </c>
      <c r="I2467" s="314"/>
      <c r="AL2467" s="322" t="str">
        <f t="shared" si="12"/>
        <v>Nos</v>
      </c>
      <c r="AM2467" s="323"/>
    </row>
    <row r="2468" spans="1:39" s="321" customFormat="1" ht="132" x14ac:dyDescent="0.25">
      <c r="A2468" s="313"/>
      <c r="B2468" s="314"/>
      <c r="C2468" s="315" t="s">
        <v>3762</v>
      </c>
      <c r="D2468" s="316"/>
      <c r="E2468" s="324" t="s">
        <v>3763</v>
      </c>
      <c r="F2468" s="318"/>
      <c r="G2468" s="319" t="s">
        <v>3747</v>
      </c>
      <c r="H2468" s="320">
        <v>62350</v>
      </c>
      <c r="I2468" s="314"/>
      <c r="AL2468" s="322" t="str">
        <f t="shared" si="12"/>
        <v>Nos</v>
      </c>
      <c r="AM2468" s="323"/>
    </row>
    <row r="2469" spans="1:39" s="321" customFormat="1" ht="156" x14ac:dyDescent="0.25">
      <c r="A2469" s="313"/>
      <c r="B2469" s="314"/>
      <c r="C2469" s="315" t="s">
        <v>3764</v>
      </c>
      <c r="D2469" s="316"/>
      <c r="E2469" s="324" t="s">
        <v>3765</v>
      </c>
      <c r="F2469" s="318"/>
      <c r="G2469" s="319" t="s">
        <v>3747</v>
      </c>
      <c r="H2469" s="320">
        <v>75250</v>
      </c>
      <c r="I2469" s="314"/>
      <c r="AL2469" s="322" t="str">
        <f t="shared" si="12"/>
        <v>Nos</v>
      </c>
      <c r="AM2469" s="323"/>
    </row>
    <row r="2470" spans="1:39" s="321" customFormat="1" ht="228" x14ac:dyDescent="0.25">
      <c r="A2470" s="313"/>
      <c r="B2470" s="314"/>
      <c r="C2470" s="315" t="s">
        <v>3766</v>
      </c>
      <c r="D2470" s="316"/>
      <c r="E2470" s="324" t="s">
        <v>3767</v>
      </c>
      <c r="F2470" s="318"/>
      <c r="G2470" s="319" t="s">
        <v>3747</v>
      </c>
      <c r="H2470" s="320">
        <v>199350</v>
      </c>
      <c r="I2470" s="314"/>
      <c r="AL2470" s="322" t="str">
        <f t="shared" si="12"/>
        <v>Nos</v>
      </c>
      <c r="AM2470" s="323"/>
    </row>
    <row r="2471" spans="1:39" s="321" customFormat="1" ht="336" x14ac:dyDescent="0.25">
      <c r="A2471" s="313"/>
      <c r="B2471" s="314"/>
      <c r="C2471" s="315" t="s">
        <v>3768</v>
      </c>
      <c r="D2471" s="316"/>
      <c r="E2471" s="324" t="s">
        <v>3769</v>
      </c>
      <c r="F2471" s="318"/>
      <c r="G2471" s="319" t="s">
        <v>3747</v>
      </c>
      <c r="H2471" s="320">
        <v>870000</v>
      </c>
      <c r="I2471" s="314"/>
      <c r="AL2471" s="322" t="str">
        <f t="shared" si="12"/>
        <v>Nos</v>
      </c>
      <c r="AM2471" s="323"/>
    </row>
    <row r="2472" spans="1:39" s="321" customFormat="1" ht="204" x14ac:dyDescent="0.25">
      <c r="A2472" s="313"/>
      <c r="B2472" s="314"/>
      <c r="C2472" s="315" t="s">
        <v>3770</v>
      </c>
      <c r="D2472" s="316"/>
      <c r="E2472" s="324" t="s">
        <v>3771</v>
      </c>
      <c r="F2472" s="318"/>
      <c r="G2472" s="319" t="s">
        <v>3747</v>
      </c>
      <c r="H2472" s="320">
        <v>318000</v>
      </c>
      <c r="I2472" s="314"/>
      <c r="AL2472" s="322" t="str">
        <f t="shared" si="12"/>
        <v>Nos</v>
      </c>
      <c r="AM2472" s="323"/>
    </row>
    <row r="2473" spans="1:39" s="321" customFormat="1" ht="132" x14ac:dyDescent="0.25">
      <c r="A2473" s="313"/>
      <c r="B2473" s="314"/>
      <c r="C2473" s="315" t="s">
        <v>3772</v>
      </c>
      <c r="D2473" s="316"/>
      <c r="E2473" s="324" t="s">
        <v>3773</v>
      </c>
      <c r="F2473" s="318"/>
      <c r="G2473" s="319" t="s">
        <v>3747</v>
      </c>
      <c r="H2473" s="320">
        <v>30100</v>
      </c>
      <c r="I2473" s="314"/>
      <c r="AL2473" s="322" t="str">
        <f t="shared" si="12"/>
        <v>Nos</v>
      </c>
      <c r="AM2473" s="323"/>
    </row>
    <row r="2474" spans="1:39" s="321" customFormat="1" ht="204" x14ac:dyDescent="0.25">
      <c r="A2474" s="313"/>
      <c r="B2474" s="314"/>
      <c r="C2474" s="315" t="s">
        <v>3774</v>
      </c>
      <c r="D2474" s="316"/>
      <c r="E2474" s="324" t="s">
        <v>3775</v>
      </c>
      <c r="F2474" s="318"/>
      <c r="G2474" s="319" t="s">
        <v>3747</v>
      </c>
      <c r="H2474" s="320">
        <v>103200</v>
      </c>
      <c r="I2474" s="314"/>
      <c r="AL2474" s="322" t="str">
        <f t="shared" si="12"/>
        <v>Nos</v>
      </c>
      <c r="AM2474" s="323"/>
    </row>
    <row r="2475" spans="1:39" s="321" customFormat="1" ht="168" x14ac:dyDescent="0.25">
      <c r="A2475" s="313"/>
      <c r="B2475" s="314"/>
      <c r="C2475" s="315" t="s">
        <v>3776</v>
      </c>
      <c r="D2475" s="316"/>
      <c r="E2475" s="324" t="s">
        <v>3777</v>
      </c>
      <c r="F2475" s="318"/>
      <c r="G2475" s="319" t="s">
        <v>3747</v>
      </c>
      <c r="H2475" s="320">
        <v>64500</v>
      </c>
      <c r="I2475" s="314"/>
      <c r="AL2475" s="322" t="str">
        <f t="shared" si="12"/>
        <v>Nos</v>
      </c>
      <c r="AM2475" s="323"/>
    </row>
    <row r="2476" spans="1:39" s="321" customFormat="1" ht="132" x14ac:dyDescent="0.25">
      <c r="A2476" s="313"/>
      <c r="B2476" s="314"/>
      <c r="C2476" s="315" t="s">
        <v>3778</v>
      </c>
      <c r="D2476" s="316"/>
      <c r="E2476" s="324" t="s">
        <v>3779</v>
      </c>
      <c r="F2476" s="318"/>
      <c r="G2476" s="319" t="s">
        <v>3747</v>
      </c>
      <c r="H2476" s="320">
        <v>4900</v>
      </c>
      <c r="I2476" s="314"/>
      <c r="AL2476" s="322" t="str">
        <f t="shared" si="12"/>
        <v>Nos</v>
      </c>
      <c r="AM2476" s="323"/>
    </row>
    <row r="2477" spans="1:39" s="321" customFormat="1" ht="19" x14ac:dyDescent="0.25">
      <c r="A2477" s="313"/>
      <c r="B2477" s="314"/>
      <c r="C2477" s="315"/>
      <c r="D2477" s="316"/>
      <c r="E2477" s="324"/>
      <c r="F2477" s="318"/>
      <c r="G2477" s="319" t="s">
        <v>3747</v>
      </c>
      <c r="H2477" s="320"/>
      <c r="I2477" s="314"/>
      <c r="AL2477" s="322" t="str">
        <f t="shared" si="12"/>
        <v>Nos</v>
      </c>
      <c r="AM2477" s="323"/>
    </row>
    <row r="2478" spans="1:39" s="321" customFormat="1" ht="19" x14ac:dyDescent="0.25">
      <c r="A2478" s="313"/>
      <c r="B2478" s="314"/>
      <c r="C2478" s="315"/>
      <c r="D2478" s="316"/>
      <c r="E2478" s="317" t="s">
        <v>3780</v>
      </c>
      <c r="F2478" s="318"/>
      <c r="G2478" s="319" t="s">
        <v>3747</v>
      </c>
      <c r="H2478" s="320"/>
      <c r="I2478" s="314"/>
      <c r="AL2478" s="322" t="str">
        <f t="shared" si="12"/>
        <v>Nos</v>
      </c>
      <c r="AM2478" s="323"/>
    </row>
    <row r="2479" spans="1:39" s="321" customFormat="1" ht="240" x14ac:dyDescent="0.25">
      <c r="A2479" s="313"/>
      <c r="B2479" s="314"/>
      <c r="C2479" s="315" t="s">
        <v>3781</v>
      </c>
      <c r="D2479" s="316"/>
      <c r="E2479" s="324" t="s">
        <v>3782</v>
      </c>
      <c r="F2479" s="318"/>
      <c r="G2479" s="319" t="s">
        <v>3747</v>
      </c>
      <c r="H2479" s="320">
        <v>161418</v>
      </c>
      <c r="I2479" s="314"/>
      <c r="AL2479" s="322" t="str">
        <f t="shared" si="12"/>
        <v>Nos</v>
      </c>
      <c r="AM2479" s="323"/>
    </row>
  </sheetData>
  <mergeCells count="55">
    <mergeCell ref="A2394:I2394"/>
    <mergeCell ref="H2230:H2231"/>
    <mergeCell ref="I2230:I2231"/>
    <mergeCell ref="A2333:A2334"/>
    <mergeCell ref="B2333:B2334"/>
    <mergeCell ref="C2333:C2334"/>
    <mergeCell ref="D2333:D2334"/>
    <mergeCell ref="F2333:F2334"/>
    <mergeCell ref="H2333:H2334"/>
    <mergeCell ref="I2333:I2334"/>
    <mergeCell ref="F2230:F2231"/>
    <mergeCell ref="B1961:B1962"/>
    <mergeCell ref="D1961:D1962"/>
    <mergeCell ref="B2230:B2231"/>
    <mergeCell ref="C2230:C2231"/>
    <mergeCell ref="D2230:D2231"/>
    <mergeCell ref="B1957:B1960"/>
    <mergeCell ref="D1957:D1960"/>
    <mergeCell ref="B1940:B1942"/>
    <mergeCell ref="D1940:D1942"/>
    <mergeCell ref="B1944:B1945"/>
    <mergeCell ref="D1944:D1945"/>
    <mergeCell ref="B1946:B1947"/>
    <mergeCell ref="C1946:C1947"/>
    <mergeCell ref="D1946:D1947"/>
    <mergeCell ref="B1948:B1949"/>
    <mergeCell ref="C1948:C1949"/>
    <mergeCell ref="D1948:D1949"/>
    <mergeCell ref="B1950:B1956"/>
    <mergeCell ref="D1950:D1956"/>
    <mergeCell ref="B1931:B1933"/>
    <mergeCell ref="D1931:D1933"/>
    <mergeCell ref="B1934:B1935"/>
    <mergeCell ref="D1934:D1935"/>
    <mergeCell ref="B1937:B1939"/>
    <mergeCell ref="D1937:D1939"/>
    <mergeCell ref="B1922:B1924"/>
    <mergeCell ref="D1922:D1924"/>
    <mergeCell ref="B1925:B1927"/>
    <mergeCell ref="D1925:D1927"/>
    <mergeCell ref="B1928:B1930"/>
    <mergeCell ref="D1928:D1930"/>
    <mergeCell ref="B1920:B1921"/>
    <mergeCell ref="D1920:D1921"/>
    <mergeCell ref="A1:B1"/>
    <mergeCell ref="C1:I1"/>
    <mergeCell ref="A4:I4"/>
    <mergeCell ref="A1206:I1206"/>
    <mergeCell ref="B1887:B1889"/>
    <mergeCell ref="D1887:D1889"/>
    <mergeCell ref="B1890:B1891"/>
    <mergeCell ref="D1890:D1891"/>
    <mergeCell ref="B1913:B1915"/>
    <mergeCell ref="B1916:B1919"/>
    <mergeCell ref="D1916:D1919"/>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SSR 2022-23 (w.e.f.25-07-023)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PC World</cp:lastModifiedBy>
  <dcterms:created xsi:type="dcterms:W3CDTF">2026-06-23T08:15:07Z</dcterms:created>
  <dcterms:modified xsi:type="dcterms:W3CDTF">2026-09-09T06:47:27Z</dcterms:modified>
</cp:coreProperties>
</file>